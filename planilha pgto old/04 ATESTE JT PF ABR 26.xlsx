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3F980A81-D975-4428-9481-F7AB8F5829E8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CREDENCIAMENTO'!$A$5:$IC$247</definedName>
    <definedName name="_xlnm._FilterDatabase" localSheetId="8" hidden="1">'ATESTADO C'!$A$17:$Z$17</definedName>
    <definedName name="_xlnm._FilterDatabase" localSheetId="12" hidden="1">'ATESTE-LIQ'!$A$1:$AT$51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CREDENCIAMENTO'!$Q$6:$EL$3104</definedName>
    <definedName name="ApagaDadosC">CONTINUA!$L$6:$BU$3122</definedName>
    <definedName name="ApagarDadosDigitados">#REF!</definedName>
    <definedName name="ApagaRegistroA">'APONTAMENTO CREDENCIAMENTO'!$A$6:$K$3104</definedName>
    <definedName name="ApagaRegistroC">CONTINUA!$A$6:$K$3122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CREDENCIAMENTO'!$M$246</definedName>
    <definedName name="CopiaSomaC" localSheetId="5">[1]CONTINUA!#REF!</definedName>
    <definedName name="CopiaSomaC">CONTINUA!$BV$247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CREDENCIAMENTO'!$DY$4:$EJ$3359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9" i="13" l="1"/>
  <c r="L49" i="13"/>
  <c r="AB49" i="13" s="1"/>
  <c r="I49" i="13"/>
  <c r="H49" i="13"/>
  <c r="G49" i="13"/>
  <c r="F49" i="13"/>
  <c r="U49" i="13" s="1"/>
  <c r="V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J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J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U31" i="13" s="1"/>
  <c r="V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J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51" i="87"/>
  <c r="D50" i="87"/>
  <c r="D49" i="87"/>
  <c r="D48" i="87"/>
  <c r="D47" i="87"/>
  <c r="D46" i="87"/>
  <c r="D45" i="87"/>
  <c r="D44" i="87"/>
  <c r="D43" i="87"/>
  <c r="D42" i="87"/>
  <c r="D41" i="87"/>
  <c r="D40" i="87"/>
  <c r="D39" i="87"/>
  <c r="D38" i="87"/>
  <c r="D37" i="87"/>
  <c r="D36" i="87"/>
  <c r="D35" i="87"/>
  <c r="D34" i="87"/>
  <c r="D33" i="87"/>
  <c r="D32" i="87"/>
  <c r="D31" i="87"/>
  <c r="D30" i="87"/>
  <c r="D29" i="87"/>
  <c r="D28" i="87"/>
  <c r="D27" i="87"/>
  <c r="D26" i="87"/>
  <c r="D25" i="87"/>
  <c r="D24" i="87"/>
  <c r="D23" i="87"/>
  <c r="D22" i="87"/>
  <c r="D21" i="87"/>
  <c r="D20" i="87"/>
  <c r="D19" i="87"/>
  <c r="E18" i="87"/>
  <c r="D18" i="87"/>
  <c r="I17" i="87"/>
  <c r="E17" i="87"/>
  <c r="D17" i="87"/>
  <c r="I16" i="87"/>
  <c r="E16" i="87"/>
  <c r="D16" i="87"/>
  <c r="I15" i="87"/>
  <c r="E15" i="87"/>
  <c r="D15" i="87"/>
  <c r="I14" i="87"/>
  <c r="E14" i="87"/>
  <c r="D14" i="87"/>
  <c r="I13" i="87"/>
  <c r="E13" i="87"/>
  <c r="D13" i="87"/>
  <c r="I12" i="87"/>
  <c r="E12" i="87"/>
  <c r="D12" i="87"/>
  <c r="I11" i="87"/>
  <c r="E11" i="87"/>
  <c r="D11" i="87"/>
  <c r="I10" i="87"/>
  <c r="E10" i="87"/>
  <c r="D10" i="87"/>
  <c r="I9" i="87"/>
  <c r="G9" i="87"/>
  <c r="J9" i="87" s="1"/>
  <c r="F9" i="87"/>
  <c r="E9" i="87"/>
  <c r="H9" i="87" s="1"/>
  <c r="D9" i="87"/>
  <c r="I8" i="87"/>
  <c r="G8" i="87"/>
  <c r="J8" i="87" s="1"/>
  <c r="F8" i="87"/>
  <c r="E8" i="87"/>
  <c r="H8" i="87" s="1"/>
  <c r="D8" i="87"/>
  <c r="I7" i="87"/>
  <c r="G7" i="87"/>
  <c r="J7" i="87" s="1"/>
  <c r="K8" i="87" s="1"/>
  <c r="F7" i="87"/>
  <c r="E7" i="87"/>
  <c r="H7" i="87" s="1"/>
  <c r="D7" i="87"/>
  <c r="I6" i="87"/>
  <c r="G6" i="87"/>
  <c r="J6" i="87" s="1"/>
  <c r="K7" i="87" s="1"/>
  <c r="F6" i="87"/>
  <c r="E6" i="87"/>
  <c r="H6" i="87" s="1"/>
  <c r="D6" i="87"/>
  <c r="K5" i="87"/>
  <c r="I5" i="87"/>
  <c r="G5" i="87"/>
  <c r="J5" i="87" s="1"/>
  <c r="K6" i="87" s="1"/>
  <c r="F5" i="87"/>
  <c r="E5" i="87"/>
  <c r="H5" i="87" s="1"/>
  <c r="D5" i="87"/>
  <c r="J49" i="13" l="1"/>
  <c r="J48" i="13"/>
  <c r="J47" i="13"/>
  <c r="U46" i="13"/>
  <c r="V46" i="13" s="1"/>
  <c r="U45" i="13"/>
  <c r="V45" i="13" s="1"/>
  <c r="U44" i="13"/>
  <c r="V44" i="13" s="1"/>
  <c r="U43" i="13"/>
  <c r="V43" i="13" s="1"/>
  <c r="U42" i="13"/>
  <c r="V42" i="13" s="1"/>
  <c r="U41" i="13"/>
  <c r="V41" i="13" s="1"/>
  <c r="U40" i="13"/>
  <c r="V40" i="13" s="1"/>
  <c r="U39" i="13"/>
  <c r="V39" i="13" s="1"/>
  <c r="J38" i="13"/>
  <c r="U37" i="13"/>
  <c r="V37" i="13" s="1"/>
  <c r="J36" i="13"/>
  <c r="U35" i="13"/>
  <c r="V35" i="13" s="1"/>
  <c r="U34" i="13"/>
  <c r="V34" i="13" s="1"/>
  <c r="U33" i="13"/>
  <c r="V33" i="13" s="1"/>
  <c r="J32" i="13"/>
  <c r="J31" i="13"/>
  <c r="U30" i="13"/>
  <c r="V30" i="13" s="1"/>
  <c r="U29" i="13"/>
  <c r="V29" i="13" s="1"/>
  <c r="U28" i="13"/>
  <c r="V28" i="13" s="1"/>
  <c r="U27" i="13"/>
  <c r="V27" i="13" s="1"/>
  <c r="J26" i="13"/>
  <c r="J25" i="13"/>
  <c r="J24" i="13"/>
  <c r="U23" i="13"/>
  <c r="V23" i="13" s="1"/>
  <c r="U22" i="13"/>
  <c r="V22" i="13" s="1"/>
  <c r="U21" i="13"/>
  <c r="V21" i="13" s="1"/>
  <c r="U20" i="13"/>
  <c r="V20" i="13" s="1"/>
  <c r="J19" i="13"/>
  <c r="J18" i="13"/>
  <c r="U17" i="13"/>
  <c r="V17" i="13" s="1"/>
  <c r="U16" i="13"/>
  <c r="V16" i="13" s="1"/>
  <c r="J15" i="13"/>
  <c r="U14" i="13"/>
  <c r="V14" i="13" s="1"/>
  <c r="J13" i="13"/>
  <c r="U12" i="13"/>
  <c r="V12" i="13" s="1"/>
  <c r="U11" i="13"/>
  <c r="V11" i="13" s="1"/>
  <c r="U10" i="13"/>
  <c r="V10" i="13" s="1"/>
  <c r="U9" i="13"/>
  <c r="V9" i="13" s="1"/>
  <c r="U8" i="13"/>
  <c r="V8" i="13" s="1"/>
  <c r="U7" i="13"/>
  <c r="V7" i="13" s="1"/>
  <c r="U6" i="13"/>
  <c r="V6" i="13" s="1"/>
  <c r="U5" i="13"/>
  <c r="V5" i="13" s="1"/>
  <c r="U4" i="13"/>
  <c r="V4" i="13" s="1"/>
  <c r="U3" i="13"/>
  <c r="V3" i="13" s="1"/>
  <c r="H12" i="87"/>
  <c r="H13" i="87"/>
  <c r="G20" i="87"/>
  <c r="F20" i="87"/>
  <c r="I20" i="87"/>
  <c r="E20" i="87"/>
  <c r="H20" i="87" s="1"/>
  <c r="G26" i="87"/>
  <c r="F26" i="87"/>
  <c r="I26" i="87"/>
  <c r="E26" i="87"/>
  <c r="H26" i="87" s="1"/>
  <c r="G32" i="87"/>
  <c r="F32" i="87"/>
  <c r="I32" i="87"/>
  <c r="E32" i="87"/>
  <c r="H32" i="87" s="1"/>
  <c r="G36" i="87"/>
  <c r="F36" i="87"/>
  <c r="I36" i="87"/>
  <c r="E36" i="87"/>
  <c r="H36" i="87" s="1"/>
  <c r="G38" i="87"/>
  <c r="F38" i="87"/>
  <c r="I38" i="87"/>
  <c r="E38" i="87"/>
  <c r="H38" i="87" s="1"/>
  <c r="G40" i="87"/>
  <c r="F40" i="87"/>
  <c r="I40" i="87"/>
  <c r="E40" i="87"/>
  <c r="H40" i="87" s="1"/>
  <c r="G42" i="87"/>
  <c r="F42" i="87"/>
  <c r="I42" i="87"/>
  <c r="E42" i="87"/>
  <c r="H42" i="87" s="1"/>
  <c r="G46" i="87"/>
  <c r="F46" i="87"/>
  <c r="I46" i="87"/>
  <c r="E46" i="87"/>
  <c r="H46" i="87" s="1"/>
  <c r="G50" i="87"/>
  <c r="F50" i="87"/>
  <c r="I50" i="87"/>
  <c r="E50" i="87"/>
  <c r="H50" i="87" s="1"/>
  <c r="G24" i="87"/>
  <c r="F24" i="87"/>
  <c r="I24" i="87"/>
  <c r="E24" i="87"/>
  <c r="H24" i="87" s="1"/>
  <c r="G30" i="87"/>
  <c r="F30" i="87"/>
  <c r="I30" i="87"/>
  <c r="E30" i="87"/>
  <c r="H30" i="87" s="1"/>
  <c r="G34" i="87"/>
  <c r="F34" i="87"/>
  <c r="I34" i="87"/>
  <c r="E34" i="87"/>
  <c r="H34" i="87" s="1"/>
  <c r="G48" i="87"/>
  <c r="F48" i="87"/>
  <c r="I48" i="87"/>
  <c r="E48" i="87"/>
  <c r="H48" i="87" s="1"/>
  <c r="K9" i="87"/>
  <c r="K10" i="87"/>
  <c r="K11" i="87"/>
  <c r="K15" i="87"/>
  <c r="G19" i="87"/>
  <c r="F19" i="87"/>
  <c r="I19" i="87"/>
  <c r="K19" i="87" s="1"/>
  <c r="E19" i="87"/>
  <c r="H19" i="87" s="1"/>
  <c r="G21" i="87"/>
  <c r="F21" i="87"/>
  <c r="I21" i="87"/>
  <c r="E21" i="87"/>
  <c r="H21" i="87" s="1"/>
  <c r="G23" i="87"/>
  <c r="F23" i="87"/>
  <c r="I23" i="87"/>
  <c r="E23" i="87"/>
  <c r="H23" i="87" s="1"/>
  <c r="G25" i="87"/>
  <c r="F25" i="87"/>
  <c r="I25" i="87"/>
  <c r="E25" i="87"/>
  <c r="H25" i="87" s="1"/>
  <c r="G27" i="87"/>
  <c r="F27" i="87"/>
  <c r="I27" i="87"/>
  <c r="E27" i="87"/>
  <c r="H27" i="87" s="1"/>
  <c r="G29" i="87"/>
  <c r="F29" i="87"/>
  <c r="I29" i="87"/>
  <c r="E29" i="87"/>
  <c r="H29" i="87" s="1"/>
  <c r="G31" i="87"/>
  <c r="F31" i="87"/>
  <c r="I31" i="87"/>
  <c r="E31" i="87"/>
  <c r="H31" i="87" s="1"/>
  <c r="G33" i="87"/>
  <c r="F33" i="87"/>
  <c r="I33" i="87"/>
  <c r="E33" i="87"/>
  <c r="H33" i="87" s="1"/>
  <c r="G35" i="87"/>
  <c r="F35" i="87"/>
  <c r="I35" i="87"/>
  <c r="E35" i="87"/>
  <c r="H35" i="87" s="1"/>
  <c r="G37" i="87"/>
  <c r="F37" i="87"/>
  <c r="I37" i="87"/>
  <c r="E37" i="87"/>
  <c r="H37" i="87" s="1"/>
  <c r="G39" i="87"/>
  <c r="F39" i="87"/>
  <c r="I39" i="87"/>
  <c r="E39" i="87"/>
  <c r="H39" i="87" s="1"/>
  <c r="G41" i="87"/>
  <c r="F41" i="87"/>
  <c r="I41" i="87"/>
  <c r="E41" i="87"/>
  <c r="H41" i="87" s="1"/>
  <c r="G43" i="87"/>
  <c r="F43" i="87"/>
  <c r="I43" i="87"/>
  <c r="E43" i="87"/>
  <c r="H43" i="87" s="1"/>
  <c r="G45" i="87"/>
  <c r="F45" i="87"/>
  <c r="I45" i="87"/>
  <c r="E45" i="87"/>
  <c r="H45" i="87" s="1"/>
  <c r="G47" i="87"/>
  <c r="F47" i="87"/>
  <c r="I47" i="87"/>
  <c r="E47" i="87"/>
  <c r="H47" i="87" s="1"/>
  <c r="G49" i="87"/>
  <c r="F49" i="87"/>
  <c r="I49" i="87"/>
  <c r="E49" i="87"/>
  <c r="H49" i="87" s="1"/>
  <c r="G51" i="87"/>
  <c r="F51" i="87"/>
  <c r="I51" i="87"/>
  <c r="E51" i="87"/>
  <c r="H51" i="87" s="1"/>
  <c r="G22" i="87"/>
  <c r="F22" i="87"/>
  <c r="I22" i="87"/>
  <c r="E22" i="87"/>
  <c r="H22" i="87" s="1"/>
  <c r="G28" i="87"/>
  <c r="F28" i="87"/>
  <c r="I28" i="87"/>
  <c r="E28" i="87"/>
  <c r="H28" i="87" s="1"/>
  <c r="G44" i="87"/>
  <c r="F44" i="87"/>
  <c r="I44" i="87"/>
  <c r="E44" i="87"/>
  <c r="H44" i="87" s="1"/>
  <c r="G10" i="87"/>
  <c r="J10" i="87" s="1"/>
  <c r="F10" i="87"/>
  <c r="G11" i="87"/>
  <c r="J11" i="87" s="1"/>
  <c r="K12" i="87" s="1"/>
  <c r="F11" i="87"/>
  <c r="G12" i="87"/>
  <c r="J12" i="87" s="1"/>
  <c r="K13" i="87" s="1"/>
  <c r="F12" i="87"/>
  <c r="G13" i="87"/>
  <c r="J13" i="87" s="1"/>
  <c r="K14" i="87" s="1"/>
  <c r="F13" i="87"/>
  <c r="G14" i="87"/>
  <c r="J14" i="87" s="1"/>
  <c r="F14" i="87"/>
  <c r="G15" i="87"/>
  <c r="J15" i="87" s="1"/>
  <c r="K16" i="87" s="1"/>
  <c r="F15" i="87"/>
  <c r="G16" i="87"/>
  <c r="J16" i="87" s="1"/>
  <c r="K17" i="87" s="1"/>
  <c r="F16" i="87"/>
  <c r="G17" i="87"/>
  <c r="J17" i="87" s="1"/>
  <c r="F17" i="87"/>
  <c r="G18" i="87"/>
  <c r="J18" i="87" s="1"/>
  <c r="F18" i="87"/>
  <c r="I18" i="87"/>
  <c r="K18" i="87" s="1"/>
  <c r="K24" i="87" l="1"/>
  <c r="K50" i="87"/>
  <c r="K40" i="87"/>
  <c r="K26" i="87"/>
  <c r="J44" i="87"/>
  <c r="J28" i="87"/>
  <c r="J22" i="87"/>
  <c r="J51" i="87"/>
  <c r="J49" i="87"/>
  <c r="J47" i="87"/>
  <c r="K48" i="87" s="1"/>
  <c r="J45" i="87"/>
  <c r="K46" i="87" s="1"/>
  <c r="J43" i="87"/>
  <c r="J41" i="87"/>
  <c r="K42" i="87" s="1"/>
  <c r="J39" i="87"/>
  <c r="J37" i="87"/>
  <c r="K38" i="87" s="1"/>
  <c r="J35" i="87"/>
  <c r="K36" i="87" s="1"/>
  <c r="J33" i="87"/>
  <c r="K34" i="87" s="1"/>
  <c r="J31" i="87"/>
  <c r="K32" i="87" s="1"/>
  <c r="J29" i="87"/>
  <c r="K30" i="87" s="1"/>
  <c r="J27" i="87"/>
  <c r="J25" i="87"/>
  <c r="J23" i="87"/>
  <c r="J21" i="87"/>
  <c r="K22" i="87" s="1"/>
  <c r="J19" i="87"/>
  <c r="K20" i="87" s="1"/>
  <c r="H18" i="87"/>
  <c r="H15" i="87"/>
  <c r="J48" i="87"/>
  <c r="K49" i="87" s="1"/>
  <c r="J34" i="87"/>
  <c r="J30" i="87"/>
  <c r="J24" i="87"/>
  <c r="J50" i="87"/>
  <c r="K51" i="87" s="1"/>
  <c r="J46" i="87"/>
  <c r="J42" i="87"/>
  <c r="J40" i="87"/>
  <c r="J38" i="87"/>
  <c r="J36" i="87"/>
  <c r="J32" i="87"/>
  <c r="J26" i="87"/>
  <c r="J20" i="87"/>
  <c r="K21" i="87" s="1"/>
  <c r="H14" i="87"/>
  <c r="H11" i="87"/>
  <c r="K44" i="87"/>
  <c r="K28" i="87"/>
  <c r="K47" i="87"/>
  <c r="K45" i="87"/>
  <c r="K43" i="87"/>
  <c r="K41" i="87"/>
  <c r="K39" i="87"/>
  <c r="K37" i="87"/>
  <c r="K35" i="87"/>
  <c r="K33" i="87"/>
  <c r="K31" i="87"/>
  <c r="K29" i="87"/>
  <c r="K27" i="87"/>
  <c r="K25" i="87"/>
  <c r="K23" i="87"/>
  <c r="H17" i="87"/>
  <c r="H10" i="87"/>
  <c r="H16" i="87"/>
  <c r="BU247" i="59" l="1"/>
  <c r="BT247" i="59"/>
  <c r="BS247" i="59"/>
  <c r="BR247" i="59"/>
  <c r="BQ247" i="59"/>
  <c r="BP247" i="59"/>
  <c r="BO247" i="59"/>
  <c r="BN247" i="59"/>
  <c r="BM247" i="59"/>
  <c r="BL247" i="59"/>
  <c r="BK247" i="59"/>
  <c r="BJ247" i="59"/>
  <c r="BI247" i="59"/>
  <c r="BH247" i="59"/>
  <c r="BG247" i="59"/>
  <c r="BF247" i="59"/>
  <c r="BE247" i="59"/>
  <c r="BD247" i="59"/>
  <c r="BC247" i="59"/>
  <c r="BB247" i="59"/>
  <c r="BA247" i="59"/>
  <c r="AZ247" i="59"/>
  <c r="AY247" i="59"/>
  <c r="AX247" i="59"/>
  <c r="AW247" i="59"/>
  <c r="AV247" i="59"/>
  <c r="AU247" i="59"/>
  <c r="AT247" i="59"/>
  <c r="AS247" i="59"/>
  <c r="AR247" i="59"/>
  <c r="AQ247" i="59"/>
  <c r="AP247" i="59"/>
  <c r="AO247" i="59"/>
  <c r="AN247" i="59"/>
  <c r="AM247" i="59"/>
  <c r="AL247" i="59"/>
  <c r="AK247" i="59"/>
  <c r="AJ247" i="59"/>
  <c r="AI247" i="59"/>
  <c r="AH247" i="59"/>
  <c r="AG247" i="59"/>
  <c r="AF247" i="59"/>
  <c r="AE247" i="59"/>
  <c r="AD247" i="59"/>
  <c r="AC247" i="59"/>
  <c r="AB247" i="59"/>
  <c r="AA247" i="59"/>
  <c r="Z247" i="59"/>
  <c r="Y247" i="59"/>
  <c r="X247" i="59"/>
  <c r="W247" i="59"/>
  <c r="V247" i="59"/>
  <c r="U247" i="59"/>
  <c r="T247" i="59"/>
  <c r="S247" i="59"/>
  <c r="R247" i="59"/>
  <c r="Q247" i="59"/>
  <c r="P247" i="59"/>
  <c r="O247" i="59"/>
  <c r="N247" i="59"/>
  <c r="M247" i="59"/>
  <c r="L247" i="59"/>
  <c r="BW245" i="59"/>
  <c r="BV245" i="59"/>
  <c r="BW244" i="59"/>
  <c r="BV244" i="59"/>
  <c r="L244" i="64" s="1"/>
  <c r="EY244" i="64" s="1"/>
  <c r="BW243" i="59"/>
  <c r="BV243" i="59"/>
  <c r="BW242" i="59"/>
  <c r="BV242" i="59"/>
  <c r="L242" i="64" s="1"/>
  <c r="EY242" i="64" s="1"/>
  <c r="BW241" i="59"/>
  <c r="BV241" i="59"/>
  <c r="BW240" i="59"/>
  <c r="BV240" i="59"/>
  <c r="BW239" i="59"/>
  <c r="BV239" i="59"/>
  <c r="BW238" i="59"/>
  <c r="BV238" i="59"/>
  <c r="BW237" i="59"/>
  <c r="BV237" i="59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EY232" i="64" s="1"/>
  <c r="BW231" i="59"/>
  <c r="BV231" i="59"/>
  <c r="BW230" i="59"/>
  <c r="BV230" i="59"/>
  <c r="BW229" i="59"/>
  <c r="M229" i="64" s="1"/>
  <c r="BV229" i="59"/>
  <c r="L229" i="64" s="1"/>
  <c r="EY229" i="64" s="1"/>
  <c r="BW228" i="59"/>
  <c r="BV228" i="59"/>
  <c r="BW227" i="59"/>
  <c r="M227" i="64" s="1"/>
  <c r="BV227" i="59"/>
  <c r="L227" i="64" s="1"/>
  <c r="EY227" i="64" s="1"/>
  <c r="BW226" i="59"/>
  <c r="BV226" i="59"/>
  <c r="BW225" i="59"/>
  <c r="BV225" i="59"/>
  <c r="BW224" i="59"/>
  <c r="BV224" i="59"/>
  <c r="BW223" i="59"/>
  <c r="BV223" i="59"/>
  <c r="BW222" i="59"/>
  <c r="BV222" i="59"/>
  <c r="BW221" i="59"/>
  <c r="BV221" i="59"/>
  <c r="BW220" i="59"/>
  <c r="BV220" i="59"/>
  <c r="BW219" i="59"/>
  <c r="M219" i="64" s="1"/>
  <c r="BV219" i="59"/>
  <c r="L219" i="64" s="1"/>
  <c r="EY219" i="64" s="1"/>
  <c r="BW218" i="59"/>
  <c r="BV218" i="59"/>
  <c r="BW217" i="59"/>
  <c r="M217" i="64" s="1"/>
  <c r="BV217" i="59"/>
  <c r="L217" i="64" s="1"/>
  <c r="BW216" i="59"/>
  <c r="BV216" i="59"/>
  <c r="BW215" i="59"/>
  <c r="BV215" i="59"/>
  <c r="BW214" i="59"/>
  <c r="BV214" i="59"/>
  <c r="BW213" i="59"/>
  <c r="BV213" i="59"/>
  <c r="BW212" i="59"/>
  <c r="BV212" i="59"/>
  <c r="BW211" i="59"/>
  <c r="BV211" i="59"/>
  <c r="BW210" i="59"/>
  <c r="BV210" i="59"/>
  <c r="BW209" i="59"/>
  <c r="M209" i="64" s="1"/>
  <c r="BV209" i="59"/>
  <c r="L209" i="64" s="1"/>
  <c r="EY209" i="64" s="1"/>
  <c r="BW208" i="59"/>
  <c r="BV208" i="59"/>
  <c r="BW207" i="59"/>
  <c r="M207" i="64" s="1"/>
  <c r="BV207" i="59"/>
  <c r="L207" i="64" s="1"/>
  <c r="EY207" i="64" s="1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M199" i="64" s="1"/>
  <c r="BV199" i="59"/>
  <c r="L199" i="64" s="1"/>
  <c r="EY199" i="64" s="1"/>
  <c r="BW198" i="59"/>
  <c r="BV198" i="59"/>
  <c r="BW197" i="59"/>
  <c r="M197" i="64" s="1"/>
  <c r="BV197" i="59"/>
  <c r="L197" i="64" s="1"/>
  <c r="EY197" i="64" s="1"/>
  <c r="BW196" i="59"/>
  <c r="BV196" i="59"/>
  <c r="BW195" i="59"/>
  <c r="BV195" i="59"/>
  <c r="BW194" i="59"/>
  <c r="BV194" i="59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M189" i="64" s="1"/>
  <c r="BV189" i="59"/>
  <c r="L189" i="64" s="1"/>
  <c r="EY189" i="64" s="1"/>
  <c r="BW188" i="59"/>
  <c r="BV188" i="59"/>
  <c r="BW187" i="59"/>
  <c r="M187" i="64" s="1"/>
  <c r="BV187" i="59"/>
  <c r="L187" i="64" s="1"/>
  <c r="EY187" i="64" s="1"/>
  <c r="BW186" i="59"/>
  <c r="BV186" i="59"/>
  <c r="BW185" i="59"/>
  <c r="BV185" i="59"/>
  <c r="BW184" i="59"/>
  <c r="BV184" i="59"/>
  <c r="BW183" i="59"/>
  <c r="BV183" i="59"/>
  <c r="BW182" i="59"/>
  <c r="BV182" i="59"/>
  <c r="BW181" i="59"/>
  <c r="BV181" i="59"/>
  <c r="BW180" i="59"/>
  <c r="BV180" i="59"/>
  <c r="BW179" i="59"/>
  <c r="M179" i="64" s="1"/>
  <c r="BV179" i="59"/>
  <c r="L179" i="64" s="1"/>
  <c r="EY179" i="64" s="1"/>
  <c r="BW178" i="59"/>
  <c r="BV178" i="59"/>
  <c r="BW177" i="59"/>
  <c r="M177" i="64" s="1"/>
  <c r="BV177" i="59"/>
  <c r="L177" i="64" s="1"/>
  <c r="EY177" i="64" s="1"/>
  <c r="BW176" i="59"/>
  <c r="BV176" i="59"/>
  <c r="BW175" i="59"/>
  <c r="BV175" i="59"/>
  <c r="BW174" i="59"/>
  <c r="BV174" i="59"/>
  <c r="BW173" i="59"/>
  <c r="BV173" i="59"/>
  <c r="BW172" i="59"/>
  <c r="BV172" i="59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L159" i="64" s="1"/>
  <c r="EY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BW153" i="59"/>
  <c r="BV153" i="59"/>
  <c r="BW152" i="59"/>
  <c r="BV152" i="59"/>
  <c r="BW151" i="59"/>
  <c r="BV151" i="59"/>
  <c r="BW150" i="59"/>
  <c r="BV150" i="59"/>
  <c r="BW149" i="59"/>
  <c r="M149" i="64" s="1"/>
  <c r="BV149" i="59"/>
  <c r="L149" i="64" s="1"/>
  <c r="EY149" i="64" s="1"/>
  <c r="BW148" i="59"/>
  <c r="BV148" i="59"/>
  <c r="BW147" i="59"/>
  <c r="M147" i="64" s="1"/>
  <c r="BV147" i="59"/>
  <c r="L147" i="64" s="1"/>
  <c r="EY147" i="64" s="1"/>
  <c r="BW146" i="59"/>
  <c r="BV146" i="59"/>
  <c r="BW145" i="59"/>
  <c r="BV145" i="59"/>
  <c r="BW144" i="59"/>
  <c r="BV144" i="59"/>
  <c r="BW143" i="59"/>
  <c r="BV143" i="59"/>
  <c r="BW142" i="59"/>
  <c r="BV142" i="59"/>
  <c r="BW141" i="59"/>
  <c r="BV141" i="59"/>
  <c r="BW140" i="59"/>
  <c r="BV140" i="59"/>
  <c r="BW139" i="59"/>
  <c r="M139" i="64" s="1"/>
  <c r="BV139" i="59"/>
  <c r="L139" i="64" s="1"/>
  <c r="EY139" i="64" s="1"/>
  <c r="BW138" i="59"/>
  <c r="BV138" i="59"/>
  <c r="BW137" i="59"/>
  <c r="M137" i="64" s="1"/>
  <c r="BV137" i="59"/>
  <c r="L137" i="64" s="1"/>
  <c r="EY137" i="64" s="1"/>
  <c r="BW136" i="59"/>
  <c r="BV136" i="59"/>
  <c r="BW135" i="59"/>
  <c r="BV135" i="59"/>
  <c r="BW134" i="59"/>
  <c r="M134" i="64" s="1"/>
  <c r="BV134" i="59"/>
  <c r="L134" i="64" s="1"/>
  <c r="EY134" i="64" s="1"/>
  <c r="BW133" i="59"/>
  <c r="BV133" i="59"/>
  <c r="BW132" i="59"/>
  <c r="M132" i="64" s="1"/>
  <c r="BV132" i="59"/>
  <c r="L132" i="64" s="1"/>
  <c r="EY132" i="64" s="1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M124" i="64" s="1"/>
  <c r="BV124" i="59"/>
  <c r="L124" i="64" s="1"/>
  <c r="EY124" i="64" s="1"/>
  <c r="BW123" i="59"/>
  <c r="BV123" i="59"/>
  <c r="BW122" i="59"/>
  <c r="M122" i="64" s="1"/>
  <c r="BV122" i="59"/>
  <c r="L122" i="64" s="1"/>
  <c r="EY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M114" i="64" s="1"/>
  <c r="BV114" i="59"/>
  <c r="L114" i="64" s="1"/>
  <c r="BW113" i="59"/>
  <c r="BV113" i="59"/>
  <c r="BW112" i="59"/>
  <c r="M112" i="64" s="1"/>
  <c r="BV112" i="59"/>
  <c r="L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EY94" i="64" s="1"/>
  <c r="BW93" i="59"/>
  <c r="BV93" i="59"/>
  <c r="BW92" i="59"/>
  <c r="BV92" i="59"/>
  <c r="L92" i="64" s="1"/>
  <c r="EY92" i="64" s="1"/>
  <c r="BW91" i="59"/>
  <c r="BV91" i="59"/>
  <c r="BW90" i="59"/>
  <c r="BV90" i="59"/>
  <c r="BW89" i="59"/>
  <c r="M89" i="64" s="1"/>
  <c r="BV89" i="59"/>
  <c r="L89" i="64" s="1"/>
  <c r="EY89" i="64" s="1"/>
  <c r="BW88" i="59"/>
  <c r="BV88" i="59"/>
  <c r="BW87" i="59"/>
  <c r="M87" i="64" s="1"/>
  <c r="BV87" i="59"/>
  <c r="L87" i="64" s="1"/>
  <c r="EY87" i="64" s="1"/>
  <c r="BW86" i="59"/>
  <c r="BV86" i="59"/>
  <c r="BW85" i="59"/>
  <c r="BV85" i="59"/>
  <c r="BW84" i="59"/>
  <c r="BV84" i="59"/>
  <c r="BW83" i="59"/>
  <c r="BV83" i="59"/>
  <c r="BW82" i="59"/>
  <c r="BV82" i="59"/>
  <c r="BW81" i="59"/>
  <c r="BV81" i="59"/>
  <c r="BW80" i="59"/>
  <c r="BV80" i="59"/>
  <c r="BW79" i="59"/>
  <c r="M79" i="64" s="1"/>
  <c r="BV79" i="59"/>
  <c r="L79" i="64" s="1"/>
  <c r="EY79" i="64" s="1"/>
  <c r="BW78" i="59"/>
  <c r="BV78" i="59"/>
  <c r="BW77" i="59"/>
  <c r="M77" i="64" s="1"/>
  <c r="BV77" i="59"/>
  <c r="L77" i="64" s="1"/>
  <c r="EY77" i="64" s="1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M69" i="64" s="1"/>
  <c r="BV69" i="59"/>
  <c r="L69" i="64" s="1"/>
  <c r="EY69" i="64" s="1"/>
  <c r="BW68" i="59"/>
  <c r="BV68" i="59"/>
  <c r="BW67" i="59"/>
  <c r="M67" i="64" s="1"/>
  <c r="BV67" i="59"/>
  <c r="L67" i="64" s="1"/>
  <c r="EY67" i="64" s="1"/>
  <c r="BW66" i="59"/>
  <c r="BV66" i="59"/>
  <c r="BW65" i="59"/>
  <c r="BV65" i="59"/>
  <c r="BW64" i="59"/>
  <c r="BV64" i="59"/>
  <c r="BW63" i="59"/>
  <c r="BV63" i="59"/>
  <c r="BW62" i="59"/>
  <c r="BV62" i="59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EY57" i="64" s="1"/>
  <c r="BW56" i="59"/>
  <c r="BV56" i="59"/>
  <c r="BW55" i="59"/>
  <c r="BV55" i="59"/>
  <c r="L55" i="64" s="1"/>
  <c r="BW54" i="59"/>
  <c r="M54" i="64" s="1"/>
  <c r="BV54" i="59"/>
  <c r="L54" i="64" s="1"/>
  <c r="EY54" i="64" s="1"/>
  <c r="BW53" i="59"/>
  <c r="BV53" i="59"/>
  <c r="BW52" i="59"/>
  <c r="M52" i="64" s="1"/>
  <c r="BV52" i="59"/>
  <c r="L52" i="64" s="1"/>
  <c r="EY52" i="64" s="1"/>
  <c r="BW51" i="59"/>
  <c r="BV51" i="59"/>
  <c r="L51" i="64" s="1"/>
  <c r="BW50" i="59"/>
  <c r="BV50" i="59"/>
  <c r="BW49" i="59"/>
  <c r="M49" i="64" s="1"/>
  <c r="BV49" i="59"/>
  <c r="L49" i="64" s="1"/>
  <c r="EY49" i="64" s="1"/>
  <c r="BW48" i="59"/>
  <c r="BV48" i="59"/>
  <c r="BW47" i="59"/>
  <c r="M47" i="64" s="1"/>
  <c r="BV47" i="59"/>
  <c r="L47" i="64" s="1"/>
  <c r="EY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EY42" i="64" s="1"/>
  <c r="BW41" i="59"/>
  <c r="BV41" i="59"/>
  <c r="L41" i="64" s="1"/>
  <c r="BW40" i="59"/>
  <c r="BV40" i="59"/>
  <c r="L40" i="64" s="1"/>
  <c r="BW39" i="59"/>
  <c r="M39" i="64" s="1"/>
  <c r="BV39" i="59"/>
  <c r="L39" i="64" s="1"/>
  <c r="EY39" i="64" s="1"/>
  <c r="BW38" i="59"/>
  <c r="BV38" i="59"/>
  <c r="BW37" i="59"/>
  <c r="M37" i="64" s="1"/>
  <c r="BV37" i="59"/>
  <c r="L37" i="64" s="1"/>
  <c r="EY37" i="64" s="1"/>
  <c r="BW36" i="59"/>
  <c r="BV36" i="59"/>
  <c r="L36" i="64" s="1"/>
  <c r="BW35" i="59"/>
  <c r="BV35" i="59"/>
  <c r="BW34" i="59"/>
  <c r="BV34" i="59"/>
  <c r="L34" i="64" s="1"/>
  <c r="BW33" i="59"/>
  <c r="BV33" i="59"/>
  <c r="BW32" i="59"/>
  <c r="BV32" i="59"/>
  <c r="L32" i="64" s="1"/>
  <c r="EY32" i="64" s="1"/>
  <c r="BW31" i="59"/>
  <c r="BV31" i="59"/>
  <c r="BW30" i="59"/>
  <c r="BV30" i="59"/>
  <c r="BW29" i="59"/>
  <c r="M29" i="64" s="1"/>
  <c r="BV29" i="59"/>
  <c r="L29" i="64" s="1"/>
  <c r="EY29" i="64" s="1"/>
  <c r="BW28" i="59"/>
  <c r="BV28" i="59"/>
  <c r="BW27" i="59"/>
  <c r="M27" i="64" s="1"/>
  <c r="BV27" i="59"/>
  <c r="L27" i="64" s="1"/>
  <c r="EY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EY12" i="64" s="1"/>
  <c r="BW11" i="59"/>
  <c r="BV11" i="59"/>
  <c r="Q247" i="64"/>
  <c r="R247" i="64" s="1"/>
  <c r="S247" i="64" s="1"/>
  <c r="T247" i="64" s="1"/>
  <c r="U247" i="64" s="1"/>
  <c r="V247" i="64" s="1"/>
  <c r="W247" i="64" s="1"/>
  <c r="X247" i="64" s="1"/>
  <c r="Y247" i="64" s="1"/>
  <c r="Z247" i="64" s="1"/>
  <c r="AA247" i="64" s="1"/>
  <c r="AB247" i="64" s="1"/>
  <c r="AC247" i="64" s="1"/>
  <c r="AD247" i="64" s="1"/>
  <c r="AE247" i="64" s="1"/>
  <c r="AF247" i="64" s="1"/>
  <c r="AG247" i="64" s="1"/>
  <c r="AH247" i="64" s="1"/>
  <c r="AI247" i="64" s="1"/>
  <c r="AJ247" i="64" s="1"/>
  <c r="AK247" i="64" s="1"/>
  <c r="AL247" i="64" s="1"/>
  <c r="AM247" i="64" s="1"/>
  <c r="AN247" i="64" s="1"/>
  <c r="AO247" i="64" s="1"/>
  <c r="AP247" i="64" s="1"/>
  <c r="AQ247" i="64" s="1"/>
  <c r="AR247" i="64" s="1"/>
  <c r="AS247" i="64" s="1"/>
  <c r="AT247" i="64" s="1"/>
  <c r="AU247" i="64" s="1"/>
  <c r="AV247" i="64" s="1"/>
  <c r="AW247" i="64" s="1"/>
  <c r="AX247" i="64" s="1"/>
  <c r="AY247" i="64" s="1"/>
  <c r="AZ247" i="64" s="1"/>
  <c r="BA247" i="64" s="1"/>
  <c r="BB247" i="64" s="1"/>
  <c r="BC247" i="64" s="1"/>
  <c r="BD247" i="64" s="1"/>
  <c r="BE247" i="64" s="1"/>
  <c r="BF247" i="64" s="1"/>
  <c r="BG247" i="64" s="1"/>
  <c r="BH247" i="64" s="1"/>
  <c r="BI247" i="64" s="1"/>
  <c r="BJ247" i="64" s="1"/>
  <c r="BK247" i="64" s="1"/>
  <c r="BL247" i="64" s="1"/>
  <c r="BM247" i="64" s="1"/>
  <c r="BN247" i="64" s="1"/>
  <c r="BO247" i="64" s="1"/>
  <c r="BP247" i="64" s="1"/>
  <c r="BQ247" i="64" s="1"/>
  <c r="BR247" i="64" s="1"/>
  <c r="BS247" i="64" s="1"/>
  <c r="BT247" i="64" s="1"/>
  <c r="BU247" i="64" s="1"/>
  <c r="BV247" i="64" s="1"/>
  <c r="BW247" i="64" s="1"/>
  <c r="BX247" i="64" s="1"/>
  <c r="BY247" i="64" s="1"/>
  <c r="BZ247" i="64" s="1"/>
  <c r="CA247" i="64" s="1"/>
  <c r="CB247" i="64" s="1"/>
  <c r="CC247" i="64" s="1"/>
  <c r="CD247" i="64" s="1"/>
  <c r="CE247" i="64" s="1"/>
  <c r="CF247" i="64" s="1"/>
  <c r="CG247" i="64" s="1"/>
  <c r="CH247" i="64" s="1"/>
  <c r="CI247" i="64" s="1"/>
  <c r="CJ247" i="64" s="1"/>
  <c r="CK247" i="64" s="1"/>
  <c r="CL247" i="64" s="1"/>
  <c r="CM247" i="64" s="1"/>
  <c r="CN247" i="64" s="1"/>
  <c r="CO247" i="64" s="1"/>
  <c r="CP247" i="64" s="1"/>
  <c r="CQ247" i="64" s="1"/>
  <c r="CR247" i="64" s="1"/>
  <c r="CS247" i="64" s="1"/>
  <c r="CT247" i="64" s="1"/>
  <c r="CU247" i="64" s="1"/>
  <c r="CV247" i="64" s="1"/>
  <c r="CW247" i="64" s="1"/>
  <c r="CX247" i="64" s="1"/>
  <c r="CY247" i="64" s="1"/>
  <c r="CZ247" i="64" s="1"/>
  <c r="DA247" i="64" s="1"/>
  <c r="DB247" i="64" s="1"/>
  <c r="DC247" i="64" s="1"/>
  <c r="DD247" i="64" s="1"/>
  <c r="DE247" i="64" s="1"/>
  <c r="DF247" i="64" s="1"/>
  <c r="DG247" i="64" s="1"/>
  <c r="DH247" i="64" s="1"/>
  <c r="DI247" i="64" s="1"/>
  <c r="DJ247" i="64" s="1"/>
  <c r="DK247" i="64" s="1"/>
  <c r="DL247" i="64" s="1"/>
  <c r="DM247" i="64" s="1"/>
  <c r="DN247" i="64" s="1"/>
  <c r="DO247" i="64" s="1"/>
  <c r="DP247" i="64" s="1"/>
  <c r="DQ247" i="64" s="1"/>
  <c r="DR247" i="64" s="1"/>
  <c r="DS247" i="64" s="1"/>
  <c r="DT247" i="64" s="1"/>
  <c r="DU247" i="64" s="1"/>
  <c r="DV247" i="64" s="1"/>
  <c r="DW247" i="64" s="1"/>
  <c r="DX247" i="64" s="1"/>
  <c r="DY247" i="64" s="1"/>
  <c r="DZ247" i="64" s="1"/>
  <c r="EA247" i="64" s="1"/>
  <c r="EB247" i="64" s="1"/>
  <c r="EC247" i="64" s="1"/>
  <c r="ED247" i="64" s="1"/>
  <c r="EE247" i="64" s="1"/>
  <c r="EF247" i="64" s="1"/>
  <c r="EG247" i="64" s="1"/>
  <c r="EH247" i="64" s="1"/>
  <c r="EI247" i="64" s="1"/>
  <c r="EJ247" i="64" s="1"/>
  <c r="EK247" i="64" s="1"/>
  <c r="EL247" i="64" s="1"/>
  <c r="EM247" i="64" s="1"/>
  <c r="EN247" i="64" s="1"/>
  <c r="EO247" i="64" s="1"/>
  <c r="EP247" i="64" s="1"/>
  <c r="EQ247" i="64" s="1"/>
  <c r="M245" i="64"/>
  <c r="L245" i="64"/>
  <c r="M244" i="64"/>
  <c r="M243" i="64"/>
  <c r="L243" i="64"/>
  <c r="M242" i="64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FD241" i="64" s="1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FC241" i="64"/>
  <c r="EX241" i="64"/>
  <c r="EW241" i="64"/>
  <c r="EU241" i="64"/>
  <c r="ET241" i="64"/>
  <c r="ES241" i="64"/>
  <c r="ER241" i="64"/>
  <c r="EQ241" i="64"/>
  <c r="EP241" i="64"/>
  <c r="M240" i="64"/>
  <c r="L240" i="64"/>
  <c r="M239" i="64"/>
  <c r="L239" i="64"/>
  <c r="EY239" i="64" s="1"/>
  <c r="M238" i="64"/>
  <c r="L238" i="64"/>
  <c r="M237" i="64"/>
  <c r="L237" i="64"/>
  <c r="EY237" i="64" s="1"/>
  <c r="M236" i="64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V240" i="64" s="1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/>
  <c r="FC238" i="64"/>
  <c r="FA238" i="64"/>
  <c r="EZ238" i="64"/>
  <c r="EY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FD236" i="64"/>
  <c r="FC236" i="64"/>
  <c r="EY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M232" i="64"/>
  <c r="M231" i="64"/>
  <c r="L231" i="64"/>
  <c r="EY231" i="64" s="1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EU235" i="64"/>
  <c r="ET235" i="64"/>
  <c r="ES235" i="64"/>
  <c r="ER235" i="64"/>
  <c r="EQ235" i="64"/>
  <c r="EV235" i="64" s="1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F231" i="64"/>
  <c r="FD231" i="64"/>
  <c r="FC231" i="64"/>
  <c r="EX231" i="64"/>
  <c r="EW231" i="64"/>
  <c r="EU231" i="64"/>
  <c r="ET231" i="64"/>
  <c r="ES231" i="64"/>
  <c r="ER231" i="64"/>
  <c r="EQ231" i="64"/>
  <c r="EP231" i="64"/>
  <c r="M230" i="64"/>
  <c r="L230" i="64"/>
  <c r="M228" i="64"/>
  <c r="L228" i="64"/>
  <c r="EY228" i="64" s="1"/>
  <c r="M226" i="64"/>
  <c r="L226" i="64"/>
  <c r="EY226" i="64" s="1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V230" i="64" s="1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A226" i="64" s="1"/>
  <c r="FF226" i="64"/>
  <c r="FD226" i="64"/>
  <c r="FC226" i="64"/>
  <c r="EX226" i="64"/>
  <c r="EW226" i="64"/>
  <c r="EU226" i="64"/>
  <c r="ET226" i="64"/>
  <c r="ES226" i="64"/>
  <c r="ER226" i="64"/>
  <c r="EQ226" i="64"/>
  <c r="EP226" i="64"/>
  <c r="EV226" i="64" s="1"/>
  <c r="M225" i="64"/>
  <c r="L225" i="64"/>
  <c r="M224" i="64"/>
  <c r="L224" i="64"/>
  <c r="EY224" i="64" s="1"/>
  <c r="M223" i="64"/>
  <c r="L223" i="64"/>
  <c r="M222" i="64"/>
  <c r="L222" i="64"/>
  <c r="EY222" i="64" s="1"/>
  <c r="M221" i="64"/>
  <c r="EY221" i="64" s="1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A221" i="64" s="1"/>
  <c r="FF221" i="64"/>
  <c r="FD221" i="64"/>
  <c r="FC221" i="64"/>
  <c r="EX221" i="64"/>
  <c r="EW221" i="64"/>
  <c r="EU221" i="64"/>
  <c r="ET221" i="64"/>
  <c r="ES221" i="64"/>
  <c r="ER221" i="64"/>
  <c r="EQ221" i="64"/>
  <c r="EP221" i="64"/>
  <c r="M220" i="64"/>
  <c r="L220" i="64"/>
  <c r="M218" i="64"/>
  <c r="L218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EU220" i="64"/>
  <c r="ET220" i="64"/>
  <c r="ES220" i="64"/>
  <c r="ER220" i="64"/>
  <c r="EQ220" i="64"/>
  <c r="EV220" i="64" s="1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FD216" i="64" s="1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EX216" i="64" s="1"/>
  <c r="FC216" i="64"/>
  <c r="EW216" i="64"/>
  <c r="EU216" i="64"/>
  <c r="ET216" i="64"/>
  <c r="ES216" i="64"/>
  <c r="ER216" i="64"/>
  <c r="EQ216" i="64"/>
  <c r="EP216" i="64"/>
  <c r="M215" i="64"/>
  <c r="L215" i="64"/>
  <c r="M214" i="64"/>
  <c r="L214" i="64"/>
  <c r="EY214" i="64" s="1"/>
  <c r="M213" i="64"/>
  <c r="L213" i="64"/>
  <c r="M212" i="64"/>
  <c r="L212" i="64"/>
  <c r="EY212" i="64" s="1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Y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F211" i="64"/>
  <c r="FD211" i="64"/>
  <c r="FC211" i="64"/>
  <c r="EY211" i="64"/>
  <c r="EX211" i="64"/>
  <c r="EW211" i="64"/>
  <c r="EU211" i="64"/>
  <c r="ET211" i="64"/>
  <c r="ES211" i="64"/>
  <c r="ER211" i="64"/>
  <c r="EQ211" i="64"/>
  <c r="EP211" i="64"/>
  <c r="M210" i="64"/>
  <c r="L210" i="64"/>
  <c r="M208" i="64"/>
  <c r="L208" i="64"/>
  <c r="EY208" i="64" s="1"/>
  <c r="M206" i="64"/>
  <c r="L206" i="64"/>
  <c r="EY206" i="64" s="1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FD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EY204" i="64" s="1"/>
  <c r="M203" i="64"/>
  <c r="L203" i="64"/>
  <c r="M202" i="64"/>
  <c r="L202" i="64"/>
  <c r="EY202" i="64" s="1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V205" i="64" s="1"/>
  <c r="EP205" i="64"/>
  <c r="IA204" i="64"/>
  <c r="HZ204" i="64"/>
  <c r="HY204" i="64"/>
  <c r="GL204" i="64"/>
  <c r="FD204" i="64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Y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FD201" i="64" s="1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FC201" i="64"/>
  <c r="EY201" i="64"/>
  <c r="EX201" i="64"/>
  <c r="EW201" i="64"/>
  <c r="EU201" i="64"/>
  <c r="ET201" i="64"/>
  <c r="ES201" i="64"/>
  <c r="ER201" i="64"/>
  <c r="EQ201" i="64"/>
  <c r="EP201" i="64"/>
  <c r="EV201" i="64" s="1"/>
  <c r="M200" i="64"/>
  <c r="L200" i="64"/>
  <c r="M198" i="64"/>
  <c r="L198" i="64"/>
  <c r="EY198" i="64" s="1"/>
  <c r="M196" i="64"/>
  <c r="L196" i="64"/>
  <c r="EY196" i="64" s="1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F196" i="64"/>
  <c r="FD196" i="64"/>
  <c r="FC196" i="64"/>
  <c r="EX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EY194" i="64" s="1"/>
  <c r="M193" i="64"/>
  <c r="L193" i="64"/>
  <c r="M192" i="64"/>
  <c r="M191" i="64"/>
  <c r="EY191" i="64" s="1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 s="1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FD191" i="64"/>
  <c r="FC191" i="64"/>
  <c r="EX191" i="64"/>
  <c r="EW191" i="64"/>
  <c r="EU191" i="64"/>
  <c r="ET191" i="64"/>
  <c r="ES191" i="64"/>
  <c r="ER191" i="64"/>
  <c r="EQ191" i="64"/>
  <c r="EP191" i="64"/>
  <c r="M190" i="64"/>
  <c r="L190" i="64"/>
  <c r="M188" i="64"/>
  <c r="L188" i="64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 s="1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F186" i="64"/>
  <c r="FD186" i="64"/>
  <c r="FC186" i="64"/>
  <c r="EX186" i="64"/>
  <c r="EW186" i="64"/>
  <c r="EU186" i="64"/>
  <c r="ET186" i="64"/>
  <c r="ES186" i="64"/>
  <c r="ER186" i="64"/>
  <c r="EQ186" i="64"/>
  <c r="EP186" i="64"/>
  <c r="M185" i="64"/>
  <c r="L185" i="64"/>
  <c r="M184" i="64"/>
  <c r="L184" i="64"/>
  <c r="EY184" i="64" s="1"/>
  <c r="M183" i="64"/>
  <c r="L183" i="64"/>
  <c r="M182" i="64"/>
  <c r="L182" i="64"/>
  <c r="EY182" i="64" s="1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Y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FD181" i="64"/>
  <c r="FC181" i="64"/>
  <c r="EY181" i="64"/>
  <c r="EX181" i="64"/>
  <c r="EW181" i="64"/>
  <c r="EU181" i="64"/>
  <c r="ET181" i="64"/>
  <c r="ES181" i="64"/>
  <c r="ER181" i="64"/>
  <c r="EQ181" i="64"/>
  <c r="EP181" i="64"/>
  <c r="M180" i="64"/>
  <c r="L180" i="64"/>
  <c r="M178" i="64"/>
  <c r="L178" i="64"/>
  <c r="EY178" i="64" s="1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L174" i="64"/>
  <c r="EY174" i="64" s="1"/>
  <c r="M173" i="64"/>
  <c r="L173" i="64"/>
  <c r="M172" i="64"/>
  <c r="L172" i="64"/>
  <c r="EY172" i="64" s="1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F171" i="64"/>
  <c r="FD171" i="64"/>
  <c r="FC171" i="64"/>
  <c r="EY171" i="64"/>
  <c r="EX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EY168" i="64" s="1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EY164" i="64" s="1"/>
  <c r="M163" i="64"/>
  <c r="L163" i="64"/>
  <c r="M162" i="64"/>
  <c r="L162" i="64"/>
  <c r="EY162" i="64" s="1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F161" i="64"/>
  <c r="FD161" i="64"/>
  <c r="FC161" i="64"/>
  <c r="EY161" i="64"/>
  <c r="EX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EY158" i="64" s="1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L154" i="64"/>
  <c r="EY154" i="64" s="1"/>
  <c r="M153" i="64"/>
  <c r="L153" i="64"/>
  <c r="M152" i="64"/>
  <c r="L152" i="64"/>
  <c r="EY152" i="64" s="1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A151" i="64" s="1"/>
  <c r="FF151" i="64"/>
  <c r="FD151" i="64"/>
  <c r="FC151" i="64"/>
  <c r="EY151" i="64"/>
  <c r="EX151" i="64"/>
  <c r="EW151" i="64"/>
  <c r="EU151" i="64"/>
  <c r="ET151" i="64"/>
  <c r="ES151" i="64"/>
  <c r="ER151" i="64"/>
  <c r="EQ151" i="64"/>
  <c r="EP151" i="64"/>
  <c r="M150" i="64"/>
  <c r="L150" i="64"/>
  <c r="M148" i="64"/>
  <c r="L148" i="64"/>
  <c r="EY148" i="64" s="1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A146" i="64" s="1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L144" i="64"/>
  <c r="EY144" i="64" s="1"/>
  <c r="M143" i="64"/>
  <c r="L143" i="64"/>
  <c r="M142" i="64"/>
  <c r="L142" i="64"/>
  <c r="EY142" i="64" s="1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Y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Y141" i="64"/>
  <c r="EX141" i="64"/>
  <c r="EW141" i="64"/>
  <c r="EU141" i="64"/>
  <c r="ET141" i="64"/>
  <c r="ES141" i="64"/>
  <c r="ER141" i="64"/>
  <c r="EQ141" i="64"/>
  <c r="EP141" i="64"/>
  <c r="M140" i="64"/>
  <c r="L140" i="64"/>
  <c r="M138" i="64"/>
  <c r="L138" i="64"/>
  <c r="EY138" i="64" s="1"/>
  <c r="M136" i="64"/>
  <c r="L136" i="64"/>
  <c r="EY136" i="64" s="1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V140" i="64" s="1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A136" i="64" s="1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3" i="64"/>
  <c r="L133" i="64"/>
  <c r="EY133" i="64" s="1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A131" i="64" s="1"/>
  <c r="FF131" i="64"/>
  <c r="FD131" i="64"/>
  <c r="FC131" i="64"/>
  <c r="EX131" i="64"/>
  <c r="EW131" i="64"/>
  <c r="EU131" i="64"/>
  <c r="ET131" i="64"/>
  <c r="ES131" i="64"/>
  <c r="ER131" i="64"/>
  <c r="EQ131" i="64"/>
  <c r="EP131" i="64"/>
  <c r="M130" i="64"/>
  <c r="L130" i="64"/>
  <c r="M129" i="64"/>
  <c r="L129" i="64"/>
  <c r="EY129" i="64" s="1"/>
  <c r="M128" i="64"/>
  <c r="L128" i="64"/>
  <c r="M127" i="64"/>
  <c r="L127" i="64"/>
  <c r="EY127" i="64" s="1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V130" i="64" s="1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/>
  <c r="FC128" i="64"/>
  <c r="FA128" i="64"/>
  <c r="EZ128" i="64"/>
  <c r="EY128" i="64"/>
  <c r="EX128" i="64"/>
  <c r="EU128" i="64"/>
  <c r="ET128" i="64"/>
  <c r="ES128" i="64"/>
  <c r="EV128" i="64" s="1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F126" i="64"/>
  <c r="FD126" i="64"/>
  <c r="FC126" i="64"/>
  <c r="EY126" i="64"/>
  <c r="EX126" i="64"/>
  <c r="EW126" i="64"/>
  <c r="EU126" i="64"/>
  <c r="ET126" i="64"/>
  <c r="ES126" i="64"/>
  <c r="ER126" i="64"/>
  <c r="EQ126" i="64"/>
  <c r="EP126" i="64"/>
  <c r="M125" i="64"/>
  <c r="L125" i="64"/>
  <c r="M123" i="64"/>
  <c r="L123" i="64"/>
  <c r="M121" i="64"/>
  <c r="EY121" i="64" s="1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M117" i="64"/>
  <c r="M116" i="64"/>
  <c r="EY116" i="64" s="1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Y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3" i="64"/>
  <c r="L113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EY106" i="64" s="1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Y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A106" i="64" s="1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FD101" i="64"/>
  <c r="FC101" i="64"/>
  <c r="EX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EY98" i="64" s="1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Y91" i="64"/>
  <c r="EX91" i="64"/>
  <c r="EW91" i="64"/>
  <c r="EU91" i="64"/>
  <c r="ET91" i="64"/>
  <c r="ES91" i="64"/>
  <c r="ER91" i="64"/>
  <c r="EQ91" i="64"/>
  <c r="EP91" i="64"/>
  <c r="M90" i="64"/>
  <c r="L90" i="64"/>
  <c r="M88" i="64"/>
  <c r="L88" i="64"/>
  <c r="EY88" i="64" s="1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L84" i="64"/>
  <c r="EY84" i="64" s="1"/>
  <c r="M83" i="64"/>
  <c r="L83" i="64"/>
  <c r="M82" i="64"/>
  <c r="L82" i="64"/>
  <c r="EY82" i="64" s="1"/>
  <c r="M81" i="64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Y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A81" i="64" s="1"/>
  <c r="FF81" i="64"/>
  <c r="FD81" i="64"/>
  <c r="FC81" i="64"/>
  <c r="EY81" i="64"/>
  <c r="EX81" i="64"/>
  <c r="EW81" i="64"/>
  <c r="EU81" i="64"/>
  <c r="ET81" i="64"/>
  <c r="ES81" i="64"/>
  <c r="ER81" i="64"/>
  <c r="EQ81" i="64"/>
  <c r="EP81" i="64"/>
  <c r="M80" i="64"/>
  <c r="L80" i="64"/>
  <c r="M78" i="64"/>
  <c r="L78" i="64"/>
  <c r="EY78" i="64" s="1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L74" i="64"/>
  <c r="EY74" i="64" s="1"/>
  <c r="M73" i="64"/>
  <c r="L73" i="64"/>
  <c r="M72" i="64"/>
  <c r="L72" i="64"/>
  <c r="EY72" i="64" s="1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A71" i="64" s="1"/>
  <c r="FF71" i="64"/>
  <c r="FD71" i="64"/>
  <c r="FC71" i="64"/>
  <c r="EY71" i="64"/>
  <c r="EX71" i="64"/>
  <c r="EW71" i="64"/>
  <c r="EU71" i="64"/>
  <c r="ET71" i="64"/>
  <c r="ES71" i="64"/>
  <c r="ER71" i="64"/>
  <c r="EQ71" i="64"/>
  <c r="EP71" i="64"/>
  <c r="M70" i="64"/>
  <c r="L70" i="64"/>
  <c r="M68" i="64"/>
  <c r="L68" i="64"/>
  <c r="EY68" i="64" s="1"/>
  <c r="M66" i="64"/>
  <c r="L66" i="64"/>
  <c r="EY66" i="64" s="1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L64" i="64"/>
  <c r="M63" i="64"/>
  <c r="L63" i="64"/>
  <c r="M62" i="64"/>
  <c r="L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A61" i="64" s="1"/>
  <c r="FF61" i="64"/>
  <c r="FD61" i="64"/>
  <c r="FC61" i="64"/>
  <c r="EY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EY58" i="64" s="1"/>
  <c r="L58" i="64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M53" i="64"/>
  <c r="L53" i="64"/>
  <c r="M51" i="64"/>
  <c r="IA55" i="64"/>
  <c r="HZ55" i="64"/>
  <c r="HY55" i="64"/>
  <c r="GL55" i="64"/>
  <c r="FD55" i="64" s="1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V54" i="64" s="1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A51" i="64" s="1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8" i="64"/>
  <c r="L48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M38" i="64"/>
  <c r="L38" i="64"/>
  <c r="M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Y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EX31" i="64" s="1"/>
  <c r="FC31" i="64"/>
  <c r="EW31" i="64"/>
  <c r="EU31" i="64"/>
  <c r="ET31" i="64"/>
  <c r="ES31" i="64"/>
  <c r="ER31" i="64"/>
  <c r="EQ31" i="64"/>
  <c r="EP31" i="64"/>
  <c r="M30" i="64"/>
  <c r="L30" i="64"/>
  <c r="M28" i="64"/>
  <c r="L28" i="64"/>
  <c r="EY28" i="64" s="1"/>
  <c r="M26" i="64"/>
  <c r="L26" i="64"/>
  <c r="EY26" i="64" s="1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FD21" i="64" s="1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EX21" i="64" s="1"/>
  <c r="FC21" i="64"/>
  <c r="EY21" i="64"/>
  <c r="EW21" i="64"/>
  <c r="EU21" i="64"/>
  <c r="ET21" i="64"/>
  <c r="ES21" i="64"/>
  <c r="ER21" i="64"/>
  <c r="EQ21" i="64"/>
  <c r="EP21" i="64"/>
  <c r="M20" i="64"/>
  <c r="L20" i="64"/>
  <c r="M19" i="64"/>
  <c r="L19" i="64"/>
  <c r="EY19" i="64" s="1"/>
  <c r="M18" i="64"/>
  <c r="L18" i="64"/>
  <c r="M17" i="64"/>
  <c r="L17" i="64"/>
  <c r="EY17" i="64" s="1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V20" i="64" s="1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/>
  <c r="FC18" i="64"/>
  <c r="FA18" i="64"/>
  <c r="EZ18" i="64"/>
  <c r="EY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EX16" i="64" s="1"/>
  <c r="FC16" i="64"/>
  <c r="EY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EY11" i="64" s="1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FB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V12" i="64" s="1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A11" i="64" s="1"/>
  <c r="FG11" i="64"/>
  <c r="FF11" i="64"/>
  <c r="EX11" i="64" s="1"/>
  <c r="FD11" i="64"/>
  <c r="FC11" i="64"/>
  <c r="EW11" i="64"/>
  <c r="EU11" i="64"/>
  <c r="ET11" i="64"/>
  <c r="ES11" i="64"/>
  <c r="ER11" i="64"/>
  <c r="EQ11" i="64"/>
  <c r="EV11" i="64" s="1"/>
  <c r="EP11" i="64"/>
  <c r="EY243" i="64" l="1"/>
  <c r="EY241" i="64"/>
  <c r="EY233" i="64"/>
  <c r="EY234" i="64"/>
  <c r="EY223" i="64"/>
  <c r="EY217" i="64"/>
  <c r="EY218" i="64"/>
  <c r="EY188" i="64"/>
  <c r="EY167" i="64"/>
  <c r="EY169" i="64"/>
  <c r="EY166" i="64"/>
  <c r="EY157" i="64"/>
  <c r="EY156" i="64"/>
  <c r="EY123" i="64"/>
  <c r="EY119" i="64"/>
  <c r="EY112" i="64"/>
  <c r="EY114" i="64"/>
  <c r="EY113" i="64"/>
  <c r="EY111" i="64"/>
  <c r="EY109" i="64"/>
  <c r="EY103" i="64"/>
  <c r="EY101" i="64"/>
  <c r="EY96" i="64"/>
  <c r="EY99" i="64"/>
  <c r="EY93" i="64"/>
  <c r="EY62" i="64"/>
  <c r="EY64" i="64"/>
  <c r="EY59" i="64"/>
  <c r="EY56" i="64"/>
  <c r="EY51" i="64"/>
  <c r="EY53" i="64"/>
  <c r="EY48" i="64"/>
  <c r="EY44" i="64"/>
  <c r="EY41" i="64"/>
  <c r="EY36" i="64"/>
  <c r="EY38" i="64"/>
  <c r="EY34" i="64"/>
  <c r="EY31" i="64"/>
  <c r="EY14" i="64"/>
  <c r="EV241" i="64"/>
  <c r="EV243" i="64"/>
  <c r="EV242" i="64"/>
  <c r="FB245" i="64"/>
  <c r="FA241" i="64"/>
  <c r="EV244" i="64"/>
  <c r="EV245" i="64"/>
  <c r="EZ241" i="64"/>
  <c r="FE241" i="64" s="1"/>
  <c r="IB241" i="64" s="1"/>
  <c r="EV238" i="64"/>
  <c r="EV237" i="64"/>
  <c r="EV236" i="64"/>
  <c r="FA236" i="64"/>
  <c r="EV239" i="64"/>
  <c r="FB240" i="64"/>
  <c r="EZ236" i="64"/>
  <c r="EV232" i="64"/>
  <c r="EV233" i="64"/>
  <c r="EV231" i="64"/>
  <c r="FA231" i="64"/>
  <c r="EV234" i="64"/>
  <c r="FB235" i="64"/>
  <c r="EZ231" i="64"/>
  <c r="EV228" i="64"/>
  <c r="EV227" i="64"/>
  <c r="EV229" i="64"/>
  <c r="FB230" i="64"/>
  <c r="EZ226" i="64"/>
  <c r="EV223" i="64"/>
  <c r="FB225" i="64"/>
  <c r="EV221" i="64"/>
  <c r="EV222" i="64"/>
  <c r="EV224" i="64"/>
  <c r="EV225" i="64"/>
  <c r="EZ221" i="64"/>
  <c r="FE221" i="64" s="1"/>
  <c r="IB221" i="64" s="1"/>
  <c r="FA216" i="64"/>
  <c r="EV217" i="64"/>
  <c r="EV216" i="64"/>
  <c r="EV218" i="64"/>
  <c r="EV219" i="64"/>
  <c r="FB220" i="64"/>
  <c r="EZ216" i="64"/>
  <c r="FE216" i="64" s="1"/>
  <c r="IB216" i="64" s="1"/>
  <c r="EV213" i="64"/>
  <c r="EV212" i="64"/>
  <c r="FB215" i="64"/>
  <c r="EV211" i="64"/>
  <c r="FA211" i="64"/>
  <c r="EV214" i="64"/>
  <c r="EV215" i="64"/>
  <c r="EZ211" i="64"/>
  <c r="FE211" i="64" s="1"/>
  <c r="IB211" i="64" s="1"/>
  <c r="EV208" i="64"/>
  <c r="EV207" i="64"/>
  <c r="FB210" i="64"/>
  <c r="EV206" i="64"/>
  <c r="FA206" i="64"/>
  <c r="EV209" i="64"/>
  <c r="EV210" i="64"/>
  <c r="EZ206" i="64"/>
  <c r="FE206" i="64" s="1"/>
  <c r="IB206" i="64" s="1"/>
  <c r="EV203" i="64"/>
  <c r="EV202" i="64"/>
  <c r="EV204" i="64"/>
  <c r="FB205" i="64"/>
  <c r="FA201" i="64"/>
  <c r="EZ201" i="64"/>
  <c r="EV198" i="64"/>
  <c r="EV197" i="64"/>
  <c r="FB200" i="64"/>
  <c r="EV196" i="64"/>
  <c r="FA196" i="64"/>
  <c r="EV199" i="64"/>
  <c r="EV200" i="64"/>
  <c r="EZ196" i="64"/>
  <c r="FE196" i="64" s="1"/>
  <c r="IB196" i="64" s="1"/>
  <c r="EV193" i="64"/>
  <c r="EV192" i="64"/>
  <c r="FB195" i="64"/>
  <c r="EV191" i="64"/>
  <c r="FA191" i="64"/>
  <c r="EV194" i="64"/>
  <c r="EV195" i="64"/>
  <c r="EZ191" i="64"/>
  <c r="FE191" i="64" s="1"/>
  <c r="IB191" i="64" s="1"/>
  <c r="EV188" i="64"/>
  <c r="EV187" i="64"/>
  <c r="FB190" i="64"/>
  <c r="EV186" i="64"/>
  <c r="FA186" i="64"/>
  <c r="EV189" i="64"/>
  <c r="EV190" i="64"/>
  <c r="EZ186" i="64"/>
  <c r="FE186" i="64" s="1"/>
  <c r="IB186" i="64" s="1"/>
  <c r="EV183" i="64"/>
  <c r="EV182" i="64"/>
  <c r="FB185" i="64"/>
  <c r="EV181" i="64"/>
  <c r="FA181" i="64"/>
  <c r="EV184" i="64"/>
  <c r="EV185" i="64"/>
  <c r="EZ181" i="64"/>
  <c r="FE181" i="64" s="1"/>
  <c r="IB181" i="64" s="1"/>
  <c r="EV178" i="64"/>
  <c r="EV177" i="64"/>
  <c r="FB180" i="64"/>
  <c r="EV176" i="64"/>
  <c r="FA176" i="64"/>
  <c r="EV179" i="64"/>
  <c r="EV180" i="64"/>
  <c r="EZ176" i="64"/>
  <c r="FE176" i="64" s="1"/>
  <c r="IB176" i="64" s="1"/>
  <c r="EV173" i="64"/>
  <c r="EV172" i="64"/>
  <c r="FB175" i="64"/>
  <c r="EV171" i="64"/>
  <c r="FA171" i="64"/>
  <c r="EV174" i="64"/>
  <c r="EV175" i="64"/>
  <c r="EZ171" i="64"/>
  <c r="FE171" i="64" s="1"/>
  <c r="IB171" i="64" s="1"/>
  <c r="EV168" i="64"/>
  <c r="EV167" i="64"/>
  <c r="FB170" i="64"/>
  <c r="EV166" i="64"/>
  <c r="FA166" i="64"/>
  <c r="EV169" i="64"/>
  <c r="EV170" i="64"/>
  <c r="EZ166" i="64"/>
  <c r="EV163" i="64"/>
  <c r="EV162" i="64"/>
  <c r="FB165" i="64"/>
  <c r="EV161" i="64"/>
  <c r="FA161" i="64"/>
  <c r="EV164" i="64"/>
  <c r="EV165" i="64"/>
  <c r="EZ161" i="64"/>
  <c r="FE161" i="64" s="1"/>
  <c r="IB161" i="64" s="1"/>
  <c r="EV158" i="64"/>
  <c r="EV157" i="64"/>
  <c r="FB160" i="64"/>
  <c r="EV156" i="64"/>
  <c r="FA156" i="64"/>
  <c r="EV159" i="64"/>
  <c r="EV160" i="64"/>
  <c r="EZ156" i="64"/>
  <c r="EV153" i="64"/>
  <c r="EV151" i="64"/>
  <c r="FB155" i="64"/>
  <c r="EV152" i="64"/>
  <c r="EV154" i="64"/>
  <c r="EV155" i="64"/>
  <c r="EZ151" i="64"/>
  <c r="FE151" i="64" s="1"/>
  <c r="IB151" i="64" s="1"/>
  <c r="EV146" i="64"/>
  <c r="EV148" i="64"/>
  <c r="FB150" i="64"/>
  <c r="EV147" i="64"/>
  <c r="EV149" i="64"/>
  <c r="EV150" i="64"/>
  <c r="EZ146" i="64"/>
  <c r="FE146" i="64" s="1"/>
  <c r="IB146" i="64" s="1"/>
  <c r="EV143" i="64"/>
  <c r="EV142" i="64"/>
  <c r="FB145" i="64"/>
  <c r="EV141" i="64"/>
  <c r="FA141" i="64"/>
  <c r="EV144" i="64"/>
  <c r="EV145" i="64"/>
  <c r="EZ141" i="64"/>
  <c r="FE141" i="64" s="1"/>
  <c r="IB141" i="64" s="1"/>
  <c r="EV136" i="64"/>
  <c r="EV138" i="64"/>
  <c r="EV137" i="64"/>
  <c r="EV139" i="64"/>
  <c r="FB140" i="64"/>
  <c r="EZ136" i="64"/>
  <c r="FE136" i="64" s="1"/>
  <c r="IB136" i="64" s="1"/>
  <c r="EV133" i="64"/>
  <c r="EV131" i="64"/>
  <c r="FB135" i="64"/>
  <c r="EV132" i="64"/>
  <c r="EV134" i="64"/>
  <c r="EV135" i="64"/>
  <c r="EZ131" i="64"/>
  <c r="FE131" i="64" s="1"/>
  <c r="IB131" i="64" s="1"/>
  <c r="EV127" i="64"/>
  <c r="EV126" i="64"/>
  <c r="FA126" i="64"/>
  <c r="EV129" i="64"/>
  <c r="FB130" i="64"/>
  <c r="EZ126" i="64"/>
  <c r="EV123" i="64"/>
  <c r="EV122" i="64"/>
  <c r="FB125" i="64"/>
  <c r="EV121" i="64"/>
  <c r="FA121" i="64"/>
  <c r="EV124" i="64"/>
  <c r="EV125" i="64"/>
  <c r="EZ121" i="64"/>
  <c r="FE121" i="64" s="1"/>
  <c r="IB121" i="64" s="1"/>
  <c r="EV118" i="64"/>
  <c r="EV117" i="64"/>
  <c r="FB120" i="64"/>
  <c r="EV116" i="64"/>
  <c r="FA116" i="64"/>
  <c r="EV119" i="64"/>
  <c r="EV120" i="64"/>
  <c r="EZ116" i="64"/>
  <c r="FE116" i="64" s="1"/>
  <c r="IB116" i="64" s="1"/>
  <c r="EV113" i="64"/>
  <c r="EV112" i="64"/>
  <c r="FB115" i="64"/>
  <c r="EV111" i="64"/>
  <c r="FA111" i="64"/>
  <c r="EV114" i="64"/>
  <c r="EV115" i="64"/>
  <c r="EZ111" i="64"/>
  <c r="FE111" i="64" s="1"/>
  <c r="IB111" i="64" s="1"/>
  <c r="EV106" i="64"/>
  <c r="EV108" i="64"/>
  <c r="FB110" i="64"/>
  <c r="EV107" i="64"/>
  <c r="EV109" i="64"/>
  <c r="EV110" i="64"/>
  <c r="EZ106" i="64"/>
  <c r="FE106" i="64" s="1"/>
  <c r="IB106" i="64" s="1"/>
  <c r="EV103" i="64"/>
  <c r="EV102" i="64"/>
  <c r="FB105" i="64"/>
  <c r="EV101" i="64"/>
  <c r="FA101" i="64"/>
  <c r="EV104" i="64"/>
  <c r="EV105" i="64"/>
  <c r="EZ101" i="64"/>
  <c r="FE101" i="64" s="1"/>
  <c r="IB101" i="64" s="1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FB85" i="64"/>
  <c r="EV81" i="64"/>
  <c r="EV82" i="64"/>
  <c r="EV84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FB75" i="64"/>
  <c r="EV71" i="64"/>
  <c r="EV72" i="64"/>
  <c r="EV74" i="64"/>
  <c r="EV75" i="64"/>
  <c r="EZ71" i="64"/>
  <c r="FE71" i="64" s="1"/>
  <c r="IB71" i="64" s="1"/>
  <c r="EV68" i="64"/>
  <c r="EV67" i="64"/>
  <c r="FB70" i="64"/>
  <c r="EV66" i="64"/>
  <c r="FA66" i="64"/>
  <c r="EV69" i="64"/>
  <c r="EV70" i="64"/>
  <c r="EZ66" i="64"/>
  <c r="FE66" i="64" s="1"/>
  <c r="IB66" i="64" s="1"/>
  <c r="EV61" i="64"/>
  <c r="EV63" i="64"/>
  <c r="FB65" i="64"/>
  <c r="EV62" i="64"/>
  <c r="EV64" i="64"/>
  <c r="EV65" i="64"/>
  <c r="EZ61" i="64"/>
  <c r="EV58" i="64"/>
  <c r="EV57" i="64"/>
  <c r="FB60" i="64"/>
  <c r="EV56" i="64"/>
  <c r="FA56" i="64"/>
  <c r="EV59" i="64"/>
  <c r="EV60" i="64"/>
  <c r="EZ56" i="64"/>
  <c r="FE56" i="64" s="1"/>
  <c r="IB56" i="64" s="1"/>
  <c r="EV51" i="64"/>
  <c r="EV55" i="64"/>
  <c r="EV53" i="64"/>
  <c r="EV52" i="64"/>
  <c r="FB55" i="64"/>
  <c r="EZ51" i="64"/>
  <c r="FE51" i="64" s="1"/>
  <c r="IB51" i="64" s="1"/>
  <c r="EV46" i="64"/>
  <c r="EV48" i="64"/>
  <c r="FB50" i="64"/>
  <c r="EV47" i="64"/>
  <c r="EV49" i="64"/>
  <c r="EV50" i="64"/>
  <c r="EZ46" i="64"/>
  <c r="FE46" i="64" s="1"/>
  <c r="IB46" i="64" s="1"/>
  <c r="EV43" i="64"/>
  <c r="EV42" i="64"/>
  <c r="FB45" i="64"/>
  <c r="EV41" i="64"/>
  <c r="FA41" i="64"/>
  <c r="EV44" i="64"/>
  <c r="EV45" i="64"/>
  <c r="EZ41" i="64"/>
  <c r="FE41" i="64" s="1"/>
  <c r="IB41" i="64" s="1"/>
  <c r="EV38" i="64"/>
  <c r="EV37" i="64"/>
  <c r="FB40" i="64"/>
  <c r="EV36" i="64"/>
  <c r="FA36" i="64"/>
  <c r="EV39" i="64"/>
  <c r="EV40" i="64"/>
  <c r="EZ36" i="64"/>
  <c r="FE36" i="64" s="1"/>
  <c r="IB36" i="64" s="1"/>
  <c r="EV33" i="64"/>
  <c r="EV32" i="64"/>
  <c r="FB35" i="64"/>
  <c r="EV31" i="64"/>
  <c r="FA31" i="64"/>
  <c r="EV34" i="64"/>
  <c r="EV35" i="64"/>
  <c r="EZ31" i="64"/>
  <c r="FE31" i="64" s="1"/>
  <c r="IB31" i="64" s="1"/>
  <c r="EV28" i="64"/>
  <c r="EV27" i="64"/>
  <c r="FB30" i="64"/>
  <c r="EV26" i="64"/>
  <c r="FA26" i="64"/>
  <c r="EV29" i="64"/>
  <c r="EV30" i="64"/>
  <c r="EZ26" i="64"/>
  <c r="FE26" i="64" s="1"/>
  <c r="IB26" i="64" s="1"/>
  <c r="EV23" i="64"/>
  <c r="EV21" i="64"/>
  <c r="EV22" i="64"/>
  <c r="FB25" i="64"/>
  <c r="FA21" i="64"/>
  <c r="EV24" i="64"/>
  <c r="EV25" i="64"/>
  <c r="EZ21" i="64"/>
  <c r="FE21" i="64" s="1"/>
  <c r="IB21" i="64" s="1"/>
  <c r="EV16" i="64"/>
  <c r="EV18" i="64"/>
  <c r="EV17" i="64"/>
  <c r="FA16" i="64"/>
  <c r="EV19" i="64"/>
  <c r="FB20" i="64"/>
  <c r="EZ16" i="64"/>
  <c r="EV13" i="64"/>
  <c r="EV15" i="64"/>
  <c r="EV14" i="64"/>
  <c r="EZ11" i="64"/>
  <c r="FE11" i="64" s="1"/>
  <c r="IB11" i="64" s="1"/>
  <c r="GN6" i="64"/>
  <c r="H8" i="89"/>
  <c r="D23" i="89" s="1"/>
  <c r="I18" i="90"/>
  <c r="I17" i="90"/>
  <c r="E14" i="90"/>
  <c r="D25" i="89"/>
  <c r="D11" i="89" l="1"/>
  <c r="D13" i="89" s="1"/>
  <c r="E16" i="91" s="1"/>
  <c r="FE166" i="64"/>
  <c r="IB166" i="64" s="1"/>
  <c r="FE156" i="64"/>
  <c r="IB156" i="64" s="1"/>
  <c r="FE61" i="64"/>
  <c r="IB61" i="64" s="1"/>
  <c r="FE236" i="64"/>
  <c r="IB236" i="64" s="1"/>
  <c r="FE231" i="64"/>
  <c r="IB231" i="64" s="1"/>
  <c r="FE226" i="64"/>
  <c r="IB226" i="64" s="1"/>
  <c r="FE201" i="64"/>
  <c r="IB201" i="64" s="1"/>
  <c r="FE126" i="64"/>
  <c r="IB126" i="64" s="1"/>
  <c r="FE16" i="64"/>
  <c r="IB16" i="64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 l="1"/>
  <c r="C44" i="91"/>
  <c r="F24" i="90"/>
  <c r="F28" i="91" l="1"/>
  <c r="F30" i="91" s="1"/>
  <c r="F32" i="89" s="1"/>
  <c r="F33" i="89" s="1"/>
  <c r="C42" i="90"/>
  <c r="C44" i="90" s="1"/>
  <c r="F26" i="90"/>
  <c r="F28" i="90" s="1"/>
  <c r="F30" i="90" l="1"/>
  <c r="D32" i="89" s="1"/>
  <c r="D33" i="89" s="1"/>
  <c r="I34" i="86" s="1"/>
  <c r="D36" i="89" l="1"/>
  <c r="D37" i="89"/>
  <c r="C36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247" i="64"/>
  <c r="M247" i="64" s="1"/>
  <c r="N247" i="64" s="1"/>
  <c r="O247" i="64" s="1"/>
  <c r="P247" i="64" s="1"/>
  <c r="I26" i="86" l="1"/>
  <c r="I28" i="86"/>
  <c r="I27" i="86"/>
  <c r="B37" i="86"/>
  <c r="B39" i="86"/>
  <c r="D11" i="86"/>
  <c r="ER247" i="64"/>
  <c r="ES247" i="64" s="1"/>
  <c r="ET247" i="64" s="1"/>
  <c r="EU247" i="64" s="1"/>
  <c r="EV247" i="64" s="1"/>
  <c r="EW247" i="64" s="1"/>
  <c r="EX247" i="64" s="1"/>
  <c r="EY247" i="64" s="1"/>
  <c r="EZ247" i="64" s="1"/>
  <c r="FA247" i="64" s="1"/>
  <c r="FB247" i="64" s="1"/>
  <c r="FC247" i="64" s="1"/>
  <c r="FD247" i="64" s="1"/>
  <c r="FE247" i="64" s="1"/>
  <c r="FF247" i="64" s="1"/>
  <c r="FG247" i="64" s="1"/>
  <c r="FH247" i="64" s="1"/>
  <c r="FI247" i="64" s="1"/>
  <c r="FJ247" i="64" s="1"/>
  <c r="FK247" i="64" s="1"/>
  <c r="FL247" i="64" s="1"/>
  <c r="FM247" i="64" s="1"/>
  <c r="FN247" i="64" s="1"/>
  <c r="FO247" i="64" s="1"/>
  <c r="FP247" i="64" s="1"/>
  <c r="FQ247" i="64" s="1"/>
  <c r="FR247" i="64" s="1"/>
  <c r="FS247" i="64" s="1"/>
  <c r="FT247" i="64" s="1"/>
  <c r="FU247" i="64" s="1"/>
  <c r="FV247" i="64" s="1"/>
  <c r="FW247" i="64" s="1"/>
  <c r="FX247" i="64" s="1"/>
  <c r="FY247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246" i="64" l="1"/>
  <c r="M246" i="64" s="1"/>
  <c r="N246" i="64" s="1"/>
  <c r="O246" i="64" s="1"/>
  <c r="P246" i="64" s="1"/>
  <c r="EM246" i="64" s="1"/>
  <c r="EN246" i="64" s="1"/>
  <c r="EO246" i="64" s="1"/>
  <c r="EP246" i="64" s="1"/>
  <c r="EQ246" i="64" s="1"/>
  <c r="ER246" i="64" l="1"/>
  <c r="ES246" i="64" s="1"/>
  <c r="ET246" i="64" s="1"/>
  <c r="EU246" i="64" s="1"/>
  <c r="EV246" i="64" s="1"/>
  <c r="EW246" i="64" s="1"/>
  <c r="EX246" i="64" s="1"/>
  <c r="EY246" i="64" s="1"/>
  <c r="EZ246" i="64" s="1"/>
  <c r="FA246" i="64" s="1"/>
  <c r="FB246" i="64" s="1"/>
  <c r="FC246" i="64" s="1"/>
  <c r="FD246" i="64" s="1"/>
  <c r="FE246" i="64" s="1"/>
  <c r="FF246" i="64" s="1"/>
  <c r="FG246" i="64" s="1"/>
  <c r="FH246" i="64" s="1"/>
  <c r="FI246" i="64" s="1"/>
  <c r="FJ246" i="64" s="1"/>
  <c r="FK246" i="64" s="1"/>
  <c r="FL246" i="64" s="1"/>
  <c r="FM246" i="64" s="1"/>
  <c r="FN246" i="64" s="1"/>
  <c r="FO246" i="64" s="1"/>
  <c r="FP246" i="64" s="1"/>
  <c r="FQ246" i="64" s="1"/>
  <c r="FR246" i="64" s="1"/>
  <c r="FS246" i="64" s="1"/>
  <c r="FT246" i="64" s="1"/>
  <c r="FU246" i="64" s="1"/>
  <c r="FV246" i="64" s="1"/>
  <c r="FW246" i="64" s="1"/>
  <c r="FX246" i="64" s="1"/>
  <c r="FY246" i="64" s="1"/>
  <c r="FZ246" i="64" s="1"/>
  <c r="GA246" i="64" s="1"/>
  <c r="GB246" i="64" s="1"/>
  <c r="GC246" i="64" s="1"/>
  <c r="GD246" i="64" s="1"/>
  <c r="GE246" i="64" s="1"/>
  <c r="GF246" i="64" s="1"/>
  <c r="GG246" i="64" s="1"/>
  <c r="GH246" i="64" s="1"/>
  <c r="GI246" i="64" s="1"/>
  <c r="GJ246" i="64" s="1"/>
  <c r="GK246" i="64" s="1"/>
  <c r="GL246" i="64" s="1"/>
  <c r="GM246" i="64" s="1"/>
  <c r="GN246" i="64" s="1"/>
  <c r="GO246" i="64" s="1"/>
  <c r="GP246" i="64" s="1"/>
  <c r="GQ246" i="64" s="1"/>
  <c r="GR246" i="64" s="1"/>
  <c r="GS246" i="64" s="1"/>
  <c r="GT246" i="64" s="1"/>
  <c r="GU246" i="64" s="1"/>
  <c r="GV246" i="64" s="1"/>
  <c r="GW246" i="64" s="1"/>
  <c r="GX246" i="64" s="1"/>
  <c r="GY246" i="64" s="1"/>
  <c r="GZ246" i="64" s="1"/>
  <c r="HA246" i="64" s="1"/>
  <c r="HB246" i="64" s="1"/>
  <c r="HC246" i="64" s="1"/>
  <c r="HD246" i="64" s="1"/>
  <c r="HE246" i="64" s="1"/>
  <c r="HF246" i="64" s="1"/>
  <c r="HG246" i="64" s="1"/>
  <c r="HH246" i="64" s="1"/>
  <c r="HI246" i="64" s="1"/>
  <c r="HJ246" i="64" s="1"/>
  <c r="HK246" i="64" s="1"/>
  <c r="HL246" i="64" s="1"/>
  <c r="HM246" i="64" s="1"/>
  <c r="HN246" i="64" s="1"/>
  <c r="HO246" i="64" s="1"/>
  <c r="HP246" i="64" s="1"/>
  <c r="HQ246" i="64" s="1"/>
  <c r="HR246" i="64" s="1"/>
  <c r="HS246" i="64" s="1"/>
  <c r="HT246" i="64" s="1"/>
  <c r="HU246" i="64" s="1"/>
  <c r="HV246" i="64" s="1"/>
  <c r="HW246" i="64" s="1"/>
  <c r="HX246" i="64" s="1"/>
  <c r="HY246" i="64" s="1"/>
  <c r="HZ246" i="64" s="1"/>
  <c r="IA24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247" i="59"/>
  <c r="L6" i="64"/>
  <c r="E29" i="86" s="1"/>
  <c r="BV24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51" i="13"/>
  <c r="J2" i="13"/>
  <c r="J51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<sst xmlns="http://schemas.openxmlformats.org/spreadsheetml/2006/main" count="14329" uniqueCount="3484">
  <si>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</si>
  <si>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</si>
  <si>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</si>
  <si>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</si>
  <si>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</si>
  <si>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</si>
  <si>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</si>
  <si>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</si>
  <si>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</si>
  <si>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</si>
  <si>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</si>
  <si>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</si>
  <si>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</si>
  <si>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</si>
  <si>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</si>
  <si>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</si>
  <si>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</si>
  <si>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</si>
  <si>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</si>
  <si>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</si>
  <si>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</si>
  <si>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</si>
  <si>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</si>
  <si>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</si>
  <si>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</si>
  <si>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</si>
  <si>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</si>
  <si>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</si>
  <si>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</si>
  <si>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</si>
  <si>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</si>
  <si>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</si>
  <si>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</si>
  <si>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</si>
  <si>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</si>
  <si>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</si>
  <si>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</si>
  <si>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</si>
  <si>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</si>
  <si>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</si>
  <si>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</si>
  <si>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</si>
  <si>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</si>
  <si>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</si>
  <si>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</si>
  <si>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</si>
  <si>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</si>
  <si>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</si>
  <si>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</si>
  <si>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</si>
  <si>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</si>
  <si>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</si>
  <si>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</si>
  <si>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</si>
  <si>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</si>
  <si>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</si>
  <si>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</si>
  <si>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</si>
  <si>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</si>
  <si>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</si>
  <si>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</si>
  <si>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</si>
  <si>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</si>
  <si>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</si>
  <si>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</si>
  <si>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</si>
  <si>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</si>
  <si>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</si>
  <si>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</si>
  <si>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</si>
  <si>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</si>
  <si>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</si>
  <si>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</si>
  <si>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</si>
  <si>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</si>
  <si>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</si>
  <si>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</si>
  <si>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</si>
  <si>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</si>
  <si>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</si>
  <si>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</si>
  <si>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</si>
  <si>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</si>
  <si>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</si>
  <si>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</si>
  <si>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</si>
  <si>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</si>
  <si>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</si>
  <si>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</si>
  <si>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</si>
  <si>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</si>
  <si>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</si>
  <si>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</si>
  <si>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</si>
  <si>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</si>
  <si>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</si>
  <si>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</si>
  <si>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</si>
  <si>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</si>
  <si>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</si>
  <si>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</si>
  <si>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</si>
  <si>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</si>
  <si>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</si>
  <si>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</si>
  <si>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</si>
  <si>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</si>
  <si>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</si>
  <si>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</si>
  <si>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</si>
  <si>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</si>
  <si>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</si>
  <si>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</si>
  <si>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</si>
  <si>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</si>
  <si>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</si>
  <si>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</si>
  <si>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</si>
  <si>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</si>
  <si>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</si>
  <si>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</si>
  <si>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</si>
  <si>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</si>
  <si>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</si>
  <si>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</si>
  <si>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</si>
  <si>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</si>
  <si>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</si>
  <si>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</si>
  <si>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</si>
  <si>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</si>
  <si>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</si>
  <si>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</si>
  <si>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</si>
  <si>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</si>
  <si>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</si>
  <si>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</si>
  <si>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</si>
  <si>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</si>
  <si>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</si>
  <si>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</si>
  <si>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</si>
  <si>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</si>
  <si>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</si>
  <si>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</si>
  <si>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</si>
  <si>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</si>
  <si>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</si>
  <si>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</si>
  <si>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</si>
  <si>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</si>
  <si>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</si>
  <si>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</si>
  <si>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</si>
  <si>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</si>
  <si>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</si>
  <si>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</si>
  <si>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</si>
  <si>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</si>
  <si>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</si>
  <si>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</si>
  <si>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</si>
  <si>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</si>
  <si>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</si>
  <si>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</si>
  <si>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</si>
  <si>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</si>
  <si>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</si>
  <si>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</si>
  <si>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</si>
  <si>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</si>
  <si>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</si>
  <si>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</si>
  <si>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</si>
  <si>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</si>
  <si>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</si>
  <si>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</si>
  <si>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</si>
  <si>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</si>
  <si>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</si>
  <si>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</si>
  <si>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</si>
  <si>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</si>
  <si>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</si>
  <si>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</si>
  <si>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</si>
  <si>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</si>
  <si>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</si>
  <si>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</si>
  <si>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</si>
  <si>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</si>
  <si>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</si>
  <si>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</si>
  <si>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</si>
  <si>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</si>
  <si>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</si>
  <si>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</si>
  <si>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</si>
  <si>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</si>
  <si>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</si>
  <si>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</si>
  <si>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</si>
  <si>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</si>
  <si>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</si>
  <si>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</si>
  <si>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</si>
  <si>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</si>
  <si>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</si>
  <si>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</si>
  <si>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</si>
  <si>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</si>
  <si>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</si>
  <si>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</si>
  <si>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</si>
  <si>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</si>
  <si>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</si>
  <si>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</si>
  <si>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</si>
  <si>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</si>
  <si>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</si>
  <si>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</si>
  <si>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</si>
  <si>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</si>
  <si>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</si>
  <si>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</si>
  <si>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</si>
  <si>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</si>
  <si>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</si>
  <si>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</si>
  <si>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</si>
  <si>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</si>
  <si>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</si>
  <si>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</si>
  <si>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</si>
  <si>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</si>
  <si>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</si>
  <si>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</si>
  <si>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</si>
  <si>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</si>
  <si>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</si>
  <si>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</si>
  <si>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</si>
  <si>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</si>
  <si>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</si>
  <si>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</si>
  <si>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</si>
  <si>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</si>
  <si>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</si>
  <si>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</si>
  <si>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</si>
  <si>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</si>
  <si>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</si>
  <si>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</si>
  <si>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</si>
  <si>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</si>
  <si>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</si>
  <si>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</si>
  <si>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</si>
  <si>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</si>
  <si>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</si>
  <si>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</si>
  <si>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</si>
  <si>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</si>
  <si>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</si>
  <si>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</si>
  <si>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</si>
  <si>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</si>
  <si>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</si>
  <si>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</si>
  <si>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</si>
  <si>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</si>
  <si>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</si>
  <si>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</si>
  <si>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</si>
  <si>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</si>
  <si>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</si>
  <si>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</si>
  <si>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</si>
  <si>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</si>
  <si>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</si>
  <si>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</si>
  <si>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</si>
  <si>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</si>
  <si>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</si>
  <si>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</si>
  <si>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</si>
  <si>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</si>
  <si>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</si>
  <si>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</si>
  <si>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</si>
  <si>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</si>
  <si>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</si>
  <si>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</si>
  <si>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</si>
  <si>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</si>
  <si>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</si>
  <si>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</si>
  <si>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</si>
  <si>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</si>
  <si>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</si>
  <si>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</si>
  <si>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</si>
  <si>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</si>
  <si>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</si>
  <si>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</si>
  <si>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</si>
  <si>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</si>
  <si>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</si>
  <si>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</si>
  <si>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</si>
  <si>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</si>
  <si>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</si>
  <si>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</si>
  <si>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</si>
  <si>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</si>
  <si>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</si>
  <si>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</si>
  <si>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</si>
  <si>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</si>
  <si>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</si>
  <si>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</si>
  <si>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</si>
  <si>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</si>
  <si>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</si>
  <si>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</si>
  <si>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</si>
  <si>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</si>
  <si>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</si>
  <si>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</si>
  <si>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</si>
  <si>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</si>
  <si>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</si>
  <si>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</si>
  <si>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</si>
  <si>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</si>
  <si>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</si>
  <si>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</si>
  <si>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</si>
  <si>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</si>
  <si>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</si>
  <si>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</si>
  <si>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</si>
  <si>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</si>
  <si>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</si>
  <si>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</si>
  <si>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</si>
  <si>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</si>
  <si>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</si>
  <si>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</si>
  <si>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</si>
  <si>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</si>
  <si>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</si>
  <si>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</si>
  <si>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</si>
  <si>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</si>
  <si>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</si>
  <si>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</si>
  <si>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</si>
  <si>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</si>
  <si>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</si>
  <si>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</si>
  <si>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</si>
  <si>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</si>
  <si>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</si>
  <si>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</si>
  <si>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</si>
  <si>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</si>
  <si>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</si>
  <si>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</si>
  <si>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</si>
  <si>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</si>
  <si>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</si>
  <si>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</si>
  <si>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</si>
  <si>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</si>
  <si>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</si>
  <si>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</si>
  <si>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</si>
  <si>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</si>
  <si>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</si>
  <si>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</si>
  <si>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</si>
  <si>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</si>
  <si>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</si>
  <si>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</si>
  <si>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</si>
  <si>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</si>
  <si>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</si>
  <si>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</si>
  <si>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</si>
  <si>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</si>
  <si>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</si>
  <si>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</si>
  <si>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</si>
  <si>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</si>
  <si>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</si>
  <si>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</si>
  <si>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</si>
  <si>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</si>
  <si>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</si>
  <si>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</si>
  <si>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</si>
  <si>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</si>
  <si>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</si>
  <si>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</si>
  <si>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</si>
  <si>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</si>
  <si>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</si>
  <si>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</si>
  <si>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</si>
  <si>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</si>
  <si>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</si>
  <si>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</si>
  <si>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</si>
  <si>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</si>
  <si>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</si>
  <si>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</si>
  <si>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</si>
  <si>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</si>
  <si>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</si>
  <si>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</si>
  <si>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</si>
  <si>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</si>
  <si>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</si>
  <si>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</si>
  <si>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</si>
  <si>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</si>
  <si>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</si>
  <si>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</si>
  <si>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</si>
  <si>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</si>
  <si>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</si>
  <si>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</si>
  <si>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</si>
  <si>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</si>
  <si>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</si>
  <si>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</si>
  <si>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</si>
  <si>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</si>
  <si>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</si>
  <si>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</si>
  <si>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</si>
  <si>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</si>
  <si>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</si>
  <si>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</si>
  <si>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</si>
  <si>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</si>
  <si>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</si>
  <si>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</si>
  <si>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</si>
  <si>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</si>
  <si>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</si>
  <si>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</si>
  <si>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</si>
  <si>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</si>
  <si>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</si>
  <si>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</si>
  <si>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</si>
  <si>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</si>
  <si>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</si>
  <si>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</si>
  <si>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</si>
  <si>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</si>
  <si>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</si>
  <si>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</si>
  <si>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</si>
  <si>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</si>
  <si>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</si>
  <si>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</si>
  <si>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</si>
  <si>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</si>
  <si>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</si>
  <si>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</si>
  <si>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</si>
  <si>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</si>
  <si>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</si>
  <si>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</si>
  <si>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</si>
  <si>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</si>
  <si>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</si>
  <si>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</si>
  <si>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</si>
  <si>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</si>
  <si>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</si>
  <si>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</si>
  <si>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</si>
  <si>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</si>
  <si>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</si>
  <si>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</si>
  <si>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</si>
  <si>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</si>
  <si>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</si>
  <si>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</si>
  <si>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</si>
  <si>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</si>
  <si>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</si>
  <si>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</si>
  <si>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</si>
  <si>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</si>
  <si>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</si>
  <si>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</si>
  <si>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</si>
  <si>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</si>
  <si>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</si>
  <si>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</si>
  <si>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</si>
  <si>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</si>
  <si>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</si>
  <si>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</si>
  <si>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</si>
  <si>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</si>
  <si>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</si>
  <si>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</si>
  <si>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</si>
  <si>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</si>
  <si>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</si>
  <si>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</si>
  <si>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</si>
  <si>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</si>
  <si>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</si>
  <si>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</si>
  <si>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</si>
  <si>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</si>
  <si>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</si>
  <si>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</si>
  <si>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</si>
  <si>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</si>
  <si>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</si>
  <si>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</si>
  <si>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</si>
  <si>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</si>
  <si>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</si>
  <si>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</si>
  <si>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</si>
  <si>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</si>
  <si>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</si>
  <si>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</si>
  <si>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</si>
  <si>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</si>
  <si>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</si>
  <si>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</si>
  <si>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</si>
  <si>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</si>
  <si>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</si>
  <si>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</si>
  <si>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</si>
  <si>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</si>
  <si>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</si>
  <si>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</si>
  <si>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</si>
  <si>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</si>
  <si>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</si>
  <si>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</si>
  <si>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</si>
  <si>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</si>
  <si>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</si>
  <si>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</si>
  <si>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</si>
  <si>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</si>
  <si>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</si>
  <si>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</si>
  <si>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</si>
  <si>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</si>
  <si>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</si>
  <si>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</si>
  <si>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</si>
  <si>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</si>
  <si>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</si>
  <si>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</si>
  <si>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</si>
  <si>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</si>
  <si>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</si>
  <si>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</si>
  <si>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</si>
  <si>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</si>
  <si>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</si>
  <si>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</si>
  <si>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</si>
  <si>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</si>
  <si>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</si>
  <si>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</si>
  <si>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</si>
  <si>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</si>
  <si>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</si>
  <si>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</si>
  <si>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</si>
  <si>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</si>
  <si>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</si>
  <si>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</si>
  <si>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</si>
  <si>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</si>
  <si>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</si>
  <si>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</si>
  <si>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</si>
  <si>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</si>
  <si>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</si>
  <si>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</si>
  <si>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</si>
  <si>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</si>
  <si>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</si>
  <si>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</si>
  <si>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</si>
  <si>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</si>
  <si>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</si>
  <si>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</si>
  <si>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</si>
  <si>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</si>
  <si>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</si>
  <si>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</si>
  <si>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</si>
  <si>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</si>
  <si>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</si>
  <si>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</si>
  <si>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</si>
  <si>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</si>
  <si>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</si>
  <si>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</si>
  <si>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</si>
  <si>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</si>
  <si>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</si>
  <si>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</si>
  <si>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</si>
  <si>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</si>
  <si>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</si>
  <si>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</si>
  <si>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</si>
  <si>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</si>
  <si>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</si>
  <si>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</si>
  <si>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</si>
  <si>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</si>
  <si>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</si>
  <si>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</si>
  <si>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</si>
  <si>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</si>
  <si>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</si>
  <si>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</si>
  <si>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</si>
  <si>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</si>
  <si>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</si>
  <si>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</si>
  <si>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</si>
  <si>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</si>
  <si>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</si>
  <si>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</si>
  <si>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</si>
  <si>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</si>
  <si>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</si>
  <si>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</si>
  <si>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</si>
  <si>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</si>
  <si>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</si>
  <si>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</si>
  <si>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</si>
  <si>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</si>
  <si>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</si>
  <si>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</si>
  <si>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</si>
  <si>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</si>
  <si>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</si>
  <si>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</si>
  <si>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</si>
  <si>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</si>
  <si>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</si>
  <si>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</si>
  <si>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</si>
  <si>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</si>
  <si>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</si>
  <si>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</si>
  <si>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</si>
  <si>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</si>
  <si>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</si>
  <si>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</si>
  <si>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</si>
  <si>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</si>
  <si>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</si>
  <si>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</si>
  <si>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</si>
  <si>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</si>
  <si>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</si>
  <si>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</si>
  <si>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</si>
  <si>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</si>
  <si>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</si>
  <si>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</si>
  <si>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</si>
  <si>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</si>
  <si>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</si>
  <si>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</si>
  <si>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</si>
  <si>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</si>
  <si>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</si>
  <si>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</si>
  <si>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</si>
  <si>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</si>
  <si>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</si>
  <si>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</si>
  <si>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</si>
  <si>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</si>
  <si>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</si>
  <si>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</si>
  <si>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</si>
  <si>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</si>
  <si>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</si>
  <si>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</si>
  <si>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</si>
  <si>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</si>
  <si>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</si>
  <si>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</si>
  <si>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</si>
  <si>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</si>
  <si>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</si>
  <si>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</si>
  <si>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</si>
  <si>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</si>
  <si>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</si>
  <si>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</si>
  <si>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</si>
  <si>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</si>
  <si>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</si>
  <si>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</si>
  <si>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</si>
  <si>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</si>
  <si>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</si>
  <si>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</si>
  <si>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</si>
  <si>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</si>
  <si>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</si>
  <si>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</si>
  <si>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</si>
  <si>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</si>
  <si>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</si>
  <si>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</si>
  <si>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</si>
  <si>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</si>
  <si>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</si>
  <si>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</si>
  <si>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</si>
  <si>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</si>
  <si>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</si>
  <si>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</si>
  <si>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</si>
  <si>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</si>
  <si>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</si>
  <si>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</si>
  <si>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</si>
  <si>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</si>
  <si>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</si>
  <si>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</si>
  <si>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</si>
  <si>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</si>
  <si>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</si>
  <si>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</si>
  <si>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</si>
  <si>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</si>
  <si>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</si>
  <si>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</si>
  <si>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</si>
  <si>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</si>
  <si>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</si>
  <si>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</si>
  <si>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</si>
  <si>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</si>
  <si>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</si>
  <si>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</si>
  <si>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</si>
  <si>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</si>
  <si>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</si>
  <si>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</si>
  <si>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</si>
  <si>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</si>
  <si>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</si>
  <si>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</si>
  <si>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</si>
  <si>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</si>
  <si>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</si>
  <si>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</si>
  <si>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</si>
  <si>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</si>
  <si>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</si>
  <si>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</si>
  <si>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</si>
  <si>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</si>
  <si>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</si>
  <si>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</si>
  <si>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</si>
  <si>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</si>
  <si>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</si>
  <si>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</si>
  <si>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</si>
  <si>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</si>
  <si>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</si>
  <si>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</si>
  <si>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</si>
  <si>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</si>
  <si>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</si>
  <si>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</si>
  <si>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</si>
  <si>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</si>
  <si>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</si>
  <si>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</si>
  <si>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</si>
  <si>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</si>
  <si>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</si>
  <si>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</si>
  <si>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</si>
  <si>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</si>
  <si>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</si>
  <si>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</si>
  <si>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</si>
  <si>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</si>
  <si>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</si>
  <si>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</si>
  <si>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</si>
  <si>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</si>
  <si>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</si>
  <si>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</si>
  <si>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</si>
  <si>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</si>
  <si>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</si>
  <si>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</si>
  <si>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</si>
  <si>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</si>
  <si>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</si>
  <si>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</si>
  <si>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</si>
  <si>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</si>
  <si>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</si>
  <si>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</si>
  <si>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</si>
  <si>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</si>
  <si>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</si>
  <si>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</si>
  <si>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</si>
  <si>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</si>
  <si>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</si>
  <si>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</si>
  <si>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</si>
  <si>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</si>
  <si>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</si>
  <si>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</si>
  <si>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</si>
  <si>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</si>
  <si>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</si>
  <si>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</si>
  <si>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</si>
  <si>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</si>
  <si>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</si>
  <si>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</si>
  <si>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</si>
  <si>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</si>
  <si>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</si>
  <si>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</si>
  <si>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</si>
  <si>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</si>
  <si>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</si>
  <si>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</si>
  <si>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</si>
  <si>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</si>
  <si>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</si>
  <si>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</si>
  <si>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</si>
  <si>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</si>
  <si>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</si>
  <si>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</si>
  <si>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</si>
  <si>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</si>
  <si>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</si>
  <si>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</si>
  <si>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</si>
  <si>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</si>
  <si>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</si>
  <si>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</si>
  <si>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</si>
  <si>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</si>
  <si>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</si>
  <si>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</si>
  <si>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</si>
  <si>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</si>
  <si>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</si>
  <si>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</si>
  <si>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</si>
  <si>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</si>
  <si>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</si>
  <si>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</si>
  <si>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</si>
  <si>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</si>
  <si>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</si>
  <si>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</si>
  <si>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</si>
  <si>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</si>
  <si>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</si>
  <si>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</si>
  <si>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</si>
  <si>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</si>
  <si>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</si>
  <si>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</si>
  <si>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</si>
  <si>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</si>
  <si>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</si>
  <si>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</si>
  <si>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</si>
  <si>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</si>
  <si>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</si>
  <si>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</si>
  <si>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</si>
  <si>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</si>
  <si>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</si>
  <si>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</si>
  <si>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</si>
  <si>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</si>
  <si>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</si>
  <si>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</si>
  <si>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</si>
  <si>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</si>
  <si>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</si>
  <si>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</si>
  <si>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</si>
  <si>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</si>
  <si>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</si>
  <si>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</si>
  <si>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</si>
  <si>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</si>
  <si>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</si>
  <si>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</si>
  <si>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</si>
  <si>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</si>
  <si>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</si>
  <si>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</si>
  <si>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</si>
  <si>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</si>
  <si>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</si>
  <si>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</si>
  <si>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</si>
  <si>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</si>
  <si>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</si>
  <si>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</si>
  <si>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</si>
  <si>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</si>
  <si>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</si>
  <si>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</si>
  <si>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</si>
  <si>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</si>
  <si>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</si>
  <si>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</si>
  <si>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</si>
  <si>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</si>
  <si>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</si>
  <si>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</si>
  <si>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</si>
  <si>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</si>
  <si>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</si>
  <si>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</si>
  <si>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</si>
  <si>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</si>
  <si>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</si>
  <si>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</si>
  <si>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</si>
  <si>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</si>
  <si>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</si>
  <si>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</si>
  <si>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</si>
  <si>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</si>
  <si>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</si>
  <si>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</si>
  <si>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</si>
  <si>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</si>
  <si>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</si>
  <si>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</si>
  <si>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</si>
  <si>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</si>
  <si>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</si>
  <si>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</si>
  <si>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</si>
  <si>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</si>
  <si>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</si>
  <si>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</si>
  <si>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</si>
  <si>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</si>
  <si>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</si>
  <si>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</si>
  <si>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</si>
  <si>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</si>
  <si>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</si>
  <si>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</si>
  <si>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</si>
  <si>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</si>
  <si>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</si>
  <si>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</si>
  <si>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</si>
  <si>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</si>
  <si>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</si>
  <si>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</si>
  <si>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</si>
  <si>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</si>
  <si>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</si>
  <si>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</si>
  <si>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</si>
  <si>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</si>
  <si>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</si>
  <si>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</si>
  <si>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</si>
  <si>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</si>
  <si>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</si>
  <si>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</si>
  <si>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</si>
  <si>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</si>
  <si>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</si>
  <si>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</si>
  <si>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</si>
  <si>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</si>
  <si>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</si>
  <si>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</si>
  <si>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</si>
  <si>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</si>
  <si>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</si>
  <si>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</si>
  <si>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</si>
  <si>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</si>
  <si>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</si>
  <si>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</si>
  <si>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</si>
  <si>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</si>
  <si>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</si>
  <si>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</si>
  <si>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</si>
  <si>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</si>
  <si>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</si>
  <si>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</si>
  <si>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</si>
  <si>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</si>
  <si>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</si>
  <si>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</si>
  <si>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</si>
  <si>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</si>
  <si>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</si>
  <si>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</si>
  <si>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</si>
  <si>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</si>
  <si>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</si>
  <si>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</si>
  <si>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</si>
  <si>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</si>
  <si>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</si>
  <si>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</si>
  <si>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</si>
  <si>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</si>
  <si>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</si>
  <si>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</si>
  <si>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</si>
  <si>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</si>
  <si>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</si>
  <si>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</si>
  <si>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</si>
  <si>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</si>
  <si>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</si>
  <si>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</si>
  <si>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</si>
  <si>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</si>
  <si>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</si>
  <si>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</si>
  <si>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</si>
  <si>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</si>
  <si>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</si>
  <si>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</si>
  <si>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</si>
  <si>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</si>
  <si>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</si>
  <si>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</si>
  <si>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</si>
  <si>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</si>
  <si>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</si>
  <si>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</si>
  <si>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</si>
  <si>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</si>
  <si>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</si>
  <si>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</si>
  <si>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</si>
  <si>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</si>
  <si>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</si>
  <si>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</si>
  <si>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</si>
  <si>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</si>
  <si>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</si>
  <si>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</si>
  <si>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</si>
  <si>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</si>
  <si>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</si>
  <si>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</si>
  <si>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</si>
  <si>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</si>
  <si>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</si>
  <si>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</si>
  <si>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</si>
  <si>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</si>
  <si>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</si>
  <si>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</si>
  <si>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</si>
  <si>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</si>
  <si>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</si>
  <si>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</si>
  <si>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</si>
  <si>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</si>
  <si>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</si>
  <si>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</si>
  <si>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</si>
  <si>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</si>
  <si>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</si>
  <si>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</si>
  <si>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</si>
  <si>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</si>
  <si>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</si>
  <si>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</si>
  <si>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</si>
  <si>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</si>
  <si>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</si>
  <si>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</si>
  <si>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</si>
  <si>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</si>
  <si>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</si>
  <si>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</si>
  <si>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</si>
  <si>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</si>
  <si>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</si>
  <si>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</si>
  <si>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</si>
  <si>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</si>
  <si>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</si>
  <si>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</si>
  <si>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</si>
  <si>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</si>
  <si>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</si>
  <si>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</si>
  <si>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</si>
  <si>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</si>
  <si>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</si>
  <si>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</si>
  <si>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</si>
  <si>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</si>
  <si>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</si>
  <si>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</si>
  <si>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</si>
  <si>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</si>
  <si>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</si>
  <si>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</si>
  <si>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</si>
  <si>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</si>
  <si>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</si>
  <si>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</si>
  <si>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</si>
  <si>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</si>
  <si>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</si>
  <si>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</si>
  <si>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</si>
  <si>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</si>
  <si>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</si>
  <si>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</si>
  <si>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</si>
  <si>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</si>
  <si>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</si>
  <si>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</si>
  <si>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</si>
  <si>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</si>
  <si>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</si>
  <si>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</si>
  <si>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</si>
  <si>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</si>
  <si>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</si>
  <si>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</si>
  <si>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</si>
  <si>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</si>
  <si>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</si>
  <si>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</si>
  <si>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</si>
  <si>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</si>
  <si>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</si>
  <si>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</si>
  <si>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</si>
  <si>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</si>
  <si>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</si>
  <si>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</si>
  <si>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</si>
  <si>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</si>
  <si>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</si>
  <si>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</si>
  <si>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</si>
  <si>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</si>
  <si>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</si>
  <si>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</si>
  <si>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</si>
  <si>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</si>
  <si>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</si>
  <si>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</si>
  <si>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</si>
  <si>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</si>
  <si>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</si>
  <si>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</si>
  <si>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</si>
  <si>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</si>
  <si>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</si>
  <si>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</si>
  <si>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</si>
  <si>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</si>
  <si>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</si>
  <si>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</si>
  <si>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</si>
  <si>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</si>
  <si>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</si>
  <si>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</si>
  <si>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</si>
  <si>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</si>
  <si>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</si>
  <si>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</si>
  <si>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</si>
  <si>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</si>
  <si>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</si>
  <si>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</si>
  <si>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</si>
  <si>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</si>
  <si>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</si>
  <si>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</si>
  <si>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</si>
  <si>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</si>
  <si>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</si>
  <si>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</si>
  <si>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</si>
  <si>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</si>
  <si>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</si>
  <si>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</si>
  <si>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</si>
  <si>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</si>
  <si>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</si>
  <si>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</si>
  <si>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</si>
  <si>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</si>
  <si>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</si>
  <si>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</si>
  <si>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</si>
  <si>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</si>
  <si>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</si>
  <si>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</si>
  <si>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</si>
  <si>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</si>
  <si>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</si>
  <si>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</si>
  <si>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</si>
  <si>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</si>
  <si>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</si>
  <si>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</si>
  <si>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</si>
  <si>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</si>
  <si>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</si>
  <si>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</si>
  <si>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</si>
  <si>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</si>
  <si>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</si>
  <si>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</si>
  <si>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</si>
  <si>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</si>
  <si>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</si>
  <si>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</si>
  <si>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</si>
  <si>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</si>
  <si>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</si>
  <si>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</si>
  <si>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</si>
  <si>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</si>
  <si>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</si>
  <si>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</si>
  <si>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</si>
  <si>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</si>
  <si>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</si>
  <si>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</si>
  <si>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</si>
  <si>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</si>
  <si>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</si>
  <si>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</si>
  <si>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</si>
  <si>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</si>
  <si>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</si>
  <si>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</si>
  <si>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</si>
  <si>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</si>
  <si>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</si>
  <si>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</si>
  <si>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</si>
  <si>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</si>
  <si>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</si>
  <si>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</si>
  <si>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</si>
  <si>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</si>
  <si>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</si>
  <si>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</si>
  <si>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</si>
  <si>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</si>
  <si>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</si>
  <si>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</si>
  <si>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</si>
  <si>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</si>
  <si>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</si>
  <si>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</si>
  <si>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</si>
  <si>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</si>
  <si>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</si>
  <si>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</si>
  <si>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</si>
  <si>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</si>
  <si>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</si>
  <si>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</si>
  <si>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</si>
  <si>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</si>
  <si>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</si>
  <si>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</si>
  <si>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</si>
  <si>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</si>
  <si>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</si>
  <si>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</si>
  <si>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</si>
  <si>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</si>
  <si>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</si>
  <si>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</si>
  <si>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</si>
  <si>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</si>
  <si>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</si>
  <si>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</si>
  <si>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</si>
  <si>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</si>
  <si>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</si>
  <si>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</si>
  <si>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</si>
  <si>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</si>
  <si>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</si>
  <si>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</si>
  <si>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</si>
  <si>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</si>
  <si>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</si>
  <si>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</si>
  <si>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</si>
  <si>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</si>
  <si>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</si>
  <si>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</si>
  <si>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</si>
  <si>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</si>
  <si>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</si>
  <si>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</si>
  <si>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</si>
  <si>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</si>
  <si>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</si>
  <si>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</si>
  <si>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</si>
  <si>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</si>
  <si>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</si>
  <si>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</si>
  <si>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</si>
  <si>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</si>
  <si>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</si>
  <si>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</si>
  <si>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</si>
  <si>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</si>
  <si>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</si>
  <si>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</si>
  <si>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</si>
  <si>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</si>
  <si>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</si>
  <si>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</si>
  <si>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</si>
  <si>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</si>
  <si>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</si>
  <si>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</si>
  <si>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</si>
  <si>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</si>
  <si>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</si>
  <si>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</si>
  <si>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</si>
  <si>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</si>
  <si>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</si>
  <si>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</si>
  <si>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</si>
  <si>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</si>
  <si>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</si>
  <si>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</si>
  <si>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</si>
  <si>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</si>
  <si>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</si>
  <si>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</si>
  <si>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</si>
  <si>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</si>
  <si>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</si>
  <si>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</si>
  <si>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</si>
  <si>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</si>
  <si>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</si>
  <si>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</si>
  <si>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</si>
  <si>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</si>
  <si>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</si>
  <si>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</si>
  <si>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</si>
  <si>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</si>
  <si>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</si>
  <si>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</si>
  <si>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</si>
  <si>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</si>
  <si>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</si>
  <si>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</si>
  <si>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</si>
  <si>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</si>
  <si>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</si>
  <si>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</si>
  <si>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</si>
  <si>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</si>
  <si>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</si>
  <si>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</si>
  <si>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</si>
  <si>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</si>
  <si>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</si>
  <si>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</si>
  <si>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</si>
  <si>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</si>
  <si>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</si>
  <si>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</si>
  <si>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</si>
  <si>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</si>
  <si>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</si>
  <si>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</si>
  <si>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</si>
  <si>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</si>
  <si>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</si>
  <si>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</si>
  <si>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</si>
  <si>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</si>
  <si>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</si>
  <si>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</si>
  <si>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</si>
  <si>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</si>
  <si>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</si>
  <si>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</si>
  <si>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</si>
  <si>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</si>
  <si>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</si>
  <si>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</si>
  <si>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</si>
  <si>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</si>
  <si>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</si>
  <si>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</si>
  <si>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</si>
  <si>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</si>
  <si>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</si>
  <si>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</si>
  <si>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</si>
  <si>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</si>
  <si>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</si>
  <si>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</si>
  <si>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</si>
  <si>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</si>
  <si>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</si>
  <si>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</si>
  <si>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</si>
  <si>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</si>
  <si>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</si>
  <si>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</si>
  <si>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</si>
  <si>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</si>
  <si>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</si>
  <si>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</si>
  <si>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</si>
  <si>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</si>
  <si>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</si>
  <si>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</si>
  <si>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</si>
  <si>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</si>
  <si>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</si>
  <si>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</si>
  <si>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</si>
  <si>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</si>
  <si>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</si>
  <si>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</si>
  <si>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</si>
  <si>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</si>
  <si>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</si>
  <si>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</si>
  <si>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</si>
  <si>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</si>
  <si>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</si>
  <si>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</si>
  <si>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</si>
  <si>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</si>
  <si>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</si>
  <si>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</si>
  <si>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</si>
  <si>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</si>
  <si>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</si>
  <si>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</si>
  <si>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</si>
  <si>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</si>
  <si>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</si>
  <si>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</si>
  <si>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</si>
  <si>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</si>
  <si>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</si>
  <si>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</si>
  <si>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</si>
  <si>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</si>
  <si>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</si>
  <si>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</si>
  <si>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</si>
  <si>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</si>
  <si>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</si>
  <si>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</si>
  <si>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</si>
  <si>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</si>
  <si>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</si>
  <si>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</si>
  <si>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</si>
  <si>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</si>
  <si>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</si>
  <si>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</si>
  <si>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</si>
  <si>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</si>
  <si>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</si>
  <si>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</si>
  <si>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</si>
  <si>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</si>
  <si>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</si>
  <si>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</si>
  <si>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</si>
  <si>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</si>
  <si>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</si>
  <si>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</si>
  <si>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</si>
  <si>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</si>
  <si>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</si>
  <si>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</si>
  <si>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</si>
  <si>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</si>
  <si>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</si>
  <si>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</si>
  <si>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</si>
  <si>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</si>
  <si>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</si>
  <si>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</si>
  <si>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</si>
  <si>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</si>
  <si>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</si>
  <si>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</si>
  <si>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</si>
  <si>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</si>
  <si>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</si>
  <si>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</si>
  <si>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</si>
  <si>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</si>
  <si>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</si>
  <si>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</si>
  <si>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</si>
  <si>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</si>
  <si>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</si>
  <si>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</si>
  <si>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</si>
  <si>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</si>
  <si>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</si>
  <si>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</si>
  <si>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</si>
  <si>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</si>
  <si>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</si>
  <si>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</si>
  <si>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</si>
  <si>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</si>
  <si>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</si>
  <si>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</si>
  <si>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</si>
  <si>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</si>
  <si>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</si>
  <si>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</si>
  <si>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</si>
  <si>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</si>
  <si>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</si>
  <si>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</si>
  <si>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</si>
  <si>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</si>
  <si>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</si>
  <si>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</si>
  <si>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</si>
  <si>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</si>
  <si>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</si>
  <si>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</si>
  <si>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</si>
  <si>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</si>
  <si>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</si>
  <si>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</si>
  <si>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</si>
  <si>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</si>
  <si>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</si>
  <si>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</si>
  <si>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</si>
  <si>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</si>
  <si>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</si>
  <si>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</si>
  <si>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</si>
  <si>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</si>
  <si>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</si>
  <si>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</si>
  <si>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</si>
  <si>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</si>
  <si>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</si>
  <si>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</si>
  <si>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</si>
  <si>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</si>
  <si>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</si>
  <si>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</si>
  <si>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</si>
  <si>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</si>
  <si>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</si>
  <si>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</si>
  <si>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</si>
  <si>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</si>
  <si>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</si>
  <si>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</si>
  <si>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</si>
  <si>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</si>
  <si>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</si>
  <si>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</si>
  <si>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</si>
  <si>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</si>
  <si>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</si>
  <si>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</si>
  <si>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</si>
  <si>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</si>
  <si>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</si>
  <si>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</si>
  <si>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</si>
  <si>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</si>
  <si>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</si>
  <si>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</si>
  <si>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</si>
  <si>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</si>
  <si>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</si>
  <si>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</si>
  <si>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</si>
  <si>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</si>
  <si>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</si>
  <si>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</si>
  <si>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</si>
  <si>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</si>
  <si>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</si>
  <si>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</si>
  <si>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</si>
  <si>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</si>
  <si>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</si>
  <si>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</si>
  <si>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</si>
  <si>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</si>
  <si>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</si>
  <si>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</si>
  <si>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</si>
  <si>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</si>
  <si>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</si>
  <si>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</si>
  <si>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</si>
  <si>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</si>
  <si>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</si>
  <si>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</si>
  <si>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</si>
  <si>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</si>
  <si>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</si>
  <si>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</si>
  <si>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</si>
  <si>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</si>
  <si>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</si>
  <si>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</si>
  <si>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</si>
  <si>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</si>
  <si>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</si>
  <si>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</si>
  <si>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</si>
  <si>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</si>
  <si>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</si>
  <si>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</si>
  <si>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</si>
  <si>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</si>
  <si>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</si>
  <si>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</si>
  <si>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</si>
  <si>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</si>
  <si>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</si>
  <si>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</si>
  <si>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</si>
  <si>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</si>
  <si>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</si>
  <si>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</si>
  <si>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</si>
  <si>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</si>
  <si>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</si>
  <si>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</si>
  <si>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</si>
  <si>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</si>
  <si>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</si>
  <si>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</si>
  <si>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</si>
  <si>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</si>
  <si>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</si>
  <si>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</si>
  <si>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</si>
  <si>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</si>
  <si>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</si>
  <si>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</si>
  <si>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</si>
  <si>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</si>
  <si>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</si>
  <si>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</si>
  <si>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</si>
  <si>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</si>
  <si>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</si>
  <si>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</si>
  <si>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</si>
  <si>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</si>
  <si>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</si>
  <si>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</si>
  <si>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</si>
  <si>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</si>
  <si>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</si>
  <si>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</si>
  <si>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</si>
  <si>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</si>
  <si>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</si>
  <si>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</si>
  <si>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</si>
  <si>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</si>
  <si>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</si>
  <si>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</si>
  <si>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</si>
  <si>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</si>
  <si>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</si>
  <si>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</si>
  <si>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</si>
  <si>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</si>
  <si>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</si>
  <si>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</si>
  <si>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</si>
  <si>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</si>
  <si>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</si>
  <si>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</si>
  <si>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</si>
  <si>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</si>
  <si>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</si>
  <si>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</si>
  <si>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</si>
  <si>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</si>
  <si>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</si>
  <si>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</si>
  <si>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</si>
  <si>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</si>
  <si>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</si>
  <si>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</si>
  <si>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</si>
  <si>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</si>
  <si>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</si>
  <si>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</si>
  <si>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</si>
  <si>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</si>
  <si>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</si>
  <si>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</si>
  <si>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</si>
  <si>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</si>
  <si>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</si>
  <si>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</si>
  <si>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</si>
  <si>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</si>
  <si>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</si>
  <si>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</si>
  <si>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</si>
  <si>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</si>
  <si>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</si>
  <si>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</si>
  <si>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</si>
  <si>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</si>
  <si>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</si>
  <si>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</si>
  <si>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</si>
  <si>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</si>
  <si>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</si>
  <si>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</si>
  <si>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</si>
  <si>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</si>
  <si>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</si>
  <si>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</si>
  <si>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</si>
  <si>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</si>
  <si>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</si>
  <si>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</si>
  <si>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</si>
  <si>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</si>
  <si>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</si>
  <si>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</si>
  <si>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</si>
  <si>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</si>
  <si>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</si>
  <si>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</si>
  <si>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</si>
  <si>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</si>
  <si>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</si>
  <si>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</si>
  <si>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</si>
  <si>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</si>
  <si>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</si>
  <si>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</si>
  <si>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</si>
  <si>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</si>
  <si>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</si>
  <si>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</si>
  <si>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</si>
  <si>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</si>
  <si>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</si>
  <si>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</si>
  <si>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</si>
  <si>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</si>
  <si>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</si>
  <si>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</si>
  <si>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</si>
  <si>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</si>
  <si>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</si>
  <si>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</si>
  <si>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</si>
  <si>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</si>
  <si>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</si>
  <si>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</si>
  <si>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</si>
  <si>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</si>
  <si>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</si>
  <si>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</si>
  <si>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</si>
  <si>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</si>
  <si>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</si>
  <si>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</si>
  <si>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</si>
  <si>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</si>
  <si>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</si>
  <si>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</si>
  <si>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</si>
  <si>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</si>
  <si>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</si>
  <si>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</si>
  <si>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</si>
  <si>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</si>
  <si>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</si>
  <si>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</si>
  <si>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</si>
  <si>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</si>
  <si>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</si>
  <si>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</si>
  <si>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</si>
  <si>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</si>
  <si>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</si>
  <si>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</si>
  <si>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</si>
  <si>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</si>
  <si>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</si>
  <si>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</si>
  <si>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</si>
  <si>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</si>
  <si>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</si>
  <si>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</si>
  <si>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</si>
  <si>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</si>
  <si>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</si>
  <si>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</si>
  <si>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</si>
  <si>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</si>
  <si>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</si>
  <si>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</si>
  <si>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</si>
  <si>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</si>
  <si>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</si>
  <si>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</si>
  <si>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</si>
  <si>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</si>
  <si>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</si>
  <si>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</si>
  <si>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</si>
  <si>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</si>
  <si>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</si>
  <si>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</si>
  <si>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</si>
  <si>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</si>
  <si>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</si>
  <si>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</si>
  <si>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</si>
  <si>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</si>
  <si>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</si>
  <si>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</si>
  <si>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</si>
  <si>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</si>
  <si>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</si>
  <si>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</si>
  <si>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</si>
  <si>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</si>
  <si>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</si>
  <si>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</si>
  <si>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</si>
  <si>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</si>
  <si>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</si>
  <si>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</si>
  <si>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</si>
  <si>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</si>
  <si>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</si>
  <si>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</si>
  <si>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</si>
  <si>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</si>
  <si>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</si>
  <si>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</si>
  <si>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</si>
  <si>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</si>
  <si>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</si>
  <si>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</si>
  <si>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</si>
  <si>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</si>
  <si>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</si>
  <si>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</si>
  <si>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</si>
  <si>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</si>
  <si>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</si>
  <si>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</si>
  <si>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</si>
  <si>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</si>
  <si>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</si>
  <si>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</si>
  <si>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</si>
  <si>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</si>
  <si>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</si>
  <si>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</si>
  <si>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</si>
  <si>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</si>
  <si>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</si>
  <si>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</si>
  <si>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</si>
  <si>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</si>
  <si>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</si>
  <si>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</si>
  <si>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</si>
  <si>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</si>
  <si>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</si>
  <si>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</si>
  <si>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</si>
  <si>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</si>
  <si>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</si>
  <si>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</si>
  <si>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</si>
  <si>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</si>
  <si>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</si>
  <si>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</si>
  <si>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</si>
  <si>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</si>
  <si>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</si>
  <si>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</si>
  <si>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</si>
  <si>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</si>
  <si>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</si>
  <si>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</si>
  <si>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</si>
  <si>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</si>
  <si>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</si>
  <si>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</si>
  <si>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</si>
  <si>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</si>
  <si>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</si>
  <si>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</si>
  <si>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</si>
  <si>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</si>
  <si>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</si>
  <si>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</si>
  <si>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</si>
  <si>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</si>
  <si>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</si>
  <si>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</si>
  <si>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</si>
  <si>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</si>
  <si>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</si>
  <si>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</si>
  <si>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</si>
  <si>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</si>
  <si>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</si>
  <si>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</si>
  <si>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</si>
  <si>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</si>
  <si>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</si>
  <si>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</si>
  <si>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</si>
  <si>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</si>
  <si>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</si>
  <si>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</si>
  <si>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</si>
  <si>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</si>
  <si>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</si>
  <si>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</si>
  <si>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</si>
  <si>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</si>
  <si>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</si>
  <si>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</si>
  <si>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</si>
  <si>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</si>
  <si>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</si>
  <si>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</si>
  <si>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</si>
  <si>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</si>
  <si>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</si>
  <si>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</si>
  <si>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</si>
  <si>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</si>
  <si>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</si>
  <si>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</si>
  <si>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</si>
  <si>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</si>
  <si>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</si>
  <si>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</si>
  <si>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</si>
  <si>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</si>
  <si>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</si>
  <si>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</si>
  <si>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</si>
  <si>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</si>
  <si>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</si>
  <si>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</si>
  <si>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</si>
  <si>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</si>
  <si>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</si>
  <si>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</si>
  <si>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</si>
  <si>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</si>
  <si>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</si>
  <si>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</si>
  <si>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</si>
  <si>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</si>
  <si>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</si>
  <si>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</si>
  <si>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</si>
  <si>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</si>
  <si>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</si>
  <si>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</si>
  <si>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</si>
  <si>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</si>
  <si>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</si>
  <si>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</si>
  <si>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</si>
  <si>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</si>
  <si>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</si>
  <si>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</si>
  <si>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</si>
  <si>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</si>
  <si>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</si>
  <si>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</si>
  <si>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</si>
  <si>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</si>
  <si>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</si>
  <si>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</si>
  <si>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</si>
  <si>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</si>
  <si>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</si>
  <si>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</si>
  <si>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</si>
  <si>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</si>
  <si>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</si>
  <si>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</si>
  <si>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</si>
  <si>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</si>
  <si>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</si>
  <si>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</si>
  <si>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</si>
  <si>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</si>
  <si>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</si>
  <si>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</si>
  <si>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</si>
  <si>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</si>
  <si>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</si>
  <si>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</si>
  <si>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</si>
  <si>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</si>
  <si>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</si>
  <si>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</si>
  <si>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</si>
  <si>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</si>
  <si>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</si>
  <si>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</si>
  <si>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</si>
  <si>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</si>
  <si>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</si>
  <si>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</si>
  <si>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</si>
  <si>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</si>
  <si>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</si>
  <si>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</si>
  <si>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</si>
  <si>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</si>
  <si>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</si>
  <si>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</si>
  <si>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</si>
  <si>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</si>
  <si>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</si>
  <si>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</si>
  <si>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</si>
  <si>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</si>
  <si>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</si>
  <si>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</si>
  <si>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</si>
  <si>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</si>
  <si>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</si>
  <si>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</si>
  <si>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</si>
  <si>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</si>
  <si>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</si>
  <si>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</si>
  <si>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</si>
  <si>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</si>
  <si>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</si>
  <si>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</si>
  <si>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</si>
  <si>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</si>
  <si>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</si>
  <si>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</si>
  <si>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</si>
  <si>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</si>
  <si>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</si>
  <si>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</si>
  <si>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</si>
  <si>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</si>
  <si>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</si>
  <si>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</si>
  <si>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</si>
  <si>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</si>
  <si>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</si>
  <si>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</si>
  <si>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</si>
  <si>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</si>
  <si>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</si>
  <si>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</si>
  <si>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</si>
  <si>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</si>
  <si>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</si>
  <si>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</si>
  <si>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</si>
  <si>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</si>
  <si>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</si>
  <si>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</si>
  <si>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</si>
  <si>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</si>
  <si>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</si>
  <si>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</si>
  <si>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</si>
  <si>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</si>
  <si>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</si>
  <si>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</si>
  <si>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</si>
  <si>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</si>
  <si>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</si>
  <si>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</si>
  <si>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</si>
  <si>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</si>
  <si>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</si>
  <si>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</si>
  <si>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</si>
  <si>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</si>
  <si>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</si>
  <si>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</si>
  <si>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</si>
  <si>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</si>
  <si>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</si>
  <si>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</si>
  <si>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</si>
  <si>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</si>
  <si>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</si>
  <si>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</si>
  <si>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</si>
  <si>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</si>
  <si>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</si>
  <si>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</si>
  <si>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</si>
  <si>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</si>
  <si>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</si>
  <si>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</si>
  <si>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</si>
  <si>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</si>
  <si>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</si>
  <si>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</si>
  <si>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</si>
  <si>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</si>
  <si>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</si>
  <si>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</si>
  <si>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</si>
  <si>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</si>
  <si>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</si>
  <si>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</si>
  <si>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</si>
  <si>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</si>
  <si>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</si>
  <si>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</si>
  <si>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</si>
  <si>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</si>
  <si>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</si>
  <si>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</si>
  <si>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</si>
  <si>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</si>
  <si>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</si>
  <si>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</si>
  <si>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</si>
  <si>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</si>
  <si>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</si>
  <si>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</si>
  <si>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</si>
  <si>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</si>
  <si>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</si>
  <si>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</si>
  <si>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</si>
  <si>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</si>
  <si>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</si>
  <si>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</si>
  <si>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</si>
  <si>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</si>
  <si>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</si>
  <si>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</si>
  <si>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</si>
  <si>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</si>
  <si>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</si>
  <si>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</si>
  <si>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</si>
  <si>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</si>
  <si>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</si>
  <si>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</si>
  <si>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</si>
  <si>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</si>
  <si>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</si>
  <si>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</si>
  <si>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</si>
  <si>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</si>
  <si>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</si>
  <si>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</si>
  <si>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</si>
  <si>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</si>
  <si>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</si>
  <si>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</si>
  <si>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</si>
  <si>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</si>
  <si>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</si>
  <si>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</si>
  <si>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</si>
  <si>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</si>
  <si>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</si>
  <si>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</si>
  <si>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</si>
  <si>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</si>
  <si>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</si>
  <si>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</si>
  <si>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</si>
  <si>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</si>
  <si>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</si>
  <si>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</si>
  <si>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</si>
  <si>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</si>
  <si>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</si>
  <si>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</si>
  <si>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</si>
  <si>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</si>
  <si>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</si>
  <si>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</si>
  <si>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</si>
  <si>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</si>
  <si>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</si>
  <si>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</si>
  <si>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</si>
  <si>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</si>
  <si>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</si>
  <si>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</si>
  <si>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</si>
  <si>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</si>
  <si>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</si>
  <si>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</si>
  <si>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</si>
  <si>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</si>
  <si>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</si>
  <si>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</si>
  <si>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</si>
  <si>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</si>
  <si>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</si>
  <si>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</si>
  <si>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</si>
  <si>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</si>
  <si>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</si>
  <si>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</si>
  <si>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</si>
  <si>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</si>
  <si>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</si>
  <si>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</si>
  <si>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</si>
  <si>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</si>
  <si>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</si>
  <si>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</si>
  <si>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</si>
  <si>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</si>
  <si>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</si>
  <si>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</si>
  <si>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</si>
  <si>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</si>
  <si>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</si>
  <si>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</si>
  <si>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</si>
  <si>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</si>
  <si>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</si>
  <si>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</si>
  <si>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</si>
  <si>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</si>
  <si>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</si>
  <si>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</si>
  <si>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</si>
  <si>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</si>
  <si>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</si>
  <si>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</si>
  <si>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</si>
  <si>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</si>
  <si>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</si>
  <si>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</si>
  <si>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</si>
  <si>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</si>
  <si>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</si>
  <si>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</si>
  <si>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</si>
  <si>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</si>
  <si>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</si>
  <si>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</si>
  <si>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</si>
  <si>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</si>
  <si>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</si>
  <si>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</si>
  <si>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</si>
  <si>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</si>
  <si>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</si>
  <si>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</si>
  <si>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</si>
  <si>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</si>
  <si>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</si>
  <si>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</si>
  <si>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</si>
  <si>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</si>
  <si>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</si>
  <si>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</si>
  <si>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</si>
  <si>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</si>
  <si>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</si>
  <si>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</si>
  <si>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</si>
  <si>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</si>
  <si>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</si>
  <si>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</si>
  <si>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</si>
  <si>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</si>
  <si>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</si>
  <si>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</si>
  <si>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</si>
  <si>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</si>
  <si>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</si>
  <si>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</si>
  <si>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</si>
  <si>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</si>
  <si>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</si>
  <si>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</si>
  <si>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</si>
  <si>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</si>
  <si>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</si>
  <si>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</si>
  <si>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</si>
  <si>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</si>
  <si>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</si>
  <si>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</si>
  <si>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</si>
  <si>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</si>
  <si>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</si>
  <si>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</si>
  <si>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</si>
  <si>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</si>
  <si>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</si>
  <si>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</si>
  <si>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</si>
  <si>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</si>
  <si>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</si>
  <si>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</si>
  <si>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</si>
  <si>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</si>
  <si>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</si>
  <si>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</si>
  <si>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</si>
  <si>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</si>
  <si>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</si>
  <si>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</si>
  <si>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</si>
  <si>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</si>
  <si>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</si>
  <si>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</si>
  <si>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</si>
  <si>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</si>
  <si>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</si>
  <si>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</si>
  <si>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</si>
  <si>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</si>
  <si>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</si>
  <si>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</si>
  <si>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</si>
  <si>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</si>
  <si>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</si>
  <si>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</si>
  <si>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</si>
  <si>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</si>
  <si>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</si>
  <si>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</si>
  <si>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</si>
  <si>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</si>
  <si>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</si>
  <si>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</si>
  <si>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</si>
  <si>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</si>
  <si>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</si>
  <si>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</si>
  <si>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</si>
  <si>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</si>
  <si>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</si>
  <si>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</si>
  <si>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</si>
  <si>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</si>
  <si>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</si>
  <si>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</si>
  <si>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</si>
  <si>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</si>
  <si>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</si>
  <si>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</si>
  <si>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</si>
  <si>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</si>
  <si>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</si>
  <si>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</si>
  <si>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</si>
  <si>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</si>
  <si>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</si>
  <si>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</si>
  <si>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</si>
  <si>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</si>
  <si>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</si>
  <si>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</si>
  <si>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</si>
  <si>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</si>
  <si>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</si>
  <si>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</si>
  <si>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</si>
  <si>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</si>
  <si>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</si>
  <si>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</si>
  <si>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</si>
  <si>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</si>
  <si>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</si>
  <si>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</si>
  <si>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</si>
  <si>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</si>
  <si>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</si>
  <si>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</si>
  <si>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</si>
  <si>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</si>
  <si>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</si>
  <si>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</si>
  <si>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</si>
  <si>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</si>
  <si>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</si>
  <si>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</si>
  <si>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</si>
  <si>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</si>
  <si>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</si>
  <si>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</si>
  <si>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</si>
  <si>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</si>
  <si>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</si>
  <si>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</si>
  <si>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</si>
  <si>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</si>
  <si>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</si>
  <si>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</si>
  <si>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</si>
  <si>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</si>
  <si>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</si>
  <si>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</si>
  <si>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</si>
  <si>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</si>
  <si>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</si>
  <si>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</si>
  <si>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</si>
  <si>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</si>
  <si>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</si>
  <si>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</si>
  <si>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</si>
  <si>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</si>
  <si>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</si>
  <si>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</si>
  <si>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</si>
  <si>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</si>
  <si>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</si>
  <si>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</si>
  <si>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</si>
  <si>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</si>
  <si>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</si>
  <si>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</si>
  <si>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</si>
  <si>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</si>
  <si>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</si>
  <si>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</si>
  <si>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</si>
  <si>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</si>
  <si>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</si>
  <si>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</si>
  <si>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</si>
  <si>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</si>
  <si>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</si>
  <si>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</si>
  <si>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</si>
  <si>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</si>
  <si>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</si>
  <si>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</si>
  <si>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</si>
  <si>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</si>
  <si>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</si>
  <si>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</si>
  <si>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</si>
  <si>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</si>
  <si>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</si>
  <si>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</si>
  <si>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</si>
  <si>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</si>
  <si>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</si>
  <si>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</si>
  <si>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</si>
  <si>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</si>
  <si>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</si>
  <si>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</si>
  <si>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</si>
  <si>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</si>
  <si>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</si>
  <si>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</si>
  <si>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</si>
  <si>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</si>
  <si>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</si>
  <si>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</si>
  <si>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</si>
  <si>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</si>
  <si>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</si>
  <si>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</si>
  <si>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</si>
  <si>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</si>
  <si>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</si>
  <si>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</si>
  <si>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</si>
  <si>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</si>
  <si>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</si>
  <si>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</si>
  <si>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</si>
  <si>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</si>
  <si>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</si>
  <si>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</si>
  <si>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</si>
  <si>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</si>
  <si>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</si>
  <si>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</si>
  <si>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</si>
  <si>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</si>
  <si>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</si>
  <si>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</si>
  <si>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</si>
  <si>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</si>
  <si>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</si>
  <si>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</si>
  <si>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</si>
  <si>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</si>
  <si>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</si>
  <si>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</si>
  <si>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</si>
  <si>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</si>
  <si>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</si>
  <si>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</si>
  <si>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</si>
  <si>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</si>
  <si>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</si>
  <si>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</si>
  <si>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</si>
  <si>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</si>
  <si>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</si>
  <si>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</si>
  <si>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</si>
  <si>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</si>
  <si>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</si>
  <si>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</si>
  <si>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</si>
  <si>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</si>
  <si>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</si>
  <si>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</si>
  <si>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</si>
  <si>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</si>
  <si>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</si>
  <si>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</si>
  <si>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</si>
  <si>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</si>
  <si>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</si>
  <si>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</si>
  <si>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</si>
  <si>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</si>
  <si>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</si>
  <si>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</si>
  <si>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</si>
  <si>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</si>
  <si>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</si>
  <si>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</si>
  <si>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</si>
  <si>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</si>
  <si>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</si>
  <si>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</si>
  <si>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</si>
  <si>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</si>
  <si>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</si>
  <si>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</si>
  <si>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</si>
  <si>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</si>
  <si>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</si>
  <si>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</si>
  <si>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</si>
  <si>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</si>
  <si>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</si>
  <si>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</si>
  <si>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</si>
  <si>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</si>
  <si>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</si>
  <si>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</si>
  <si>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</si>
  <si>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</si>
  <si>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</si>
  <si>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</si>
  <si>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</si>
  <si>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</si>
  <si>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</si>
  <si>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</si>
  <si>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</si>
  <si>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</si>
  <si>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</si>
  <si>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</si>
  <si>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</si>
  <si>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</si>
  <si>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</si>
  <si>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</si>
  <si>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</si>
  <si>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</si>
  <si>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</si>
  <si>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</si>
  <si>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</si>
  <si>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</si>
  <si>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</si>
  <si>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</si>
  <si>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</si>
  <si>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</si>
  <si>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</si>
  <si>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</si>
  <si>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</si>
  <si>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</si>
  <si>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</si>
  <si>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</si>
  <si>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</si>
  <si>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</si>
  <si>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</si>
  <si>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</si>
  <si>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</si>
  <si>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</si>
  <si>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</si>
  <si>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</si>
  <si>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</si>
  <si>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</si>
  <si>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</si>
  <si>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</si>
  <si>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</si>
  <si>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</si>
  <si>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</si>
  <si>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</si>
  <si>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</si>
  <si>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</si>
  <si>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</si>
  <si>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</si>
  <si>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</si>
  <si>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</si>
  <si>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</si>
  <si>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</si>
  <si>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</si>
  <si>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</si>
  <si>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</si>
  <si>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</si>
  <si>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</si>
  <si>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</si>
  <si>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</si>
  <si>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</si>
  <si>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</si>
  <si>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</si>
  <si>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</si>
  <si>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</si>
  <si>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</si>
  <si>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</si>
  <si>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</si>
  <si>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</si>
  <si>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</si>
  <si>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</si>
  <si>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</si>
  <si>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</si>
  <si>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</si>
  <si>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</si>
  <si>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</si>
  <si>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</si>
  <si>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</si>
  <si>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</si>
  <si>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</si>
  <si>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</si>
  <si>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</si>
  <si>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</si>
  <si>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</si>
  <si>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</si>
  <si>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</si>
  <si>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</si>
  <si>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</si>
  <si>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</si>
  <si>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</si>
  <si>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</si>
  <si>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</si>
  <si>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</si>
  <si>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</si>
  <si>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</si>
  <si>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</si>
  <si>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</si>
  <si>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</si>
  <si>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</si>
  <si>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</si>
  <si>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</si>
  <si>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</si>
  <si>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</si>
  <si>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</si>
  <si>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</si>
  <si>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</si>
  <si>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</si>
  <si>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</si>
  <si>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</si>
  <si>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</si>
  <si>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</si>
  <si>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</si>
  <si>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</si>
  <si>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</si>
  <si>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</si>
  <si>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</si>
  <si>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</si>
  <si>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</si>
  <si>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</si>
  <si>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</si>
  <si>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</si>
  <si>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</si>
  <si>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</si>
  <si>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</si>
  <si>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</si>
  <si>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</si>
  <si>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</si>
  <si>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</si>
  <si>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</si>
  <si>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</si>
  <si>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</si>
  <si>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</si>
  <si>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</si>
  <si>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</si>
  <si>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</si>
  <si>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</si>
  <si>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</si>
  <si>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</si>
  <si>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</si>
  <si>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</si>
  <si>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</si>
  <si>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</si>
  <si>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</si>
  <si>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</si>
  <si>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</si>
  <si>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</si>
  <si>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</si>
  <si>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</si>
  <si>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</si>
  <si>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</si>
  <si>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</si>
  <si>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</si>
  <si>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</si>
  <si>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</si>
  <si>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</si>
  <si>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</si>
  <si>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</si>
  <si>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</si>
  <si>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</si>
  <si>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</si>
  <si>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</si>
  <si>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</si>
  <si>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</si>
  <si>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</si>
  <si>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</si>
  <si>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</si>
  <si>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</si>
  <si>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</si>
  <si>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</si>
  <si>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</si>
  <si>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</si>
  <si>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</si>
  <si>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</si>
  <si>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</si>
  <si>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</si>
  <si>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</si>
  <si>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</si>
  <si>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</si>
  <si>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</si>
  <si>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</si>
  <si>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</si>
  <si>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</si>
  <si>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</si>
  <si>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</si>
  <si>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</si>
  <si>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</si>
  <si>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</si>
  <si>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</si>
  <si>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</si>
  <si>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</si>
  <si>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</si>
  <si>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</si>
  <si>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</si>
  <si>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</si>
  <si>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</si>
  <si>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</si>
  <si>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</si>
  <si>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</si>
  <si>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</si>
  <si>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</si>
  <si>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</si>
  <si>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</si>
  <si>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</si>
  <si>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</si>
  <si>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</si>
  <si>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</si>
  <si>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</si>
  <si>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</si>
  <si>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</si>
  <si>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</si>
  <si>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</si>
  <si>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</si>
  <si>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</si>
  <si>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</si>
  <si>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</si>
  <si>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</si>
  <si>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</si>
  <si>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</si>
  <si>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</si>
  <si>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</si>
  <si>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</si>
  <si>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</si>
  <si>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</si>
  <si>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</si>
  <si>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</si>
  <si>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</si>
  <si>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</si>
  <si>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</si>
  <si>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</si>
  <si>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</si>
  <si>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</si>
  <si>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</si>
  <si>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</si>
  <si>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</si>
  <si>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</si>
  <si>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</si>
  <si>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</si>
  <si>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</si>
  <si>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</si>
  <si>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</si>
  <si>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</si>
  <si>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</si>
  <si>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</si>
  <si>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</si>
  <si>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</si>
  <si>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</si>
  <si>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</si>
  <si>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</si>
  <si>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</si>
  <si>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</si>
  <si>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</si>
  <si>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</si>
  <si>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</si>
  <si>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</si>
  <si>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</si>
  <si>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</si>
  <si>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</si>
  <si>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</si>
  <si>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</si>
  <si>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</si>
  <si>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</si>
  <si>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</si>
  <si>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</si>
  <si>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</si>
  <si>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</si>
  <si>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</si>
  <si>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</si>
  <si>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</si>
  <si>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</si>
  <si>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</si>
  <si>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</si>
  <si>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</si>
  <si>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</si>
  <si>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</si>
  <si>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</si>
  <si>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</si>
  <si>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</si>
  <si>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</si>
  <si>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</si>
  <si>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</si>
  <si>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</si>
  <si>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</si>
  <si>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</si>
  <si>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</si>
  <si>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</si>
  <si>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</si>
  <si>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</si>
  <si>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</si>
  <si>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</si>
  <si>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</si>
  <si>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</si>
  <si>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</si>
  <si>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</si>
  <si>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</si>
  <si>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</si>
  <si>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</si>
  <si>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</si>
  <si>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</si>
  <si>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</si>
  <si>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</si>
  <si>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</si>
  <si>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</si>
  <si>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</si>
  <si>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</si>
  <si>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</si>
  <si>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</si>
  <si>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</si>
  <si>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</si>
  <si>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</si>
  <si>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</si>
  <si>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</si>
  <si>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</si>
  <si>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</si>
  <si>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</si>
  <si>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</si>
  <si>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</si>
  <si>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</si>
  <si>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</si>
  <si>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</si>
  <si>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</si>
  <si>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</si>
  <si>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</si>
  <si>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</si>
  <si>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</si>
  <si>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</si>
  <si>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</si>
  <si>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</si>
  <si>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</si>
  <si>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</si>
  <si>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</si>
  <si>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</si>
  <si>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</si>
  <si>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</si>
  <si>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</si>
  <si>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</si>
  <si>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</si>
  <si>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</si>
  <si>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</si>
  <si>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</si>
  <si>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</si>
  <si>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</si>
  <si>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</si>
  <si>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</si>
  <si>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</si>
  <si>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</si>
  <si>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</si>
  <si>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</si>
  <si>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</si>
  <si>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</si>
  <si>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</si>
  <si>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</si>
  <si>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</si>
  <si>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</si>
  <si>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</si>
  <si>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</si>
  <si>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</si>
  <si>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</si>
  <si>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</si>
  <si>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</si>
  <si>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</si>
  <si>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</si>
  <si>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</si>
  <si>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</si>
  <si>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</si>
  <si>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</si>
  <si>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</si>
  <si>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</si>
  <si>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</si>
  <si>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</si>
  <si>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</si>
  <si>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</si>
  <si>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</si>
  <si>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</si>
  <si>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</si>
  <si>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</si>
  <si>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</si>
  <si>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</si>
  <si>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</si>
  <si>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</si>
  <si>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</si>
  <si>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</si>
  <si>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</si>
  <si>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</si>
  <si>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</si>
  <si>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</si>
  <si>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</si>
  <si>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</si>
  <si>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</si>
  <si>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</si>
  <si>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</si>
  <si>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</si>
  <si>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</si>
  <si>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</si>
  <si>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</si>
  <si>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</si>
  <si>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</si>
  <si>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</si>
  <si>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</si>
  <si>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</si>
  <si>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</si>
  <si>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</si>
  <si>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</si>
  <si>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</si>
  <si>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</si>
  <si>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</si>
  <si>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</si>
  <si>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</si>
  <si>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</si>
  <si>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</si>
  <si>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</si>
  <si>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</si>
  <si>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</si>
  <si>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</si>
  <si>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</si>
  <si>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</si>
  <si>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</si>
  <si>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</si>
  <si>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</si>
  <si>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</si>
  <si>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</si>
  <si>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</si>
  <si>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</si>
  <si>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</si>
  <si>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</si>
  <si>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</si>
  <si>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</si>
  <si>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</si>
  <si>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</si>
  <si>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</si>
  <si>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</si>
  <si>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</si>
  <si>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</si>
  <si>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</si>
  <si>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</si>
  <si>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</si>
  <si>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</si>
  <si>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</si>
  <si>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</si>
  <si>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</si>
  <si>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</si>
  <si>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</si>
  <si>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</si>
  <si>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</si>
  <si>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</si>
  <si>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</si>
  <si>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</si>
  <si>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</si>
  <si>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</si>
  <si>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</si>
  <si>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</si>
  <si>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</si>
  <si>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</si>
  <si>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</si>
  <si>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</si>
  <si>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</si>
  <si>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</si>
  <si>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</si>
  <si>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</si>
  <si>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</si>
  <si>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</si>
  <si>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</si>
  <si>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</si>
  <si>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</si>
  <si>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</si>
  <si>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</si>
  <si>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</si>
  <si>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</si>
  <si>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</si>
  <si>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</si>
  <si>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</si>
  <si>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</si>
  <si>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</si>
  <si>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</si>
  <si>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</si>
  <si>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</si>
  <si>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</si>
  <si>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</si>
  <si>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</si>
  <si>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</si>
  <si>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</si>
  <si>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</si>
  <si>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</si>
  <si>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</si>
  <si>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</si>
  <si>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</si>
  <si>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</si>
  <si>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</si>
  <si>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</si>
  <si>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</si>
  <si>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</si>
  <si>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</si>
  <si>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</si>
  <si>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</si>
  <si>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</si>
  <si>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</si>
  <si>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</si>
  <si>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</si>
  <si>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</si>
  <si>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</si>
  <si>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</si>
  <si>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</si>
  <si>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</si>
  <si>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</si>
  <si>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</si>
  <si>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</si>
  <si>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</si>
  <si>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</si>
  <si>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</si>
  <si>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</si>
  <si>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</si>
  <si>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</si>
  <si>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</si>
  <si>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</si>
  <si>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</si>
  <si>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</si>
  <si>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</si>
  <si>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</si>
  <si>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</si>
  <si>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</si>
  <si>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</si>
  <si>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</si>
  <si>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</si>
  <si>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</si>
  <si>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</si>
  <si>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</si>
  <si>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</si>
  <si>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</si>
  <si>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</si>
  <si>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</si>
  <si>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</si>
  <si>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</si>
  <si>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</si>
  <si>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</si>
  <si>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</si>
  <si>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</si>
  <si>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</si>
  <si>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</si>
  <si>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</si>
  <si>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</si>
  <si>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</si>
  <si>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</si>
  <si>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</si>
  <si>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</si>
  <si>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</si>
  <si>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</si>
  <si>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</si>
  <si>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</si>
  <si>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</si>
  <si>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</si>
  <si>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Jaçanã / Tremembé</t>
  </si>
  <si>
    <t>01/04/2026</t>
  </si>
  <si>
    <t>30/04/2026</t>
  </si>
  <si>
    <t>020.795-00</t>
  </si>
  <si>
    <t>2022/0030089-001A</t>
  </si>
  <si>
    <t>2022/0030089</t>
  </si>
  <si>
    <t>BUD4I67</t>
  </si>
  <si>
    <t>NORMAL</t>
  </si>
  <si>
    <t>EMEI</t>
  </si>
  <si>
    <t>JT</t>
  </si>
  <si>
    <t>EMEF</t>
  </si>
  <si>
    <t>EMEE</t>
  </si>
  <si>
    <t>CEI</t>
  </si>
  <si>
    <t>017.045-00</t>
  </si>
  <si>
    <t>2022/0031284-001</t>
  </si>
  <si>
    <t>2022/0031284</t>
  </si>
  <si>
    <t>DPE3367</t>
  </si>
  <si>
    <t>CRECHE</t>
  </si>
  <si>
    <t>JTC</t>
  </si>
  <si>
    <t>018.587-00</t>
  </si>
  <si>
    <t>2022/0031297-001A</t>
  </si>
  <si>
    <t>2022/0031297</t>
  </si>
  <si>
    <t>FLG8G14</t>
  </si>
  <si>
    <t>020.105-00</t>
  </si>
  <si>
    <t>2023/0014924-001</t>
  </si>
  <si>
    <t>2023/0014924</t>
  </si>
  <si>
    <t>ECT3830</t>
  </si>
  <si>
    <t>019.691-00</t>
  </si>
  <si>
    <t>2022/0033323-001A</t>
  </si>
  <si>
    <t>2022/0033323</t>
  </si>
  <si>
    <t>BYW9F71</t>
  </si>
  <si>
    <t>039.886-00</t>
  </si>
  <si>
    <t>2022/0051245-001C</t>
  </si>
  <si>
    <t>2022/0051245</t>
  </si>
  <si>
    <t>DJB7C60</t>
  </si>
  <si>
    <t>018.562-00</t>
  </si>
  <si>
    <t>2022/0030176-001</t>
  </si>
  <si>
    <t>2022/0030176</t>
  </si>
  <si>
    <t>EFU8546</t>
  </si>
  <si>
    <t>JTE</t>
  </si>
  <si>
    <t>035.345-00</t>
  </si>
  <si>
    <t>2022/0051882-001A</t>
  </si>
  <si>
    <t>2022/0051882</t>
  </si>
  <si>
    <t>LMY0H95</t>
  </si>
  <si>
    <t>019.698-00</t>
  </si>
  <si>
    <t>2022/0029567-001D</t>
  </si>
  <si>
    <t>2022/0029567</t>
  </si>
  <si>
    <t>DTC6623</t>
  </si>
  <si>
    <t>020.946-00</t>
  </si>
  <si>
    <t>2023/0011942-001A</t>
  </si>
  <si>
    <t>2023/0011942</t>
  </si>
  <si>
    <t>PYZ2E96</t>
  </si>
  <si>
    <t>036.158-00</t>
  </si>
  <si>
    <t>2022/0034195-001B</t>
  </si>
  <si>
    <t>2022/0034195</t>
  </si>
  <si>
    <t>HLF8B12</t>
  </si>
  <si>
    <t>044.154-00</t>
  </si>
  <si>
    <t>2022/0038095-001C</t>
  </si>
  <si>
    <t>2022/0038095</t>
  </si>
  <si>
    <t>FAH0360</t>
  </si>
  <si>
    <t>ADAPTADO</t>
  </si>
  <si>
    <t>041.187-00</t>
  </si>
  <si>
    <t>2022/0028787-001</t>
  </si>
  <si>
    <t>2022/0028787</t>
  </si>
  <si>
    <t>IUC4104</t>
  </si>
  <si>
    <t>009.550-00</t>
  </si>
  <si>
    <t>2022/0038625-001B</t>
  </si>
  <si>
    <t>2022/0038625</t>
  </si>
  <si>
    <t>FSH4F76</t>
  </si>
  <si>
    <t>034.555-00</t>
  </si>
  <si>
    <t>2022/0031269-001C</t>
  </si>
  <si>
    <t>2022/0031269</t>
  </si>
  <si>
    <t>DAJ8950</t>
  </si>
  <si>
    <t>007.499-00</t>
  </si>
  <si>
    <t>2022/0028971-001</t>
  </si>
  <si>
    <t>2022/0028971</t>
  </si>
  <si>
    <t>DTB8010</t>
  </si>
  <si>
    <t>041.982-00</t>
  </si>
  <si>
    <t>2022/0049414-001C</t>
  </si>
  <si>
    <t>2022/0049414</t>
  </si>
  <si>
    <t>EFV2980</t>
  </si>
  <si>
    <t>019.309-00</t>
  </si>
  <si>
    <t>2023/0026034-001</t>
  </si>
  <si>
    <t>2023/0026034</t>
  </si>
  <si>
    <t>GBI8449</t>
  </si>
  <si>
    <t>045.699-00</t>
  </si>
  <si>
    <t>2023/0021915-001</t>
  </si>
  <si>
    <t>2023/0021915</t>
  </si>
  <si>
    <t>CZX6238</t>
  </si>
  <si>
    <t>022.124-00</t>
  </si>
  <si>
    <t>2022/0053712-001A</t>
  </si>
  <si>
    <t>2022/0053712</t>
  </si>
  <si>
    <t>DTA2899</t>
  </si>
  <si>
    <t>019.861-00</t>
  </si>
  <si>
    <t>2023/0024967-001B</t>
  </si>
  <si>
    <t>2023/0024967</t>
  </si>
  <si>
    <t>KNS6034</t>
  </si>
  <si>
    <t>016.270-00</t>
  </si>
  <si>
    <t>2022/0031234-001</t>
  </si>
  <si>
    <t>2022/0031234</t>
  </si>
  <si>
    <t>CZX7154</t>
  </si>
  <si>
    <t>026.506-00</t>
  </si>
  <si>
    <t>2022/0049774-001</t>
  </si>
  <si>
    <t>2022/0049774</t>
  </si>
  <si>
    <t>ELQ2859</t>
  </si>
  <si>
    <t>028.382-00</t>
  </si>
  <si>
    <t>2022/0030756-001A</t>
  </si>
  <si>
    <t>2022/0030756</t>
  </si>
  <si>
    <t>BSZ8210</t>
  </si>
  <si>
    <t>011.433-00</t>
  </si>
  <si>
    <t>2022/0027795-001</t>
  </si>
  <si>
    <t>2022/0027795</t>
  </si>
  <si>
    <t>CZX8996</t>
  </si>
  <si>
    <t>024.810-00</t>
  </si>
  <si>
    <t>2022/0027336-001A</t>
  </si>
  <si>
    <t>2022/0027336</t>
  </si>
  <si>
    <t>GBV2A29</t>
  </si>
  <si>
    <t>027.337-00</t>
  </si>
  <si>
    <t>2022/0031353-001C</t>
  </si>
  <si>
    <t>2022/0031353</t>
  </si>
  <si>
    <t>EJX8200</t>
  </si>
  <si>
    <t>029.988-00</t>
  </si>
  <si>
    <t>2022/0042711-001A</t>
  </si>
  <si>
    <t>2022/0042711</t>
  </si>
  <si>
    <t>BAE8588</t>
  </si>
  <si>
    <t>026.964-00</t>
  </si>
  <si>
    <t>2022/0041499-001C</t>
  </si>
  <si>
    <t>2022/0041499</t>
  </si>
  <si>
    <t>FDN2007</t>
  </si>
  <si>
    <t>015.616-00</t>
  </si>
  <si>
    <t>2022/0033970-001</t>
  </si>
  <si>
    <t>2022/0033970</t>
  </si>
  <si>
    <t>EFU8255</t>
  </si>
  <si>
    <t>023.080-00</t>
  </si>
  <si>
    <t>2022/0028930-001</t>
  </si>
  <si>
    <t>2022/0028930</t>
  </si>
  <si>
    <t>EZU9860</t>
  </si>
  <si>
    <t>033.148-00</t>
  </si>
  <si>
    <t>2023/0018617-001</t>
  </si>
  <si>
    <t>2023/0018617</t>
  </si>
  <si>
    <t>CZX5982</t>
  </si>
  <si>
    <t>029.903-00</t>
  </si>
  <si>
    <t>2022/0028893-001</t>
  </si>
  <si>
    <t>2022/0028893</t>
  </si>
  <si>
    <t>ECT9652</t>
  </si>
  <si>
    <t>021.166-00</t>
  </si>
  <si>
    <t>2022/0030916-001A</t>
  </si>
  <si>
    <t>2022/0030916</t>
  </si>
  <si>
    <t>CZX3604</t>
  </si>
  <si>
    <t>020.953-00</t>
  </si>
  <si>
    <t>2023/0017989-001B</t>
  </si>
  <si>
    <t>2023/0017989</t>
  </si>
  <si>
    <t>FFN7049</t>
  </si>
  <si>
    <t>032.929-00</t>
  </si>
  <si>
    <t>2022/0030240-001B</t>
  </si>
  <si>
    <t>2022/0030240</t>
  </si>
  <si>
    <t>FAE9700</t>
  </si>
  <si>
    <t>018.282-00</t>
  </si>
  <si>
    <t>2023/0016478-001</t>
  </si>
  <si>
    <t>2023/0016478</t>
  </si>
  <si>
    <t>EGS8999</t>
  </si>
  <si>
    <t>040.755-00</t>
  </si>
  <si>
    <t>2022/0051335-001E</t>
  </si>
  <si>
    <t>2022/0051335</t>
  </si>
  <si>
    <t>SWF7C73</t>
  </si>
  <si>
    <t>024.680-00</t>
  </si>
  <si>
    <t>2023/0012596-001C</t>
  </si>
  <si>
    <t>2023/0012596</t>
  </si>
  <si>
    <t>EJZ4C18</t>
  </si>
  <si>
    <t>038.897-00</t>
  </si>
  <si>
    <t>2022/0029669-001C</t>
  </si>
  <si>
    <t>2022/0029669</t>
  </si>
  <si>
    <t>EFV3609</t>
  </si>
  <si>
    <t>031.967-00-c</t>
  </si>
  <si>
    <t>2022/0052508-001</t>
  </si>
  <si>
    <t>2022/0052508</t>
  </si>
  <si>
    <t>JIG7G67</t>
  </si>
  <si>
    <t>044.816-00</t>
  </si>
  <si>
    <t>2022/0050724-001F</t>
  </si>
  <si>
    <t>2022/0050724</t>
  </si>
  <si>
    <t>FGI5B19</t>
  </si>
  <si>
    <t>047.623-00</t>
  </si>
  <si>
    <t>2022/0053706-001A</t>
  </si>
  <si>
    <t>2022/0053706</t>
  </si>
  <si>
    <t>KQB2827</t>
  </si>
  <si>
    <t>018.202-00</t>
  </si>
  <si>
    <t>2022/0027456-001C</t>
  </si>
  <si>
    <t>2022/0027456</t>
  </si>
  <si>
    <t>DAJ6757</t>
  </si>
  <si>
    <t>048.434-00</t>
  </si>
  <si>
    <t>2022/0041776-001B</t>
  </si>
  <si>
    <t>2022/0041776</t>
  </si>
  <si>
    <t>DTE7E38</t>
  </si>
  <si>
    <t>021.839-00</t>
  </si>
  <si>
    <t>2022/0052620-001</t>
  </si>
  <si>
    <t>2022/0052620</t>
  </si>
  <si>
    <t>HKC8J36</t>
  </si>
  <si>
    <t>048.887-00</t>
  </si>
  <si>
    <t>2022/0043204-001</t>
  </si>
  <si>
    <t>2022/0043204</t>
  </si>
  <si>
    <t>NTC4220</t>
  </si>
  <si>
    <t>018.723-00</t>
  </si>
  <si>
    <t>2022/0029688-001C</t>
  </si>
  <si>
    <t>2022/0029688</t>
  </si>
  <si>
    <t>FGN9E30</t>
  </si>
  <si>
    <t>Ajuste positivo apontado por SME/DRE/JT</t>
  </si>
  <si>
    <t>Ajuste negativo apontado por SME/DRE/JT</t>
  </si>
  <si>
    <t>6020.2022/0030089-4</t>
  </si>
  <si>
    <t>6020.2022/0031284-1</t>
  </si>
  <si>
    <t>6020.2022/0031297-3</t>
  </si>
  <si>
    <t>6020.2023/0014924-1</t>
  </si>
  <si>
    <t>6020.2022/0033323-7</t>
  </si>
  <si>
    <t>6020.2022/0051245-0</t>
  </si>
  <si>
    <t>6020.2022/0030176-9</t>
  </si>
  <si>
    <t>6020.2022/0051882-2</t>
  </si>
  <si>
    <t>6020.2022/0029567-0</t>
  </si>
  <si>
    <t>6020.2023/0011942-3</t>
  </si>
  <si>
    <t>6020.2022/0034195-7</t>
  </si>
  <si>
    <t>6020.2022/0038095-2</t>
  </si>
  <si>
    <t>6020.2022/0028787-1</t>
  </si>
  <si>
    <t>6020.2022/0038625-0</t>
  </si>
  <si>
    <t>6020.2022/0031269-8</t>
  </si>
  <si>
    <t>6020.2022/0028971-8</t>
  </si>
  <si>
    <t>6020.2022/0049414-1</t>
  </si>
  <si>
    <t>6020.2023/0026034-7</t>
  </si>
  <si>
    <t>6020.2023/0021915-0</t>
  </si>
  <si>
    <t>6020.2022/0053712-6</t>
  </si>
  <si>
    <t>6020.2023/0024967-0</t>
  </si>
  <si>
    <t>6020.2022/0031234-5</t>
  </si>
  <si>
    <t>6020.2022/0049774-4</t>
  </si>
  <si>
    <t>6020.2022/0030756-2</t>
  </si>
  <si>
    <t>6020.2022/0027795-7</t>
  </si>
  <si>
    <t>6020.2022/0027336-6</t>
  </si>
  <si>
    <t>6020.2022/0031353-8</t>
  </si>
  <si>
    <t>6020.2022/0042711-8</t>
  </si>
  <si>
    <t>6020.2022/0041499-7</t>
  </si>
  <si>
    <t>6020.2022/0033970-7</t>
  </si>
  <si>
    <t>6020.2022/0028930-0</t>
  </si>
  <si>
    <t>6020.2023/0018617-1</t>
  </si>
  <si>
    <t>6020.2022/0028893-2</t>
  </si>
  <si>
    <t>6020.2022/0030916-6</t>
  </si>
  <si>
    <t>6020.2023/0017989-2</t>
  </si>
  <si>
    <t>6020.2022/0030240-4</t>
  </si>
  <si>
    <t>6020.2023/0016478-0</t>
  </si>
  <si>
    <t>6020.2022/0051335-9</t>
  </si>
  <si>
    <t>6020.2023/0012596-2</t>
  </si>
  <si>
    <t>6020.2022/0029669-2</t>
  </si>
  <si>
    <t>6020.2022/0052508-0</t>
  </si>
  <si>
    <t>6020.2022/0050724-3</t>
  </si>
  <si>
    <t>6020.2022/0053706-1</t>
  </si>
  <si>
    <t>6020.2022/0027456-7</t>
  </si>
  <si>
    <t>6020.2022/0041776-7</t>
  </si>
  <si>
    <t>6020.2022/0052620-5</t>
  </si>
  <si>
    <t>6020.2022/0043204-9</t>
  </si>
  <si>
    <t>6020.2022/0029688-9</t>
  </si>
  <si>
    <t>047.329.728-02</t>
  </si>
  <si>
    <t>251.228.678-95</t>
  </si>
  <si>
    <t>012.813.228-06</t>
  </si>
  <si>
    <t>130.429.788-85</t>
  </si>
  <si>
    <t>283.744.888-59</t>
  </si>
  <si>
    <t>248.790.328-75</t>
  </si>
  <si>
    <t>050.646.018-59</t>
  </si>
  <si>
    <t>908.537.764-15</t>
  </si>
  <si>
    <t>154.475.008-00</t>
  </si>
  <si>
    <t>088.700.898-43</t>
  </si>
  <si>
    <t>289.322.228-51</t>
  </si>
  <si>
    <t>309.194.158-22</t>
  </si>
  <si>
    <t>258.411.968-47</t>
  </si>
  <si>
    <t>136.052.518-11</t>
  </si>
  <si>
    <t>300.089.328-83</t>
  </si>
  <si>
    <t>012.110.068-59</t>
  </si>
  <si>
    <t>129.744.468-09</t>
  </si>
  <si>
    <t>151.350.318-98</t>
  </si>
  <si>
    <t>372.271.958-56</t>
  </si>
  <si>
    <t>084.729.418-84</t>
  </si>
  <si>
    <t>077.782.338-19</t>
  </si>
  <si>
    <t>116.720.948-60</t>
  </si>
  <si>
    <t>042.309.768-79</t>
  </si>
  <si>
    <t>273.014.188-09</t>
  </si>
  <si>
    <t>329.843.089-72</t>
  </si>
  <si>
    <t>117.324.388-70</t>
  </si>
  <si>
    <t>116.710.938-44</t>
  </si>
  <si>
    <t>163.846.938-52</t>
  </si>
  <si>
    <t>076.597.598-09</t>
  </si>
  <si>
    <t>996.736.908-63</t>
  </si>
  <si>
    <t>283.568.758-03</t>
  </si>
  <si>
    <t>181.827.888-03</t>
  </si>
  <si>
    <t>610.307.247-68</t>
  </si>
  <si>
    <t>003.265.908-38</t>
  </si>
  <si>
    <t>187.973.488-56</t>
  </si>
  <si>
    <t>132.713.458-64</t>
  </si>
  <si>
    <t>054.056.418-47</t>
  </si>
  <si>
    <t>220.851.078-00</t>
  </si>
  <si>
    <t>056.065.618-16</t>
  </si>
  <si>
    <t>126.503.968-22</t>
  </si>
  <si>
    <t>064.997.478-66</t>
  </si>
  <si>
    <t>118.450.328-10</t>
  </si>
  <si>
    <t>326.702.008-50</t>
  </si>
  <si>
    <t>022.889.418-20</t>
  </si>
  <si>
    <t>379.331.588-62</t>
  </si>
  <si>
    <t>249.728.998-08</t>
  </si>
  <si>
    <t>125.054.758-06</t>
  </si>
  <si>
    <t>086.913.288-19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</si>
</sst>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56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308"/>
  <sheetViews>
    <sheetView showGridLines="0" zoomScale="85" zoomScaleNormal="85" workbookViewId="0">
      <selection activeCell="Q241" sqref="Q241:EO24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3184</v>
      </c>
      <c r="B6" s="522" t="s">
        <v>3185</v>
      </c>
      <c r="C6" s="523">
        <v>1</v>
      </c>
      <c r="D6" s="524" t="s">
        <v>3186</v>
      </c>
      <c r="E6" s="524" t="s">
        <v>3187</v>
      </c>
      <c r="F6" s="525" t="s">
        <v>3182</v>
      </c>
      <c r="G6" s="525" t="s">
        <v>3183</v>
      </c>
      <c r="H6" s="350" t="s">
        <v>1850</v>
      </c>
      <c r="I6" s="351" t="s">
        <v>1850</v>
      </c>
      <c r="J6" s="409" t="s">
        <v>3188</v>
      </c>
      <c r="K6" s="410" t="s">
        <v>3189</v>
      </c>
      <c r="L6" s="329">
        <f>CONTINUA!BV6</f>
        <v>0</v>
      </c>
      <c r="M6" s="329">
        <f>CONTINUA!BW6</f>
        <v>0</v>
      </c>
      <c r="N6" s="342"/>
      <c r="O6" s="288" t="s">
        <v>3388</v>
      </c>
      <c r="P6" s="330">
        <v>0</v>
      </c>
      <c r="Q6" s="400">
        <v>1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>
        <v>1</v>
      </c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1</v>
      </c>
      <c r="EQ6" s="171">
        <f t="shared" ref="EQ6:EQ10" si="10">U6+Y6+AC6+AG6+AK6+AO6+AS6+AW6+BA6+BE6+BI6+BM6+BQ6+BU6+BY6+CC6+CG6+CK6+CO6+CS6+CW6+DA6+DE6+DI6+DM6+DQ6+DU6+DY6+EC6+EG6</f>
        <v>1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2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15967.580000000002</v>
      </c>
      <c r="EY6" s="174">
        <f>(L6*regular)+(M6*Cadeirantee)</f>
        <v>0</v>
      </c>
      <c r="EZ6" s="249">
        <f>SUMIF(FG6:GJ6,"&gt;0")</f>
        <v>321.02500000000003</v>
      </c>
      <c r="FA6" s="249">
        <f>SUMIF(FG6:GJ6,"&lt;0")+SUMIF(GN6:HP6,"&lt;0")</f>
        <v>-256.82000000000005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16031.785000000002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15967.580000000002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-256.82000000000005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231.13800000000003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89.887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3184</v>
      </c>
      <c r="B7" s="369" t="s">
        <v>3185</v>
      </c>
      <c r="C7" s="370" t="s">
        <v>3190</v>
      </c>
      <c r="D7" s="371" t="s">
        <v>3186</v>
      </c>
      <c r="E7" s="371" t="s">
        <v>3187</v>
      </c>
      <c r="F7" s="372" t="s">
        <v>3182</v>
      </c>
      <c r="G7" s="372" t="s">
        <v>3183</v>
      </c>
      <c r="H7" s="373" t="s">
        <v>1850</v>
      </c>
      <c r="I7" s="374" t="s">
        <v>1850</v>
      </c>
      <c r="J7" s="421" t="s">
        <v>3188</v>
      </c>
      <c r="K7" s="421" t="s">
        <v>3191</v>
      </c>
      <c r="L7" s="329">
        <f>CONTINUA!BV7</f>
        <v>0</v>
      </c>
      <c r="M7" s="329">
        <f>CONTINUA!BW7</f>
        <v>0</v>
      </c>
      <c r="N7" s="342"/>
      <c r="O7" s="289" t="s">
        <v>3388</v>
      </c>
      <c r="P7" s="330">
        <v>0</v>
      </c>
      <c r="Q7" s="400">
        <v>37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>
        <v>-2</v>
      </c>
      <c r="CT7" s="401"/>
      <c r="CU7" s="400"/>
      <c r="CV7" s="401"/>
      <c r="CW7" s="400">
        <v>2</v>
      </c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37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37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3184</v>
      </c>
      <c r="B8" s="369" t="s">
        <v>3185</v>
      </c>
      <c r="C8" s="375" t="s">
        <v>3190</v>
      </c>
      <c r="D8" s="371" t="s">
        <v>3186</v>
      </c>
      <c r="E8" s="371" t="s">
        <v>3187</v>
      </c>
      <c r="F8" s="376" t="s">
        <v>3182</v>
      </c>
      <c r="G8" s="376" t="s">
        <v>3183</v>
      </c>
      <c r="H8" s="373" t="s">
        <v>1850</v>
      </c>
      <c r="I8" s="374" t="s">
        <v>1850</v>
      </c>
      <c r="J8" s="421" t="s">
        <v>3188</v>
      </c>
      <c r="K8" s="422" t="s">
        <v>3192</v>
      </c>
      <c r="L8" s="329">
        <f>CONTINUA!BV8</f>
        <v>0</v>
      </c>
      <c r="M8" s="329">
        <f>CONTINUA!BW8</f>
        <v>0</v>
      </c>
      <c r="N8" s="342"/>
      <c r="O8" s="289" t="s">
        <v>3388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3184</v>
      </c>
      <c r="B9" s="369" t="s">
        <v>3185</v>
      </c>
      <c r="C9" s="375" t="s">
        <v>3190</v>
      </c>
      <c r="D9" s="371" t="s">
        <v>3186</v>
      </c>
      <c r="E9" s="371" t="s">
        <v>3187</v>
      </c>
      <c r="F9" s="376" t="s">
        <v>3182</v>
      </c>
      <c r="G9" s="376" t="s">
        <v>3183</v>
      </c>
      <c r="H9" s="373" t="s">
        <v>1850</v>
      </c>
      <c r="I9" s="374" t="s">
        <v>1850</v>
      </c>
      <c r="J9" s="421" t="s">
        <v>3188</v>
      </c>
      <c r="K9" s="423" t="s">
        <v>3193</v>
      </c>
      <c r="L9" s="329">
        <f>CONTINUA!BV9</f>
        <v>0</v>
      </c>
      <c r="M9" s="329">
        <f>CONTINUA!BW9</f>
        <v>0</v>
      </c>
      <c r="N9" s="342"/>
      <c r="O9" s="289" t="s">
        <v>3388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3184</v>
      </c>
      <c r="B10" s="378" t="s">
        <v>3185</v>
      </c>
      <c r="C10" s="379" t="s">
        <v>3190</v>
      </c>
      <c r="D10" s="380" t="s">
        <v>3186</v>
      </c>
      <c r="E10" s="380" t="s">
        <v>3187</v>
      </c>
      <c r="F10" s="381" t="s">
        <v>3182</v>
      </c>
      <c r="G10" s="381" t="s">
        <v>3183</v>
      </c>
      <c r="H10" s="382" t="s">
        <v>1850</v>
      </c>
      <c r="I10" s="383" t="s">
        <v>1850</v>
      </c>
      <c r="J10" s="421" t="s">
        <v>3188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3388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3194</v>
      </c>
      <c r="B11" s="522" t="s">
        <v>3195</v>
      </c>
      <c r="C11" s="523">
        <v>3</v>
      </c>
      <c r="D11" s="524" t="s">
        <v>3196</v>
      </c>
      <c r="E11" s="524" t="s">
        <v>3197</v>
      </c>
      <c r="F11" s="525" t="s">
        <v>3182</v>
      </c>
      <c r="G11" s="525" t="s">
        <v>3183</v>
      </c>
      <c r="H11" s="350" t="s">
        <v>1851</v>
      </c>
      <c r="I11" s="351" t="s">
        <v>1851</v>
      </c>
      <c r="J11" s="409" t="s">
        <v>3198</v>
      </c>
      <c r="K11" s="410" t="s">
        <v>3189</v>
      </c>
      <c r="L11" s="329">
        <f>CONTINUA!BV11</f>
        <v>0</v>
      </c>
      <c r="M11" s="329">
        <f>CONTINUA!BW11</f>
        <v>0</v>
      </c>
      <c r="N11" s="895"/>
      <c r="O11" s="896" t="s">
        <v>3389</v>
      </c>
      <c r="P11" s="897">
        <v>0</v>
      </c>
      <c r="Q11" s="400">
        <v>5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5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5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18114.63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18114.63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18114.63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3194</v>
      </c>
      <c r="B12" s="369" t="s">
        <v>3195</v>
      </c>
      <c r="C12" s="370" t="s">
        <v>3199</v>
      </c>
      <c r="D12" s="371" t="s">
        <v>3196</v>
      </c>
      <c r="E12" s="371" t="s">
        <v>3197</v>
      </c>
      <c r="F12" s="372" t="s">
        <v>3182</v>
      </c>
      <c r="G12" s="372" t="s">
        <v>3183</v>
      </c>
      <c r="H12" s="373" t="s">
        <v>1851</v>
      </c>
      <c r="I12" s="374" t="s">
        <v>1851</v>
      </c>
      <c r="J12" s="421" t="s">
        <v>3198</v>
      </c>
      <c r="K12" s="421" t="s">
        <v>3191</v>
      </c>
      <c r="L12" s="329">
        <f>CONTINUA!BV12</f>
        <v>0</v>
      </c>
      <c r="M12" s="329">
        <f>CONTINUA!BW12</f>
        <v>0</v>
      </c>
      <c r="N12" s="895"/>
      <c r="O12" s="896" t="s">
        <v>3389</v>
      </c>
      <c r="P12" s="897">
        <v>0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3194</v>
      </c>
      <c r="B13" s="369" t="s">
        <v>3195</v>
      </c>
      <c r="C13" s="375" t="s">
        <v>3199</v>
      </c>
      <c r="D13" s="371" t="s">
        <v>3196</v>
      </c>
      <c r="E13" s="371" t="s">
        <v>3197</v>
      </c>
      <c r="F13" s="376" t="s">
        <v>3182</v>
      </c>
      <c r="G13" s="376" t="s">
        <v>3183</v>
      </c>
      <c r="H13" s="373" t="s">
        <v>1851</v>
      </c>
      <c r="I13" s="374" t="s">
        <v>1851</v>
      </c>
      <c r="J13" s="421" t="s">
        <v>3198</v>
      </c>
      <c r="K13" s="422" t="s">
        <v>3192</v>
      </c>
      <c r="L13" s="329">
        <f>CONTINUA!BV13</f>
        <v>0</v>
      </c>
      <c r="M13" s="329">
        <f>CONTINUA!BW13</f>
        <v>0</v>
      </c>
      <c r="N13" s="895"/>
      <c r="O13" s="896" t="s">
        <v>3389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3194</v>
      </c>
      <c r="B14" s="369" t="s">
        <v>3195</v>
      </c>
      <c r="C14" s="375" t="s">
        <v>3199</v>
      </c>
      <c r="D14" s="371" t="s">
        <v>3196</v>
      </c>
      <c r="E14" s="371" t="s">
        <v>3197</v>
      </c>
      <c r="F14" s="376" t="s">
        <v>3182</v>
      </c>
      <c r="G14" s="376" t="s">
        <v>3183</v>
      </c>
      <c r="H14" s="373" t="s">
        <v>1851</v>
      </c>
      <c r="I14" s="374" t="s">
        <v>1851</v>
      </c>
      <c r="J14" s="421" t="s">
        <v>3198</v>
      </c>
      <c r="K14" s="423" t="s">
        <v>3193</v>
      </c>
      <c r="L14" s="329">
        <f>CONTINUA!BV14</f>
        <v>0</v>
      </c>
      <c r="M14" s="329">
        <f>CONTINUA!BW14</f>
        <v>0</v>
      </c>
      <c r="N14" s="895"/>
      <c r="O14" s="896" t="s">
        <v>3389</v>
      </c>
      <c r="P14" s="897">
        <v>0</v>
      </c>
      <c r="Q14" s="400">
        <v>24</v>
      </c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24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24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3194</v>
      </c>
      <c r="B15" s="378" t="s">
        <v>3195</v>
      </c>
      <c r="C15" s="379" t="s">
        <v>3199</v>
      </c>
      <c r="D15" s="380" t="s">
        <v>3196</v>
      </c>
      <c r="E15" s="380" t="s">
        <v>3197</v>
      </c>
      <c r="F15" s="381" t="s">
        <v>3182</v>
      </c>
      <c r="G15" s="381" t="s">
        <v>3183</v>
      </c>
      <c r="H15" s="382" t="s">
        <v>1851</v>
      </c>
      <c r="I15" s="383" t="s">
        <v>1851</v>
      </c>
      <c r="J15" s="421" t="s">
        <v>3198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3389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3200</v>
      </c>
      <c r="B16" s="522" t="s">
        <v>3201</v>
      </c>
      <c r="C16" s="523">
        <v>1</v>
      </c>
      <c r="D16" s="524" t="s">
        <v>3202</v>
      </c>
      <c r="E16" s="524" t="s">
        <v>3203</v>
      </c>
      <c r="F16" s="525" t="s">
        <v>3182</v>
      </c>
      <c r="G16" s="525" t="s">
        <v>3183</v>
      </c>
      <c r="H16" s="350" t="s">
        <v>1852</v>
      </c>
      <c r="I16" s="351" t="s">
        <v>1852</v>
      </c>
      <c r="J16" s="409" t="s">
        <v>3188</v>
      </c>
      <c r="K16" s="410" t="s">
        <v>3189</v>
      </c>
      <c r="L16" s="329">
        <f>CONTINUA!BV16</f>
        <v>0</v>
      </c>
      <c r="M16" s="329">
        <f>CONTINUA!BW16</f>
        <v>0</v>
      </c>
      <c r="N16" s="895"/>
      <c r="O16" s="896" t="s">
        <v>3390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10189.130000000001</v>
      </c>
      <c r="EY16" s="174">
        <f>(L16*regular)+(M16*Cadeirantee)</f>
        <v>0</v>
      </c>
      <c r="EZ16" s="249">
        <f>SUMIF(FG16:GJ16,"&gt;0")</f>
        <v>282.50200000000001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10625.872000000001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10189.130000000001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282.50200000000001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3200</v>
      </c>
      <c r="B17" s="369" t="s">
        <v>3201</v>
      </c>
      <c r="C17" s="370" t="s">
        <v>3190</v>
      </c>
      <c r="D17" s="371" t="s">
        <v>3202</v>
      </c>
      <c r="E17" s="371" t="s">
        <v>3203</v>
      </c>
      <c r="F17" s="372" t="s">
        <v>3182</v>
      </c>
      <c r="G17" s="372" t="s">
        <v>3183</v>
      </c>
      <c r="H17" s="373" t="s">
        <v>1852</v>
      </c>
      <c r="I17" s="374" t="s">
        <v>1852</v>
      </c>
      <c r="J17" s="421" t="s">
        <v>3188</v>
      </c>
      <c r="K17" s="421" t="s">
        <v>3191</v>
      </c>
      <c r="L17" s="329">
        <f>CONTINUA!BV17</f>
        <v>16</v>
      </c>
      <c r="M17" s="329">
        <f>CONTINUA!BW17</f>
        <v>0</v>
      </c>
      <c r="N17" s="895"/>
      <c r="O17" s="896" t="s">
        <v>3390</v>
      </c>
      <c r="P17" s="897">
        <v>0</v>
      </c>
      <c r="Q17" s="400">
        <v>23</v>
      </c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>
        <v>1</v>
      </c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23</v>
      </c>
      <c r="EQ17" s="171">
        <f t="shared" si="23"/>
        <v>1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24</v>
      </c>
      <c r="EW17" s="173"/>
      <c r="EX17" s="248">
        <f t="shared" si="35"/>
        <v>0</v>
      </c>
      <c r="EY17" s="174">
        <f>(L17*regular)+(M17*Cadeirantee)</f>
        <v>154.24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3200</v>
      </c>
      <c r="B18" s="369" t="s">
        <v>3201</v>
      </c>
      <c r="C18" s="375" t="s">
        <v>3190</v>
      </c>
      <c r="D18" s="371" t="s">
        <v>3202</v>
      </c>
      <c r="E18" s="371" t="s">
        <v>3203</v>
      </c>
      <c r="F18" s="376" t="s">
        <v>3182</v>
      </c>
      <c r="G18" s="376" t="s">
        <v>3183</v>
      </c>
      <c r="H18" s="373" t="s">
        <v>1852</v>
      </c>
      <c r="I18" s="374" t="s">
        <v>1852</v>
      </c>
      <c r="J18" s="421" t="s">
        <v>3188</v>
      </c>
      <c r="K18" s="422" t="s">
        <v>3192</v>
      </c>
      <c r="L18" s="329">
        <f>CONTINUA!BV18</f>
        <v>0</v>
      </c>
      <c r="M18" s="329">
        <f>CONTINUA!BW18</f>
        <v>0</v>
      </c>
      <c r="N18" s="895"/>
      <c r="O18" s="896" t="s">
        <v>3390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3200</v>
      </c>
      <c r="B19" s="369" t="s">
        <v>3201</v>
      </c>
      <c r="C19" s="375" t="s">
        <v>3190</v>
      </c>
      <c r="D19" s="371" t="s">
        <v>3202</v>
      </c>
      <c r="E19" s="371" t="s">
        <v>3203</v>
      </c>
      <c r="F19" s="376" t="s">
        <v>3182</v>
      </c>
      <c r="G19" s="376" t="s">
        <v>3183</v>
      </c>
      <c r="H19" s="373" t="s">
        <v>1852</v>
      </c>
      <c r="I19" s="374" t="s">
        <v>1852</v>
      </c>
      <c r="J19" s="421" t="s">
        <v>3188</v>
      </c>
      <c r="K19" s="423" t="s">
        <v>3193</v>
      </c>
      <c r="L19" s="329">
        <f>CONTINUA!BV19</f>
        <v>0</v>
      </c>
      <c r="M19" s="329">
        <f>CONTINUA!BW19</f>
        <v>0</v>
      </c>
      <c r="N19" s="895"/>
      <c r="O19" s="896" t="s">
        <v>3390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3200</v>
      </c>
      <c r="B20" s="378" t="s">
        <v>3201</v>
      </c>
      <c r="C20" s="379" t="s">
        <v>3190</v>
      </c>
      <c r="D20" s="380" t="s">
        <v>3202</v>
      </c>
      <c r="E20" s="380" t="s">
        <v>3203</v>
      </c>
      <c r="F20" s="381" t="s">
        <v>3182</v>
      </c>
      <c r="G20" s="381" t="s">
        <v>3183</v>
      </c>
      <c r="H20" s="382" t="s">
        <v>1852</v>
      </c>
      <c r="I20" s="383" t="s">
        <v>1852</v>
      </c>
      <c r="J20" s="421" t="s">
        <v>3188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3390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3204</v>
      </c>
      <c r="B21" s="522" t="s">
        <v>3205</v>
      </c>
      <c r="C21" s="523">
        <v>1</v>
      </c>
      <c r="D21" s="524" t="s">
        <v>3206</v>
      </c>
      <c r="E21" s="524" t="s">
        <v>3207</v>
      </c>
      <c r="F21" s="525" t="s">
        <v>3182</v>
      </c>
      <c r="G21" s="525" t="s">
        <v>3183</v>
      </c>
      <c r="H21" s="350" t="s">
        <v>1855</v>
      </c>
      <c r="I21" s="351" t="s">
        <v>1855</v>
      </c>
      <c r="J21" s="409" t="s">
        <v>3188</v>
      </c>
      <c r="K21" s="410" t="s">
        <v>3189</v>
      </c>
      <c r="L21" s="329">
        <f>CONTINUA!BV21</f>
        <v>0</v>
      </c>
      <c r="M21" s="329">
        <f>CONTINUA!BW21</f>
        <v>0</v>
      </c>
      <c r="N21" s="895"/>
      <c r="O21" s="896" t="s">
        <v>3391</v>
      </c>
      <c r="P21" s="897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22131.260000000002</v>
      </c>
      <c r="EY21" s="174">
        <f>(L21*regular)+(M21*Cadeirantee)</f>
        <v>0</v>
      </c>
      <c r="EZ21" s="249">
        <f>SUMIF(FG21:GJ21,"&gt;0")</f>
        <v>269.661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22400.921000000002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22131.260000000002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269.661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3204</v>
      </c>
      <c r="B22" s="369" t="s">
        <v>3205</v>
      </c>
      <c r="C22" s="370" t="s">
        <v>3190</v>
      </c>
      <c r="D22" s="371" t="s">
        <v>3206</v>
      </c>
      <c r="E22" s="371" t="s">
        <v>3207</v>
      </c>
      <c r="F22" s="372" t="s">
        <v>3182</v>
      </c>
      <c r="G22" s="372" t="s">
        <v>3183</v>
      </c>
      <c r="H22" s="373" t="s">
        <v>1855</v>
      </c>
      <c r="I22" s="374" t="s">
        <v>1855</v>
      </c>
      <c r="J22" s="421" t="s">
        <v>3188</v>
      </c>
      <c r="K22" s="421" t="s">
        <v>3191</v>
      </c>
      <c r="L22" s="329">
        <f>CONTINUA!BV22</f>
        <v>0</v>
      </c>
      <c r="M22" s="329">
        <f>CONTINUA!BW22</f>
        <v>0</v>
      </c>
      <c r="N22" s="895"/>
      <c r="O22" s="896" t="s">
        <v>3391</v>
      </c>
      <c r="P22" s="897">
        <v>0</v>
      </c>
      <c r="Q22" s="400">
        <v>54</v>
      </c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>
        <v>1</v>
      </c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54</v>
      </c>
      <c r="EQ22" s="171">
        <f t="shared" si="23"/>
        <v>1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55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3204</v>
      </c>
      <c r="B23" s="369" t="s">
        <v>3205</v>
      </c>
      <c r="C23" s="375" t="s">
        <v>3190</v>
      </c>
      <c r="D23" s="371" t="s">
        <v>3206</v>
      </c>
      <c r="E23" s="371" t="s">
        <v>3207</v>
      </c>
      <c r="F23" s="376" t="s">
        <v>3182</v>
      </c>
      <c r="G23" s="376" t="s">
        <v>3183</v>
      </c>
      <c r="H23" s="373" t="s">
        <v>1855</v>
      </c>
      <c r="I23" s="374" t="s">
        <v>1855</v>
      </c>
      <c r="J23" s="421" t="s">
        <v>3188</v>
      </c>
      <c r="K23" s="422" t="s">
        <v>3192</v>
      </c>
      <c r="L23" s="329">
        <f>CONTINUA!BV23</f>
        <v>0</v>
      </c>
      <c r="M23" s="329">
        <f>CONTINUA!BW23</f>
        <v>0</v>
      </c>
      <c r="N23" s="895"/>
      <c r="O23" s="896" t="s">
        <v>3391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3204</v>
      </c>
      <c r="B24" s="369" t="s">
        <v>3205</v>
      </c>
      <c r="C24" s="375" t="s">
        <v>3190</v>
      </c>
      <c r="D24" s="371" t="s">
        <v>3206</v>
      </c>
      <c r="E24" s="371" t="s">
        <v>3207</v>
      </c>
      <c r="F24" s="376" t="s">
        <v>3182</v>
      </c>
      <c r="G24" s="376" t="s">
        <v>3183</v>
      </c>
      <c r="H24" s="373" t="s">
        <v>1855</v>
      </c>
      <c r="I24" s="374" t="s">
        <v>1855</v>
      </c>
      <c r="J24" s="421" t="s">
        <v>3188</v>
      </c>
      <c r="K24" s="423" t="s">
        <v>3193</v>
      </c>
      <c r="L24" s="329">
        <f>CONTINUA!BV24</f>
        <v>0</v>
      </c>
      <c r="M24" s="329">
        <f>CONTINUA!BW24</f>
        <v>0</v>
      </c>
      <c r="N24" s="895"/>
      <c r="O24" s="896" t="s">
        <v>3391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3204</v>
      </c>
      <c r="B25" s="378" t="s">
        <v>3205</v>
      </c>
      <c r="C25" s="379" t="s">
        <v>3190</v>
      </c>
      <c r="D25" s="380" t="s">
        <v>3206</v>
      </c>
      <c r="E25" s="380" t="s">
        <v>3207</v>
      </c>
      <c r="F25" s="381" t="s">
        <v>3182</v>
      </c>
      <c r="G25" s="381" t="s">
        <v>3183</v>
      </c>
      <c r="H25" s="382" t="s">
        <v>1855</v>
      </c>
      <c r="I25" s="383" t="s">
        <v>1855</v>
      </c>
      <c r="J25" s="421" t="s">
        <v>3188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3391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3208</v>
      </c>
      <c r="B26" s="522" t="s">
        <v>3209</v>
      </c>
      <c r="C26" s="523">
        <v>1</v>
      </c>
      <c r="D26" s="524" t="s">
        <v>3210</v>
      </c>
      <c r="E26" s="524" t="s">
        <v>3211</v>
      </c>
      <c r="F26" s="525" t="s">
        <v>3182</v>
      </c>
      <c r="G26" s="525" t="s">
        <v>3183</v>
      </c>
      <c r="H26" s="350" t="s">
        <v>1860</v>
      </c>
      <c r="I26" s="351" t="s">
        <v>1860</v>
      </c>
      <c r="J26" s="409" t="s">
        <v>3188</v>
      </c>
      <c r="K26" s="410" t="s">
        <v>3189</v>
      </c>
      <c r="L26" s="329">
        <f>CONTINUA!BV26</f>
        <v>0</v>
      </c>
      <c r="M26" s="329">
        <f>CONTINUA!BW26</f>
        <v>0</v>
      </c>
      <c r="N26" s="895"/>
      <c r="O26" s="896" t="s">
        <v>3392</v>
      </c>
      <c r="P26" s="897">
        <v>0</v>
      </c>
      <c r="Q26" s="400">
        <v>36</v>
      </c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>
        <v>1</v>
      </c>
      <c r="AP26" s="401"/>
      <c r="AQ26" s="400"/>
      <c r="AR26" s="401"/>
      <c r="AS26" s="400">
        <v>-1</v>
      </c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>
        <v>2</v>
      </c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>
        <v>-1</v>
      </c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>
        <v>2</v>
      </c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36</v>
      </c>
      <c r="EQ26" s="171">
        <f t="shared" si="23"/>
        <v>3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39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24057.41</v>
      </c>
      <c r="EY26" s="174">
        <f>(L26*regular)+(M26*Cadeirantee)</f>
        <v>0</v>
      </c>
      <c r="EZ26" s="249">
        <f>SUMIF(FG26:GJ26,"&gt;0")</f>
        <v>1463.8740000000003</v>
      </c>
      <c r="FA26" s="249">
        <f>SUMIF(FG26:GJ26,"&lt;0")+SUMIF(GN26:HP26,"&lt;0")</f>
        <v>-706.25500000000011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24853.589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24057.41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642.05000000000007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308.18400000000003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-295.34300000000002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462.27600000000007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-218.29700000000003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-192.61500000000001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51.364000000000004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3208</v>
      </c>
      <c r="B27" s="369" t="s">
        <v>3209</v>
      </c>
      <c r="C27" s="370" t="s">
        <v>3190</v>
      </c>
      <c r="D27" s="371" t="s">
        <v>3210</v>
      </c>
      <c r="E27" s="371" t="s">
        <v>3211</v>
      </c>
      <c r="F27" s="372" t="s">
        <v>3182</v>
      </c>
      <c r="G27" s="372" t="s">
        <v>3183</v>
      </c>
      <c r="H27" s="373" t="s">
        <v>1860</v>
      </c>
      <c r="I27" s="374" t="s">
        <v>1860</v>
      </c>
      <c r="J27" s="421" t="s">
        <v>3188</v>
      </c>
      <c r="K27" s="421" t="s">
        <v>3191</v>
      </c>
      <c r="L27" s="329">
        <f>CONTINUA!BV27</f>
        <v>4</v>
      </c>
      <c r="M27" s="329">
        <f>CONTINUA!BW27</f>
        <v>0</v>
      </c>
      <c r="N27" s="895"/>
      <c r="O27" s="896" t="s">
        <v>3392</v>
      </c>
      <c r="P27" s="897">
        <v>0</v>
      </c>
      <c r="Q27" s="400">
        <v>22</v>
      </c>
      <c r="R27" s="401"/>
      <c r="S27" s="400">
        <v>1</v>
      </c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>
        <v>2</v>
      </c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>
        <v>-1</v>
      </c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22</v>
      </c>
      <c r="EQ27" s="171">
        <f t="shared" si="23"/>
        <v>1</v>
      </c>
      <c r="ER27" s="171">
        <f t="shared" si="24"/>
        <v>1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24</v>
      </c>
      <c r="EW27" s="173"/>
      <c r="EX27" s="248">
        <f t="shared" si="45"/>
        <v>0</v>
      </c>
      <c r="EY27" s="174">
        <f>(L27*regular)+(M27*Cadeirantee)</f>
        <v>38.56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3208</v>
      </c>
      <c r="B28" s="369" t="s">
        <v>3209</v>
      </c>
      <c r="C28" s="375" t="s">
        <v>3190</v>
      </c>
      <c r="D28" s="371" t="s">
        <v>3210</v>
      </c>
      <c r="E28" s="371" t="s">
        <v>3211</v>
      </c>
      <c r="F28" s="376" t="s">
        <v>3182</v>
      </c>
      <c r="G28" s="376" t="s">
        <v>3183</v>
      </c>
      <c r="H28" s="373" t="s">
        <v>1860</v>
      </c>
      <c r="I28" s="374" t="s">
        <v>1860</v>
      </c>
      <c r="J28" s="421" t="s">
        <v>3188</v>
      </c>
      <c r="K28" s="422" t="s">
        <v>3192</v>
      </c>
      <c r="L28" s="329">
        <f>CONTINUA!BV28</f>
        <v>0</v>
      </c>
      <c r="M28" s="329">
        <f>CONTINUA!BW28</f>
        <v>0</v>
      </c>
      <c r="N28" s="895"/>
      <c r="O28" s="896" t="s">
        <v>3392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3208</v>
      </c>
      <c r="B29" s="369" t="s">
        <v>3209</v>
      </c>
      <c r="C29" s="375" t="s">
        <v>3190</v>
      </c>
      <c r="D29" s="371" t="s">
        <v>3210</v>
      </c>
      <c r="E29" s="371" t="s">
        <v>3211</v>
      </c>
      <c r="F29" s="376" t="s">
        <v>3182</v>
      </c>
      <c r="G29" s="376" t="s">
        <v>3183</v>
      </c>
      <c r="H29" s="373" t="s">
        <v>1860</v>
      </c>
      <c r="I29" s="374" t="s">
        <v>1860</v>
      </c>
      <c r="J29" s="421" t="s">
        <v>3188</v>
      </c>
      <c r="K29" s="423" t="s">
        <v>3193</v>
      </c>
      <c r="L29" s="329">
        <f>CONTINUA!BV29</f>
        <v>0</v>
      </c>
      <c r="M29" s="329">
        <f>CONTINUA!BW29</f>
        <v>0</v>
      </c>
      <c r="N29" s="895"/>
      <c r="O29" s="896" t="s">
        <v>3392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3208</v>
      </c>
      <c r="B30" s="378" t="s">
        <v>3209</v>
      </c>
      <c r="C30" s="379" t="s">
        <v>3190</v>
      </c>
      <c r="D30" s="380" t="s">
        <v>3210</v>
      </c>
      <c r="E30" s="380" t="s">
        <v>3211</v>
      </c>
      <c r="F30" s="381" t="s">
        <v>3182</v>
      </c>
      <c r="G30" s="381" t="s">
        <v>3183</v>
      </c>
      <c r="H30" s="382" t="s">
        <v>1860</v>
      </c>
      <c r="I30" s="383" t="s">
        <v>1860</v>
      </c>
      <c r="J30" s="421" t="s">
        <v>3188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3392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3212</v>
      </c>
      <c r="B31" s="522" t="s">
        <v>3213</v>
      </c>
      <c r="C31" s="523">
        <v>1</v>
      </c>
      <c r="D31" s="524" t="s">
        <v>3214</v>
      </c>
      <c r="E31" s="524" t="s">
        <v>3215</v>
      </c>
      <c r="F31" s="525" t="s">
        <v>3182</v>
      </c>
      <c r="G31" s="525" t="s">
        <v>3183</v>
      </c>
      <c r="H31" s="350" t="s">
        <v>1861</v>
      </c>
      <c r="I31" s="351" t="s">
        <v>1861</v>
      </c>
      <c r="J31" s="409" t="s">
        <v>3188</v>
      </c>
      <c r="K31" s="410" t="s">
        <v>3189</v>
      </c>
      <c r="L31" s="329">
        <f>CONTINUA!BV31</f>
        <v>0</v>
      </c>
      <c r="M31" s="329">
        <f>CONTINUA!BW31</f>
        <v>0</v>
      </c>
      <c r="N31" s="895"/>
      <c r="O31" s="896" t="s">
        <v>3393</v>
      </c>
      <c r="P31" s="897">
        <v>0</v>
      </c>
      <c r="Q31" s="400">
        <v>44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>
        <v>-1</v>
      </c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>
        <v>1</v>
      </c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44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44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18278.96</v>
      </c>
      <c r="EY31" s="174">
        <f>(L31*regular)+(M31*Cadeirantee)</f>
        <v>0</v>
      </c>
      <c r="EZ31" s="249">
        <f>SUMIF(FG31:GJ31,"&gt;0")</f>
        <v>218.29700000000003</v>
      </c>
      <c r="FA31" s="249">
        <f>SUMIF(FG31:GJ31,"&lt;0")+SUMIF(GN31:HP31,"&lt;0")</f>
        <v>-321.02500000000003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18176.231999999996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18278.96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-321.02500000000003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218.29700000000003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3212</v>
      </c>
      <c r="B32" s="369" t="s">
        <v>3213</v>
      </c>
      <c r="C32" s="370" t="s">
        <v>3190</v>
      </c>
      <c r="D32" s="371" t="s">
        <v>3214</v>
      </c>
      <c r="E32" s="371" t="s">
        <v>3215</v>
      </c>
      <c r="F32" s="372" t="s">
        <v>3182</v>
      </c>
      <c r="G32" s="372" t="s">
        <v>3183</v>
      </c>
      <c r="H32" s="373" t="s">
        <v>1861</v>
      </c>
      <c r="I32" s="374" t="s">
        <v>1861</v>
      </c>
      <c r="J32" s="421" t="s">
        <v>3188</v>
      </c>
      <c r="K32" s="421" t="s">
        <v>3191</v>
      </c>
      <c r="L32" s="329">
        <f>CONTINUA!BV32</f>
        <v>0</v>
      </c>
      <c r="M32" s="329">
        <f>CONTINUA!BW32</f>
        <v>0</v>
      </c>
      <c r="N32" s="895"/>
      <c r="O32" s="896" t="s">
        <v>3393</v>
      </c>
      <c r="P32" s="897">
        <v>0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3212</v>
      </c>
      <c r="B33" s="369" t="s">
        <v>3213</v>
      </c>
      <c r="C33" s="375" t="s">
        <v>3190</v>
      </c>
      <c r="D33" s="371" t="s">
        <v>3214</v>
      </c>
      <c r="E33" s="371" t="s">
        <v>3215</v>
      </c>
      <c r="F33" s="376" t="s">
        <v>3182</v>
      </c>
      <c r="G33" s="376" t="s">
        <v>3183</v>
      </c>
      <c r="H33" s="373" t="s">
        <v>1861</v>
      </c>
      <c r="I33" s="374" t="s">
        <v>1861</v>
      </c>
      <c r="J33" s="421" t="s">
        <v>3188</v>
      </c>
      <c r="K33" s="422" t="s">
        <v>3192</v>
      </c>
      <c r="L33" s="329">
        <f>CONTINUA!BV33</f>
        <v>0</v>
      </c>
      <c r="M33" s="329">
        <f>CONTINUA!BW33</f>
        <v>0</v>
      </c>
      <c r="N33" s="895"/>
      <c r="O33" s="896" t="s">
        <v>3393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3212</v>
      </c>
      <c r="B34" s="369" t="s">
        <v>3213</v>
      </c>
      <c r="C34" s="375" t="s">
        <v>3190</v>
      </c>
      <c r="D34" s="371" t="s">
        <v>3214</v>
      </c>
      <c r="E34" s="371" t="s">
        <v>3215</v>
      </c>
      <c r="F34" s="376" t="s">
        <v>3182</v>
      </c>
      <c r="G34" s="376" t="s">
        <v>3183</v>
      </c>
      <c r="H34" s="373" t="s">
        <v>1861</v>
      </c>
      <c r="I34" s="374" t="s">
        <v>1861</v>
      </c>
      <c r="J34" s="421" t="s">
        <v>3188</v>
      </c>
      <c r="K34" s="423" t="s">
        <v>3193</v>
      </c>
      <c r="L34" s="329">
        <f>CONTINUA!BV34</f>
        <v>0</v>
      </c>
      <c r="M34" s="329">
        <f>CONTINUA!BW34</f>
        <v>0</v>
      </c>
      <c r="N34" s="895"/>
      <c r="O34" s="896" t="s">
        <v>3393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3212</v>
      </c>
      <c r="B35" s="378" t="s">
        <v>3213</v>
      </c>
      <c r="C35" s="379" t="s">
        <v>3190</v>
      </c>
      <c r="D35" s="380" t="s">
        <v>3214</v>
      </c>
      <c r="E35" s="380" t="s">
        <v>3215</v>
      </c>
      <c r="F35" s="381" t="s">
        <v>3182</v>
      </c>
      <c r="G35" s="381" t="s">
        <v>3183</v>
      </c>
      <c r="H35" s="382" t="s">
        <v>1861</v>
      </c>
      <c r="I35" s="383" t="s">
        <v>1861</v>
      </c>
      <c r="J35" s="421" t="s">
        <v>3188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3393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3216</v>
      </c>
      <c r="B36" s="522" t="s">
        <v>3217</v>
      </c>
      <c r="C36" s="523">
        <v>4</v>
      </c>
      <c r="D36" s="524" t="s">
        <v>3218</v>
      </c>
      <c r="E36" s="524" t="s">
        <v>3219</v>
      </c>
      <c r="F36" s="525" t="s">
        <v>3182</v>
      </c>
      <c r="G36" s="525" t="s">
        <v>3183</v>
      </c>
      <c r="H36" s="350" t="s">
        <v>1862</v>
      </c>
      <c r="I36" s="351" t="s">
        <v>1862</v>
      </c>
      <c r="J36" s="409" t="s">
        <v>3188</v>
      </c>
      <c r="K36" s="410" t="s">
        <v>3189</v>
      </c>
      <c r="L36" s="329">
        <f>CONTINUA!BV36</f>
        <v>0</v>
      </c>
      <c r="M36" s="329">
        <f>CONTINUA!BW36</f>
        <v>0</v>
      </c>
      <c r="N36" s="895"/>
      <c r="O36" s="896" t="s">
        <v>3394</v>
      </c>
      <c r="P36" s="897">
        <v>0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11465.63</v>
      </c>
      <c r="EX36" s="248">
        <f t="shared" ref="EX36:EX39" si="55">FF36</f>
        <v>3852.2999999999997</v>
      </c>
      <c r="EY36" s="174">
        <f>(L36*regular)+(M36*Cadeirantee)</f>
        <v>0</v>
      </c>
      <c r="EZ36" s="249">
        <f>SUMIF(FG36:GJ36,"&gt;0")</f>
        <v>282.50200000000001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15600.431999999999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3852.2999999999997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282.50200000000001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3216</v>
      </c>
      <c r="B37" s="369" t="s">
        <v>3217</v>
      </c>
      <c r="C37" s="370" t="s">
        <v>3220</v>
      </c>
      <c r="D37" s="371" t="s">
        <v>3218</v>
      </c>
      <c r="E37" s="371" t="s">
        <v>3219</v>
      </c>
      <c r="F37" s="372" t="s">
        <v>3182</v>
      </c>
      <c r="G37" s="372" t="s">
        <v>3183</v>
      </c>
      <c r="H37" s="373" t="s">
        <v>1862</v>
      </c>
      <c r="I37" s="374" t="s">
        <v>1862</v>
      </c>
      <c r="J37" s="421" t="s">
        <v>3188</v>
      </c>
      <c r="K37" s="421" t="s">
        <v>3191</v>
      </c>
      <c r="L37" s="329">
        <f>CONTINUA!BV37</f>
        <v>0</v>
      </c>
      <c r="M37" s="329">
        <f>CONTINUA!BW37</f>
        <v>0</v>
      </c>
      <c r="N37" s="895"/>
      <c r="O37" s="896" t="s">
        <v>3394</v>
      </c>
      <c r="P37" s="897">
        <v>0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3216</v>
      </c>
      <c r="B38" s="369" t="s">
        <v>3217</v>
      </c>
      <c r="C38" s="375" t="s">
        <v>3220</v>
      </c>
      <c r="D38" s="371" t="s">
        <v>3218</v>
      </c>
      <c r="E38" s="371" t="s">
        <v>3219</v>
      </c>
      <c r="F38" s="376" t="s">
        <v>3182</v>
      </c>
      <c r="G38" s="376" t="s">
        <v>3183</v>
      </c>
      <c r="H38" s="373" t="s">
        <v>1862</v>
      </c>
      <c r="I38" s="374" t="s">
        <v>1862</v>
      </c>
      <c r="J38" s="421" t="s">
        <v>3188</v>
      </c>
      <c r="K38" s="422" t="s">
        <v>3192</v>
      </c>
      <c r="L38" s="329">
        <f>CONTINUA!BV38</f>
        <v>0</v>
      </c>
      <c r="M38" s="329">
        <f>CONTINUA!BW38</f>
        <v>0</v>
      </c>
      <c r="N38" s="895"/>
      <c r="O38" s="896" t="s">
        <v>3394</v>
      </c>
      <c r="P38" s="897">
        <v>0</v>
      </c>
      <c r="Q38" s="400">
        <v>10</v>
      </c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>
        <v>1</v>
      </c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10</v>
      </c>
      <c r="EQ38" s="171">
        <f t="shared" si="23"/>
        <v>1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11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3216</v>
      </c>
      <c r="B39" s="369" t="s">
        <v>3217</v>
      </c>
      <c r="C39" s="375" t="s">
        <v>3220</v>
      </c>
      <c r="D39" s="371" t="s">
        <v>3218</v>
      </c>
      <c r="E39" s="371" t="s">
        <v>3219</v>
      </c>
      <c r="F39" s="376" t="s">
        <v>3182</v>
      </c>
      <c r="G39" s="376" t="s">
        <v>3183</v>
      </c>
      <c r="H39" s="373" t="s">
        <v>1862</v>
      </c>
      <c r="I39" s="374" t="s">
        <v>1862</v>
      </c>
      <c r="J39" s="421" t="s">
        <v>3188</v>
      </c>
      <c r="K39" s="423" t="s">
        <v>3193</v>
      </c>
      <c r="L39" s="329">
        <f>CONTINUA!BV39</f>
        <v>0</v>
      </c>
      <c r="M39" s="329">
        <f>CONTINUA!BW39</f>
        <v>0</v>
      </c>
      <c r="N39" s="895"/>
      <c r="O39" s="896" t="s">
        <v>3394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3216</v>
      </c>
      <c r="B40" s="378" t="s">
        <v>3217</v>
      </c>
      <c r="C40" s="379" t="s">
        <v>3220</v>
      </c>
      <c r="D40" s="380" t="s">
        <v>3218</v>
      </c>
      <c r="E40" s="380" t="s">
        <v>3219</v>
      </c>
      <c r="F40" s="381" t="s">
        <v>3182</v>
      </c>
      <c r="G40" s="381" t="s">
        <v>3183</v>
      </c>
      <c r="H40" s="382" t="s">
        <v>1862</v>
      </c>
      <c r="I40" s="383" t="s">
        <v>1862</v>
      </c>
      <c r="J40" s="421" t="s">
        <v>3188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3394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3221</v>
      </c>
      <c r="B41" s="522" t="s">
        <v>3222</v>
      </c>
      <c r="C41" s="523">
        <v>1</v>
      </c>
      <c r="D41" s="524" t="s">
        <v>3223</v>
      </c>
      <c r="E41" s="524" t="s">
        <v>3224</v>
      </c>
      <c r="F41" s="525" t="s">
        <v>3182</v>
      </c>
      <c r="G41" s="525" t="s">
        <v>3183</v>
      </c>
      <c r="H41" s="350" t="s">
        <v>1866</v>
      </c>
      <c r="I41" s="351" t="s">
        <v>1866</v>
      </c>
      <c r="J41" s="409" t="s">
        <v>3188</v>
      </c>
      <c r="K41" s="410" t="s">
        <v>3189</v>
      </c>
      <c r="L41" s="329">
        <f>CONTINUA!BV41</f>
        <v>0</v>
      </c>
      <c r="M41" s="329">
        <f>CONTINUA!BW41</f>
        <v>0</v>
      </c>
      <c r="N41" s="895"/>
      <c r="O41" s="896" t="s">
        <v>3395</v>
      </c>
      <c r="P41" s="897">
        <v>0</v>
      </c>
      <c r="Q41" s="400">
        <v>18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>
        <v>-1</v>
      </c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18</v>
      </c>
      <c r="EQ41" s="171">
        <f t="shared" si="23"/>
        <v>-1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17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29450.63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-359.54800000000006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29091.082000000002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29450.63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-321.02500000000003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-38.523000000000003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3221</v>
      </c>
      <c r="B42" s="369" t="s">
        <v>3222</v>
      </c>
      <c r="C42" s="370" t="s">
        <v>3190</v>
      </c>
      <c r="D42" s="371" t="s">
        <v>3223</v>
      </c>
      <c r="E42" s="371" t="s">
        <v>3224</v>
      </c>
      <c r="F42" s="372" t="s">
        <v>3182</v>
      </c>
      <c r="G42" s="372" t="s">
        <v>3183</v>
      </c>
      <c r="H42" s="373" t="s">
        <v>1866</v>
      </c>
      <c r="I42" s="374" t="s">
        <v>1866</v>
      </c>
      <c r="J42" s="421" t="s">
        <v>3188</v>
      </c>
      <c r="K42" s="421" t="s">
        <v>3191</v>
      </c>
      <c r="L42" s="329">
        <f>CONTINUA!BV42</f>
        <v>0</v>
      </c>
      <c r="M42" s="329">
        <f>CONTINUA!BW42</f>
        <v>0</v>
      </c>
      <c r="N42" s="895"/>
      <c r="O42" s="896" t="s">
        <v>3395</v>
      </c>
      <c r="P42" s="897">
        <v>0</v>
      </c>
      <c r="Q42" s="400">
        <v>55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>
        <v>-1</v>
      </c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55</v>
      </c>
      <c r="EQ42" s="171">
        <f t="shared" si="23"/>
        <v>-1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54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3221</v>
      </c>
      <c r="B43" s="369" t="s">
        <v>3222</v>
      </c>
      <c r="C43" s="375" t="s">
        <v>3190</v>
      </c>
      <c r="D43" s="371" t="s">
        <v>3223</v>
      </c>
      <c r="E43" s="371" t="s">
        <v>3224</v>
      </c>
      <c r="F43" s="376" t="s">
        <v>3182</v>
      </c>
      <c r="G43" s="376" t="s">
        <v>3183</v>
      </c>
      <c r="H43" s="373" t="s">
        <v>1866</v>
      </c>
      <c r="I43" s="374" t="s">
        <v>1866</v>
      </c>
      <c r="J43" s="421" t="s">
        <v>3188</v>
      </c>
      <c r="K43" s="422" t="s">
        <v>3192</v>
      </c>
      <c r="L43" s="329">
        <f>CONTINUA!BV43</f>
        <v>0</v>
      </c>
      <c r="M43" s="329">
        <f>CONTINUA!BW43</f>
        <v>0</v>
      </c>
      <c r="N43" s="895"/>
      <c r="O43" s="896" t="s">
        <v>3395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3221</v>
      </c>
      <c r="B44" s="369" t="s">
        <v>3222</v>
      </c>
      <c r="C44" s="375" t="s">
        <v>3190</v>
      </c>
      <c r="D44" s="371" t="s">
        <v>3223</v>
      </c>
      <c r="E44" s="371" t="s">
        <v>3224</v>
      </c>
      <c r="F44" s="376" t="s">
        <v>3182</v>
      </c>
      <c r="G44" s="376" t="s">
        <v>3183</v>
      </c>
      <c r="H44" s="373" t="s">
        <v>1866</v>
      </c>
      <c r="I44" s="374" t="s">
        <v>1866</v>
      </c>
      <c r="J44" s="421" t="s">
        <v>3188</v>
      </c>
      <c r="K44" s="423" t="s">
        <v>3193</v>
      </c>
      <c r="L44" s="329">
        <f>CONTINUA!BV44</f>
        <v>0</v>
      </c>
      <c r="M44" s="329">
        <f>CONTINUA!BW44</f>
        <v>0</v>
      </c>
      <c r="N44" s="895"/>
      <c r="O44" s="896" t="s">
        <v>3395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3221</v>
      </c>
      <c r="B45" s="378" t="s">
        <v>3222</v>
      </c>
      <c r="C45" s="379" t="s">
        <v>3190</v>
      </c>
      <c r="D45" s="380" t="s">
        <v>3223</v>
      </c>
      <c r="E45" s="380" t="s">
        <v>3224</v>
      </c>
      <c r="F45" s="381" t="s">
        <v>3182</v>
      </c>
      <c r="G45" s="381" t="s">
        <v>3183</v>
      </c>
      <c r="H45" s="382" t="s">
        <v>1866</v>
      </c>
      <c r="I45" s="383" t="s">
        <v>1866</v>
      </c>
      <c r="J45" s="421" t="s">
        <v>3188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3395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3225</v>
      </c>
      <c r="B46" s="522" t="s">
        <v>3226</v>
      </c>
      <c r="C46" s="523">
        <v>4</v>
      </c>
      <c r="D46" s="524" t="s">
        <v>3227</v>
      </c>
      <c r="E46" s="524" t="s">
        <v>3228</v>
      </c>
      <c r="F46" s="525" t="s">
        <v>3182</v>
      </c>
      <c r="G46" s="525" t="s">
        <v>3183</v>
      </c>
      <c r="H46" s="350" t="s">
        <v>1870</v>
      </c>
      <c r="I46" s="351" t="s">
        <v>1870</v>
      </c>
      <c r="J46" s="409" t="s">
        <v>3188</v>
      </c>
      <c r="K46" s="410" t="s">
        <v>3189</v>
      </c>
      <c r="L46" s="329">
        <f>CONTINUA!BV46</f>
        <v>0</v>
      </c>
      <c r="M46" s="329">
        <f>CONTINUA!BW46</f>
        <v>0</v>
      </c>
      <c r="N46" s="895"/>
      <c r="O46" s="896" t="s">
        <v>3396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 t="s">
        <v>3386</v>
      </c>
      <c r="EM46" s="520">
        <v>51.36</v>
      </c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11465.63</v>
      </c>
      <c r="EX46" s="248">
        <f t="shared" ref="EX46:EX49" si="65">FF46</f>
        <v>3081.84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14598.83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3081.84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51.36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3225</v>
      </c>
      <c r="B47" s="369" t="s">
        <v>3226</v>
      </c>
      <c r="C47" s="370" t="s">
        <v>3220</v>
      </c>
      <c r="D47" s="371" t="s">
        <v>3227</v>
      </c>
      <c r="E47" s="371" t="s">
        <v>3228</v>
      </c>
      <c r="F47" s="372" t="s">
        <v>3182</v>
      </c>
      <c r="G47" s="372" t="s">
        <v>3183</v>
      </c>
      <c r="H47" s="373" t="s">
        <v>1870</v>
      </c>
      <c r="I47" s="374" t="s">
        <v>1870</v>
      </c>
      <c r="J47" s="421" t="s">
        <v>3188</v>
      </c>
      <c r="K47" s="421" t="s">
        <v>3191</v>
      </c>
      <c r="L47" s="329">
        <f>CONTINUA!BV47</f>
        <v>0</v>
      </c>
      <c r="M47" s="329">
        <f>CONTINUA!BW47</f>
        <v>0</v>
      </c>
      <c r="N47" s="895"/>
      <c r="O47" s="896" t="s">
        <v>3396</v>
      </c>
      <c r="P47" s="897">
        <v>0</v>
      </c>
      <c r="Q47" s="400"/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3225</v>
      </c>
      <c r="B48" s="369" t="s">
        <v>3226</v>
      </c>
      <c r="C48" s="375" t="s">
        <v>3220</v>
      </c>
      <c r="D48" s="371" t="s">
        <v>3227</v>
      </c>
      <c r="E48" s="371" t="s">
        <v>3228</v>
      </c>
      <c r="F48" s="376" t="s">
        <v>3182</v>
      </c>
      <c r="G48" s="376" t="s">
        <v>3183</v>
      </c>
      <c r="H48" s="373" t="s">
        <v>1870</v>
      </c>
      <c r="I48" s="374" t="s">
        <v>1870</v>
      </c>
      <c r="J48" s="421" t="s">
        <v>3188</v>
      </c>
      <c r="K48" s="422" t="s">
        <v>3192</v>
      </c>
      <c r="L48" s="329">
        <f>CONTINUA!BV48</f>
        <v>0</v>
      </c>
      <c r="M48" s="329">
        <f>CONTINUA!BW48</f>
        <v>0</v>
      </c>
      <c r="N48" s="895"/>
      <c r="O48" s="896" t="s">
        <v>3396</v>
      </c>
      <c r="P48" s="897">
        <v>0</v>
      </c>
      <c r="Q48" s="400">
        <v>8</v>
      </c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8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8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3225</v>
      </c>
      <c r="B49" s="369" t="s">
        <v>3226</v>
      </c>
      <c r="C49" s="375" t="s">
        <v>3220</v>
      </c>
      <c r="D49" s="371" t="s">
        <v>3227</v>
      </c>
      <c r="E49" s="371" t="s">
        <v>3228</v>
      </c>
      <c r="F49" s="376" t="s">
        <v>3182</v>
      </c>
      <c r="G49" s="376" t="s">
        <v>3183</v>
      </c>
      <c r="H49" s="373" t="s">
        <v>1870</v>
      </c>
      <c r="I49" s="374" t="s">
        <v>1870</v>
      </c>
      <c r="J49" s="421" t="s">
        <v>3188</v>
      </c>
      <c r="K49" s="423" t="s">
        <v>3193</v>
      </c>
      <c r="L49" s="329">
        <f>CONTINUA!BV49</f>
        <v>0</v>
      </c>
      <c r="M49" s="329">
        <f>CONTINUA!BW49</f>
        <v>0</v>
      </c>
      <c r="N49" s="895"/>
      <c r="O49" s="896" t="s">
        <v>3396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3225</v>
      </c>
      <c r="B50" s="378" t="s">
        <v>3226</v>
      </c>
      <c r="C50" s="379" t="s">
        <v>3220</v>
      </c>
      <c r="D50" s="380" t="s">
        <v>3227</v>
      </c>
      <c r="E50" s="380" t="s">
        <v>3228</v>
      </c>
      <c r="F50" s="381" t="s">
        <v>3182</v>
      </c>
      <c r="G50" s="381" t="s">
        <v>3183</v>
      </c>
      <c r="H50" s="382" t="s">
        <v>1870</v>
      </c>
      <c r="I50" s="383" t="s">
        <v>1870</v>
      </c>
      <c r="J50" s="421" t="s">
        <v>3188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3396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3229</v>
      </c>
      <c r="B51" s="522" t="s">
        <v>3230</v>
      </c>
      <c r="C51" s="523">
        <v>1</v>
      </c>
      <c r="D51" s="524" t="s">
        <v>3231</v>
      </c>
      <c r="E51" s="524" t="s">
        <v>3232</v>
      </c>
      <c r="F51" s="525" t="s">
        <v>3182</v>
      </c>
      <c r="G51" s="525" t="s">
        <v>3183</v>
      </c>
      <c r="H51" s="350" t="s">
        <v>1872</v>
      </c>
      <c r="I51" s="351" t="s">
        <v>1872</v>
      </c>
      <c r="J51" s="409" t="s">
        <v>3188</v>
      </c>
      <c r="K51" s="410" t="s">
        <v>3189</v>
      </c>
      <c r="L51" s="329">
        <f>CONTINUA!BV51</f>
        <v>0</v>
      </c>
      <c r="M51" s="329">
        <f>CONTINUA!BW51</f>
        <v>0</v>
      </c>
      <c r="N51" s="895"/>
      <c r="O51" s="896" t="s">
        <v>3397</v>
      </c>
      <c r="P51" s="897">
        <v>0</v>
      </c>
      <c r="Q51" s="400">
        <v>41</v>
      </c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41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41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28294.940000000002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-231.13800000000003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28140.922000000002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28294.940000000002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-231.13800000000003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3229</v>
      </c>
      <c r="B52" s="369" t="s">
        <v>3230</v>
      </c>
      <c r="C52" s="370" t="s">
        <v>3190</v>
      </c>
      <c r="D52" s="371" t="s">
        <v>3231</v>
      </c>
      <c r="E52" s="371" t="s">
        <v>3232</v>
      </c>
      <c r="F52" s="372" t="s">
        <v>3182</v>
      </c>
      <c r="G52" s="372" t="s">
        <v>3183</v>
      </c>
      <c r="H52" s="373" t="s">
        <v>1872</v>
      </c>
      <c r="I52" s="374" t="s">
        <v>1872</v>
      </c>
      <c r="J52" s="421" t="s">
        <v>3188</v>
      </c>
      <c r="K52" s="421" t="s">
        <v>3191</v>
      </c>
      <c r="L52" s="329">
        <f>CONTINUA!BV52</f>
        <v>8</v>
      </c>
      <c r="M52" s="329">
        <f>CONTINUA!BW52</f>
        <v>0</v>
      </c>
      <c r="N52" s="895"/>
      <c r="O52" s="896" t="s">
        <v>3397</v>
      </c>
      <c r="P52" s="897">
        <v>0</v>
      </c>
      <c r="Q52" s="400">
        <v>29</v>
      </c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>
        <v>-1</v>
      </c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29</v>
      </c>
      <c r="EQ52" s="171">
        <f t="shared" si="23"/>
        <v>-1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28</v>
      </c>
      <c r="EW52" s="173"/>
      <c r="EX52" s="248">
        <f t="shared" si="70"/>
        <v>0</v>
      </c>
      <c r="EY52" s="174">
        <f>(L52*regular)+(M52*Cadeirantee)</f>
        <v>77.12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3229</v>
      </c>
      <c r="B53" s="369" t="s">
        <v>3230</v>
      </c>
      <c r="C53" s="375" t="s">
        <v>3190</v>
      </c>
      <c r="D53" s="371" t="s">
        <v>3231</v>
      </c>
      <c r="E53" s="371" t="s">
        <v>3232</v>
      </c>
      <c r="F53" s="376" t="s">
        <v>3182</v>
      </c>
      <c r="G53" s="376" t="s">
        <v>3183</v>
      </c>
      <c r="H53" s="373" t="s">
        <v>1872</v>
      </c>
      <c r="I53" s="374" t="s">
        <v>1872</v>
      </c>
      <c r="J53" s="421" t="s">
        <v>3188</v>
      </c>
      <c r="K53" s="422" t="s">
        <v>3192</v>
      </c>
      <c r="L53" s="329">
        <f>CONTINUA!BV53</f>
        <v>0</v>
      </c>
      <c r="M53" s="329">
        <f>CONTINUA!BW53</f>
        <v>0</v>
      </c>
      <c r="N53" s="895"/>
      <c r="O53" s="896" t="s">
        <v>3397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3229</v>
      </c>
      <c r="B54" s="369" t="s">
        <v>3230</v>
      </c>
      <c r="C54" s="375" t="s">
        <v>3190</v>
      </c>
      <c r="D54" s="371" t="s">
        <v>3231</v>
      </c>
      <c r="E54" s="371" t="s">
        <v>3232</v>
      </c>
      <c r="F54" s="376" t="s">
        <v>3182</v>
      </c>
      <c r="G54" s="376" t="s">
        <v>3183</v>
      </c>
      <c r="H54" s="373" t="s">
        <v>1872</v>
      </c>
      <c r="I54" s="374" t="s">
        <v>1872</v>
      </c>
      <c r="J54" s="421" t="s">
        <v>3188</v>
      </c>
      <c r="K54" s="423" t="s">
        <v>3193</v>
      </c>
      <c r="L54" s="329">
        <f>CONTINUA!BV54</f>
        <v>0</v>
      </c>
      <c r="M54" s="329">
        <f>CONTINUA!BW54</f>
        <v>0</v>
      </c>
      <c r="N54" s="895"/>
      <c r="O54" s="896" t="s">
        <v>3397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3229</v>
      </c>
      <c r="B55" s="378" t="s">
        <v>3230</v>
      </c>
      <c r="C55" s="379" t="s">
        <v>3190</v>
      </c>
      <c r="D55" s="380" t="s">
        <v>3231</v>
      </c>
      <c r="E55" s="380" t="s">
        <v>3232</v>
      </c>
      <c r="F55" s="381" t="s">
        <v>3182</v>
      </c>
      <c r="G55" s="381" t="s">
        <v>3183</v>
      </c>
      <c r="H55" s="382" t="s">
        <v>1872</v>
      </c>
      <c r="I55" s="383" t="s">
        <v>1872</v>
      </c>
      <c r="J55" s="421" t="s">
        <v>3188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3397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3233</v>
      </c>
      <c r="B56" s="522" t="s">
        <v>3234</v>
      </c>
      <c r="C56" s="523">
        <v>1</v>
      </c>
      <c r="D56" s="524" t="s">
        <v>3235</v>
      </c>
      <c r="E56" s="524" t="s">
        <v>3236</v>
      </c>
      <c r="F56" s="525" t="s">
        <v>3182</v>
      </c>
      <c r="G56" s="525" t="s">
        <v>3183</v>
      </c>
      <c r="H56" s="350" t="s">
        <v>1873</v>
      </c>
      <c r="I56" s="351" t="s">
        <v>1873</v>
      </c>
      <c r="J56" s="409" t="s">
        <v>3188</v>
      </c>
      <c r="K56" s="410" t="s">
        <v>3189</v>
      </c>
      <c r="L56" s="329">
        <f>CONTINUA!BV56</f>
        <v>0</v>
      </c>
      <c r="M56" s="329">
        <f>CONTINUA!BW56</f>
        <v>0</v>
      </c>
      <c r="N56" s="895"/>
      <c r="O56" s="896" t="s">
        <v>3398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3852.2999999999997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3852.2999999999997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3852.2999999999997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3233</v>
      </c>
      <c r="B57" s="369" t="s">
        <v>3234</v>
      </c>
      <c r="C57" s="370" t="s">
        <v>3190</v>
      </c>
      <c r="D57" s="371" t="s">
        <v>3235</v>
      </c>
      <c r="E57" s="371" t="s">
        <v>3236</v>
      </c>
      <c r="F57" s="372" t="s">
        <v>3182</v>
      </c>
      <c r="G57" s="372" t="s">
        <v>3183</v>
      </c>
      <c r="H57" s="373" t="s">
        <v>1873</v>
      </c>
      <c r="I57" s="374" t="s">
        <v>1873</v>
      </c>
      <c r="J57" s="421" t="s">
        <v>3188</v>
      </c>
      <c r="K57" s="421" t="s">
        <v>3191</v>
      </c>
      <c r="L57" s="329">
        <f>CONTINUA!BV57</f>
        <v>0</v>
      </c>
      <c r="M57" s="329">
        <f>CONTINUA!BW57</f>
        <v>0</v>
      </c>
      <c r="N57" s="895"/>
      <c r="O57" s="896" t="s">
        <v>3398</v>
      </c>
      <c r="P57" s="897">
        <v>0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3233</v>
      </c>
      <c r="B58" s="369" t="s">
        <v>3234</v>
      </c>
      <c r="C58" s="375" t="s">
        <v>3190</v>
      </c>
      <c r="D58" s="371" t="s">
        <v>3235</v>
      </c>
      <c r="E58" s="371" t="s">
        <v>3236</v>
      </c>
      <c r="F58" s="376" t="s">
        <v>3182</v>
      </c>
      <c r="G58" s="376" t="s">
        <v>3183</v>
      </c>
      <c r="H58" s="373" t="s">
        <v>1873</v>
      </c>
      <c r="I58" s="374" t="s">
        <v>1873</v>
      </c>
      <c r="J58" s="421" t="s">
        <v>3188</v>
      </c>
      <c r="K58" s="422" t="s">
        <v>3192</v>
      </c>
      <c r="L58" s="329">
        <f>CONTINUA!BV58</f>
        <v>0</v>
      </c>
      <c r="M58" s="329">
        <f>CONTINUA!BW58</f>
        <v>0</v>
      </c>
      <c r="N58" s="895"/>
      <c r="O58" s="896" t="s">
        <v>3398</v>
      </c>
      <c r="P58" s="897">
        <v>0</v>
      </c>
      <c r="Q58" s="400">
        <v>10</v>
      </c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10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10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3233</v>
      </c>
      <c r="B59" s="369" t="s">
        <v>3234</v>
      </c>
      <c r="C59" s="375" t="s">
        <v>3190</v>
      </c>
      <c r="D59" s="371" t="s">
        <v>3235</v>
      </c>
      <c r="E59" s="371" t="s">
        <v>3236</v>
      </c>
      <c r="F59" s="376" t="s">
        <v>3182</v>
      </c>
      <c r="G59" s="376" t="s">
        <v>3183</v>
      </c>
      <c r="H59" s="373" t="s">
        <v>1873</v>
      </c>
      <c r="I59" s="374" t="s">
        <v>1873</v>
      </c>
      <c r="J59" s="421" t="s">
        <v>3188</v>
      </c>
      <c r="K59" s="423" t="s">
        <v>3193</v>
      </c>
      <c r="L59" s="329">
        <f>CONTINUA!BV59</f>
        <v>0</v>
      </c>
      <c r="M59" s="329">
        <f>CONTINUA!BW59</f>
        <v>0</v>
      </c>
      <c r="N59" s="895"/>
      <c r="O59" s="896" t="s">
        <v>3398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3233</v>
      </c>
      <c r="B60" s="378" t="s">
        <v>3234</v>
      </c>
      <c r="C60" s="379" t="s">
        <v>3190</v>
      </c>
      <c r="D60" s="380" t="s">
        <v>3235</v>
      </c>
      <c r="E60" s="380" t="s">
        <v>3236</v>
      </c>
      <c r="F60" s="381" t="s">
        <v>3182</v>
      </c>
      <c r="G60" s="381" t="s">
        <v>3183</v>
      </c>
      <c r="H60" s="382" t="s">
        <v>1873</v>
      </c>
      <c r="I60" s="383" t="s">
        <v>1873</v>
      </c>
      <c r="J60" s="421" t="s">
        <v>3188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3398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3237</v>
      </c>
      <c r="B61" s="522" t="s">
        <v>3238</v>
      </c>
      <c r="C61" s="523">
        <v>2</v>
      </c>
      <c r="D61" s="524" t="s">
        <v>3239</v>
      </c>
      <c r="E61" s="524" t="s">
        <v>3240</v>
      </c>
      <c r="F61" s="525" t="s">
        <v>3182</v>
      </c>
      <c r="G61" s="525" t="s">
        <v>3183</v>
      </c>
      <c r="H61" s="350" t="s">
        <v>1874</v>
      </c>
      <c r="I61" s="351" t="s">
        <v>1874</v>
      </c>
      <c r="J61" s="409" t="s">
        <v>3241</v>
      </c>
      <c r="K61" s="410" t="s">
        <v>3189</v>
      </c>
      <c r="L61" s="329">
        <f>CONTINUA!BV61</f>
        <v>0</v>
      </c>
      <c r="M61" s="329">
        <f>CONTINUA!BW61</f>
        <v>0</v>
      </c>
      <c r="N61" s="895"/>
      <c r="O61" s="896" t="s">
        <v>3399</v>
      </c>
      <c r="P61" s="897">
        <v>0</v>
      </c>
      <c r="Q61" s="400"/>
      <c r="R61" s="401">
        <v>1</v>
      </c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1</v>
      </c>
      <c r="ET61" s="171">
        <f t="shared" si="26"/>
        <v>0</v>
      </c>
      <c r="EU61" s="171">
        <f t="shared" si="27"/>
        <v>0</v>
      </c>
      <c r="EV61" s="172">
        <f t="shared" si="28"/>
        <v>1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20139.650000000001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20139.650000000001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20139.650000000001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3237</v>
      </c>
      <c r="B62" s="369" t="s">
        <v>3238</v>
      </c>
      <c r="C62" s="370" t="s">
        <v>3190</v>
      </c>
      <c r="D62" s="371" t="s">
        <v>3239</v>
      </c>
      <c r="E62" s="371" t="s">
        <v>3240</v>
      </c>
      <c r="F62" s="372" t="s">
        <v>3182</v>
      </c>
      <c r="G62" s="372" t="s">
        <v>3183</v>
      </c>
      <c r="H62" s="373" t="s">
        <v>1874</v>
      </c>
      <c r="I62" s="374" t="s">
        <v>1874</v>
      </c>
      <c r="J62" s="421" t="s">
        <v>3241</v>
      </c>
      <c r="K62" s="421" t="s">
        <v>3191</v>
      </c>
      <c r="L62" s="329">
        <f>CONTINUA!BV62</f>
        <v>0</v>
      </c>
      <c r="M62" s="329">
        <f>CONTINUA!BW62</f>
        <v>0</v>
      </c>
      <c r="N62" s="895"/>
      <c r="O62" s="896" t="s">
        <v>3399</v>
      </c>
      <c r="P62" s="897">
        <v>0</v>
      </c>
      <c r="Q62" s="400">
        <v>1</v>
      </c>
      <c r="R62" s="401">
        <v>7</v>
      </c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1</v>
      </c>
      <c r="EQ62" s="171">
        <f t="shared" si="23"/>
        <v>0</v>
      </c>
      <c r="ER62" s="171">
        <f t="shared" si="24"/>
        <v>0</v>
      </c>
      <c r="ES62" s="171">
        <f t="shared" si="25"/>
        <v>7</v>
      </c>
      <c r="ET62" s="171">
        <f t="shared" si="26"/>
        <v>0</v>
      </c>
      <c r="EU62" s="171">
        <f t="shared" si="27"/>
        <v>0</v>
      </c>
      <c r="EV62" s="172">
        <f t="shared" si="28"/>
        <v>8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3237</v>
      </c>
      <c r="B63" s="369" t="s">
        <v>3238</v>
      </c>
      <c r="C63" s="375" t="s">
        <v>3190</v>
      </c>
      <c r="D63" s="371" t="s">
        <v>3239</v>
      </c>
      <c r="E63" s="371" t="s">
        <v>3240</v>
      </c>
      <c r="F63" s="376" t="s">
        <v>3182</v>
      </c>
      <c r="G63" s="376" t="s">
        <v>3183</v>
      </c>
      <c r="H63" s="373" t="s">
        <v>1874</v>
      </c>
      <c r="I63" s="374" t="s">
        <v>1874</v>
      </c>
      <c r="J63" s="421" t="s">
        <v>3241</v>
      </c>
      <c r="K63" s="422" t="s">
        <v>3192</v>
      </c>
      <c r="L63" s="329">
        <f>CONTINUA!BV63</f>
        <v>0</v>
      </c>
      <c r="M63" s="329">
        <f>CONTINUA!BW63</f>
        <v>0</v>
      </c>
      <c r="N63" s="895"/>
      <c r="O63" s="896" t="s">
        <v>3399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3237</v>
      </c>
      <c r="B64" s="369" t="s">
        <v>3238</v>
      </c>
      <c r="C64" s="375" t="s">
        <v>3190</v>
      </c>
      <c r="D64" s="371" t="s">
        <v>3239</v>
      </c>
      <c r="E64" s="371" t="s">
        <v>3240</v>
      </c>
      <c r="F64" s="376" t="s">
        <v>3182</v>
      </c>
      <c r="G64" s="376" t="s">
        <v>3183</v>
      </c>
      <c r="H64" s="373" t="s">
        <v>1874</v>
      </c>
      <c r="I64" s="374" t="s">
        <v>1874</v>
      </c>
      <c r="J64" s="421" t="s">
        <v>3241</v>
      </c>
      <c r="K64" s="423" t="s">
        <v>3193</v>
      </c>
      <c r="L64" s="329">
        <f>CONTINUA!BV64</f>
        <v>0</v>
      </c>
      <c r="M64" s="329">
        <f>CONTINUA!BW64</f>
        <v>0</v>
      </c>
      <c r="N64" s="895"/>
      <c r="O64" s="896" t="s">
        <v>3399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3237</v>
      </c>
      <c r="B65" s="378" t="s">
        <v>3238</v>
      </c>
      <c r="C65" s="379" t="s">
        <v>3190</v>
      </c>
      <c r="D65" s="380" t="s">
        <v>3239</v>
      </c>
      <c r="E65" s="380" t="s">
        <v>3240</v>
      </c>
      <c r="F65" s="381" t="s">
        <v>3182</v>
      </c>
      <c r="G65" s="381" t="s">
        <v>3183</v>
      </c>
      <c r="H65" s="382" t="s">
        <v>1874</v>
      </c>
      <c r="I65" s="383" t="s">
        <v>1874</v>
      </c>
      <c r="J65" s="421" t="s">
        <v>3241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3399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1</v>
      </c>
      <c r="D66" s="524" t="s">
        <v>3244</v>
      </c>
      <c r="E66" s="524" t="s">
        <v>3245</v>
      </c>
      <c r="F66" s="525" t="s">
        <v>3182</v>
      </c>
      <c r="G66" s="525" t="s">
        <v>3183</v>
      </c>
      <c r="H66" s="350" t="s">
        <v>1875</v>
      </c>
      <c r="I66" s="351" t="s">
        <v>1875</v>
      </c>
      <c r="J66" s="409" t="s">
        <v>3188</v>
      </c>
      <c r="K66" s="410" t="s">
        <v>3189</v>
      </c>
      <c r="L66" s="329">
        <f>CONTINUA!BV66</f>
        <v>0</v>
      </c>
      <c r="M66" s="329">
        <f>CONTINUA!BW66</f>
        <v>0</v>
      </c>
      <c r="N66" s="895"/>
      <c r="O66" s="896" t="s">
        <v>3400</v>
      </c>
      <c r="P66" s="897">
        <v>0</v>
      </c>
      <c r="Q66" s="400">
        <v>25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>
        <v>-1</v>
      </c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>
        <v>-1</v>
      </c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25</v>
      </c>
      <c r="EQ66" s="171">
        <f t="shared" si="23"/>
        <v>-2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23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10959.59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-128.41000000000003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10831.18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10959.59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-102.72800000000001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-25.682000000000002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3190</v>
      </c>
      <c r="D67" s="371" t="s">
        <v>3244</v>
      </c>
      <c r="E67" s="371" t="s">
        <v>3245</v>
      </c>
      <c r="F67" s="372" t="s">
        <v>3182</v>
      </c>
      <c r="G67" s="372" t="s">
        <v>3183</v>
      </c>
      <c r="H67" s="373" t="s">
        <v>1875</v>
      </c>
      <c r="I67" s="374" t="s">
        <v>1875</v>
      </c>
      <c r="J67" s="421" t="s">
        <v>3188</v>
      </c>
      <c r="K67" s="421" t="s">
        <v>3191</v>
      </c>
      <c r="L67" s="329">
        <f>CONTINUA!BV67</f>
        <v>0</v>
      </c>
      <c r="M67" s="329">
        <f>CONTINUA!BW67</f>
        <v>0</v>
      </c>
      <c r="N67" s="895"/>
      <c r="O67" s="896" t="s">
        <v>3400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3190</v>
      </c>
      <c r="D68" s="371" t="s">
        <v>3244</v>
      </c>
      <c r="E68" s="371" t="s">
        <v>3245</v>
      </c>
      <c r="F68" s="376" t="s">
        <v>3182</v>
      </c>
      <c r="G68" s="376" t="s">
        <v>3183</v>
      </c>
      <c r="H68" s="373" t="s">
        <v>1875</v>
      </c>
      <c r="I68" s="374" t="s">
        <v>1875</v>
      </c>
      <c r="J68" s="421" t="s">
        <v>3188</v>
      </c>
      <c r="K68" s="422" t="s">
        <v>3192</v>
      </c>
      <c r="L68" s="329">
        <f>CONTINUA!BV68</f>
        <v>0</v>
      </c>
      <c r="M68" s="329">
        <f>CONTINUA!BW68</f>
        <v>0</v>
      </c>
      <c r="N68" s="895"/>
      <c r="O68" s="896" t="s">
        <v>3400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3190</v>
      </c>
      <c r="D69" s="371" t="s">
        <v>3244</v>
      </c>
      <c r="E69" s="371" t="s">
        <v>3245</v>
      </c>
      <c r="F69" s="376" t="s">
        <v>3182</v>
      </c>
      <c r="G69" s="376" t="s">
        <v>3183</v>
      </c>
      <c r="H69" s="373" t="s">
        <v>1875</v>
      </c>
      <c r="I69" s="374" t="s">
        <v>1875</v>
      </c>
      <c r="J69" s="421" t="s">
        <v>3188</v>
      </c>
      <c r="K69" s="423" t="s">
        <v>3193</v>
      </c>
      <c r="L69" s="329">
        <f>CONTINUA!BV69</f>
        <v>0</v>
      </c>
      <c r="M69" s="329">
        <f>CONTINUA!BW69</f>
        <v>0</v>
      </c>
      <c r="N69" s="895"/>
      <c r="O69" s="896" t="s">
        <v>3400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3190</v>
      </c>
      <c r="D70" s="380" t="s">
        <v>3244</v>
      </c>
      <c r="E70" s="380" t="s">
        <v>3245</v>
      </c>
      <c r="F70" s="381" t="s">
        <v>3182</v>
      </c>
      <c r="G70" s="381" t="s">
        <v>3183</v>
      </c>
      <c r="H70" s="382" t="s">
        <v>1875</v>
      </c>
      <c r="I70" s="383" t="s">
        <v>1875</v>
      </c>
      <c r="J70" s="421" t="s">
        <v>3188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3400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1</v>
      </c>
      <c r="D71" s="524" t="s">
        <v>3248</v>
      </c>
      <c r="E71" s="524" t="s">
        <v>3249</v>
      </c>
      <c r="F71" s="525" t="s">
        <v>3182</v>
      </c>
      <c r="G71" s="525" t="s">
        <v>3183</v>
      </c>
      <c r="H71" s="350" t="s">
        <v>1878</v>
      </c>
      <c r="I71" s="351" t="s">
        <v>1878</v>
      </c>
      <c r="J71" s="409" t="s">
        <v>3188</v>
      </c>
      <c r="K71" s="410" t="s">
        <v>3189</v>
      </c>
      <c r="L71" s="329">
        <f>CONTINUA!BV71</f>
        <v>0</v>
      </c>
      <c r="M71" s="329">
        <f>CONTINUA!BW71</f>
        <v>0</v>
      </c>
      <c r="N71" s="895"/>
      <c r="O71" s="896" t="s">
        <v>3401</v>
      </c>
      <c r="P71" s="897">
        <v>0</v>
      </c>
      <c r="Q71" s="400">
        <v>34</v>
      </c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34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34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15582.35</v>
      </c>
      <c r="EY71" s="174">
        <f>(L71*regular)+(M71*Cadeirantee)</f>
        <v>0</v>
      </c>
      <c r="EZ71" s="249">
        <f>SUMIF(FG71:GJ71,"&gt;0")</f>
        <v>231.13800000000003</v>
      </c>
      <c r="FA71" s="249">
        <f>SUMIF(FG71:GJ71,"&lt;0")+SUMIF(GN71:HP71,"&lt;0")</f>
        <v>-25.682000000000002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15787.806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15582.35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231.13800000000003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-25.682000000000002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3190</v>
      </c>
      <c r="D72" s="371" t="s">
        <v>3248</v>
      </c>
      <c r="E72" s="371" t="s">
        <v>3249</v>
      </c>
      <c r="F72" s="372" t="s">
        <v>3182</v>
      </c>
      <c r="G72" s="372" t="s">
        <v>3183</v>
      </c>
      <c r="H72" s="373" t="s">
        <v>1878</v>
      </c>
      <c r="I72" s="374" t="s">
        <v>1878</v>
      </c>
      <c r="J72" s="421" t="s">
        <v>3188</v>
      </c>
      <c r="K72" s="421" t="s">
        <v>3191</v>
      </c>
      <c r="L72" s="329">
        <f>CONTINUA!BV72</f>
        <v>0</v>
      </c>
      <c r="M72" s="329">
        <f>CONTINUA!BW72</f>
        <v>0</v>
      </c>
      <c r="N72" s="895"/>
      <c r="O72" s="896" t="s">
        <v>3401</v>
      </c>
      <c r="P72" s="897">
        <v>0</v>
      </c>
      <c r="Q72" s="400">
        <v>3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>
        <v>1</v>
      </c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>
        <v>-1</v>
      </c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3190</v>
      </c>
      <c r="D73" s="371" t="s">
        <v>3248</v>
      </c>
      <c r="E73" s="371" t="s">
        <v>3249</v>
      </c>
      <c r="F73" s="376" t="s">
        <v>3182</v>
      </c>
      <c r="G73" s="376" t="s">
        <v>3183</v>
      </c>
      <c r="H73" s="373" t="s">
        <v>1878</v>
      </c>
      <c r="I73" s="374" t="s">
        <v>1878</v>
      </c>
      <c r="J73" s="421" t="s">
        <v>3188</v>
      </c>
      <c r="K73" s="422" t="s">
        <v>3192</v>
      </c>
      <c r="L73" s="329">
        <f>CONTINUA!BV73</f>
        <v>0</v>
      </c>
      <c r="M73" s="329">
        <f>CONTINUA!BW73</f>
        <v>0</v>
      </c>
      <c r="N73" s="895"/>
      <c r="O73" s="896" t="s">
        <v>3401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3190</v>
      </c>
      <c r="D74" s="371" t="s">
        <v>3248</v>
      </c>
      <c r="E74" s="371" t="s">
        <v>3249</v>
      </c>
      <c r="F74" s="376" t="s">
        <v>3182</v>
      </c>
      <c r="G74" s="376" t="s">
        <v>3183</v>
      </c>
      <c r="H74" s="373" t="s">
        <v>1878</v>
      </c>
      <c r="I74" s="374" t="s">
        <v>1878</v>
      </c>
      <c r="J74" s="421" t="s">
        <v>3188</v>
      </c>
      <c r="K74" s="423" t="s">
        <v>3193</v>
      </c>
      <c r="L74" s="329">
        <f>CONTINUA!BV74</f>
        <v>0</v>
      </c>
      <c r="M74" s="329">
        <f>CONTINUA!BW74</f>
        <v>0</v>
      </c>
      <c r="N74" s="895"/>
      <c r="O74" s="896" t="s">
        <v>3401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3190</v>
      </c>
      <c r="D75" s="380" t="s">
        <v>3248</v>
      </c>
      <c r="E75" s="380" t="s">
        <v>3249</v>
      </c>
      <c r="F75" s="381" t="s">
        <v>3182</v>
      </c>
      <c r="G75" s="381" t="s">
        <v>3183</v>
      </c>
      <c r="H75" s="382" t="s">
        <v>1878</v>
      </c>
      <c r="I75" s="383" t="s">
        <v>1878</v>
      </c>
      <c r="J75" s="421" t="s">
        <v>3188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3401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1</v>
      </c>
      <c r="D76" s="524" t="s">
        <v>3252</v>
      </c>
      <c r="E76" s="524" t="s">
        <v>3253</v>
      </c>
      <c r="F76" s="525" t="s">
        <v>3182</v>
      </c>
      <c r="G76" s="525" t="s">
        <v>3183</v>
      </c>
      <c r="H76" s="350" t="s">
        <v>1881</v>
      </c>
      <c r="I76" s="351" t="s">
        <v>1881</v>
      </c>
      <c r="J76" s="409" t="s">
        <v>3188</v>
      </c>
      <c r="K76" s="410" t="s">
        <v>3189</v>
      </c>
      <c r="L76" s="329">
        <f>CONTINUA!BV76</f>
        <v>0</v>
      </c>
      <c r="M76" s="329">
        <f>CONTINUA!BW76</f>
        <v>0</v>
      </c>
      <c r="N76" s="895"/>
      <c r="O76" s="896" t="s">
        <v>3402</v>
      </c>
      <c r="P76" s="897">
        <v>0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22516.49</v>
      </c>
      <c r="EY76" s="174">
        <f>(L76*regular)+(M76*Cadeirantee)</f>
        <v>0</v>
      </c>
      <c r="EZ76" s="249">
        <f>SUMIF(FG76:GJ76,"&gt;0")</f>
        <v>295.34300000000002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22811.833000000002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22516.49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295.34300000000002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3190</v>
      </c>
      <c r="D77" s="371" t="s">
        <v>3252</v>
      </c>
      <c r="E77" s="371" t="s">
        <v>3253</v>
      </c>
      <c r="F77" s="372" t="s">
        <v>3182</v>
      </c>
      <c r="G77" s="372" t="s">
        <v>3183</v>
      </c>
      <c r="H77" s="373" t="s">
        <v>1881</v>
      </c>
      <c r="I77" s="374" t="s">
        <v>1881</v>
      </c>
      <c r="J77" s="421" t="s">
        <v>3188</v>
      </c>
      <c r="K77" s="421" t="s">
        <v>3191</v>
      </c>
      <c r="L77" s="329">
        <f>CONTINUA!BV77</f>
        <v>0</v>
      </c>
      <c r="M77" s="329">
        <f>CONTINUA!BW77</f>
        <v>0</v>
      </c>
      <c r="N77" s="895"/>
      <c r="O77" s="896" t="s">
        <v>3402</v>
      </c>
      <c r="P77" s="897">
        <v>0</v>
      </c>
      <c r="Q77" s="400">
        <v>55</v>
      </c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>
        <v>1</v>
      </c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55</v>
      </c>
      <c r="EQ77" s="171">
        <f t="shared" si="96"/>
        <v>1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56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3190</v>
      </c>
      <c r="D78" s="371" t="s">
        <v>3252</v>
      </c>
      <c r="E78" s="371" t="s">
        <v>3253</v>
      </c>
      <c r="F78" s="376" t="s">
        <v>3182</v>
      </c>
      <c r="G78" s="376" t="s">
        <v>3183</v>
      </c>
      <c r="H78" s="373" t="s">
        <v>1881</v>
      </c>
      <c r="I78" s="374" t="s">
        <v>1881</v>
      </c>
      <c r="J78" s="421" t="s">
        <v>3188</v>
      </c>
      <c r="K78" s="422" t="s">
        <v>3192</v>
      </c>
      <c r="L78" s="329">
        <f>CONTINUA!BV78</f>
        <v>0</v>
      </c>
      <c r="M78" s="329">
        <f>CONTINUA!BW78</f>
        <v>0</v>
      </c>
      <c r="N78" s="895"/>
      <c r="O78" s="896" t="s">
        <v>3402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3190</v>
      </c>
      <c r="D79" s="371" t="s">
        <v>3252</v>
      </c>
      <c r="E79" s="371" t="s">
        <v>3253</v>
      </c>
      <c r="F79" s="376" t="s">
        <v>3182</v>
      </c>
      <c r="G79" s="376" t="s">
        <v>3183</v>
      </c>
      <c r="H79" s="373" t="s">
        <v>1881</v>
      </c>
      <c r="I79" s="374" t="s">
        <v>1881</v>
      </c>
      <c r="J79" s="421" t="s">
        <v>3188</v>
      </c>
      <c r="K79" s="423" t="s">
        <v>3193</v>
      </c>
      <c r="L79" s="329">
        <f>CONTINUA!BV79</f>
        <v>0</v>
      </c>
      <c r="M79" s="329">
        <f>CONTINUA!BW79</f>
        <v>0</v>
      </c>
      <c r="N79" s="895"/>
      <c r="O79" s="896" t="s">
        <v>3402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3190</v>
      </c>
      <c r="D80" s="380" t="s">
        <v>3252</v>
      </c>
      <c r="E80" s="380" t="s">
        <v>3253</v>
      </c>
      <c r="F80" s="381" t="s">
        <v>3182</v>
      </c>
      <c r="G80" s="381" t="s">
        <v>3183</v>
      </c>
      <c r="H80" s="382" t="s">
        <v>1881</v>
      </c>
      <c r="I80" s="383" t="s">
        <v>1881</v>
      </c>
      <c r="J80" s="421" t="s">
        <v>3188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3402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3182</v>
      </c>
      <c r="G81" s="525" t="s">
        <v>3183</v>
      </c>
      <c r="H81" s="350" t="s">
        <v>1885</v>
      </c>
      <c r="I81" s="351" t="s">
        <v>1885</v>
      </c>
      <c r="J81" s="409" t="s">
        <v>3188</v>
      </c>
      <c r="K81" s="410" t="s">
        <v>3189</v>
      </c>
      <c r="L81" s="329">
        <f>CONTINUA!BV81</f>
        <v>0</v>
      </c>
      <c r="M81" s="329">
        <f>CONTINUA!BW81</f>
        <v>0</v>
      </c>
      <c r="N81" s="895"/>
      <c r="O81" s="896" t="s">
        <v>3403</v>
      </c>
      <c r="P81" s="897">
        <v>0</v>
      </c>
      <c r="Q81" s="400">
        <v>44</v>
      </c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>
        <v>1</v>
      </c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44</v>
      </c>
      <c r="EQ81" s="171">
        <f t="shared" si="96"/>
        <v>1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45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18278.96</v>
      </c>
      <c r="EY81" s="174">
        <f>(L81*regular)+(M81*Cadeirantee)</f>
        <v>0</v>
      </c>
      <c r="EZ81" s="249">
        <f>SUMIF(FG81:GJ81,"&gt;0")</f>
        <v>269.661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18548.620999999999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18278.96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269.661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3190</v>
      </c>
      <c r="D82" s="371" t="s">
        <v>3256</v>
      </c>
      <c r="E82" s="371" t="s">
        <v>3257</v>
      </c>
      <c r="F82" s="372" t="s">
        <v>3182</v>
      </c>
      <c r="G82" s="372" t="s">
        <v>3183</v>
      </c>
      <c r="H82" s="373" t="s">
        <v>1885</v>
      </c>
      <c r="I82" s="374" t="s">
        <v>1885</v>
      </c>
      <c r="J82" s="421" t="s">
        <v>3188</v>
      </c>
      <c r="K82" s="421" t="s">
        <v>3191</v>
      </c>
      <c r="L82" s="329">
        <f>CONTINUA!BV82</f>
        <v>0</v>
      </c>
      <c r="M82" s="329">
        <f>CONTINUA!BW82</f>
        <v>0</v>
      </c>
      <c r="N82" s="895"/>
      <c r="O82" s="896" t="s">
        <v>3403</v>
      </c>
      <c r="P82" s="897">
        <v>0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3190</v>
      </c>
      <c r="D83" s="371" t="s">
        <v>3256</v>
      </c>
      <c r="E83" s="371" t="s">
        <v>3257</v>
      </c>
      <c r="F83" s="376" t="s">
        <v>3182</v>
      </c>
      <c r="G83" s="376" t="s">
        <v>3183</v>
      </c>
      <c r="H83" s="373" t="s">
        <v>1885</v>
      </c>
      <c r="I83" s="374" t="s">
        <v>1885</v>
      </c>
      <c r="J83" s="421" t="s">
        <v>3188</v>
      </c>
      <c r="K83" s="422" t="s">
        <v>3192</v>
      </c>
      <c r="L83" s="329">
        <f>CONTINUA!BV83</f>
        <v>0</v>
      </c>
      <c r="M83" s="329">
        <f>CONTINUA!BW83</f>
        <v>0</v>
      </c>
      <c r="N83" s="895"/>
      <c r="O83" s="896" t="s">
        <v>3403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3190</v>
      </c>
      <c r="D84" s="371" t="s">
        <v>3256</v>
      </c>
      <c r="E84" s="371" t="s">
        <v>3257</v>
      </c>
      <c r="F84" s="376" t="s">
        <v>3182</v>
      </c>
      <c r="G84" s="376" t="s">
        <v>3183</v>
      </c>
      <c r="H84" s="373" t="s">
        <v>1885</v>
      </c>
      <c r="I84" s="374" t="s">
        <v>1885</v>
      </c>
      <c r="J84" s="421" t="s">
        <v>3188</v>
      </c>
      <c r="K84" s="423" t="s">
        <v>3193</v>
      </c>
      <c r="L84" s="329">
        <f>CONTINUA!BV84</f>
        <v>0</v>
      </c>
      <c r="M84" s="329">
        <f>CONTINUA!BW84</f>
        <v>0</v>
      </c>
      <c r="N84" s="895"/>
      <c r="O84" s="896" t="s">
        <v>3403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3190</v>
      </c>
      <c r="D85" s="380" t="s">
        <v>3256</v>
      </c>
      <c r="E85" s="380" t="s">
        <v>3257</v>
      </c>
      <c r="F85" s="381" t="s">
        <v>3182</v>
      </c>
      <c r="G85" s="381" t="s">
        <v>3183</v>
      </c>
      <c r="H85" s="382" t="s">
        <v>1885</v>
      </c>
      <c r="I85" s="383" t="s">
        <v>1885</v>
      </c>
      <c r="J85" s="421" t="s">
        <v>3188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3403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1</v>
      </c>
      <c r="D86" s="524" t="s">
        <v>3260</v>
      </c>
      <c r="E86" s="524" t="s">
        <v>3261</v>
      </c>
      <c r="F86" s="525" t="s">
        <v>3182</v>
      </c>
      <c r="G86" s="525" t="s">
        <v>3183</v>
      </c>
      <c r="H86" s="350" t="s">
        <v>1886</v>
      </c>
      <c r="I86" s="351" t="s">
        <v>1886</v>
      </c>
      <c r="J86" s="409" t="s">
        <v>3188</v>
      </c>
      <c r="K86" s="410" t="s">
        <v>3189</v>
      </c>
      <c r="L86" s="329">
        <f>CONTINUA!BV86</f>
        <v>0</v>
      </c>
      <c r="M86" s="329">
        <f>CONTINUA!BW86</f>
        <v>0</v>
      </c>
      <c r="N86" s="895"/>
      <c r="O86" s="896" t="s">
        <v>3404</v>
      </c>
      <c r="P86" s="897">
        <v>0</v>
      </c>
      <c r="Q86" s="400">
        <v>24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>
        <v>1</v>
      </c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>
        <v>1</v>
      </c>
      <c r="BR86" s="401"/>
      <c r="BS86" s="400"/>
      <c r="BT86" s="401"/>
      <c r="BU86" s="400"/>
      <c r="BV86" s="401"/>
      <c r="BW86" s="400"/>
      <c r="BX86" s="401"/>
      <c r="BY86" s="400">
        <v>1</v>
      </c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>
        <v>-1</v>
      </c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24</v>
      </c>
      <c r="EQ86" s="171">
        <f t="shared" si="96"/>
        <v>3</v>
      </c>
      <c r="ER86" s="171">
        <f t="shared" si="97"/>
        <v>-1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26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16352.810000000001</v>
      </c>
      <c r="EY86" s="174">
        <f>(L86*regular)+(M86*Cadeirantee)</f>
        <v>0</v>
      </c>
      <c r="EZ86" s="249">
        <f>SUMIF(FG86:GJ86,"&gt;0")</f>
        <v>680.57300000000009</v>
      </c>
      <c r="FA86" s="249">
        <f>SUMIF(FG86:GJ86,"&lt;0")+SUMIF(GN86:HP86,"&lt;0")</f>
        <v>-25.682000000000002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17047.658760000002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16352.810000000001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269.661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218.29700000000003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192.61500000000001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-25.682000000000002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3190</v>
      </c>
      <c r="D87" s="371" t="s">
        <v>3260</v>
      </c>
      <c r="E87" s="371" t="s">
        <v>3261</v>
      </c>
      <c r="F87" s="372" t="s">
        <v>3182</v>
      </c>
      <c r="G87" s="372" t="s">
        <v>3183</v>
      </c>
      <c r="H87" s="373" t="s">
        <v>1886</v>
      </c>
      <c r="I87" s="374" t="s">
        <v>1886</v>
      </c>
      <c r="J87" s="421" t="s">
        <v>3188</v>
      </c>
      <c r="K87" s="421" t="s">
        <v>3191</v>
      </c>
      <c r="L87" s="329">
        <f>CONTINUA!BV87</f>
        <v>0</v>
      </c>
      <c r="M87" s="329">
        <f>CONTINUA!BW87</f>
        <v>0</v>
      </c>
      <c r="N87" s="895">
        <v>1.643</v>
      </c>
      <c r="O87" s="896" t="s">
        <v>3404</v>
      </c>
      <c r="P87" s="897">
        <v>0</v>
      </c>
      <c r="Q87" s="400">
        <v>15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15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15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39.95776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3190</v>
      </c>
      <c r="D88" s="371" t="s">
        <v>3260</v>
      </c>
      <c r="E88" s="371" t="s">
        <v>3261</v>
      </c>
      <c r="F88" s="376" t="s">
        <v>3182</v>
      </c>
      <c r="G88" s="376" t="s">
        <v>3183</v>
      </c>
      <c r="H88" s="373" t="s">
        <v>1886</v>
      </c>
      <c r="I88" s="374" t="s">
        <v>1886</v>
      </c>
      <c r="J88" s="421" t="s">
        <v>3188</v>
      </c>
      <c r="K88" s="422" t="s">
        <v>3192</v>
      </c>
      <c r="L88" s="329">
        <f>CONTINUA!BV88</f>
        <v>0</v>
      </c>
      <c r="M88" s="329">
        <f>CONTINUA!BW88</f>
        <v>0</v>
      </c>
      <c r="N88" s="895"/>
      <c r="O88" s="896" t="s">
        <v>3404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3190</v>
      </c>
      <c r="D89" s="371" t="s">
        <v>3260</v>
      </c>
      <c r="E89" s="371" t="s">
        <v>3261</v>
      </c>
      <c r="F89" s="376" t="s">
        <v>3182</v>
      </c>
      <c r="G89" s="376" t="s">
        <v>3183</v>
      </c>
      <c r="H89" s="373" t="s">
        <v>1886</v>
      </c>
      <c r="I89" s="374" t="s">
        <v>1886</v>
      </c>
      <c r="J89" s="421" t="s">
        <v>3188</v>
      </c>
      <c r="K89" s="423" t="s">
        <v>3193</v>
      </c>
      <c r="L89" s="329">
        <f>CONTINUA!BV89</f>
        <v>0</v>
      </c>
      <c r="M89" s="329">
        <f>CONTINUA!BW89</f>
        <v>0</v>
      </c>
      <c r="N89" s="895"/>
      <c r="O89" s="896" t="s">
        <v>3404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3190</v>
      </c>
      <c r="D90" s="380" t="s">
        <v>3260</v>
      </c>
      <c r="E90" s="380" t="s">
        <v>3261</v>
      </c>
      <c r="F90" s="381" t="s">
        <v>3182</v>
      </c>
      <c r="G90" s="381" t="s">
        <v>3183</v>
      </c>
      <c r="H90" s="382" t="s">
        <v>1886</v>
      </c>
      <c r="I90" s="383" t="s">
        <v>1886</v>
      </c>
      <c r="J90" s="421" t="s">
        <v>3188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3404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2</v>
      </c>
      <c r="D91" s="524" t="s">
        <v>3264</v>
      </c>
      <c r="E91" s="524" t="s">
        <v>3265</v>
      </c>
      <c r="F91" s="525" t="s">
        <v>3182</v>
      </c>
      <c r="G91" s="525" t="s">
        <v>3183</v>
      </c>
      <c r="H91" s="350" t="s">
        <v>1887</v>
      </c>
      <c r="I91" s="351" t="s">
        <v>1887</v>
      </c>
      <c r="J91" s="409" t="s">
        <v>3241</v>
      </c>
      <c r="K91" s="410" t="s">
        <v>3189</v>
      </c>
      <c r="L91" s="329">
        <f>CONTINUA!BV91</f>
        <v>0</v>
      </c>
      <c r="M91" s="329">
        <f>CONTINUA!BW91</f>
        <v>0</v>
      </c>
      <c r="N91" s="895"/>
      <c r="O91" s="896" t="s">
        <v>3405</v>
      </c>
      <c r="P91" s="897">
        <v>0</v>
      </c>
      <c r="Q91" s="400"/>
      <c r="R91" s="401">
        <v>1</v>
      </c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1</v>
      </c>
      <c r="ET91" s="171">
        <f t="shared" si="99"/>
        <v>0</v>
      </c>
      <c r="EU91" s="171">
        <f t="shared" si="100"/>
        <v>0</v>
      </c>
      <c r="EV91" s="172">
        <f t="shared" si="101"/>
        <v>1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15934.850000000002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15934.850000000002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15934.850000000002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3190</v>
      </c>
      <c r="D92" s="371" t="s">
        <v>3264</v>
      </c>
      <c r="E92" s="371" t="s">
        <v>3265</v>
      </c>
      <c r="F92" s="372" t="s">
        <v>3182</v>
      </c>
      <c r="G92" s="372" t="s">
        <v>3183</v>
      </c>
      <c r="H92" s="373" t="s">
        <v>1887</v>
      </c>
      <c r="I92" s="374" t="s">
        <v>1887</v>
      </c>
      <c r="J92" s="421" t="s">
        <v>3241</v>
      </c>
      <c r="K92" s="421" t="s">
        <v>3191</v>
      </c>
      <c r="L92" s="329">
        <f>CONTINUA!BV92</f>
        <v>0</v>
      </c>
      <c r="M92" s="329">
        <f>CONTINUA!BW92</f>
        <v>0</v>
      </c>
      <c r="N92" s="895"/>
      <c r="O92" s="896" t="s">
        <v>3405</v>
      </c>
      <c r="P92" s="897">
        <v>0</v>
      </c>
      <c r="Q92" s="400">
        <v>6</v>
      </c>
      <c r="R92" s="401">
        <v>4</v>
      </c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6</v>
      </c>
      <c r="EQ92" s="171">
        <f t="shared" si="96"/>
        <v>0</v>
      </c>
      <c r="ER92" s="171">
        <f t="shared" si="97"/>
        <v>0</v>
      </c>
      <c r="ES92" s="171">
        <f t="shared" si="98"/>
        <v>4</v>
      </c>
      <c r="ET92" s="171">
        <f t="shared" si="99"/>
        <v>0</v>
      </c>
      <c r="EU92" s="171">
        <f t="shared" si="100"/>
        <v>0</v>
      </c>
      <c r="EV92" s="172">
        <f t="shared" si="101"/>
        <v>10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3190</v>
      </c>
      <c r="D93" s="371" t="s">
        <v>3264</v>
      </c>
      <c r="E93" s="371" t="s">
        <v>3265</v>
      </c>
      <c r="F93" s="376" t="s">
        <v>3182</v>
      </c>
      <c r="G93" s="376" t="s">
        <v>3183</v>
      </c>
      <c r="H93" s="373" t="s">
        <v>1887</v>
      </c>
      <c r="I93" s="374" t="s">
        <v>1887</v>
      </c>
      <c r="J93" s="421" t="s">
        <v>3241</v>
      </c>
      <c r="K93" s="422" t="s">
        <v>3192</v>
      </c>
      <c r="L93" s="329">
        <f>CONTINUA!BV93</f>
        <v>0</v>
      </c>
      <c r="M93" s="329">
        <f>CONTINUA!BW93</f>
        <v>0</v>
      </c>
      <c r="N93" s="895"/>
      <c r="O93" s="896" t="s">
        <v>3405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3190</v>
      </c>
      <c r="D94" s="371" t="s">
        <v>3264</v>
      </c>
      <c r="E94" s="371" t="s">
        <v>3265</v>
      </c>
      <c r="F94" s="376" t="s">
        <v>3182</v>
      </c>
      <c r="G94" s="376" t="s">
        <v>3183</v>
      </c>
      <c r="H94" s="373" t="s">
        <v>1887</v>
      </c>
      <c r="I94" s="374" t="s">
        <v>1887</v>
      </c>
      <c r="J94" s="421" t="s">
        <v>3241</v>
      </c>
      <c r="K94" s="423" t="s">
        <v>3193</v>
      </c>
      <c r="L94" s="329">
        <f>CONTINUA!BV94</f>
        <v>0</v>
      </c>
      <c r="M94" s="329">
        <f>CONTINUA!BW94</f>
        <v>0</v>
      </c>
      <c r="N94" s="895"/>
      <c r="O94" s="896" t="s">
        <v>3405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3190</v>
      </c>
      <c r="D95" s="380" t="s">
        <v>3264</v>
      </c>
      <c r="E95" s="380" t="s">
        <v>3265</v>
      </c>
      <c r="F95" s="381" t="s">
        <v>3182</v>
      </c>
      <c r="G95" s="381" t="s">
        <v>3183</v>
      </c>
      <c r="H95" s="382" t="s">
        <v>1887</v>
      </c>
      <c r="I95" s="383" t="s">
        <v>1887</v>
      </c>
      <c r="J95" s="421" t="s">
        <v>3241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3405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3182</v>
      </c>
      <c r="G96" s="525" t="s">
        <v>3183</v>
      </c>
      <c r="H96" s="350" t="s">
        <v>1888</v>
      </c>
      <c r="I96" s="351" t="s">
        <v>1888</v>
      </c>
      <c r="J96" s="409" t="s">
        <v>3188</v>
      </c>
      <c r="K96" s="410" t="s">
        <v>3189</v>
      </c>
      <c r="L96" s="329">
        <f>CONTINUA!BV96</f>
        <v>0</v>
      </c>
      <c r="M96" s="329">
        <f>CONTINUA!BW96</f>
        <v>0</v>
      </c>
      <c r="N96" s="895">
        <v>0.57999999999999996</v>
      </c>
      <c r="O96" s="896" t="s">
        <v>3406</v>
      </c>
      <c r="P96" s="897">
        <v>0</v>
      </c>
      <c r="Q96" s="400">
        <v>22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>
        <v>-1</v>
      </c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>
        <v>-1</v>
      </c>
      <c r="DZ96" s="401"/>
      <c r="EA96" s="400"/>
      <c r="EB96" s="401"/>
      <c r="EC96" s="400">
        <v>1</v>
      </c>
      <c r="ED96" s="401"/>
      <c r="EE96" s="400"/>
      <c r="EF96" s="401"/>
      <c r="EG96" s="400"/>
      <c r="EH96" s="401"/>
      <c r="EI96" s="400"/>
      <c r="EJ96" s="447"/>
      <c r="EK96" s="510"/>
      <c r="EL96" s="513" t="s">
        <v>3387</v>
      </c>
      <c r="EM96" s="520"/>
      <c r="EN96" s="520">
        <v>1232.74</v>
      </c>
      <c r="EO96" s="520"/>
      <c r="EP96" s="171">
        <f t="shared" si="95"/>
        <v>22</v>
      </c>
      <c r="EQ96" s="171">
        <f t="shared" si="96"/>
        <v>-1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21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23672.18</v>
      </c>
      <c r="EY96" s="174">
        <f>(L96*regular)+(M96*Cadeirantee)</f>
        <v>0</v>
      </c>
      <c r="EZ96" s="249">
        <f>SUMIF(FG96:GJ96,"&gt;0")</f>
        <v>12.841000000000001</v>
      </c>
      <c r="FA96" s="249">
        <f>SUMIF(FG96:GJ96,"&lt;0")+SUMIF(GN96:HP96,"&lt;0")</f>
        <v>-243.97900000000004</v>
      </c>
      <c r="FB96" s="174">
        <v>0</v>
      </c>
      <c r="FC96" s="175">
        <f>N96*km*'VALORES TABELA'!$B$13</f>
        <v>14.105599999999999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22222.407599999999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23672.18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-218.29700000000003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-25.682000000000002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12.841000000000001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1232.74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3190</v>
      </c>
      <c r="D97" s="371" t="s">
        <v>3268</v>
      </c>
      <c r="E97" s="371" t="s">
        <v>3269</v>
      </c>
      <c r="F97" s="372" t="s">
        <v>3182</v>
      </c>
      <c r="G97" s="372" t="s">
        <v>3183</v>
      </c>
      <c r="H97" s="373" t="s">
        <v>1888</v>
      </c>
      <c r="I97" s="374" t="s">
        <v>1888</v>
      </c>
      <c r="J97" s="421" t="s">
        <v>3188</v>
      </c>
      <c r="K97" s="421" t="s">
        <v>3191</v>
      </c>
      <c r="L97" s="329">
        <f>CONTINUA!BV97</f>
        <v>0</v>
      </c>
      <c r="M97" s="329">
        <f>CONTINUA!BW97</f>
        <v>0</v>
      </c>
      <c r="N97" s="895"/>
      <c r="O97" s="896" t="s">
        <v>3406</v>
      </c>
      <c r="P97" s="897">
        <v>0</v>
      </c>
      <c r="Q97" s="400">
        <v>36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36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36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3190</v>
      </c>
      <c r="D98" s="371" t="s">
        <v>3268</v>
      </c>
      <c r="E98" s="371" t="s">
        <v>3269</v>
      </c>
      <c r="F98" s="376" t="s">
        <v>3182</v>
      </c>
      <c r="G98" s="376" t="s">
        <v>3183</v>
      </c>
      <c r="H98" s="373" t="s">
        <v>1888</v>
      </c>
      <c r="I98" s="374" t="s">
        <v>1888</v>
      </c>
      <c r="J98" s="421" t="s">
        <v>3188</v>
      </c>
      <c r="K98" s="422" t="s">
        <v>3192</v>
      </c>
      <c r="L98" s="329">
        <f>CONTINUA!BV98</f>
        <v>0</v>
      </c>
      <c r="M98" s="329">
        <f>CONTINUA!BW98</f>
        <v>0</v>
      </c>
      <c r="N98" s="895"/>
      <c r="O98" s="896" t="s">
        <v>3406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3190</v>
      </c>
      <c r="D99" s="371" t="s">
        <v>3268</v>
      </c>
      <c r="E99" s="371" t="s">
        <v>3269</v>
      </c>
      <c r="F99" s="376" t="s">
        <v>3182</v>
      </c>
      <c r="G99" s="376" t="s">
        <v>3183</v>
      </c>
      <c r="H99" s="373" t="s">
        <v>1888</v>
      </c>
      <c r="I99" s="374" t="s">
        <v>1888</v>
      </c>
      <c r="J99" s="421" t="s">
        <v>3188</v>
      </c>
      <c r="K99" s="423" t="s">
        <v>3193</v>
      </c>
      <c r="L99" s="329">
        <f>CONTINUA!BV99</f>
        <v>0</v>
      </c>
      <c r="M99" s="329">
        <f>CONTINUA!BW99</f>
        <v>0</v>
      </c>
      <c r="N99" s="895"/>
      <c r="O99" s="896" t="s">
        <v>3406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3190</v>
      </c>
      <c r="D100" s="380" t="s">
        <v>3268</v>
      </c>
      <c r="E100" s="380" t="s">
        <v>3269</v>
      </c>
      <c r="F100" s="381" t="s">
        <v>3182</v>
      </c>
      <c r="G100" s="381" t="s">
        <v>3183</v>
      </c>
      <c r="H100" s="382" t="s">
        <v>1888</v>
      </c>
      <c r="I100" s="383" t="s">
        <v>1888</v>
      </c>
      <c r="J100" s="421" t="s">
        <v>3188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3406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1</v>
      </c>
      <c r="D101" s="524" t="s">
        <v>3272</v>
      </c>
      <c r="E101" s="524" t="s">
        <v>3273</v>
      </c>
      <c r="F101" s="525" t="s">
        <v>3182</v>
      </c>
      <c r="G101" s="525" t="s">
        <v>3183</v>
      </c>
      <c r="H101" s="350" t="s">
        <v>1889</v>
      </c>
      <c r="I101" s="351" t="s">
        <v>1889</v>
      </c>
      <c r="J101" s="409" t="s">
        <v>3188</v>
      </c>
      <c r="K101" s="410" t="s">
        <v>3189</v>
      </c>
      <c r="L101" s="329">
        <f>CONTINUA!BV101</f>
        <v>0</v>
      </c>
      <c r="M101" s="329">
        <f>CONTINUA!BW101</f>
        <v>0</v>
      </c>
      <c r="N101" s="895"/>
      <c r="O101" s="896" t="s">
        <v>3407</v>
      </c>
      <c r="P101" s="897">
        <v>0</v>
      </c>
      <c r="Q101" s="400">
        <v>10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10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10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20205.11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20205.11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20205.11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3190</v>
      </c>
      <c r="D102" s="371" t="s">
        <v>3272</v>
      </c>
      <c r="E102" s="371" t="s">
        <v>3273</v>
      </c>
      <c r="F102" s="372" t="s">
        <v>3182</v>
      </c>
      <c r="G102" s="372" t="s">
        <v>3183</v>
      </c>
      <c r="H102" s="373" t="s">
        <v>1889</v>
      </c>
      <c r="I102" s="374" t="s">
        <v>1889</v>
      </c>
      <c r="J102" s="421" t="s">
        <v>3188</v>
      </c>
      <c r="K102" s="421" t="s">
        <v>3191</v>
      </c>
      <c r="L102" s="329">
        <f>CONTINUA!BV102</f>
        <v>0</v>
      </c>
      <c r="M102" s="329">
        <f>CONTINUA!BW102</f>
        <v>0</v>
      </c>
      <c r="N102" s="895"/>
      <c r="O102" s="896" t="s">
        <v>3407</v>
      </c>
      <c r="P102" s="897">
        <v>0</v>
      </c>
      <c r="Q102" s="400">
        <v>39</v>
      </c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39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39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3190</v>
      </c>
      <c r="D103" s="371" t="s">
        <v>3272</v>
      </c>
      <c r="E103" s="371" t="s">
        <v>3273</v>
      </c>
      <c r="F103" s="376" t="s">
        <v>3182</v>
      </c>
      <c r="G103" s="376" t="s">
        <v>3183</v>
      </c>
      <c r="H103" s="373" t="s">
        <v>1889</v>
      </c>
      <c r="I103" s="374" t="s">
        <v>1889</v>
      </c>
      <c r="J103" s="421" t="s">
        <v>3188</v>
      </c>
      <c r="K103" s="422" t="s">
        <v>3192</v>
      </c>
      <c r="L103" s="329">
        <f>CONTINUA!BV103</f>
        <v>0</v>
      </c>
      <c r="M103" s="329">
        <f>CONTINUA!BW103</f>
        <v>0</v>
      </c>
      <c r="N103" s="895"/>
      <c r="O103" s="896" t="s">
        <v>3407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3190</v>
      </c>
      <c r="D104" s="371" t="s">
        <v>3272</v>
      </c>
      <c r="E104" s="371" t="s">
        <v>3273</v>
      </c>
      <c r="F104" s="376" t="s">
        <v>3182</v>
      </c>
      <c r="G104" s="376" t="s">
        <v>3183</v>
      </c>
      <c r="H104" s="373" t="s">
        <v>1889</v>
      </c>
      <c r="I104" s="374" t="s">
        <v>1889</v>
      </c>
      <c r="J104" s="421" t="s">
        <v>3188</v>
      </c>
      <c r="K104" s="423" t="s">
        <v>3193</v>
      </c>
      <c r="L104" s="329">
        <f>CONTINUA!BV104</f>
        <v>0</v>
      </c>
      <c r="M104" s="329">
        <f>CONTINUA!BW104</f>
        <v>0</v>
      </c>
      <c r="N104" s="895"/>
      <c r="O104" s="896" t="s">
        <v>3407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3190</v>
      </c>
      <c r="D105" s="380" t="s">
        <v>3272</v>
      </c>
      <c r="E105" s="380" t="s">
        <v>3273</v>
      </c>
      <c r="F105" s="381" t="s">
        <v>3182</v>
      </c>
      <c r="G105" s="381" t="s">
        <v>3183</v>
      </c>
      <c r="H105" s="382" t="s">
        <v>1889</v>
      </c>
      <c r="I105" s="383" t="s">
        <v>1889</v>
      </c>
      <c r="J105" s="421" t="s">
        <v>3188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3407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1</v>
      </c>
      <c r="D106" s="524" t="s">
        <v>3276</v>
      </c>
      <c r="E106" s="524" t="s">
        <v>3277</v>
      </c>
      <c r="F106" s="525" t="s">
        <v>3182</v>
      </c>
      <c r="G106" s="525" t="s">
        <v>3183</v>
      </c>
      <c r="H106" s="350" t="s">
        <v>1894</v>
      </c>
      <c r="I106" s="351" t="s">
        <v>1894</v>
      </c>
      <c r="J106" s="409" t="s">
        <v>3188</v>
      </c>
      <c r="K106" s="410" t="s">
        <v>3189</v>
      </c>
      <c r="L106" s="329">
        <f>CONTINUA!BV106</f>
        <v>0</v>
      </c>
      <c r="M106" s="329">
        <f>CONTINUA!BW106</f>
        <v>0</v>
      </c>
      <c r="N106" s="895"/>
      <c r="O106" s="896" t="s">
        <v>3408</v>
      </c>
      <c r="P106" s="897">
        <v>0</v>
      </c>
      <c r="Q106" s="400">
        <v>2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2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2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17508.5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17508.5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17508.5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3190</v>
      </c>
      <c r="D107" s="371" t="s">
        <v>3276</v>
      </c>
      <c r="E107" s="371" t="s">
        <v>3277</v>
      </c>
      <c r="F107" s="372" t="s">
        <v>3182</v>
      </c>
      <c r="G107" s="372" t="s">
        <v>3183</v>
      </c>
      <c r="H107" s="373" t="s">
        <v>1894</v>
      </c>
      <c r="I107" s="374" t="s">
        <v>1894</v>
      </c>
      <c r="J107" s="421" t="s">
        <v>3188</v>
      </c>
      <c r="K107" s="421" t="s">
        <v>3191</v>
      </c>
      <c r="L107" s="329">
        <f>CONTINUA!BV107</f>
        <v>0</v>
      </c>
      <c r="M107" s="329">
        <f>CONTINUA!BW107</f>
        <v>0</v>
      </c>
      <c r="N107" s="895"/>
      <c r="O107" s="896" t="s">
        <v>3408</v>
      </c>
      <c r="P107" s="897">
        <v>0</v>
      </c>
      <c r="Q107" s="400">
        <v>40</v>
      </c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40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40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3190</v>
      </c>
      <c r="D108" s="371" t="s">
        <v>3276</v>
      </c>
      <c r="E108" s="371" t="s">
        <v>3277</v>
      </c>
      <c r="F108" s="376" t="s">
        <v>3182</v>
      </c>
      <c r="G108" s="376" t="s">
        <v>3183</v>
      </c>
      <c r="H108" s="373" t="s">
        <v>1894</v>
      </c>
      <c r="I108" s="374" t="s">
        <v>1894</v>
      </c>
      <c r="J108" s="421" t="s">
        <v>3188</v>
      </c>
      <c r="K108" s="422" t="s">
        <v>3192</v>
      </c>
      <c r="L108" s="329">
        <f>CONTINUA!BV108</f>
        <v>0</v>
      </c>
      <c r="M108" s="329">
        <f>CONTINUA!BW108</f>
        <v>0</v>
      </c>
      <c r="N108" s="895"/>
      <c r="O108" s="896" t="s">
        <v>3408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3190</v>
      </c>
      <c r="D109" s="371" t="s">
        <v>3276</v>
      </c>
      <c r="E109" s="371" t="s">
        <v>3277</v>
      </c>
      <c r="F109" s="376" t="s">
        <v>3182</v>
      </c>
      <c r="G109" s="376" t="s">
        <v>3183</v>
      </c>
      <c r="H109" s="373" t="s">
        <v>1894</v>
      </c>
      <c r="I109" s="374" t="s">
        <v>1894</v>
      </c>
      <c r="J109" s="421" t="s">
        <v>3188</v>
      </c>
      <c r="K109" s="423" t="s">
        <v>3193</v>
      </c>
      <c r="L109" s="329">
        <f>CONTINUA!BV109</f>
        <v>0</v>
      </c>
      <c r="M109" s="329">
        <f>CONTINUA!BW109</f>
        <v>0</v>
      </c>
      <c r="N109" s="895"/>
      <c r="O109" s="896" t="s">
        <v>3408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3190</v>
      </c>
      <c r="D110" s="380" t="s">
        <v>3276</v>
      </c>
      <c r="E110" s="380" t="s">
        <v>3277</v>
      </c>
      <c r="F110" s="381" t="s">
        <v>3182</v>
      </c>
      <c r="G110" s="381" t="s">
        <v>3183</v>
      </c>
      <c r="H110" s="382" t="s">
        <v>1894</v>
      </c>
      <c r="I110" s="383" t="s">
        <v>1894</v>
      </c>
      <c r="J110" s="421" t="s">
        <v>3188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3408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3278</v>
      </c>
      <c r="B111" s="522" t="s">
        <v>3279</v>
      </c>
      <c r="C111" s="523">
        <v>1</v>
      </c>
      <c r="D111" s="524" t="s">
        <v>3280</v>
      </c>
      <c r="E111" s="524" t="s">
        <v>3281</v>
      </c>
      <c r="F111" s="525" t="s">
        <v>3182</v>
      </c>
      <c r="G111" s="525" t="s">
        <v>3183</v>
      </c>
      <c r="H111" s="350" t="s">
        <v>1896</v>
      </c>
      <c r="I111" s="351" t="s">
        <v>1896</v>
      </c>
      <c r="J111" s="409" t="s">
        <v>3188</v>
      </c>
      <c r="K111" s="410" t="s">
        <v>3189</v>
      </c>
      <c r="L111" s="329">
        <f>CONTINUA!BV111</f>
        <v>0</v>
      </c>
      <c r="M111" s="329">
        <f>CONTINUA!BW111</f>
        <v>0</v>
      </c>
      <c r="N111" s="895"/>
      <c r="O111" s="896" t="s">
        <v>3409</v>
      </c>
      <c r="P111" s="897">
        <v>0</v>
      </c>
      <c r="Q111" s="400">
        <v>44</v>
      </c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44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44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18278.96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18278.96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18278.96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3278</v>
      </c>
      <c r="B112" s="369" t="s">
        <v>3279</v>
      </c>
      <c r="C112" s="370" t="s">
        <v>3190</v>
      </c>
      <c r="D112" s="371" t="s">
        <v>3280</v>
      </c>
      <c r="E112" s="371" t="s">
        <v>3281</v>
      </c>
      <c r="F112" s="372" t="s">
        <v>3182</v>
      </c>
      <c r="G112" s="372" t="s">
        <v>3183</v>
      </c>
      <c r="H112" s="373" t="s">
        <v>1896</v>
      </c>
      <c r="I112" s="374" t="s">
        <v>1896</v>
      </c>
      <c r="J112" s="421" t="s">
        <v>3188</v>
      </c>
      <c r="K112" s="421" t="s">
        <v>3191</v>
      </c>
      <c r="L112" s="329">
        <f>CONTINUA!BV112</f>
        <v>0</v>
      </c>
      <c r="M112" s="329">
        <f>CONTINUA!BW112</f>
        <v>0</v>
      </c>
      <c r="N112" s="895"/>
      <c r="O112" s="896" t="s">
        <v>3409</v>
      </c>
      <c r="P112" s="897">
        <v>0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3278</v>
      </c>
      <c r="B113" s="369" t="s">
        <v>3279</v>
      </c>
      <c r="C113" s="375" t="s">
        <v>3190</v>
      </c>
      <c r="D113" s="371" t="s">
        <v>3280</v>
      </c>
      <c r="E113" s="371" t="s">
        <v>3281</v>
      </c>
      <c r="F113" s="376" t="s">
        <v>3182</v>
      </c>
      <c r="G113" s="376" t="s">
        <v>3183</v>
      </c>
      <c r="H113" s="373" t="s">
        <v>1896</v>
      </c>
      <c r="I113" s="374" t="s">
        <v>1896</v>
      </c>
      <c r="J113" s="421" t="s">
        <v>3188</v>
      </c>
      <c r="K113" s="422" t="s">
        <v>3192</v>
      </c>
      <c r="L113" s="329">
        <f>CONTINUA!BV113</f>
        <v>0</v>
      </c>
      <c r="M113" s="329">
        <f>CONTINUA!BW113</f>
        <v>0</v>
      </c>
      <c r="N113" s="895"/>
      <c r="O113" s="896" t="s">
        <v>3409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3278</v>
      </c>
      <c r="B114" s="369" t="s">
        <v>3279</v>
      </c>
      <c r="C114" s="375" t="s">
        <v>3190</v>
      </c>
      <c r="D114" s="371" t="s">
        <v>3280</v>
      </c>
      <c r="E114" s="371" t="s">
        <v>3281</v>
      </c>
      <c r="F114" s="376" t="s">
        <v>3182</v>
      </c>
      <c r="G114" s="376" t="s">
        <v>3183</v>
      </c>
      <c r="H114" s="373" t="s">
        <v>1896</v>
      </c>
      <c r="I114" s="374" t="s">
        <v>1896</v>
      </c>
      <c r="J114" s="421" t="s">
        <v>3188</v>
      </c>
      <c r="K114" s="423" t="s">
        <v>3193</v>
      </c>
      <c r="L114" s="329">
        <f>CONTINUA!BV114</f>
        <v>0</v>
      </c>
      <c r="M114" s="329">
        <f>CONTINUA!BW114</f>
        <v>0</v>
      </c>
      <c r="N114" s="895"/>
      <c r="O114" s="896" t="s">
        <v>3409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3278</v>
      </c>
      <c r="B115" s="378" t="s">
        <v>3279</v>
      </c>
      <c r="C115" s="379" t="s">
        <v>3190</v>
      </c>
      <c r="D115" s="380" t="s">
        <v>3280</v>
      </c>
      <c r="E115" s="380" t="s">
        <v>3281</v>
      </c>
      <c r="F115" s="381" t="s">
        <v>3182</v>
      </c>
      <c r="G115" s="381" t="s">
        <v>3183</v>
      </c>
      <c r="H115" s="382" t="s">
        <v>1896</v>
      </c>
      <c r="I115" s="383" t="s">
        <v>1896</v>
      </c>
      <c r="J115" s="421" t="s">
        <v>3188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3409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3282</v>
      </c>
      <c r="B116" s="522" t="s">
        <v>3283</v>
      </c>
      <c r="C116" s="523">
        <v>1</v>
      </c>
      <c r="D116" s="524" t="s">
        <v>3284</v>
      </c>
      <c r="E116" s="524" t="s">
        <v>3285</v>
      </c>
      <c r="F116" s="525" t="s">
        <v>3182</v>
      </c>
      <c r="G116" s="525" t="s">
        <v>3183</v>
      </c>
      <c r="H116" s="350" t="s">
        <v>1899</v>
      </c>
      <c r="I116" s="351" t="s">
        <v>1899</v>
      </c>
      <c r="J116" s="409" t="s">
        <v>3188</v>
      </c>
      <c r="K116" s="410" t="s">
        <v>3189</v>
      </c>
      <c r="L116" s="329">
        <f>CONTINUA!BV116</f>
        <v>0</v>
      </c>
      <c r="M116" s="329">
        <f>CONTINUA!BW116</f>
        <v>0</v>
      </c>
      <c r="N116" s="895"/>
      <c r="O116" s="896" t="s">
        <v>3410</v>
      </c>
      <c r="P116" s="897">
        <v>0</v>
      </c>
      <c r="Q116" s="400">
        <v>16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16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16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7492.52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7492.52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7492.52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3282</v>
      </c>
      <c r="B117" s="369" t="s">
        <v>3283</v>
      </c>
      <c r="C117" s="370" t="s">
        <v>3190</v>
      </c>
      <c r="D117" s="371" t="s">
        <v>3284</v>
      </c>
      <c r="E117" s="371" t="s">
        <v>3285</v>
      </c>
      <c r="F117" s="372" t="s">
        <v>3182</v>
      </c>
      <c r="G117" s="372" t="s">
        <v>3183</v>
      </c>
      <c r="H117" s="373" t="s">
        <v>1899</v>
      </c>
      <c r="I117" s="374" t="s">
        <v>1899</v>
      </c>
      <c r="J117" s="421" t="s">
        <v>3188</v>
      </c>
      <c r="K117" s="421" t="s">
        <v>3191</v>
      </c>
      <c r="L117" s="329">
        <f>CONTINUA!BV117</f>
        <v>0</v>
      </c>
      <c r="M117" s="329">
        <f>CONTINUA!BW117</f>
        <v>0</v>
      </c>
      <c r="N117" s="895"/>
      <c r="O117" s="896" t="s">
        <v>3410</v>
      </c>
      <c r="P117" s="897">
        <v>0</v>
      </c>
      <c r="Q117" s="400"/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3282</v>
      </c>
      <c r="B118" s="369" t="s">
        <v>3283</v>
      </c>
      <c r="C118" s="375" t="s">
        <v>3190</v>
      </c>
      <c r="D118" s="371" t="s">
        <v>3284</v>
      </c>
      <c r="E118" s="371" t="s">
        <v>3285</v>
      </c>
      <c r="F118" s="376" t="s">
        <v>3182</v>
      </c>
      <c r="G118" s="376" t="s">
        <v>3183</v>
      </c>
      <c r="H118" s="373" t="s">
        <v>1899</v>
      </c>
      <c r="I118" s="374" t="s">
        <v>1899</v>
      </c>
      <c r="J118" s="421" t="s">
        <v>3188</v>
      </c>
      <c r="K118" s="422" t="s">
        <v>3192</v>
      </c>
      <c r="L118" s="329">
        <f>CONTINUA!BV118</f>
        <v>0</v>
      </c>
      <c r="M118" s="329">
        <f>CONTINUA!BW118</f>
        <v>0</v>
      </c>
      <c r="N118" s="895"/>
      <c r="O118" s="896" t="s">
        <v>3410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3282</v>
      </c>
      <c r="B119" s="369" t="s">
        <v>3283</v>
      </c>
      <c r="C119" s="375" t="s">
        <v>3190</v>
      </c>
      <c r="D119" s="371" t="s">
        <v>3284</v>
      </c>
      <c r="E119" s="371" t="s">
        <v>3285</v>
      </c>
      <c r="F119" s="376" t="s">
        <v>3182</v>
      </c>
      <c r="G119" s="376" t="s">
        <v>3183</v>
      </c>
      <c r="H119" s="373" t="s">
        <v>1899</v>
      </c>
      <c r="I119" s="374" t="s">
        <v>1899</v>
      </c>
      <c r="J119" s="421" t="s">
        <v>3188</v>
      </c>
      <c r="K119" s="423" t="s">
        <v>3193</v>
      </c>
      <c r="L119" s="329">
        <f>CONTINUA!BV119</f>
        <v>0</v>
      </c>
      <c r="M119" s="329">
        <f>CONTINUA!BW119</f>
        <v>0</v>
      </c>
      <c r="N119" s="895"/>
      <c r="O119" s="896" t="s">
        <v>3410</v>
      </c>
      <c r="P119" s="897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3282</v>
      </c>
      <c r="B120" s="378" t="s">
        <v>3283</v>
      </c>
      <c r="C120" s="379" t="s">
        <v>3190</v>
      </c>
      <c r="D120" s="380" t="s">
        <v>3284</v>
      </c>
      <c r="E120" s="380" t="s">
        <v>3285</v>
      </c>
      <c r="F120" s="381" t="s">
        <v>3182</v>
      </c>
      <c r="G120" s="381" t="s">
        <v>3183</v>
      </c>
      <c r="H120" s="382" t="s">
        <v>1899</v>
      </c>
      <c r="I120" s="383" t="s">
        <v>1899</v>
      </c>
      <c r="J120" s="421" t="s">
        <v>3188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3410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3286</v>
      </c>
      <c r="B121" s="522" t="s">
        <v>3287</v>
      </c>
      <c r="C121" s="523">
        <v>2</v>
      </c>
      <c r="D121" s="524" t="s">
        <v>3288</v>
      </c>
      <c r="E121" s="524" t="s">
        <v>3289</v>
      </c>
      <c r="F121" s="525" t="s">
        <v>3182</v>
      </c>
      <c r="G121" s="525" t="s">
        <v>3183</v>
      </c>
      <c r="H121" s="350" t="s">
        <v>1900</v>
      </c>
      <c r="I121" s="351" t="s">
        <v>1900</v>
      </c>
      <c r="J121" s="409" t="s">
        <v>3241</v>
      </c>
      <c r="K121" s="410" t="s">
        <v>3189</v>
      </c>
      <c r="L121" s="329">
        <f>CONTINUA!BV121</f>
        <v>0</v>
      </c>
      <c r="M121" s="329">
        <f>CONTINUA!BW121</f>
        <v>0</v>
      </c>
      <c r="N121" s="895"/>
      <c r="O121" s="896" t="s">
        <v>3411</v>
      </c>
      <c r="P121" s="897">
        <v>0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 t="s">
        <v>3387</v>
      </c>
      <c r="EM121" s="520">
        <v>1634.92</v>
      </c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22953.759999999998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24588.68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22953.759999999998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1634.92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3286</v>
      </c>
      <c r="B122" s="369" t="s">
        <v>3287</v>
      </c>
      <c r="C122" s="370" t="s">
        <v>3190</v>
      </c>
      <c r="D122" s="371" t="s">
        <v>3288</v>
      </c>
      <c r="E122" s="371" t="s">
        <v>3289</v>
      </c>
      <c r="F122" s="372" t="s">
        <v>3182</v>
      </c>
      <c r="G122" s="372" t="s">
        <v>3183</v>
      </c>
      <c r="H122" s="373" t="s">
        <v>1900</v>
      </c>
      <c r="I122" s="374" t="s">
        <v>1900</v>
      </c>
      <c r="J122" s="421" t="s">
        <v>3241</v>
      </c>
      <c r="K122" s="421" t="s">
        <v>3191</v>
      </c>
      <c r="L122" s="329">
        <f>CONTINUA!BV122</f>
        <v>0</v>
      </c>
      <c r="M122" s="329">
        <f>CONTINUA!BW122</f>
        <v>0</v>
      </c>
      <c r="N122" s="895"/>
      <c r="O122" s="896" t="s">
        <v>3411</v>
      </c>
      <c r="P122" s="897">
        <v>0</v>
      </c>
      <c r="Q122" s="400">
        <v>3</v>
      </c>
      <c r="R122" s="401">
        <v>9</v>
      </c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3</v>
      </c>
      <c r="EQ122" s="171">
        <f t="shared" si="96"/>
        <v>0</v>
      </c>
      <c r="ER122" s="171">
        <f t="shared" si="97"/>
        <v>0</v>
      </c>
      <c r="ES122" s="171">
        <f t="shared" si="98"/>
        <v>9</v>
      </c>
      <c r="ET122" s="171">
        <f t="shared" si="99"/>
        <v>0</v>
      </c>
      <c r="EU122" s="171">
        <f t="shared" si="100"/>
        <v>0</v>
      </c>
      <c r="EV122" s="172">
        <f t="shared" si="101"/>
        <v>12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3286</v>
      </c>
      <c r="B123" s="369" t="s">
        <v>3287</v>
      </c>
      <c r="C123" s="375" t="s">
        <v>3190</v>
      </c>
      <c r="D123" s="371" t="s">
        <v>3288</v>
      </c>
      <c r="E123" s="371" t="s">
        <v>3289</v>
      </c>
      <c r="F123" s="376" t="s">
        <v>3182</v>
      </c>
      <c r="G123" s="376" t="s">
        <v>3183</v>
      </c>
      <c r="H123" s="373" t="s">
        <v>1900</v>
      </c>
      <c r="I123" s="374" t="s">
        <v>1900</v>
      </c>
      <c r="J123" s="421" t="s">
        <v>3241</v>
      </c>
      <c r="K123" s="422" t="s">
        <v>3192</v>
      </c>
      <c r="L123" s="329">
        <f>CONTINUA!BV123</f>
        <v>0</v>
      </c>
      <c r="M123" s="329">
        <f>CONTINUA!BW123</f>
        <v>0</v>
      </c>
      <c r="N123" s="895"/>
      <c r="O123" s="896" t="s">
        <v>3411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3286</v>
      </c>
      <c r="B124" s="369" t="s">
        <v>3287</v>
      </c>
      <c r="C124" s="375" t="s">
        <v>3190</v>
      </c>
      <c r="D124" s="371" t="s">
        <v>3288</v>
      </c>
      <c r="E124" s="371" t="s">
        <v>3289</v>
      </c>
      <c r="F124" s="376" t="s">
        <v>3182</v>
      </c>
      <c r="G124" s="376" t="s">
        <v>3183</v>
      </c>
      <c r="H124" s="373" t="s">
        <v>1900</v>
      </c>
      <c r="I124" s="374" t="s">
        <v>1900</v>
      </c>
      <c r="J124" s="421" t="s">
        <v>3241</v>
      </c>
      <c r="K124" s="423" t="s">
        <v>3193</v>
      </c>
      <c r="L124" s="329">
        <f>CONTINUA!BV124</f>
        <v>0</v>
      </c>
      <c r="M124" s="329">
        <f>CONTINUA!BW124</f>
        <v>0</v>
      </c>
      <c r="N124" s="895"/>
      <c r="O124" s="896" t="s">
        <v>3411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3286</v>
      </c>
      <c r="B125" s="378" t="s">
        <v>3287</v>
      </c>
      <c r="C125" s="379" t="s">
        <v>3190</v>
      </c>
      <c r="D125" s="380" t="s">
        <v>3288</v>
      </c>
      <c r="E125" s="380" t="s">
        <v>3289</v>
      </c>
      <c r="F125" s="381" t="s">
        <v>3182</v>
      </c>
      <c r="G125" s="381" t="s">
        <v>3183</v>
      </c>
      <c r="H125" s="382" t="s">
        <v>1900</v>
      </c>
      <c r="I125" s="383" t="s">
        <v>1900</v>
      </c>
      <c r="J125" s="421" t="s">
        <v>3241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3411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3290</v>
      </c>
      <c r="B126" s="522" t="s">
        <v>3291</v>
      </c>
      <c r="C126" s="523">
        <v>1</v>
      </c>
      <c r="D126" s="524" t="s">
        <v>3292</v>
      </c>
      <c r="E126" s="524" t="s">
        <v>3293</v>
      </c>
      <c r="F126" s="525" t="s">
        <v>3182</v>
      </c>
      <c r="G126" s="525" t="s">
        <v>3183</v>
      </c>
      <c r="H126" s="350" t="s">
        <v>1904</v>
      </c>
      <c r="I126" s="351" t="s">
        <v>1904</v>
      </c>
      <c r="J126" s="409" t="s">
        <v>3188</v>
      </c>
      <c r="K126" s="410" t="s">
        <v>3189</v>
      </c>
      <c r="L126" s="329">
        <f>CONTINUA!BV126</f>
        <v>0</v>
      </c>
      <c r="M126" s="329">
        <f>CONTINUA!BW126</f>
        <v>0</v>
      </c>
      <c r="N126" s="895"/>
      <c r="O126" s="896" t="s">
        <v>3412</v>
      </c>
      <c r="P126" s="897">
        <v>0</v>
      </c>
      <c r="Q126" s="400">
        <v>27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27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27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11730.050000000001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11730.050000000001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11730.050000000001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3290</v>
      </c>
      <c r="B127" s="369" t="s">
        <v>3291</v>
      </c>
      <c r="C127" s="370" t="s">
        <v>3190</v>
      </c>
      <c r="D127" s="371" t="s">
        <v>3292</v>
      </c>
      <c r="E127" s="371" t="s">
        <v>3293</v>
      </c>
      <c r="F127" s="372" t="s">
        <v>3182</v>
      </c>
      <c r="G127" s="372" t="s">
        <v>3183</v>
      </c>
      <c r="H127" s="373" t="s">
        <v>1904</v>
      </c>
      <c r="I127" s="374" t="s">
        <v>1904</v>
      </c>
      <c r="J127" s="421" t="s">
        <v>3188</v>
      </c>
      <c r="K127" s="421" t="s">
        <v>3191</v>
      </c>
      <c r="L127" s="329">
        <f>CONTINUA!BV127</f>
        <v>0</v>
      </c>
      <c r="M127" s="329">
        <f>CONTINUA!BW127</f>
        <v>0</v>
      </c>
      <c r="N127" s="895"/>
      <c r="O127" s="896" t="s">
        <v>3412</v>
      </c>
      <c r="P127" s="897">
        <v>0</v>
      </c>
      <c r="Q127" s="400"/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3290</v>
      </c>
      <c r="B128" s="369" t="s">
        <v>3291</v>
      </c>
      <c r="C128" s="375" t="s">
        <v>3190</v>
      </c>
      <c r="D128" s="371" t="s">
        <v>3292</v>
      </c>
      <c r="E128" s="371" t="s">
        <v>3293</v>
      </c>
      <c r="F128" s="376" t="s">
        <v>3182</v>
      </c>
      <c r="G128" s="376" t="s">
        <v>3183</v>
      </c>
      <c r="H128" s="373" t="s">
        <v>1904</v>
      </c>
      <c r="I128" s="374" t="s">
        <v>1904</v>
      </c>
      <c r="J128" s="421" t="s">
        <v>3188</v>
      </c>
      <c r="K128" s="422" t="s">
        <v>3192</v>
      </c>
      <c r="L128" s="329">
        <f>CONTINUA!BV128</f>
        <v>0</v>
      </c>
      <c r="M128" s="329">
        <f>CONTINUA!BW128</f>
        <v>0</v>
      </c>
      <c r="N128" s="895"/>
      <c r="O128" s="896" t="s">
        <v>3412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3290</v>
      </c>
      <c r="B129" s="369" t="s">
        <v>3291</v>
      </c>
      <c r="C129" s="375" t="s">
        <v>3190</v>
      </c>
      <c r="D129" s="371" t="s">
        <v>3292</v>
      </c>
      <c r="E129" s="371" t="s">
        <v>3293</v>
      </c>
      <c r="F129" s="376" t="s">
        <v>3182</v>
      </c>
      <c r="G129" s="376" t="s">
        <v>3183</v>
      </c>
      <c r="H129" s="373" t="s">
        <v>1904</v>
      </c>
      <c r="I129" s="374" t="s">
        <v>1904</v>
      </c>
      <c r="J129" s="421" t="s">
        <v>3188</v>
      </c>
      <c r="K129" s="423" t="s">
        <v>3193</v>
      </c>
      <c r="L129" s="329">
        <f>CONTINUA!BV129</f>
        <v>0</v>
      </c>
      <c r="M129" s="329">
        <f>CONTINUA!BW129</f>
        <v>0</v>
      </c>
      <c r="N129" s="895"/>
      <c r="O129" s="896" t="s">
        <v>3412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3290</v>
      </c>
      <c r="B130" s="378" t="s">
        <v>3291</v>
      </c>
      <c r="C130" s="379" t="s">
        <v>3190</v>
      </c>
      <c r="D130" s="380" t="s">
        <v>3292</v>
      </c>
      <c r="E130" s="380" t="s">
        <v>3293</v>
      </c>
      <c r="F130" s="381" t="s">
        <v>3182</v>
      </c>
      <c r="G130" s="381" t="s">
        <v>3183</v>
      </c>
      <c r="H130" s="382" t="s">
        <v>1904</v>
      </c>
      <c r="I130" s="383" t="s">
        <v>1904</v>
      </c>
      <c r="J130" s="421" t="s">
        <v>3188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3412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3294</v>
      </c>
      <c r="B131" s="522" t="s">
        <v>3295</v>
      </c>
      <c r="C131" s="523">
        <v>4</v>
      </c>
      <c r="D131" s="524" t="s">
        <v>3296</v>
      </c>
      <c r="E131" s="524" t="s">
        <v>3297</v>
      </c>
      <c r="F131" s="525" t="s">
        <v>3182</v>
      </c>
      <c r="G131" s="525" t="s">
        <v>3183</v>
      </c>
      <c r="H131" s="350" t="s">
        <v>1906</v>
      </c>
      <c r="I131" s="351" t="s">
        <v>1906</v>
      </c>
      <c r="J131" s="409" t="s">
        <v>3188</v>
      </c>
      <c r="K131" s="410" t="s">
        <v>3189</v>
      </c>
      <c r="L131" s="329">
        <f>CONTINUA!BV131</f>
        <v>0</v>
      </c>
      <c r="M131" s="329">
        <f>CONTINUA!BW131</f>
        <v>0</v>
      </c>
      <c r="N131" s="895"/>
      <c r="O131" s="896" t="s">
        <v>3413</v>
      </c>
      <c r="P131" s="897">
        <v>0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11465.63</v>
      </c>
      <c r="EX131" s="248">
        <f t="shared" ref="EX131:EX134" si="158">FF131</f>
        <v>6163.68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17629.309999999998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6163.68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1</v>
      </c>
      <c r="IC131" s="64"/>
    </row>
    <row r="132" spans="1:237" s="106" customFormat="1" ht="22.5" customHeight="1" x14ac:dyDescent="0.25">
      <c r="A132" s="368" t="s">
        <v>3294</v>
      </c>
      <c r="B132" s="369" t="s">
        <v>3295</v>
      </c>
      <c r="C132" s="370" t="s">
        <v>3220</v>
      </c>
      <c r="D132" s="371" t="s">
        <v>3296</v>
      </c>
      <c r="E132" s="371" t="s">
        <v>3297</v>
      </c>
      <c r="F132" s="372" t="s">
        <v>3182</v>
      </c>
      <c r="G132" s="372" t="s">
        <v>3183</v>
      </c>
      <c r="H132" s="373" t="s">
        <v>1906</v>
      </c>
      <c r="I132" s="374" t="s">
        <v>1906</v>
      </c>
      <c r="J132" s="421" t="s">
        <v>3188</v>
      </c>
      <c r="K132" s="421" t="s">
        <v>3191</v>
      </c>
      <c r="L132" s="329">
        <f>CONTINUA!BV132</f>
        <v>0</v>
      </c>
      <c r="M132" s="329">
        <f>CONTINUA!BW132</f>
        <v>0</v>
      </c>
      <c r="N132" s="895"/>
      <c r="O132" s="896" t="s">
        <v>3413</v>
      </c>
      <c r="P132" s="897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3294</v>
      </c>
      <c r="B133" s="369" t="s">
        <v>3295</v>
      </c>
      <c r="C133" s="375" t="s">
        <v>3220</v>
      </c>
      <c r="D133" s="371" t="s">
        <v>3296</v>
      </c>
      <c r="E133" s="371" t="s">
        <v>3297</v>
      </c>
      <c r="F133" s="376" t="s">
        <v>3182</v>
      </c>
      <c r="G133" s="376" t="s">
        <v>3183</v>
      </c>
      <c r="H133" s="373" t="s">
        <v>1906</v>
      </c>
      <c r="I133" s="374" t="s">
        <v>1906</v>
      </c>
      <c r="J133" s="421" t="s">
        <v>3188</v>
      </c>
      <c r="K133" s="422" t="s">
        <v>3192</v>
      </c>
      <c r="L133" s="329">
        <f>CONTINUA!BV133</f>
        <v>0</v>
      </c>
      <c r="M133" s="329">
        <f>CONTINUA!BW133</f>
        <v>0</v>
      </c>
      <c r="N133" s="895"/>
      <c r="O133" s="896" t="s">
        <v>3413</v>
      </c>
      <c r="P133" s="897">
        <v>0</v>
      </c>
      <c r="Q133" s="400">
        <v>16</v>
      </c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16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16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3294</v>
      </c>
      <c r="B134" s="369" t="s">
        <v>3295</v>
      </c>
      <c r="C134" s="375" t="s">
        <v>3220</v>
      </c>
      <c r="D134" s="371" t="s">
        <v>3296</v>
      </c>
      <c r="E134" s="371" t="s">
        <v>3297</v>
      </c>
      <c r="F134" s="376" t="s">
        <v>3182</v>
      </c>
      <c r="G134" s="376" t="s">
        <v>3183</v>
      </c>
      <c r="H134" s="373" t="s">
        <v>1906</v>
      </c>
      <c r="I134" s="374" t="s">
        <v>1906</v>
      </c>
      <c r="J134" s="421" t="s">
        <v>3188</v>
      </c>
      <c r="K134" s="423" t="s">
        <v>3193</v>
      </c>
      <c r="L134" s="329">
        <f>CONTINUA!BV134</f>
        <v>0</v>
      </c>
      <c r="M134" s="329">
        <f>CONTINUA!BW134</f>
        <v>0</v>
      </c>
      <c r="N134" s="895"/>
      <c r="O134" s="896" t="s">
        <v>3413</v>
      </c>
      <c r="P134" s="897">
        <v>0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3294</v>
      </c>
      <c r="B135" s="378" t="s">
        <v>3295</v>
      </c>
      <c r="C135" s="379" t="s">
        <v>3220</v>
      </c>
      <c r="D135" s="380" t="s">
        <v>3296</v>
      </c>
      <c r="E135" s="380" t="s">
        <v>3297</v>
      </c>
      <c r="F135" s="381" t="s">
        <v>3182</v>
      </c>
      <c r="G135" s="381" t="s">
        <v>3183</v>
      </c>
      <c r="H135" s="382" t="s">
        <v>1906</v>
      </c>
      <c r="I135" s="383" t="s">
        <v>1906</v>
      </c>
      <c r="J135" s="421" t="s">
        <v>3188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3413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3298</v>
      </c>
      <c r="B136" s="522" t="s">
        <v>3299</v>
      </c>
      <c r="C136" s="523">
        <v>1</v>
      </c>
      <c r="D136" s="524" t="s">
        <v>3300</v>
      </c>
      <c r="E136" s="524" t="s">
        <v>3301</v>
      </c>
      <c r="F136" s="525" t="s">
        <v>3182</v>
      </c>
      <c r="G136" s="525" t="s">
        <v>3183</v>
      </c>
      <c r="H136" s="350" t="s">
        <v>1907</v>
      </c>
      <c r="I136" s="351" t="s">
        <v>1907</v>
      </c>
      <c r="J136" s="409" t="s">
        <v>3188</v>
      </c>
      <c r="K136" s="410" t="s">
        <v>3189</v>
      </c>
      <c r="L136" s="329">
        <f>CONTINUA!BV136</f>
        <v>0</v>
      </c>
      <c r="M136" s="329">
        <f>CONTINUA!BW136</f>
        <v>0</v>
      </c>
      <c r="N136" s="895"/>
      <c r="O136" s="896" t="s">
        <v>3414</v>
      </c>
      <c r="P136" s="897">
        <v>0</v>
      </c>
      <c r="Q136" s="400">
        <v>33</v>
      </c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>
        <v>-2</v>
      </c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33</v>
      </c>
      <c r="EQ136" s="171">
        <f t="shared" si="96"/>
        <v>-2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31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14041.43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-462.27600000000007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13579.154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14041.43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-462.27600000000007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3298</v>
      </c>
      <c r="B137" s="369" t="s">
        <v>3299</v>
      </c>
      <c r="C137" s="370" t="s">
        <v>3190</v>
      </c>
      <c r="D137" s="371" t="s">
        <v>3300</v>
      </c>
      <c r="E137" s="371" t="s">
        <v>3301</v>
      </c>
      <c r="F137" s="372" t="s">
        <v>3182</v>
      </c>
      <c r="G137" s="372" t="s">
        <v>3183</v>
      </c>
      <c r="H137" s="373" t="s">
        <v>1907</v>
      </c>
      <c r="I137" s="374" t="s">
        <v>1907</v>
      </c>
      <c r="J137" s="421" t="s">
        <v>3188</v>
      </c>
      <c r="K137" s="421" t="s">
        <v>3191</v>
      </c>
      <c r="L137" s="329">
        <f>CONTINUA!BV137</f>
        <v>0</v>
      </c>
      <c r="M137" s="329">
        <f>CONTINUA!BW137</f>
        <v>0</v>
      </c>
      <c r="N137" s="895"/>
      <c r="O137" s="896" t="s">
        <v>3414</v>
      </c>
      <c r="P137" s="897">
        <v>0</v>
      </c>
      <c r="Q137" s="400"/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3298</v>
      </c>
      <c r="B138" s="369" t="s">
        <v>3299</v>
      </c>
      <c r="C138" s="375" t="s">
        <v>3190</v>
      </c>
      <c r="D138" s="371" t="s">
        <v>3300</v>
      </c>
      <c r="E138" s="371" t="s">
        <v>3301</v>
      </c>
      <c r="F138" s="376" t="s">
        <v>3182</v>
      </c>
      <c r="G138" s="376" t="s">
        <v>3183</v>
      </c>
      <c r="H138" s="373" t="s">
        <v>1907</v>
      </c>
      <c r="I138" s="374" t="s">
        <v>1907</v>
      </c>
      <c r="J138" s="421" t="s">
        <v>3188</v>
      </c>
      <c r="K138" s="422" t="s">
        <v>3192</v>
      </c>
      <c r="L138" s="329">
        <f>CONTINUA!BV138</f>
        <v>0</v>
      </c>
      <c r="M138" s="329">
        <f>CONTINUA!BW138</f>
        <v>0</v>
      </c>
      <c r="N138" s="895"/>
      <c r="O138" s="896" t="s">
        <v>3414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3298</v>
      </c>
      <c r="B139" s="369" t="s">
        <v>3299</v>
      </c>
      <c r="C139" s="375" t="s">
        <v>3190</v>
      </c>
      <c r="D139" s="371" t="s">
        <v>3300</v>
      </c>
      <c r="E139" s="371" t="s">
        <v>3301</v>
      </c>
      <c r="F139" s="376" t="s">
        <v>3182</v>
      </c>
      <c r="G139" s="376" t="s">
        <v>3183</v>
      </c>
      <c r="H139" s="373" t="s">
        <v>1907</v>
      </c>
      <c r="I139" s="374" t="s">
        <v>1907</v>
      </c>
      <c r="J139" s="421" t="s">
        <v>3188</v>
      </c>
      <c r="K139" s="423" t="s">
        <v>3193</v>
      </c>
      <c r="L139" s="329">
        <f>CONTINUA!BV139</f>
        <v>0</v>
      </c>
      <c r="M139" s="329">
        <f>CONTINUA!BW139</f>
        <v>0</v>
      </c>
      <c r="N139" s="895"/>
      <c r="O139" s="896" t="s">
        <v>3414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3298</v>
      </c>
      <c r="B140" s="378" t="s">
        <v>3299</v>
      </c>
      <c r="C140" s="379" t="s">
        <v>3190</v>
      </c>
      <c r="D140" s="380" t="s">
        <v>3300</v>
      </c>
      <c r="E140" s="380" t="s">
        <v>3301</v>
      </c>
      <c r="F140" s="381" t="s">
        <v>3182</v>
      </c>
      <c r="G140" s="381" t="s">
        <v>3183</v>
      </c>
      <c r="H140" s="382" t="s">
        <v>1907</v>
      </c>
      <c r="I140" s="383" t="s">
        <v>1907</v>
      </c>
      <c r="J140" s="421" t="s">
        <v>3188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3414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3302</v>
      </c>
      <c r="B141" s="522" t="s">
        <v>3303</v>
      </c>
      <c r="C141" s="523">
        <v>1</v>
      </c>
      <c r="D141" s="524" t="s">
        <v>3304</v>
      </c>
      <c r="E141" s="524" t="s">
        <v>3305</v>
      </c>
      <c r="F141" s="525" t="s">
        <v>3182</v>
      </c>
      <c r="G141" s="525" t="s">
        <v>3183</v>
      </c>
      <c r="H141" s="350" t="s">
        <v>1908</v>
      </c>
      <c r="I141" s="351" t="s">
        <v>1908</v>
      </c>
      <c r="J141" s="409" t="s">
        <v>3188</v>
      </c>
      <c r="K141" s="410" t="s">
        <v>3189</v>
      </c>
      <c r="L141" s="329">
        <f>CONTINUA!BV141</f>
        <v>0</v>
      </c>
      <c r="M141" s="329">
        <f>CONTINUA!BW141</f>
        <v>0</v>
      </c>
      <c r="N141" s="895"/>
      <c r="O141" s="896" t="s">
        <v>3415</v>
      </c>
      <c r="P141" s="897">
        <v>0</v>
      </c>
      <c r="Q141" s="400">
        <v>32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>
        <v>1</v>
      </c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32</v>
      </c>
      <c r="EQ141" s="171">
        <f t="shared" si="169"/>
        <v>1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33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13656.2</v>
      </c>
      <c r="EY141" s="174">
        <f>(L141*regular)+(M141*Cadeirantee)</f>
        <v>0</v>
      </c>
      <c r="EZ141" s="249">
        <f>SUMIF(FG141:GJ141,"&gt;0")</f>
        <v>231.13800000000003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13887.338000000002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13656.2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231.13800000000003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3302</v>
      </c>
      <c r="B142" s="369" t="s">
        <v>3303</v>
      </c>
      <c r="C142" s="370" t="s">
        <v>3190</v>
      </c>
      <c r="D142" s="371" t="s">
        <v>3304</v>
      </c>
      <c r="E142" s="371" t="s">
        <v>3305</v>
      </c>
      <c r="F142" s="372" t="s">
        <v>3182</v>
      </c>
      <c r="G142" s="372" t="s">
        <v>3183</v>
      </c>
      <c r="H142" s="373" t="s">
        <v>1908</v>
      </c>
      <c r="I142" s="374" t="s">
        <v>1908</v>
      </c>
      <c r="J142" s="421" t="s">
        <v>3188</v>
      </c>
      <c r="K142" s="421" t="s">
        <v>3191</v>
      </c>
      <c r="L142" s="329">
        <f>CONTINUA!BV142</f>
        <v>0</v>
      </c>
      <c r="M142" s="329">
        <f>CONTINUA!BW142</f>
        <v>0</v>
      </c>
      <c r="N142" s="895"/>
      <c r="O142" s="896" t="s">
        <v>3415</v>
      </c>
      <c r="P142" s="897">
        <v>0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3302</v>
      </c>
      <c r="B143" s="369" t="s">
        <v>3303</v>
      </c>
      <c r="C143" s="375" t="s">
        <v>3190</v>
      </c>
      <c r="D143" s="371" t="s">
        <v>3304</v>
      </c>
      <c r="E143" s="371" t="s">
        <v>3305</v>
      </c>
      <c r="F143" s="376" t="s">
        <v>3182</v>
      </c>
      <c r="G143" s="376" t="s">
        <v>3183</v>
      </c>
      <c r="H143" s="373" t="s">
        <v>1908</v>
      </c>
      <c r="I143" s="374" t="s">
        <v>1908</v>
      </c>
      <c r="J143" s="421" t="s">
        <v>3188</v>
      </c>
      <c r="K143" s="422" t="s">
        <v>3192</v>
      </c>
      <c r="L143" s="329">
        <f>CONTINUA!BV143</f>
        <v>0</v>
      </c>
      <c r="M143" s="329">
        <f>CONTINUA!BW143</f>
        <v>0</v>
      </c>
      <c r="N143" s="895"/>
      <c r="O143" s="896" t="s">
        <v>3415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3302</v>
      </c>
      <c r="B144" s="369" t="s">
        <v>3303</v>
      </c>
      <c r="C144" s="375" t="s">
        <v>3190</v>
      </c>
      <c r="D144" s="371" t="s">
        <v>3304</v>
      </c>
      <c r="E144" s="371" t="s">
        <v>3305</v>
      </c>
      <c r="F144" s="376" t="s">
        <v>3182</v>
      </c>
      <c r="G144" s="376" t="s">
        <v>3183</v>
      </c>
      <c r="H144" s="373" t="s">
        <v>1908</v>
      </c>
      <c r="I144" s="374" t="s">
        <v>1908</v>
      </c>
      <c r="J144" s="421" t="s">
        <v>3188</v>
      </c>
      <c r="K144" s="423" t="s">
        <v>3193</v>
      </c>
      <c r="L144" s="329">
        <f>CONTINUA!BV144</f>
        <v>0</v>
      </c>
      <c r="M144" s="329">
        <f>CONTINUA!BW144</f>
        <v>0</v>
      </c>
      <c r="N144" s="895"/>
      <c r="O144" s="896" t="s">
        <v>3415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3302</v>
      </c>
      <c r="B145" s="378" t="s">
        <v>3303</v>
      </c>
      <c r="C145" s="379" t="s">
        <v>3190</v>
      </c>
      <c r="D145" s="380" t="s">
        <v>3304</v>
      </c>
      <c r="E145" s="380" t="s">
        <v>3305</v>
      </c>
      <c r="F145" s="381" t="s">
        <v>3182</v>
      </c>
      <c r="G145" s="381" t="s">
        <v>3183</v>
      </c>
      <c r="H145" s="382" t="s">
        <v>1908</v>
      </c>
      <c r="I145" s="383" t="s">
        <v>1908</v>
      </c>
      <c r="J145" s="421" t="s">
        <v>3188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3415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3306</v>
      </c>
      <c r="B146" s="522" t="s">
        <v>3307</v>
      </c>
      <c r="C146" s="523">
        <v>1</v>
      </c>
      <c r="D146" s="524" t="s">
        <v>3308</v>
      </c>
      <c r="E146" s="524" t="s">
        <v>3309</v>
      </c>
      <c r="F146" s="525" t="s">
        <v>3182</v>
      </c>
      <c r="G146" s="525" t="s">
        <v>3183</v>
      </c>
      <c r="H146" s="350" t="s">
        <v>1909</v>
      </c>
      <c r="I146" s="351" t="s">
        <v>1909</v>
      </c>
      <c r="J146" s="409" t="s">
        <v>3188</v>
      </c>
      <c r="K146" s="410" t="s">
        <v>3189</v>
      </c>
      <c r="L146" s="329">
        <f>CONTINUA!BV146</f>
        <v>0</v>
      </c>
      <c r="M146" s="329">
        <f>CONTINUA!BW146</f>
        <v>0</v>
      </c>
      <c r="N146" s="895"/>
      <c r="O146" s="896" t="s">
        <v>3416</v>
      </c>
      <c r="P146" s="897">
        <v>0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20975.57</v>
      </c>
      <c r="EY146" s="174">
        <f>(L146*regular)+(M146*Cadeirantee)</f>
        <v>0</v>
      </c>
      <c r="EZ146" s="249">
        <f>SUMIF(FG146:GJ146,"&gt;0")</f>
        <v>295.34300000000002</v>
      </c>
      <c r="FA146" s="249">
        <f>SUMIF(FG146:GJ146,"&lt;0")+SUMIF(GN146:HP146,"&lt;0")</f>
        <v>-372.38900000000001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20898.524000000001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20975.57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-372.38900000000001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295.34300000000002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3306</v>
      </c>
      <c r="B147" s="369" t="s">
        <v>3307</v>
      </c>
      <c r="C147" s="370" t="s">
        <v>3190</v>
      </c>
      <c r="D147" s="371" t="s">
        <v>3308</v>
      </c>
      <c r="E147" s="371" t="s">
        <v>3309</v>
      </c>
      <c r="F147" s="372" t="s">
        <v>3182</v>
      </c>
      <c r="G147" s="372" t="s">
        <v>3183</v>
      </c>
      <c r="H147" s="373" t="s">
        <v>1909</v>
      </c>
      <c r="I147" s="374" t="s">
        <v>1909</v>
      </c>
      <c r="J147" s="421" t="s">
        <v>3188</v>
      </c>
      <c r="K147" s="421" t="s">
        <v>3191</v>
      </c>
      <c r="L147" s="329">
        <f>CONTINUA!BV147</f>
        <v>0</v>
      </c>
      <c r="M147" s="329">
        <f>CONTINUA!BW147</f>
        <v>0</v>
      </c>
      <c r="N147" s="895"/>
      <c r="O147" s="896" t="s">
        <v>3416</v>
      </c>
      <c r="P147" s="897">
        <v>0</v>
      </c>
      <c r="Q147" s="400">
        <v>51</v>
      </c>
      <c r="R147" s="401"/>
      <c r="S147" s="400"/>
      <c r="T147" s="401"/>
      <c r="U147" s="400">
        <v>-1</v>
      </c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>
        <v>1</v>
      </c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51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51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3306</v>
      </c>
      <c r="B148" s="369" t="s">
        <v>3307</v>
      </c>
      <c r="C148" s="375" t="s">
        <v>3190</v>
      </c>
      <c r="D148" s="371" t="s">
        <v>3308</v>
      </c>
      <c r="E148" s="371" t="s">
        <v>3309</v>
      </c>
      <c r="F148" s="376" t="s">
        <v>3182</v>
      </c>
      <c r="G148" s="376" t="s">
        <v>3183</v>
      </c>
      <c r="H148" s="373" t="s">
        <v>1909</v>
      </c>
      <c r="I148" s="374" t="s">
        <v>1909</v>
      </c>
      <c r="J148" s="421" t="s">
        <v>3188</v>
      </c>
      <c r="K148" s="422" t="s">
        <v>3192</v>
      </c>
      <c r="L148" s="329">
        <f>CONTINUA!BV148</f>
        <v>0</v>
      </c>
      <c r="M148" s="329">
        <f>CONTINUA!BW148</f>
        <v>0</v>
      </c>
      <c r="N148" s="895"/>
      <c r="O148" s="896" t="s">
        <v>3416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3306</v>
      </c>
      <c r="B149" s="369" t="s">
        <v>3307</v>
      </c>
      <c r="C149" s="375" t="s">
        <v>3190</v>
      </c>
      <c r="D149" s="371" t="s">
        <v>3308</v>
      </c>
      <c r="E149" s="371" t="s">
        <v>3309</v>
      </c>
      <c r="F149" s="376" t="s">
        <v>3182</v>
      </c>
      <c r="G149" s="376" t="s">
        <v>3183</v>
      </c>
      <c r="H149" s="373" t="s">
        <v>1909</v>
      </c>
      <c r="I149" s="374" t="s">
        <v>1909</v>
      </c>
      <c r="J149" s="421" t="s">
        <v>3188</v>
      </c>
      <c r="K149" s="423" t="s">
        <v>3193</v>
      </c>
      <c r="L149" s="329">
        <f>CONTINUA!BV149</f>
        <v>0</v>
      </c>
      <c r="M149" s="329">
        <f>CONTINUA!BW149</f>
        <v>0</v>
      </c>
      <c r="N149" s="895"/>
      <c r="O149" s="896" t="s">
        <v>3416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3306</v>
      </c>
      <c r="B150" s="378" t="s">
        <v>3307</v>
      </c>
      <c r="C150" s="379" t="s">
        <v>3190</v>
      </c>
      <c r="D150" s="380" t="s">
        <v>3308</v>
      </c>
      <c r="E150" s="380" t="s">
        <v>3309</v>
      </c>
      <c r="F150" s="381" t="s">
        <v>3182</v>
      </c>
      <c r="G150" s="381" t="s">
        <v>3183</v>
      </c>
      <c r="H150" s="382" t="s">
        <v>1909</v>
      </c>
      <c r="I150" s="383" t="s">
        <v>1909</v>
      </c>
      <c r="J150" s="421" t="s">
        <v>3188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3416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3310</v>
      </c>
      <c r="B151" s="522" t="s">
        <v>3311</v>
      </c>
      <c r="C151" s="523">
        <v>1</v>
      </c>
      <c r="D151" s="524" t="s">
        <v>3312</v>
      </c>
      <c r="E151" s="524" t="s">
        <v>3313</v>
      </c>
      <c r="F151" s="525" t="s">
        <v>3182</v>
      </c>
      <c r="G151" s="525" t="s">
        <v>3183</v>
      </c>
      <c r="H151" s="350" t="s">
        <v>1910</v>
      </c>
      <c r="I151" s="351" t="s">
        <v>1910</v>
      </c>
      <c r="J151" s="409" t="s">
        <v>3188</v>
      </c>
      <c r="K151" s="410" t="s">
        <v>3189</v>
      </c>
      <c r="L151" s="329">
        <f>CONTINUA!BV151</f>
        <v>0</v>
      </c>
      <c r="M151" s="329">
        <f>CONTINUA!BW151</f>
        <v>0</v>
      </c>
      <c r="N151" s="895"/>
      <c r="O151" s="896" t="s">
        <v>3417</v>
      </c>
      <c r="P151" s="897">
        <v>0</v>
      </c>
      <c r="Q151" s="400">
        <v>41</v>
      </c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41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41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17123.27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17123.27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17123.27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3310</v>
      </c>
      <c r="B152" s="369" t="s">
        <v>3311</v>
      </c>
      <c r="C152" s="370" t="s">
        <v>3190</v>
      </c>
      <c r="D152" s="371" t="s">
        <v>3312</v>
      </c>
      <c r="E152" s="371" t="s">
        <v>3313</v>
      </c>
      <c r="F152" s="372" t="s">
        <v>3182</v>
      </c>
      <c r="G152" s="372" t="s">
        <v>3183</v>
      </c>
      <c r="H152" s="373" t="s">
        <v>1910</v>
      </c>
      <c r="I152" s="374" t="s">
        <v>1910</v>
      </c>
      <c r="J152" s="421" t="s">
        <v>3188</v>
      </c>
      <c r="K152" s="421" t="s">
        <v>3191</v>
      </c>
      <c r="L152" s="329">
        <f>CONTINUA!BV152</f>
        <v>0</v>
      </c>
      <c r="M152" s="329">
        <f>CONTINUA!BW152</f>
        <v>0</v>
      </c>
      <c r="N152" s="895"/>
      <c r="O152" s="896" t="s">
        <v>3417</v>
      </c>
      <c r="P152" s="897">
        <v>0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3310</v>
      </c>
      <c r="B153" s="369" t="s">
        <v>3311</v>
      </c>
      <c r="C153" s="375" t="s">
        <v>3190</v>
      </c>
      <c r="D153" s="371" t="s">
        <v>3312</v>
      </c>
      <c r="E153" s="371" t="s">
        <v>3313</v>
      </c>
      <c r="F153" s="376" t="s">
        <v>3182</v>
      </c>
      <c r="G153" s="376" t="s">
        <v>3183</v>
      </c>
      <c r="H153" s="373" t="s">
        <v>1910</v>
      </c>
      <c r="I153" s="374" t="s">
        <v>1910</v>
      </c>
      <c r="J153" s="421" t="s">
        <v>3188</v>
      </c>
      <c r="K153" s="422" t="s">
        <v>3192</v>
      </c>
      <c r="L153" s="329">
        <f>CONTINUA!BV153</f>
        <v>0</v>
      </c>
      <c r="M153" s="329">
        <f>CONTINUA!BW153</f>
        <v>0</v>
      </c>
      <c r="N153" s="895"/>
      <c r="O153" s="896" t="s">
        <v>3417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3310</v>
      </c>
      <c r="B154" s="369" t="s">
        <v>3311</v>
      </c>
      <c r="C154" s="375" t="s">
        <v>3190</v>
      </c>
      <c r="D154" s="371" t="s">
        <v>3312</v>
      </c>
      <c r="E154" s="371" t="s">
        <v>3313</v>
      </c>
      <c r="F154" s="376" t="s">
        <v>3182</v>
      </c>
      <c r="G154" s="376" t="s">
        <v>3183</v>
      </c>
      <c r="H154" s="373" t="s">
        <v>1910</v>
      </c>
      <c r="I154" s="374" t="s">
        <v>1910</v>
      </c>
      <c r="J154" s="421" t="s">
        <v>3188</v>
      </c>
      <c r="K154" s="423" t="s">
        <v>3193</v>
      </c>
      <c r="L154" s="329">
        <f>CONTINUA!BV154</f>
        <v>0</v>
      </c>
      <c r="M154" s="329">
        <f>CONTINUA!BW154</f>
        <v>0</v>
      </c>
      <c r="N154" s="895"/>
      <c r="O154" s="896" t="s">
        <v>3417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3310</v>
      </c>
      <c r="B155" s="378" t="s">
        <v>3311</v>
      </c>
      <c r="C155" s="379" t="s">
        <v>3190</v>
      </c>
      <c r="D155" s="380" t="s">
        <v>3312</v>
      </c>
      <c r="E155" s="380" t="s">
        <v>3313</v>
      </c>
      <c r="F155" s="381" t="s">
        <v>3182</v>
      </c>
      <c r="G155" s="381" t="s">
        <v>3183</v>
      </c>
      <c r="H155" s="382" t="s">
        <v>1910</v>
      </c>
      <c r="I155" s="383" t="s">
        <v>1910</v>
      </c>
      <c r="J155" s="421" t="s">
        <v>3188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3417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3314</v>
      </c>
      <c r="B156" s="522" t="s">
        <v>3315</v>
      </c>
      <c r="C156" s="523">
        <v>3</v>
      </c>
      <c r="D156" s="524" t="s">
        <v>3316</v>
      </c>
      <c r="E156" s="524" t="s">
        <v>3317</v>
      </c>
      <c r="F156" s="525" t="s">
        <v>3182</v>
      </c>
      <c r="G156" s="525" t="s">
        <v>3183</v>
      </c>
      <c r="H156" s="350" t="s">
        <v>1911</v>
      </c>
      <c r="I156" s="351" t="s">
        <v>1911</v>
      </c>
      <c r="J156" s="409" t="s">
        <v>3198</v>
      </c>
      <c r="K156" s="410" t="s">
        <v>3189</v>
      </c>
      <c r="L156" s="329">
        <f>CONTINUA!BV156</f>
        <v>0</v>
      </c>
      <c r="M156" s="329">
        <f>CONTINUA!BW156</f>
        <v>0</v>
      </c>
      <c r="N156" s="895"/>
      <c r="O156" s="896" t="s">
        <v>3418</v>
      </c>
      <c r="P156" s="897">
        <v>0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14325.060000000001</v>
      </c>
      <c r="EY156" s="174">
        <f>(L156*regular)+(M156*Cadeirantee)</f>
        <v>0</v>
      </c>
      <c r="EZ156" s="249">
        <f>SUMIF(FG156:GJ156,"&gt;0")</f>
        <v>144.93266666666665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14469.992666666669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14325.060000000001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144.93266666666665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3314</v>
      </c>
      <c r="B157" s="369" t="s">
        <v>3315</v>
      </c>
      <c r="C157" s="370" t="s">
        <v>3199</v>
      </c>
      <c r="D157" s="371" t="s">
        <v>3316</v>
      </c>
      <c r="E157" s="371" t="s">
        <v>3317</v>
      </c>
      <c r="F157" s="372" t="s">
        <v>3182</v>
      </c>
      <c r="G157" s="372" t="s">
        <v>3183</v>
      </c>
      <c r="H157" s="373" t="s">
        <v>1911</v>
      </c>
      <c r="I157" s="374" t="s">
        <v>1911</v>
      </c>
      <c r="J157" s="421" t="s">
        <v>3198</v>
      </c>
      <c r="K157" s="421" t="s">
        <v>3191</v>
      </c>
      <c r="L157" s="329">
        <f>CONTINUA!BV157</f>
        <v>0</v>
      </c>
      <c r="M157" s="329">
        <f>CONTINUA!BW157</f>
        <v>0</v>
      </c>
      <c r="N157" s="895"/>
      <c r="O157" s="896" t="s">
        <v>3418</v>
      </c>
      <c r="P157" s="897">
        <v>0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3314</v>
      </c>
      <c r="B158" s="369" t="s">
        <v>3315</v>
      </c>
      <c r="C158" s="375" t="s">
        <v>3199</v>
      </c>
      <c r="D158" s="371" t="s">
        <v>3316</v>
      </c>
      <c r="E158" s="371" t="s">
        <v>3317</v>
      </c>
      <c r="F158" s="376" t="s">
        <v>3182</v>
      </c>
      <c r="G158" s="376" t="s">
        <v>3183</v>
      </c>
      <c r="H158" s="373" t="s">
        <v>1911</v>
      </c>
      <c r="I158" s="374" t="s">
        <v>1911</v>
      </c>
      <c r="J158" s="421" t="s">
        <v>3198</v>
      </c>
      <c r="K158" s="422" t="s">
        <v>3192</v>
      </c>
      <c r="L158" s="329">
        <f>CONTINUA!BV158</f>
        <v>0</v>
      </c>
      <c r="M158" s="329">
        <f>CONTINUA!BW158</f>
        <v>0</v>
      </c>
      <c r="N158" s="895"/>
      <c r="O158" s="896" t="s">
        <v>3418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3314</v>
      </c>
      <c r="B159" s="369" t="s">
        <v>3315</v>
      </c>
      <c r="C159" s="375" t="s">
        <v>3199</v>
      </c>
      <c r="D159" s="371" t="s">
        <v>3316</v>
      </c>
      <c r="E159" s="371" t="s">
        <v>3317</v>
      </c>
      <c r="F159" s="376" t="s">
        <v>3182</v>
      </c>
      <c r="G159" s="376" t="s">
        <v>3183</v>
      </c>
      <c r="H159" s="373" t="s">
        <v>1911</v>
      </c>
      <c r="I159" s="374" t="s">
        <v>1911</v>
      </c>
      <c r="J159" s="421" t="s">
        <v>3198</v>
      </c>
      <c r="K159" s="423" t="s">
        <v>3193</v>
      </c>
      <c r="L159" s="329">
        <f>CONTINUA!BV159</f>
        <v>0</v>
      </c>
      <c r="M159" s="329">
        <f>CONTINUA!BW159</f>
        <v>0</v>
      </c>
      <c r="N159" s="895"/>
      <c r="O159" s="896" t="s">
        <v>3418</v>
      </c>
      <c r="P159" s="897">
        <v>0</v>
      </c>
      <c r="Q159" s="400">
        <v>21</v>
      </c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>
        <v>1</v>
      </c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21</v>
      </c>
      <c r="EQ159" s="171">
        <f t="shared" si="169"/>
        <v>1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22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3314</v>
      </c>
      <c r="B160" s="378" t="s">
        <v>3315</v>
      </c>
      <c r="C160" s="379" t="s">
        <v>3199</v>
      </c>
      <c r="D160" s="380" t="s">
        <v>3316</v>
      </c>
      <c r="E160" s="380" t="s">
        <v>3317</v>
      </c>
      <c r="F160" s="381" t="s">
        <v>3182</v>
      </c>
      <c r="G160" s="381" t="s">
        <v>3183</v>
      </c>
      <c r="H160" s="382" t="s">
        <v>1911</v>
      </c>
      <c r="I160" s="383" t="s">
        <v>1911</v>
      </c>
      <c r="J160" s="421" t="s">
        <v>3198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3418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3318</v>
      </c>
      <c r="B161" s="522" t="s">
        <v>3319</v>
      </c>
      <c r="C161" s="523">
        <v>1</v>
      </c>
      <c r="D161" s="524" t="s">
        <v>3320</v>
      </c>
      <c r="E161" s="524" t="s">
        <v>3321</v>
      </c>
      <c r="F161" s="525" t="s">
        <v>3182</v>
      </c>
      <c r="G161" s="525" t="s">
        <v>3183</v>
      </c>
      <c r="H161" s="350" t="s">
        <v>1912</v>
      </c>
      <c r="I161" s="351" t="s">
        <v>1912</v>
      </c>
      <c r="J161" s="409" t="s">
        <v>3188</v>
      </c>
      <c r="K161" s="410" t="s">
        <v>3189</v>
      </c>
      <c r="L161" s="329">
        <f>CONTINUA!BV161</f>
        <v>0</v>
      </c>
      <c r="M161" s="329">
        <f>CONTINUA!BW161</f>
        <v>0</v>
      </c>
      <c r="N161" s="895"/>
      <c r="O161" s="896" t="s">
        <v>3419</v>
      </c>
      <c r="P161" s="897">
        <v>0</v>
      </c>
      <c r="Q161" s="400">
        <v>3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3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3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7492.52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7492.52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7492.52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3318</v>
      </c>
      <c r="B162" s="369" t="s">
        <v>3319</v>
      </c>
      <c r="C162" s="370" t="s">
        <v>3190</v>
      </c>
      <c r="D162" s="371" t="s">
        <v>3320</v>
      </c>
      <c r="E162" s="371" t="s">
        <v>3321</v>
      </c>
      <c r="F162" s="372" t="s">
        <v>3182</v>
      </c>
      <c r="G162" s="372" t="s">
        <v>3183</v>
      </c>
      <c r="H162" s="373" t="s">
        <v>1912</v>
      </c>
      <c r="I162" s="374" t="s">
        <v>1912</v>
      </c>
      <c r="J162" s="421" t="s">
        <v>3188</v>
      </c>
      <c r="K162" s="421" t="s">
        <v>3191</v>
      </c>
      <c r="L162" s="329">
        <f>CONTINUA!BV162</f>
        <v>0</v>
      </c>
      <c r="M162" s="329">
        <f>CONTINUA!BW162</f>
        <v>0</v>
      </c>
      <c r="N162" s="895"/>
      <c r="O162" s="896" t="s">
        <v>3419</v>
      </c>
      <c r="P162" s="897">
        <v>0</v>
      </c>
      <c r="Q162" s="400">
        <v>13</v>
      </c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13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13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3318</v>
      </c>
      <c r="B163" s="369" t="s">
        <v>3319</v>
      </c>
      <c r="C163" s="375" t="s">
        <v>3190</v>
      </c>
      <c r="D163" s="371" t="s">
        <v>3320</v>
      </c>
      <c r="E163" s="371" t="s">
        <v>3321</v>
      </c>
      <c r="F163" s="376" t="s">
        <v>3182</v>
      </c>
      <c r="G163" s="376" t="s">
        <v>3183</v>
      </c>
      <c r="H163" s="373" t="s">
        <v>1912</v>
      </c>
      <c r="I163" s="374" t="s">
        <v>1912</v>
      </c>
      <c r="J163" s="421" t="s">
        <v>3188</v>
      </c>
      <c r="K163" s="422" t="s">
        <v>3192</v>
      </c>
      <c r="L163" s="329">
        <f>CONTINUA!BV163</f>
        <v>0</v>
      </c>
      <c r="M163" s="329">
        <f>CONTINUA!BW163</f>
        <v>0</v>
      </c>
      <c r="N163" s="895"/>
      <c r="O163" s="896" t="s">
        <v>3419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3318</v>
      </c>
      <c r="B164" s="369" t="s">
        <v>3319</v>
      </c>
      <c r="C164" s="375" t="s">
        <v>3190</v>
      </c>
      <c r="D164" s="371" t="s">
        <v>3320</v>
      </c>
      <c r="E164" s="371" t="s">
        <v>3321</v>
      </c>
      <c r="F164" s="376" t="s">
        <v>3182</v>
      </c>
      <c r="G164" s="376" t="s">
        <v>3183</v>
      </c>
      <c r="H164" s="373" t="s">
        <v>1912</v>
      </c>
      <c r="I164" s="374" t="s">
        <v>1912</v>
      </c>
      <c r="J164" s="421" t="s">
        <v>3188</v>
      </c>
      <c r="K164" s="423" t="s">
        <v>3193</v>
      </c>
      <c r="L164" s="329">
        <f>CONTINUA!BV164</f>
        <v>0</v>
      </c>
      <c r="M164" s="329">
        <f>CONTINUA!BW164</f>
        <v>0</v>
      </c>
      <c r="N164" s="895"/>
      <c r="O164" s="896" t="s">
        <v>3419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3318</v>
      </c>
      <c r="B165" s="378" t="s">
        <v>3319</v>
      </c>
      <c r="C165" s="379" t="s">
        <v>3190</v>
      </c>
      <c r="D165" s="380" t="s">
        <v>3320</v>
      </c>
      <c r="E165" s="380" t="s">
        <v>3321</v>
      </c>
      <c r="F165" s="381" t="s">
        <v>3182</v>
      </c>
      <c r="G165" s="381" t="s">
        <v>3183</v>
      </c>
      <c r="H165" s="382" t="s">
        <v>1912</v>
      </c>
      <c r="I165" s="383" t="s">
        <v>1912</v>
      </c>
      <c r="J165" s="421" t="s">
        <v>3188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3419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3322</v>
      </c>
      <c r="B166" s="522" t="s">
        <v>3323</v>
      </c>
      <c r="C166" s="523">
        <v>1</v>
      </c>
      <c r="D166" s="524" t="s">
        <v>3324</v>
      </c>
      <c r="E166" s="524" t="s">
        <v>3325</v>
      </c>
      <c r="F166" s="525" t="s">
        <v>3182</v>
      </c>
      <c r="G166" s="525" t="s">
        <v>3183</v>
      </c>
      <c r="H166" s="350" t="s">
        <v>1913</v>
      </c>
      <c r="I166" s="351" t="s">
        <v>1913</v>
      </c>
      <c r="J166" s="409" t="s">
        <v>3188</v>
      </c>
      <c r="K166" s="410" t="s">
        <v>3189</v>
      </c>
      <c r="L166" s="329">
        <f>CONTINUA!BV166</f>
        <v>0</v>
      </c>
      <c r="M166" s="329">
        <f>CONTINUA!BW166</f>
        <v>0</v>
      </c>
      <c r="N166" s="895"/>
      <c r="O166" s="896" t="s">
        <v>3420</v>
      </c>
      <c r="P166" s="897">
        <v>0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3081.84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3081.84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3081.84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3322</v>
      </c>
      <c r="B167" s="369" t="s">
        <v>3323</v>
      </c>
      <c r="C167" s="370" t="s">
        <v>3190</v>
      </c>
      <c r="D167" s="371" t="s">
        <v>3324</v>
      </c>
      <c r="E167" s="371" t="s">
        <v>3325</v>
      </c>
      <c r="F167" s="372" t="s">
        <v>3182</v>
      </c>
      <c r="G167" s="372" t="s">
        <v>3183</v>
      </c>
      <c r="H167" s="373" t="s">
        <v>1913</v>
      </c>
      <c r="I167" s="374" t="s">
        <v>1913</v>
      </c>
      <c r="J167" s="421" t="s">
        <v>3188</v>
      </c>
      <c r="K167" s="421" t="s">
        <v>3191</v>
      </c>
      <c r="L167" s="329">
        <f>CONTINUA!BV167</f>
        <v>0</v>
      </c>
      <c r="M167" s="329">
        <f>CONTINUA!BW167</f>
        <v>0</v>
      </c>
      <c r="N167" s="895"/>
      <c r="O167" s="896" t="s">
        <v>3420</v>
      </c>
      <c r="P167" s="897">
        <v>0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3322</v>
      </c>
      <c r="B168" s="369" t="s">
        <v>3323</v>
      </c>
      <c r="C168" s="375" t="s">
        <v>3190</v>
      </c>
      <c r="D168" s="371" t="s">
        <v>3324</v>
      </c>
      <c r="E168" s="371" t="s">
        <v>3325</v>
      </c>
      <c r="F168" s="376" t="s">
        <v>3182</v>
      </c>
      <c r="G168" s="376" t="s">
        <v>3183</v>
      </c>
      <c r="H168" s="373" t="s">
        <v>1913</v>
      </c>
      <c r="I168" s="374" t="s">
        <v>1913</v>
      </c>
      <c r="J168" s="421" t="s">
        <v>3188</v>
      </c>
      <c r="K168" s="422" t="s">
        <v>3192</v>
      </c>
      <c r="L168" s="329">
        <f>CONTINUA!BV168</f>
        <v>0</v>
      </c>
      <c r="M168" s="329">
        <f>CONTINUA!BW168</f>
        <v>0</v>
      </c>
      <c r="N168" s="895"/>
      <c r="O168" s="896" t="s">
        <v>3420</v>
      </c>
      <c r="P168" s="897">
        <v>0</v>
      </c>
      <c r="Q168" s="400">
        <v>8</v>
      </c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8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8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3322</v>
      </c>
      <c r="B169" s="369" t="s">
        <v>3323</v>
      </c>
      <c r="C169" s="375" t="s">
        <v>3190</v>
      </c>
      <c r="D169" s="371" t="s">
        <v>3324</v>
      </c>
      <c r="E169" s="371" t="s">
        <v>3325</v>
      </c>
      <c r="F169" s="376" t="s">
        <v>3182</v>
      </c>
      <c r="G169" s="376" t="s">
        <v>3183</v>
      </c>
      <c r="H169" s="373" t="s">
        <v>1913</v>
      </c>
      <c r="I169" s="374" t="s">
        <v>1913</v>
      </c>
      <c r="J169" s="421" t="s">
        <v>3188</v>
      </c>
      <c r="K169" s="423" t="s">
        <v>3193</v>
      </c>
      <c r="L169" s="329">
        <f>CONTINUA!BV169</f>
        <v>0</v>
      </c>
      <c r="M169" s="329">
        <f>CONTINUA!BW169</f>
        <v>0</v>
      </c>
      <c r="N169" s="895"/>
      <c r="O169" s="896" t="s">
        <v>3420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3322</v>
      </c>
      <c r="B170" s="378" t="s">
        <v>3323</v>
      </c>
      <c r="C170" s="379" t="s">
        <v>3190</v>
      </c>
      <c r="D170" s="380" t="s">
        <v>3324</v>
      </c>
      <c r="E170" s="380" t="s">
        <v>3325</v>
      </c>
      <c r="F170" s="381" t="s">
        <v>3182</v>
      </c>
      <c r="G170" s="381" t="s">
        <v>3183</v>
      </c>
      <c r="H170" s="382" t="s">
        <v>1913</v>
      </c>
      <c r="I170" s="383" t="s">
        <v>1913</v>
      </c>
      <c r="J170" s="421" t="s">
        <v>3188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3420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3326</v>
      </c>
      <c r="B171" s="522" t="s">
        <v>3327</v>
      </c>
      <c r="C171" s="523">
        <v>1</v>
      </c>
      <c r="D171" s="524" t="s">
        <v>3328</v>
      </c>
      <c r="E171" s="524" t="s">
        <v>3329</v>
      </c>
      <c r="F171" s="525" t="s">
        <v>3182</v>
      </c>
      <c r="G171" s="525" t="s">
        <v>3183</v>
      </c>
      <c r="H171" s="350" t="s">
        <v>1915</v>
      </c>
      <c r="I171" s="351" t="s">
        <v>1915</v>
      </c>
      <c r="J171" s="409" t="s">
        <v>3188</v>
      </c>
      <c r="K171" s="410" t="s">
        <v>3189</v>
      </c>
      <c r="L171" s="329">
        <f>CONTINUA!BV171</f>
        <v>0</v>
      </c>
      <c r="M171" s="329">
        <f>CONTINUA!BW171</f>
        <v>0</v>
      </c>
      <c r="N171" s="895"/>
      <c r="O171" s="896" t="s">
        <v>3421</v>
      </c>
      <c r="P171" s="897">
        <v>0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19049.420000000002</v>
      </c>
      <c r="EY171" s="174">
        <f>(L171*regular)+(M171*Cadeirantee)</f>
        <v>0</v>
      </c>
      <c r="EZ171" s="249">
        <f>SUMIF(FG171:GJ171,"&gt;0")</f>
        <v>372.38900000000001</v>
      </c>
      <c r="FA171" s="249">
        <f>SUMIF(FG171:GJ171,"&lt;0")+SUMIF(GN171:HP171,"&lt;0")</f>
        <v>-102.72800000000001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19704.311000000002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19049.420000000002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321.02500000000003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-102.72800000000001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51.364000000000004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3326</v>
      </c>
      <c r="B172" s="369" t="s">
        <v>3327</v>
      </c>
      <c r="C172" s="370" t="s">
        <v>3190</v>
      </c>
      <c r="D172" s="371" t="s">
        <v>3328</v>
      </c>
      <c r="E172" s="371" t="s">
        <v>3329</v>
      </c>
      <c r="F172" s="372" t="s">
        <v>3182</v>
      </c>
      <c r="G172" s="372" t="s">
        <v>3183</v>
      </c>
      <c r="H172" s="373" t="s">
        <v>1915</v>
      </c>
      <c r="I172" s="374" t="s">
        <v>1915</v>
      </c>
      <c r="J172" s="421" t="s">
        <v>3188</v>
      </c>
      <c r="K172" s="421" t="s">
        <v>3191</v>
      </c>
      <c r="L172" s="329">
        <f>CONTINUA!BV172</f>
        <v>0</v>
      </c>
      <c r="M172" s="329">
        <f>CONTINUA!BW172</f>
        <v>0</v>
      </c>
      <c r="N172" s="895"/>
      <c r="O172" s="896" t="s">
        <v>3421</v>
      </c>
      <c r="P172" s="897">
        <v>0</v>
      </c>
      <c r="Q172" s="400">
        <v>46</v>
      </c>
      <c r="R172" s="401"/>
      <c r="S172" s="400"/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>
        <v>1</v>
      </c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>
        <v>-1</v>
      </c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>
        <v>1</v>
      </c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46</v>
      </c>
      <c r="EQ172" s="171">
        <f t="shared" si="169"/>
        <v>1</v>
      </c>
      <c r="ER172" s="171">
        <f t="shared" si="170"/>
        <v>0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47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3326</v>
      </c>
      <c r="B173" s="369" t="s">
        <v>3327</v>
      </c>
      <c r="C173" s="375" t="s">
        <v>3190</v>
      </c>
      <c r="D173" s="371" t="s">
        <v>3328</v>
      </c>
      <c r="E173" s="371" t="s">
        <v>3329</v>
      </c>
      <c r="F173" s="376" t="s">
        <v>3182</v>
      </c>
      <c r="G173" s="376" t="s">
        <v>3183</v>
      </c>
      <c r="H173" s="373" t="s">
        <v>1915</v>
      </c>
      <c r="I173" s="374" t="s">
        <v>1915</v>
      </c>
      <c r="J173" s="421" t="s">
        <v>3188</v>
      </c>
      <c r="K173" s="422" t="s">
        <v>3192</v>
      </c>
      <c r="L173" s="329">
        <f>CONTINUA!BV173</f>
        <v>0</v>
      </c>
      <c r="M173" s="329">
        <f>CONTINUA!BW173</f>
        <v>0</v>
      </c>
      <c r="N173" s="895"/>
      <c r="O173" s="896" t="s">
        <v>3421</v>
      </c>
      <c r="P173" s="897">
        <v>0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3326</v>
      </c>
      <c r="B174" s="369" t="s">
        <v>3327</v>
      </c>
      <c r="C174" s="375" t="s">
        <v>3190</v>
      </c>
      <c r="D174" s="371" t="s">
        <v>3328</v>
      </c>
      <c r="E174" s="371" t="s">
        <v>3329</v>
      </c>
      <c r="F174" s="376" t="s">
        <v>3182</v>
      </c>
      <c r="G174" s="376" t="s">
        <v>3183</v>
      </c>
      <c r="H174" s="373" t="s">
        <v>1915</v>
      </c>
      <c r="I174" s="374" t="s">
        <v>1915</v>
      </c>
      <c r="J174" s="421" t="s">
        <v>3188</v>
      </c>
      <c r="K174" s="423" t="s">
        <v>3193</v>
      </c>
      <c r="L174" s="329">
        <f>CONTINUA!BV174</f>
        <v>0</v>
      </c>
      <c r="M174" s="329">
        <f>CONTINUA!BW174</f>
        <v>0</v>
      </c>
      <c r="N174" s="895"/>
      <c r="O174" s="896" t="s">
        <v>3421</v>
      </c>
      <c r="P174" s="897">
        <v>0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3326</v>
      </c>
      <c r="B175" s="378" t="s">
        <v>3327</v>
      </c>
      <c r="C175" s="379" t="s">
        <v>3190</v>
      </c>
      <c r="D175" s="380" t="s">
        <v>3328</v>
      </c>
      <c r="E175" s="380" t="s">
        <v>3329</v>
      </c>
      <c r="F175" s="381" t="s">
        <v>3182</v>
      </c>
      <c r="G175" s="381" t="s">
        <v>3183</v>
      </c>
      <c r="H175" s="382" t="s">
        <v>1915</v>
      </c>
      <c r="I175" s="383" t="s">
        <v>1915</v>
      </c>
      <c r="J175" s="421" t="s">
        <v>3188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3421</v>
      </c>
      <c r="P175" s="897">
        <v>0</v>
      </c>
      <c r="Q175" s="400">
        <v>2</v>
      </c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2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2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385.23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770.46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3330</v>
      </c>
      <c r="B176" s="522" t="s">
        <v>3331</v>
      </c>
      <c r="C176" s="523">
        <v>1</v>
      </c>
      <c r="D176" s="524" t="s">
        <v>3332</v>
      </c>
      <c r="E176" s="524" t="s">
        <v>3333</v>
      </c>
      <c r="F176" s="525" t="s">
        <v>3182</v>
      </c>
      <c r="G176" s="525" t="s">
        <v>3183</v>
      </c>
      <c r="H176" s="350" t="s">
        <v>1916</v>
      </c>
      <c r="I176" s="351" t="s">
        <v>1916</v>
      </c>
      <c r="J176" s="409" t="s">
        <v>3188</v>
      </c>
      <c r="K176" s="410" t="s">
        <v>3189</v>
      </c>
      <c r="L176" s="329">
        <f>CONTINUA!BV176</f>
        <v>0</v>
      </c>
      <c r="M176" s="329">
        <f>CONTINUA!BW176</f>
        <v>0</v>
      </c>
      <c r="N176" s="895"/>
      <c r="O176" s="896" t="s">
        <v>3422</v>
      </c>
      <c r="P176" s="897">
        <v>0</v>
      </c>
      <c r="Q176" s="400">
        <v>10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10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10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18278.96</v>
      </c>
      <c r="EY176" s="174">
        <f>(L176*regular)+(M176*Cadeirantee)</f>
        <v>0</v>
      </c>
      <c r="EZ176" s="249">
        <f>SUMIF(FG176:GJ176,"&gt;0")</f>
        <v>475.11700000000002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18754.076999999997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18278.96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385.23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89.887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3330</v>
      </c>
      <c r="B177" s="369" t="s">
        <v>3331</v>
      </c>
      <c r="C177" s="370" t="s">
        <v>3190</v>
      </c>
      <c r="D177" s="371" t="s">
        <v>3332</v>
      </c>
      <c r="E177" s="371" t="s">
        <v>3333</v>
      </c>
      <c r="F177" s="372" t="s">
        <v>3182</v>
      </c>
      <c r="G177" s="372" t="s">
        <v>3183</v>
      </c>
      <c r="H177" s="373" t="s">
        <v>1916</v>
      </c>
      <c r="I177" s="374" t="s">
        <v>1916</v>
      </c>
      <c r="J177" s="421" t="s">
        <v>3188</v>
      </c>
      <c r="K177" s="421" t="s">
        <v>3191</v>
      </c>
      <c r="L177" s="329">
        <f>CONTINUA!BV177</f>
        <v>0</v>
      </c>
      <c r="M177" s="329">
        <f>CONTINUA!BW177</f>
        <v>0</v>
      </c>
      <c r="N177" s="895"/>
      <c r="O177" s="896" t="s">
        <v>3422</v>
      </c>
      <c r="P177" s="897">
        <v>0</v>
      </c>
      <c r="Q177" s="400">
        <v>34</v>
      </c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>
        <v>2</v>
      </c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>
        <v>1</v>
      </c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34</v>
      </c>
      <c r="EQ177" s="171">
        <f t="shared" si="169"/>
        <v>3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37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3330</v>
      </c>
      <c r="B178" s="369" t="s">
        <v>3331</v>
      </c>
      <c r="C178" s="375" t="s">
        <v>3190</v>
      </c>
      <c r="D178" s="371" t="s">
        <v>3332</v>
      </c>
      <c r="E178" s="371" t="s">
        <v>3333</v>
      </c>
      <c r="F178" s="376" t="s">
        <v>3182</v>
      </c>
      <c r="G178" s="376" t="s">
        <v>3183</v>
      </c>
      <c r="H178" s="373" t="s">
        <v>1916</v>
      </c>
      <c r="I178" s="374" t="s">
        <v>1916</v>
      </c>
      <c r="J178" s="421" t="s">
        <v>3188</v>
      </c>
      <c r="K178" s="422" t="s">
        <v>3192</v>
      </c>
      <c r="L178" s="329">
        <f>CONTINUA!BV178</f>
        <v>0</v>
      </c>
      <c r="M178" s="329">
        <f>CONTINUA!BW178</f>
        <v>0</v>
      </c>
      <c r="N178" s="895"/>
      <c r="O178" s="896" t="s">
        <v>3422</v>
      </c>
      <c r="P178" s="897">
        <v>0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3330</v>
      </c>
      <c r="B179" s="369" t="s">
        <v>3331</v>
      </c>
      <c r="C179" s="375" t="s">
        <v>3190</v>
      </c>
      <c r="D179" s="371" t="s">
        <v>3332</v>
      </c>
      <c r="E179" s="371" t="s">
        <v>3333</v>
      </c>
      <c r="F179" s="376" t="s">
        <v>3182</v>
      </c>
      <c r="G179" s="376" t="s">
        <v>3183</v>
      </c>
      <c r="H179" s="373" t="s">
        <v>1916</v>
      </c>
      <c r="I179" s="374" t="s">
        <v>1916</v>
      </c>
      <c r="J179" s="421" t="s">
        <v>3188</v>
      </c>
      <c r="K179" s="423" t="s">
        <v>3193</v>
      </c>
      <c r="L179" s="329">
        <f>CONTINUA!BV179</f>
        <v>0</v>
      </c>
      <c r="M179" s="329">
        <f>CONTINUA!BW179</f>
        <v>0</v>
      </c>
      <c r="N179" s="895"/>
      <c r="O179" s="896" t="s">
        <v>3422</v>
      </c>
      <c r="P179" s="897">
        <v>0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3330</v>
      </c>
      <c r="B180" s="378" t="s">
        <v>3331</v>
      </c>
      <c r="C180" s="379" t="s">
        <v>3190</v>
      </c>
      <c r="D180" s="380" t="s">
        <v>3332</v>
      </c>
      <c r="E180" s="380" t="s">
        <v>3333</v>
      </c>
      <c r="F180" s="381" t="s">
        <v>3182</v>
      </c>
      <c r="G180" s="381" t="s">
        <v>3183</v>
      </c>
      <c r="H180" s="382" t="s">
        <v>1916</v>
      </c>
      <c r="I180" s="383" t="s">
        <v>1916</v>
      </c>
      <c r="J180" s="421" t="s">
        <v>3188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3422</v>
      </c>
      <c r="P180" s="897">
        <v>0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3334</v>
      </c>
      <c r="B181" s="522" t="s">
        <v>3335</v>
      </c>
      <c r="C181" s="523">
        <v>1</v>
      </c>
      <c r="D181" s="524" t="s">
        <v>3336</v>
      </c>
      <c r="E181" s="524" t="s">
        <v>3337</v>
      </c>
      <c r="F181" s="525" t="s">
        <v>3182</v>
      </c>
      <c r="G181" s="525" t="s">
        <v>3183</v>
      </c>
      <c r="H181" s="350" t="s">
        <v>1917</v>
      </c>
      <c r="I181" s="351" t="s">
        <v>1917</v>
      </c>
      <c r="J181" s="409" t="s">
        <v>3188</v>
      </c>
      <c r="K181" s="410" t="s">
        <v>3189</v>
      </c>
      <c r="L181" s="329">
        <f>CONTINUA!BV181</f>
        <v>0</v>
      </c>
      <c r="M181" s="329">
        <f>CONTINUA!BW181</f>
        <v>0</v>
      </c>
      <c r="N181" s="895"/>
      <c r="O181" s="896" t="s">
        <v>3423</v>
      </c>
      <c r="P181" s="897">
        <v>0</v>
      </c>
      <c r="Q181" s="400">
        <v>3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3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3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15197.119999999999</v>
      </c>
      <c r="EY181" s="174">
        <f>(L181*regular)+(M181*Cadeirantee)</f>
        <v>0</v>
      </c>
      <c r="EZ181" s="249">
        <f>SUMIF(FG181:GJ181,"&gt;0")</f>
        <v>757.61900000000014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15954.739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15197.119999999999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295.34300000000002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218.29700000000003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128.41000000000003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115.56900000000002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3334</v>
      </c>
      <c r="B182" s="369" t="s">
        <v>3335</v>
      </c>
      <c r="C182" s="370" t="s">
        <v>3190</v>
      </c>
      <c r="D182" s="371" t="s">
        <v>3336</v>
      </c>
      <c r="E182" s="371" t="s">
        <v>3337</v>
      </c>
      <c r="F182" s="372" t="s">
        <v>3182</v>
      </c>
      <c r="G182" s="372" t="s">
        <v>3183</v>
      </c>
      <c r="H182" s="373" t="s">
        <v>1917</v>
      </c>
      <c r="I182" s="374" t="s">
        <v>1917</v>
      </c>
      <c r="J182" s="421" t="s">
        <v>3188</v>
      </c>
      <c r="K182" s="421" t="s">
        <v>3191</v>
      </c>
      <c r="L182" s="329">
        <f>CONTINUA!BV182</f>
        <v>0</v>
      </c>
      <c r="M182" s="329">
        <f>CONTINUA!BW182</f>
        <v>0</v>
      </c>
      <c r="N182" s="895"/>
      <c r="O182" s="896" t="s">
        <v>3423</v>
      </c>
      <c r="P182" s="897">
        <v>0</v>
      </c>
      <c r="Q182" s="400">
        <v>33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>
        <v>1</v>
      </c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>
        <v>1</v>
      </c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>
        <v>1</v>
      </c>
      <c r="CT182" s="401"/>
      <c r="CU182" s="400"/>
      <c r="CV182" s="401"/>
      <c r="CW182" s="400">
        <v>1</v>
      </c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33</v>
      </c>
      <c r="EQ182" s="171">
        <f t="shared" si="169"/>
        <v>4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37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3334</v>
      </c>
      <c r="B183" s="369" t="s">
        <v>3335</v>
      </c>
      <c r="C183" s="375" t="s">
        <v>3190</v>
      </c>
      <c r="D183" s="371" t="s">
        <v>3336</v>
      </c>
      <c r="E183" s="371" t="s">
        <v>3337</v>
      </c>
      <c r="F183" s="376" t="s">
        <v>3182</v>
      </c>
      <c r="G183" s="376" t="s">
        <v>3183</v>
      </c>
      <c r="H183" s="373" t="s">
        <v>1917</v>
      </c>
      <c r="I183" s="374" t="s">
        <v>1917</v>
      </c>
      <c r="J183" s="421" t="s">
        <v>3188</v>
      </c>
      <c r="K183" s="422" t="s">
        <v>3192</v>
      </c>
      <c r="L183" s="329">
        <f>CONTINUA!BV183</f>
        <v>0</v>
      </c>
      <c r="M183" s="329">
        <f>CONTINUA!BW183</f>
        <v>0</v>
      </c>
      <c r="N183" s="895"/>
      <c r="O183" s="896" t="s">
        <v>3423</v>
      </c>
      <c r="P183" s="897">
        <v>0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3334</v>
      </c>
      <c r="B184" s="369" t="s">
        <v>3335</v>
      </c>
      <c r="C184" s="375" t="s">
        <v>3190</v>
      </c>
      <c r="D184" s="371" t="s">
        <v>3336</v>
      </c>
      <c r="E184" s="371" t="s">
        <v>3337</v>
      </c>
      <c r="F184" s="376" t="s">
        <v>3182</v>
      </c>
      <c r="G184" s="376" t="s">
        <v>3183</v>
      </c>
      <c r="H184" s="373" t="s">
        <v>1917</v>
      </c>
      <c r="I184" s="374" t="s">
        <v>1917</v>
      </c>
      <c r="J184" s="421" t="s">
        <v>3188</v>
      </c>
      <c r="K184" s="423" t="s">
        <v>3193</v>
      </c>
      <c r="L184" s="329">
        <f>CONTINUA!BV184</f>
        <v>0</v>
      </c>
      <c r="M184" s="329">
        <f>CONTINUA!BW184</f>
        <v>0</v>
      </c>
      <c r="N184" s="895"/>
      <c r="O184" s="896" t="s">
        <v>3423</v>
      </c>
      <c r="P184" s="897">
        <v>0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3334</v>
      </c>
      <c r="B185" s="378" t="s">
        <v>3335</v>
      </c>
      <c r="C185" s="379" t="s">
        <v>3190</v>
      </c>
      <c r="D185" s="380" t="s">
        <v>3336</v>
      </c>
      <c r="E185" s="380" t="s">
        <v>3337</v>
      </c>
      <c r="F185" s="381" t="s">
        <v>3182</v>
      </c>
      <c r="G185" s="381" t="s">
        <v>3183</v>
      </c>
      <c r="H185" s="382" t="s">
        <v>1917</v>
      </c>
      <c r="I185" s="383" t="s">
        <v>1917</v>
      </c>
      <c r="J185" s="421" t="s">
        <v>3188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3423</v>
      </c>
      <c r="P185" s="897">
        <v>0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3338</v>
      </c>
      <c r="B186" s="522" t="s">
        <v>3339</v>
      </c>
      <c r="C186" s="523">
        <v>1</v>
      </c>
      <c r="D186" s="524" t="s">
        <v>3340</v>
      </c>
      <c r="E186" s="524" t="s">
        <v>3341</v>
      </c>
      <c r="F186" s="525" t="s">
        <v>3182</v>
      </c>
      <c r="G186" s="525" t="s">
        <v>3183</v>
      </c>
      <c r="H186" s="350" t="s">
        <v>1921</v>
      </c>
      <c r="I186" s="351" t="s">
        <v>1921</v>
      </c>
      <c r="J186" s="409" t="s">
        <v>3188</v>
      </c>
      <c r="K186" s="410" t="s">
        <v>3189</v>
      </c>
      <c r="L186" s="329">
        <f>CONTINUA!BV186</f>
        <v>0</v>
      </c>
      <c r="M186" s="329">
        <f>CONTINUA!BW186</f>
        <v>0</v>
      </c>
      <c r="N186" s="895"/>
      <c r="O186" s="896" t="s">
        <v>3424</v>
      </c>
      <c r="P186" s="897">
        <v>0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12885.740000000002</v>
      </c>
      <c r="EY186" s="174">
        <f>(L186*regular)+(M186*Cadeirantee)</f>
        <v>0</v>
      </c>
      <c r="EZ186" s="249">
        <f>SUMIF(FG186:GJ186,"&gt;0")</f>
        <v>25.682000000000002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12911.422000000002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12885.740000000002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25.682000000000002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3338</v>
      </c>
      <c r="B187" s="369" t="s">
        <v>3339</v>
      </c>
      <c r="C187" s="370" t="s">
        <v>3190</v>
      </c>
      <c r="D187" s="371" t="s">
        <v>3340</v>
      </c>
      <c r="E187" s="371" t="s">
        <v>3341</v>
      </c>
      <c r="F187" s="372" t="s">
        <v>3182</v>
      </c>
      <c r="G187" s="372" t="s">
        <v>3183</v>
      </c>
      <c r="H187" s="373" t="s">
        <v>1921</v>
      </c>
      <c r="I187" s="374" t="s">
        <v>1921</v>
      </c>
      <c r="J187" s="421" t="s">
        <v>3188</v>
      </c>
      <c r="K187" s="421" t="s">
        <v>3191</v>
      </c>
      <c r="L187" s="329">
        <f>CONTINUA!BV187</f>
        <v>0</v>
      </c>
      <c r="M187" s="329">
        <f>CONTINUA!BW187</f>
        <v>0</v>
      </c>
      <c r="N187" s="895"/>
      <c r="O187" s="896" t="s">
        <v>3424</v>
      </c>
      <c r="P187" s="897">
        <v>0</v>
      </c>
      <c r="Q187" s="400">
        <v>30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>
        <v>1</v>
      </c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30</v>
      </c>
      <c r="EQ187" s="171">
        <f t="shared" si="169"/>
        <v>1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31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3338</v>
      </c>
      <c r="B188" s="369" t="s">
        <v>3339</v>
      </c>
      <c r="C188" s="375" t="s">
        <v>3190</v>
      </c>
      <c r="D188" s="371" t="s">
        <v>3340</v>
      </c>
      <c r="E188" s="371" t="s">
        <v>3341</v>
      </c>
      <c r="F188" s="376" t="s">
        <v>3182</v>
      </c>
      <c r="G188" s="376" t="s">
        <v>3183</v>
      </c>
      <c r="H188" s="373" t="s">
        <v>1921</v>
      </c>
      <c r="I188" s="374" t="s">
        <v>1921</v>
      </c>
      <c r="J188" s="421" t="s">
        <v>3188</v>
      </c>
      <c r="K188" s="422" t="s">
        <v>3192</v>
      </c>
      <c r="L188" s="329">
        <f>CONTINUA!BV188</f>
        <v>0</v>
      </c>
      <c r="M188" s="329">
        <f>CONTINUA!BW188</f>
        <v>0</v>
      </c>
      <c r="N188" s="895"/>
      <c r="O188" s="896" t="s">
        <v>3424</v>
      </c>
      <c r="P188" s="897">
        <v>0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3338</v>
      </c>
      <c r="B189" s="369" t="s">
        <v>3339</v>
      </c>
      <c r="C189" s="375" t="s">
        <v>3190</v>
      </c>
      <c r="D189" s="371" t="s">
        <v>3340</v>
      </c>
      <c r="E189" s="371" t="s">
        <v>3341</v>
      </c>
      <c r="F189" s="376" t="s">
        <v>3182</v>
      </c>
      <c r="G189" s="376" t="s">
        <v>3183</v>
      </c>
      <c r="H189" s="373" t="s">
        <v>1921</v>
      </c>
      <c r="I189" s="374" t="s">
        <v>1921</v>
      </c>
      <c r="J189" s="421" t="s">
        <v>3188</v>
      </c>
      <c r="K189" s="423" t="s">
        <v>3193</v>
      </c>
      <c r="L189" s="329">
        <f>CONTINUA!BV189</f>
        <v>0</v>
      </c>
      <c r="M189" s="329">
        <f>CONTINUA!BW189</f>
        <v>0</v>
      </c>
      <c r="N189" s="895"/>
      <c r="O189" s="896" t="s">
        <v>3424</v>
      </c>
      <c r="P189" s="897">
        <v>0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3338</v>
      </c>
      <c r="B190" s="378" t="s">
        <v>3339</v>
      </c>
      <c r="C190" s="379" t="s">
        <v>3190</v>
      </c>
      <c r="D190" s="380" t="s">
        <v>3340</v>
      </c>
      <c r="E190" s="380" t="s">
        <v>3341</v>
      </c>
      <c r="F190" s="381" t="s">
        <v>3182</v>
      </c>
      <c r="G190" s="381" t="s">
        <v>3183</v>
      </c>
      <c r="H190" s="382" t="s">
        <v>1921</v>
      </c>
      <c r="I190" s="383" t="s">
        <v>1921</v>
      </c>
      <c r="J190" s="421" t="s">
        <v>3188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3424</v>
      </c>
      <c r="P190" s="897">
        <v>0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3342</v>
      </c>
      <c r="B191" s="522" t="s">
        <v>3343</v>
      </c>
      <c r="C191" s="523">
        <v>1</v>
      </c>
      <c r="D191" s="524" t="s">
        <v>3344</v>
      </c>
      <c r="E191" s="524" t="s">
        <v>3345</v>
      </c>
      <c r="F191" s="525" t="s">
        <v>3182</v>
      </c>
      <c r="G191" s="525" t="s">
        <v>3183</v>
      </c>
      <c r="H191" s="350" t="s">
        <v>1923</v>
      </c>
      <c r="I191" s="351" t="s">
        <v>1923</v>
      </c>
      <c r="J191" s="409" t="s">
        <v>3188</v>
      </c>
      <c r="K191" s="410" t="s">
        <v>3189</v>
      </c>
      <c r="L191" s="329">
        <f>CONTINUA!BV191</f>
        <v>0</v>
      </c>
      <c r="M191" s="329">
        <f>CONTINUA!BW191</f>
        <v>0</v>
      </c>
      <c r="N191" s="895"/>
      <c r="O191" s="896" t="s">
        <v>3425</v>
      </c>
      <c r="P191" s="897">
        <v>0</v>
      </c>
      <c r="Q191" s="400">
        <v>6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>
        <v>-2</v>
      </c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6</v>
      </c>
      <c r="EQ191" s="171">
        <f t="shared" si="169"/>
        <v>-2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4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17508.5</v>
      </c>
      <c r="EY191" s="174">
        <f>(L191*regular)+(M191*Cadeirantee)</f>
        <v>0</v>
      </c>
      <c r="EZ191" s="249">
        <f>SUMIF(FG191:GJ191,"&gt;0")</f>
        <v>2670.9279999999999</v>
      </c>
      <c r="FA191" s="249">
        <f>SUMIF(FG191:GJ191,"&lt;0")+SUMIF(GN191:HP191,"&lt;0")</f>
        <v>-231.13800000000001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20140.905000000002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17508.5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642.05000000000007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1130.008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770.46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128.41000000000003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-179.774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-51.364000000000004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3342</v>
      </c>
      <c r="B192" s="369" t="s">
        <v>3343</v>
      </c>
      <c r="C192" s="370" t="s">
        <v>3190</v>
      </c>
      <c r="D192" s="371" t="s">
        <v>3344</v>
      </c>
      <c r="E192" s="371" t="s">
        <v>3345</v>
      </c>
      <c r="F192" s="372" t="s">
        <v>3182</v>
      </c>
      <c r="G192" s="372" t="s">
        <v>3183</v>
      </c>
      <c r="H192" s="373" t="s">
        <v>1923</v>
      </c>
      <c r="I192" s="374" t="s">
        <v>1923</v>
      </c>
      <c r="J192" s="421" t="s">
        <v>3188</v>
      </c>
      <c r="K192" s="421" t="s">
        <v>3191</v>
      </c>
      <c r="L192" s="329">
        <f>CONTINUA!BV192</f>
        <v>0</v>
      </c>
      <c r="M192" s="329">
        <f>CONTINUA!BW192</f>
        <v>0</v>
      </c>
      <c r="N192" s="895"/>
      <c r="O192" s="896" t="s">
        <v>3425</v>
      </c>
      <c r="P192" s="897">
        <v>0</v>
      </c>
      <c r="Q192" s="400">
        <v>36</v>
      </c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>
        <v>2</v>
      </c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>
        <v>4</v>
      </c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>
        <v>4</v>
      </c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>
        <v>1</v>
      </c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>
        <v>-1</v>
      </c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36</v>
      </c>
      <c r="EQ192" s="171">
        <f t="shared" si="169"/>
        <v>10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46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3342</v>
      </c>
      <c r="B193" s="369" t="s">
        <v>3343</v>
      </c>
      <c r="C193" s="375" t="s">
        <v>3190</v>
      </c>
      <c r="D193" s="371" t="s">
        <v>3344</v>
      </c>
      <c r="E193" s="371" t="s">
        <v>3345</v>
      </c>
      <c r="F193" s="376" t="s">
        <v>3182</v>
      </c>
      <c r="G193" s="376" t="s">
        <v>3183</v>
      </c>
      <c r="H193" s="373" t="s">
        <v>1923</v>
      </c>
      <c r="I193" s="374" t="s">
        <v>1923</v>
      </c>
      <c r="J193" s="421" t="s">
        <v>3188</v>
      </c>
      <c r="K193" s="422" t="s">
        <v>3192</v>
      </c>
      <c r="L193" s="329">
        <f>CONTINUA!BV193</f>
        <v>0</v>
      </c>
      <c r="M193" s="329">
        <f>CONTINUA!BW193</f>
        <v>0</v>
      </c>
      <c r="N193" s="895"/>
      <c r="O193" s="896" t="s">
        <v>3425</v>
      </c>
      <c r="P193" s="897">
        <v>0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3342</v>
      </c>
      <c r="B194" s="369" t="s">
        <v>3343</v>
      </c>
      <c r="C194" s="375" t="s">
        <v>3190</v>
      </c>
      <c r="D194" s="371" t="s">
        <v>3344</v>
      </c>
      <c r="E194" s="371" t="s">
        <v>3345</v>
      </c>
      <c r="F194" s="376" t="s">
        <v>3182</v>
      </c>
      <c r="G194" s="376" t="s">
        <v>3183</v>
      </c>
      <c r="H194" s="373" t="s">
        <v>1923</v>
      </c>
      <c r="I194" s="374" t="s">
        <v>1923</v>
      </c>
      <c r="J194" s="421" t="s">
        <v>3188</v>
      </c>
      <c r="K194" s="423" t="s">
        <v>3193</v>
      </c>
      <c r="L194" s="329">
        <f>CONTINUA!BV194</f>
        <v>0</v>
      </c>
      <c r="M194" s="329">
        <f>CONTINUA!BW194</f>
        <v>0</v>
      </c>
      <c r="N194" s="895"/>
      <c r="O194" s="896" t="s">
        <v>3425</v>
      </c>
      <c r="P194" s="897">
        <v>0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3342</v>
      </c>
      <c r="B195" s="378" t="s">
        <v>3343</v>
      </c>
      <c r="C195" s="379" t="s">
        <v>3190</v>
      </c>
      <c r="D195" s="380" t="s">
        <v>3344</v>
      </c>
      <c r="E195" s="380" t="s">
        <v>3345</v>
      </c>
      <c r="F195" s="381" t="s">
        <v>3182</v>
      </c>
      <c r="G195" s="381" t="s">
        <v>3183</v>
      </c>
      <c r="H195" s="382" t="s">
        <v>1923</v>
      </c>
      <c r="I195" s="383" t="s">
        <v>1923</v>
      </c>
      <c r="J195" s="421" t="s">
        <v>3188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3425</v>
      </c>
      <c r="P195" s="897">
        <v>0</v>
      </c>
      <c r="Q195" s="400">
        <v>1</v>
      </c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1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1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192.61500000000001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385.23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3346</v>
      </c>
      <c r="B196" s="522" t="s">
        <v>3347</v>
      </c>
      <c r="C196" s="523">
        <v>1</v>
      </c>
      <c r="D196" s="524" t="s">
        <v>3348</v>
      </c>
      <c r="E196" s="524" t="s">
        <v>3349</v>
      </c>
      <c r="F196" s="525" t="s">
        <v>3182</v>
      </c>
      <c r="G196" s="525" t="s">
        <v>3183</v>
      </c>
      <c r="H196" s="350" t="s">
        <v>1924</v>
      </c>
      <c r="I196" s="351" t="s">
        <v>1924</v>
      </c>
      <c r="J196" s="409" t="s">
        <v>3188</v>
      </c>
      <c r="K196" s="410" t="s">
        <v>3189</v>
      </c>
      <c r="L196" s="329">
        <f>CONTINUA!BV196</f>
        <v>0</v>
      </c>
      <c r="M196" s="329">
        <f>CONTINUA!BW196</f>
        <v>0</v>
      </c>
      <c r="N196" s="895"/>
      <c r="O196" s="896" t="s">
        <v>3426</v>
      </c>
      <c r="P196" s="897">
        <v>0</v>
      </c>
      <c r="Q196" s="400">
        <v>8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8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8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17123.27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17123.27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17123.27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3346</v>
      </c>
      <c r="B197" s="369" t="s">
        <v>3347</v>
      </c>
      <c r="C197" s="370" t="s">
        <v>3190</v>
      </c>
      <c r="D197" s="371" t="s">
        <v>3348</v>
      </c>
      <c r="E197" s="371" t="s">
        <v>3349</v>
      </c>
      <c r="F197" s="372" t="s">
        <v>3182</v>
      </c>
      <c r="G197" s="372" t="s">
        <v>3183</v>
      </c>
      <c r="H197" s="373" t="s">
        <v>1924</v>
      </c>
      <c r="I197" s="374" t="s">
        <v>1924</v>
      </c>
      <c r="J197" s="421" t="s">
        <v>3188</v>
      </c>
      <c r="K197" s="421" t="s">
        <v>3191</v>
      </c>
      <c r="L197" s="329">
        <f>CONTINUA!BV197</f>
        <v>0</v>
      </c>
      <c r="M197" s="329">
        <f>CONTINUA!BW197</f>
        <v>0</v>
      </c>
      <c r="N197" s="895"/>
      <c r="O197" s="896" t="s">
        <v>3426</v>
      </c>
      <c r="P197" s="897">
        <v>0</v>
      </c>
      <c r="Q197" s="400">
        <v>33</v>
      </c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33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33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3346</v>
      </c>
      <c r="B198" s="369" t="s">
        <v>3347</v>
      </c>
      <c r="C198" s="375" t="s">
        <v>3190</v>
      </c>
      <c r="D198" s="371" t="s">
        <v>3348</v>
      </c>
      <c r="E198" s="371" t="s">
        <v>3349</v>
      </c>
      <c r="F198" s="376" t="s">
        <v>3182</v>
      </c>
      <c r="G198" s="376" t="s">
        <v>3183</v>
      </c>
      <c r="H198" s="373" t="s">
        <v>1924</v>
      </c>
      <c r="I198" s="374" t="s">
        <v>1924</v>
      </c>
      <c r="J198" s="421" t="s">
        <v>3188</v>
      </c>
      <c r="K198" s="422" t="s">
        <v>3192</v>
      </c>
      <c r="L198" s="329">
        <f>CONTINUA!BV198</f>
        <v>0</v>
      </c>
      <c r="M198" s="329">
        <f>CONTINUA!BW198</f>
        <v>0</v>
      </c>
      <c r="N198" s="895"/>
      <c r="O198" s="896" t="s">
        <v>3426</v>
      </c>
      <c r="P198" s="897">
        <v>0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3346</v>
      </c>
      <c r="B199" s="369" t="s">
        <v>3347</v>
      </c>
      <c r="C199" s="375" t="s">
        <v>3190</v>
      </c>
      <c r="D199" s="371" t="s">
        <v>3348</v>
      </c>
      <c r="E199" s="371" t="s">
        <v>3349</v>
      </c>
      <c r="F199" s="376" t="s">
        <v>3182</v>
      </c>
      <c r="G199" s="376" t="s">
        <v>3183</v>
      </c>
      <c r="H199" s="373" t="s">
        <v>1924</v>
      </c>
      <c r="I199" s="374" t="s">
        <v>1924</v>
      </c>
      <c r="J199" s="421" t="s">
        <v>3188</v>
      </c>
      <c r="K199" s="423" t="s">
        <v>3193</v>
      </c>
      <c r="L199" s="329">
        <f>CONTINUA!BV199</f>
        <v>0</v>
      </c>
      <c r="M199" s="329">
        <f>CONTINUA!BW199</f>
        <v>0</v>
      </c>
      <c r="N199" s="895"/>
      <c r="O199" s="896" t="s">
        <v>3426</v>
      </c>
      <c r="P199" s="897">
        <v>0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3346</v>
      </c>
      <c r="B200" s="378" t="s">
        <v>3347</v>
      </c>
      <c r="C200" s="379" t="s">
        <v>3190</v>
      </c>
      <c r="D200" s="380" t="s">
        <v>3348</v>
      </c>
      <c r="E200" s="380" t="s">
        <v>3349</v>
      </c>
      <c r="F200" s="381" t="s">
        <v>3182</v>
      </c>
      <c r="G200" s="381" t="s">
        <v>3183</v>
      </c>
      <c r="H200" s="382" t="s">
        <v>1924</v>
      </c>
      <c r="I200" s="383" t="s">
        <v>1924</v>
      </c>
      <c r="J200" s="421" t="s">
        <v>3188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3426</v>
      </c>
      <c r="P200" s="897">
        <v>0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3350</v>
      </c>
      <c r="B201" s="522" t="s">
        <v>3351</v>
      </c>
      <c r="C201" s="523">
        <v>3</v>
      </c>
      <c r="D201" s="524" t="s">
        <v>3352</v>
      </c>
      <c r="E201" s="524" t="s">
        <v>3353</v>
      </c>
      <c r="F201" s="525" t="s">
        <v>3182</v>
      </c>
      <c r="G201" s="525" t="s">
        <v>3183</v>
      </c>
      <c r="H201" s="350" t="s">
        <v>1928</v>
      </c>
      <c r="I201" s="351" t="s">
        <v>1928</v>
      </c>
      <c r="J201" s="409" t="s">
        <v>3198</v>
      </c>
      <c r="K201" s="410" t="s">
        <v>3189</v>
      </c>
      <c r="L201" s="329">
        <f>CONTINUA!BV201</f>
        <v>0</v>
      </c>
      <c r="M201" s="329">
        <f>CONTINUA!BW201</f>
        <v>0</v>
      </c>
      <c r="N201" s="895"/>
      <c r="O201" s="896" t="s">
        <v>3427</v>
      </c>
      <c r="P201" s="897">
        <v>0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16188.48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16188.48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16188.48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3350</v>
      </c>
      <c r="B202" s="369" t="s">
        <v>3351</v>
      </c>
      <c r="C202" s="370" t="s">
        <v>3199</v>
      </c>
      <c r="D202" s="371" t="s">
        <v>3352</v>
      </c>
      <c r="E202" s="371" t="s">
        <v>3353</v>
      </c>
      <c r="F202" s="372" t="s">
        <v>3182</v>
      </c>
      <c r="G202" s="372" t="s">
        <v>3183</v>
      </c>
      <c r="H202" s="373" t="s">
        <v>1928</v>
      </c>
      <c r="I202" s="374" t="s">
        <v>1928</v>
      </c>
      <c r="J202" s="421" t="s">
        <v>3198</v>
      </c>
      <c r="K202" s="421" t="s">
        <v>3191</v>
      </c>
      <c r="L202" s="329">
        <f>CONTINUA!BV202</f>
        <v>0</v>
      </c>
      <c r="M202" s="329">
        <f>CONTINUA!BW202</f>
        <v>0</v>
      </c>
      <c r="N202" s="895"/>
      <c r="O202" s="896" t="s">
        <v>3427</v>
      </c>
      <c r="P202" s="897">
        <v>0</v>
      </c>
      <c r="Q202" s="400"/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0</v>
      </c>
      <c r="EQ202" s="171">
        <f t="shared" si="169"/>
        <v>0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0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3350</v>
      </c>
      <c r="B203" s="369" t="s">
        <v>3351</v>
      </c>
      <c r="C203" s="375" t="s">
        <v>3199</v>
      </c>
      <c r="D203" s="371" t="s">
        <v>3352</v>
      </c>
      <c r="E203" s="371" t="s">
        <v>3353</v>
      </c>
      <c r="F203" s="376" t="s">
        <v>3182</v>
      </c>
      <c r="G203" s="376" t="s">
        <v>3183</v>
      </c>
      <c r="H203" s="373" t="s">
        <v>1928</v>
      </c>
      <c r="I203" s="374" t="s">
        <v>1928</v>
      </c>
      <c r="J203" s="421" t="s">
        <v>3198</v>
      </c>
      <c r="K203" s="422" t="s">
        <v>3192</v>
      </c>
      <c r="L203" s="329">
        <f>CONTINUA!BV203</f>
        <v>0</v>
      </c>
      <c r="M203" s="329">
        <f>CONTINUA!BW203</f>
        <v>0</v>
      </c>
      <c r="N203" s="895"/>
      <c r="O203" s="896" t="s">
        <v>3427</v>
      </c>
      <c r="P203" s="897">
        <v>0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45" si="241">Q203</f>
        <v>0</v>
      </c>
      <c r="EQ203" s="171">
        <f t="shared" ref="EQ203:EQ245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45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45" si="244">R203</f>
        <v>0</v>
      </c>
      <c r="ET203" s="171">
        <f t="shared" ref="ET203:ET245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45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45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45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3350</v>
      </c>
      <c r="B204" s="369" t="s">
        <v>3351</v>
      </c>
      <c r="C204" s="375" t="s">
        <v>3199</v>
      </c>
      <c r="D204" s="371" t="s">
        <v>3352</v>
      </c>
      <c r="E204" s="371" t="s">
        <v>3353</v>
      </c>
      <c r="F204" s="376" t="s">
        <v>3182</v>
      </c>
      <c r="G204" s="376" t="s">
        <v>3183</v>
      </c>
      <c r="H204" s="373" t="s">
        <v>1928</v>
      </c>
      <c r="I204" s="374" t="s">
        <v>1928</v>
      </c>
      <c r="J204" s="421" t="s">
        <v>3198</v>
      </c>
      <c r="K204" s="423" t="s">
        <v>3193</v>
      </c>
      <c r="L204" s="329">
        <f>CONTINUA!BV204</f>
        <v>0</v>
      </c>
      <c r="M204" s="329">
        <f>CONTINUA!BW204</f>
        <v>0</v>
      </c>
      <c r="N204" s="895"/>
      <c r="O204" s="896" t="s">
        <v>3427</v>
      </c>
      <c r="P204" s="897">
        <v>0</v>
      </c>
      <c r="Q204" s="400">
        <v>24</v>
      </c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24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24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3350</v>
      </c>
      <c r="B205" s="378" t="s">
        <v>3351</v>
      </c>
      <c r="C205" s="379" t="s">
        <v>3199</v>
      </c>
      <c r="D205" s="380" t="s">
        <v>3352</v>
      </c>
      <c r="E205" s="380" t="s">
        <v>3353</v>
      </c>
      <c r="F205" s="381" t="s">
        <v>3182</v>
      </c>
      <c r="G205" s="381" t="s">
        <v>3183</v>
      </c>
      <c r="H205" s="382" t="s">
        <v>1928</v>
      </c>
      <c r="I205" s="383" t="s">
        <v>1928</v>
      </c>
      <c r="J205" s="421" t="s">
        <v>3198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3427</v>
      </c>
      <c r="P205" s="897">
        <v>0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3354</v>
      </c>
      <c r="B206" s="522" t="s">
        <v>3355</v>
      </c>
      <c r="C206" s="523">
        <v>1</v>
      </c>
      <c r="D206" s="524" t="s">
        <v>3356</v>
      </c>
      <c r="E206" s="524" t="s">
        <v>3357</v>
      </c>
      <c r="F206" s="525" t="s">
        <v>3182</v>
      </c>
      <c r="G206" s="525">
        <v>46140</v>
      </c>
      <c r="H206" s="350" t="s">
        <v>1931</v>
      </c>
      <c r="I206" s="351" t="s">
        <v>1931</v>
      </c>
      <c r="J206" s="409" t="s">
        <v>3188</v>
      </c>
      <c r="K206" s="410" t="s">
        <v>3189</v>
      </c>
      <c r="L206" s="329">
        <f>CONTINUA!BV206</f>
        <v>0</v>
      </c>
      <c r="M206" s="329">
        <f>CONTINUA!BW206</f>
        <v>0</v>
      </c>
      <c r="N206" s="895"/>
      <c r="O206" s="896" t="s">
        <v>3428</v>
      </c>
      <c r="P206" s="897">
        <v>0</v>
      </c>
      <c r="Q206" s="400">
        <v>10</v>
      </c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>
        <v>-10</v>
      </c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10</v>
      </c>
      <c r="EQ206" s="171">
        <f t="shared" si="242"/>
        <v>-10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3852.2999999999997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-256.82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3595.4799999999996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3852.2999999999997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-256.82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3354</v>
      </c>
      <c r="B207" s="369" t="s">
        <v>3355</v>
      </c>
      <c r="C207" s="370" t="s">
        <v>3190</v>
      </c>
      <c r="D207" s="371" t="s">
        <v>3356</v>
      </c>
      <c r="E207" s="371" t="s">
        <v>3357</v>
      </c>
      <c r="F207" s="372" t="s">
        <v>3182</v>
      </c>
      <c r="G207" s="372" t="s">
        <v>3183</v>
      </c>
      <c r="H207" s="373" t="s">
        <v>1931</v>
      </c>
      <c r="I207" s="374" t="s">
        <v>1931</v>
      </c>
      <c r="J207" s="421" t="s">
        <v>3188</v>
      </c>
      <c r="K207" s="421" t="s">
        <v>3191</v>
      </c>
      <c r="L207" s="329">
        <f>CONTINUA!BV207</f>
        <v>0</v>
      </c>
      <c r="M207" s="329">
        <f>CONTINUA!BW207</f>
        <v>0</v>
      </c>
      <c r="N207" s="895"/>
      <c r="O207" s="896" t="s">
        <v>3428</v>
      </c>
      <c r="P207" s="897">
        <v>0</v>
      </c>
      <c r="Q207" s="400"/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0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0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3354</v>
      </c>
      <c r="B208" s="369" t="s">
        <v>3355</v>
      </c>
      <c r="C208" s="375" t="s">
        <v>3190</v>
      </c>
      <c r="D208" s="371" t="s">
        <v>3356</v>
      </c>
      <c r="E208" s="371" t="s">
        <v>3357</v>
      </c>
      <c r="F208" s="376" t="s">
        <v>3182</v>
      </c>
      <c r="G208" s="376" t="s">
        <v>3183</v>
      </c>
      <c r="H208" s="373" t="s">
        <v>1931</v>
      </c>
      <c r="I208" s="374" t="s">
        <v>1931</v>
      </c>
      <c r="J208" s="421" t="s">
        <v>3188</v>
      </c>
      <c r="K208" s="422" t="s">
        <v>3192</v>
      </c>
      <c r="L208" s="329">
        <f>CONTINUA!BV208</f>
        <v>0</v>
      </c>
      <c r="M208" s="329">
        <f>CONTINUA!BW208</f>
        <v>0</v>
      </c>
      <c r="N208" s="895"/>
      <c r="O208" s="896" t="s">
        <v>3428</v>
      </c>
      <c r="P208" s="897">
        <v>0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3354</v>
      </c>
      <c r="B209" s="369" t="s">
        <v>3355</v>
      </c>
      <c r="C209" s="375" t="s">
        <v>3190</v>
      </c>
      <c r="D209" s="371" t="s">
        <v>3356</v>
      </c>
      <c r="E209" s="371" t="s">
        <v>3357</v>
      </c>
      <c r="F209" s="376" t="s">
        <v>3182</v>
      </c>
      <c r="G209" s="376" t="s">
        <v>3183</v>
      </c>
      <c r="H209" s="373" t="s">
        <v>1931</v>
      </c>
      <c r="I209" s="374" t="s">
        <v>1931</v>
      </c>
      <c r="J209" s="421" t="s">
        <v>3188</v>
      </c>
      <c r="K209" s="423" t="s">
        <v>3193</v>
      </c>
      <c r="L209" s="329">
        <f>CONTINUA!BV209</f>
        <v>0</v>
      </c>
      <c r="M209" s="329">
        <f>CONTINUA!BW209</f>
        <v>0</v>
      </c>
      <c r="N209" s="895"/>
      <c r="O209" s="896" t="s">
        <v>3428</v>
      </c>
      <c r="P209" s="897">
        <v>0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3354</v>
      </c>
      <c r="B210" s="378" t="s">
        <v>3355</v>
      </c>
      <c r="C210" s="379" t="s">
        <v>3190</v>
      </c>
      <c r="D210" s="380" t="s">
        <v>3356</v>
      </c>
      <c r="E210" s="380" t="s">
        <v>3357</v>
      </c>
      <c r="F210" s="381" t="s">
        <v>3182</v>
      </c>
      <c r="G210" s="381" t="s">
        <v>3183</v>
      </c>
      <c r="H210" s="382" t="s">
        <v>1931</v>
      </c>
      <c r="I210" s="383" t="s">
        <v>1931</v>
      </c>
      <c r="J210" s="421" t="s">
        <v>3188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3428</v>
      </c>
      <c r="P210" s="897">
        <v>0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3358</v>
      </c>
      <c r="B211" s="522" t="s">
        <v>3359</v>
      </c>
      <c r="C211" s="523">
        <v>1</v>
      </c>
      <c r="D211" s="524" t="s">
        <v>3360</v>
      </c>
      <c r="E211" s="524" t="s">
        <v>3361</v>
      </c>
      <c r="F211" s="525" t="s">
        <v>3182</v>
      </c>
      <c r="G211" s="525" t="s">
        <v>3183</v>
      </c>
      <c r="H211" s="350" t="s">
        <v>1933</v>
      </c>
      <c r="I211" s="351" t="s">
        <v>1933</v>
      </c>
      <c r="J211" s="409" t="s">
        <v>3188</v>
      </c>
      <c r="K211" s="410" t="s">
        <v>3189</v>
      </c>
      <c r="L211" s="329">
        <f>CONTINUA!BV211</f>
        <v>0</v>
      </c>
      <c r="M211" s="329">
        <f>CONTINUA!BW211</f>
        <v>0</v>
      </c>
      <c r="N211" s="895"/>
      <c r="O211" s="896" t="s">
        <v>3429</v>
      </c>
      <c r="P211" s="897">
        <v>0</v>
      </c>
      <c r="Q211" s="400">
        <v>4</v>
      </c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>
        <v>1</v>
      </c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4</v>
      </c>
      <c r="EQ211" s="171">
        <f t="shared" si="242"/>
        <v>1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5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8262.98</v>
      </c>
      <c r="EY211" s="174">
        <f>(L211*regular)+(M211*Cadeirantee)</f>
        <v>0</v>
      </c>
      <c r="EZ211" s="249">
        <f>SUMIF(FG211:GJ211,"&gt;0")</f>
        <v>577.84500000000003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8840.8249999999989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8262.98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372.38900000000001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205.45600000000002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3358</v>
      </c>
      <c r="B212" s="369" t="s">
        <v>3359</v>
      </c>
      <c r="C212" s="370" t="s">
        <v>3190</v>
      </c>
      <c r="D212" s="371" t="s">
        <v>3360</v>
      </c>
      <c r="E212" s="371" t="s">
        <v>3361</v>
      </c>
      <c r="F212" s="372" t="s">
        <v>3182</v>
      </c>
      <c r="G212" s="372" t="s">
        <v>3183</v>
      </c>
      <c r="H212" s="373" t="s">
        <v>1933</v>
      </c>
      <c r="I212" s="374" t="s">
        <v>1933</v>
      </c>
      <c r="J212" s="421" t="s">
        <v>3188</v>
      </c>
      <c r="K212" s="421" t="s">
        <v>3191</v>
      </c>
      <c r="L212" s="329">
        <f>CONTINUA!BV212</f>
        <v>0</v>
      </c>
      <c r="M212" s="329">
        <f>CONTINUA!BW212</f>
        <v>0</v>
      </c>
      <c r="N212" s="895"/>
      <c r="O212" s="896" t="s">
        <v>3429</v>
      </c>
      <c r="P212" s="897">
        <v>0</v>
      </c>
      <c r="Q212" s="400">
        <v>14</v>
      </c>
      <c r="R212" s="401"/>
      <c r="S212" s="400"/>
      <c r="T212" s="401"/>
      <c r="U212" s="400">
        <v>1</v>
      </c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14</v>
      </c>
      <c r="EQ212" s="171">
        <f t="shared" si="242"/>
        <v>1</v>
      </c>
      <c r="ER212" s="171">
        <f t="shared" si="243"/>
        <v>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15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3358</v>
      </c>
      <c r="B213" s="369" t="s">
        <v>3359</v>
      </c>
      <c r="C213" s="375" t="s">
        <v>3190</v>
      </c>
      <c r="D213" s="371" t="s">
        <v>3360</v>
      </c>
      <c r="E213" s="371" t="s">
        <v>3361</v>
      </c>
      <c r="F213" s="376" t="s">
        <v>3182</v>
      </c>
      <c r="G213" s="376" t="s">
        <v>3183</v>
      </c>
      <c r="H213" s="373" t="s">
        <v>1933</v>
      </c>
      <c r="I213" s="374" t="s">
        <v>1933</v>
      </c>
      <c r="J213" s="421" t="s">
        <v>3188</v>
      </c>
      <c r="K213" s="422" t="s">
        <v>3192</v>
      </c>
      <c r="L213" s="329">
        <f>CONTINUA!BV213</f>
        <v>0</v>
      </c>
      <c r="M213" s="329">
        <f>CONTINUA!BW213</f>
        <v>0</v>
      </c>
      <c r="N213" s="895"/>
      <c r="O213" s="896" t="s">
        <v>3429</v>
      </c>
      <c r="P213" s="897">
        <v>0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3358</v>
      </c>
      <c r="B214" s="369" t="s">
        <v>3359</v>
      </c>
      <c r="C214" s="375" t="s">
        <v>3190</v>
      </c>
      <c r="D214" s="371" t="s">
        <v>3360</v>
      </c>
      <c r="E214" s="371" t="s">
        <v>3361</v>
      </c>
      <c r="F214" s="376" t="s">
        <v>3182</v>
      </c>
      <c r="G214" s="376" t="s">
        <v>3183</v>
      </c>
      <c r="H214" s="373" t="s">
        <v>1933</v>
      </c>
      <c r="I214" s="374" t="s">
        <v>1933</v>
      </c>
      <c r="J214" s="421" t="s">
        <v>3188</v>
      </c>
      <c r="K214" s="423" t="s">
        <v>3193</v>
      </c>
      <c r="L214" s="329">
        <f>CONTINUA!BV214</f>
        <v>0</v>
      </c>
      <c r="M214" s="329">
        <f>CONTINUA!BW214</f>
        <v>0</v>
      </c>
      <c r="N214" s="895"/>
      <c r="O214" s="896" t="s">
        <v>3429</v>
      </c>
      <c r="P214" s="897">
        <v>0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3358</v>
      </c>
      <c r="B215" s="378" t="s">
        <v>3359</v>
      </c>
      <c r="C215" s="379" t="s">
        <v>3190</v>
      </c>
      <c r="D215" s="380" t="s">
        <v>3360</v>
      </c>
      <c r="E215" s="380" t="s">
        <v>3361</v>
      </c>
      <c r="F215" s="381" t="s">
        <v>3182</v>
      </c>
      <c r="G215" s="381" t="s">
        <v>3183</v>
      </c>
      <c r="H215" s="382" t="s">
        <v>1933</v>
      </c>
      <c r="I215" s="383" t="s">
        <v>1933</v>
      </c>
      <c r="J215" s="421" t="s">
        <v>3188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3429</v>
      </c>
      <c r="P215" s="897">
        <v>0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3362</v>
      </c>
      <c r="B216" s="522" t="s">
        <v>3363</v>
      </c>
      <c r="C216" s="523">
        <v>3</v>
      </c>
      <c r="D216" s="524" t="s">
        <v>3364</v>
      </c>
      <c r="E216" s="524" t="s">
        <v>3365</v>
      </c>
      <c r="F216" s="525" t="s">
        <v>3182</v>
      </c>
      <c r="G216" s="525" t="s">
        <v>3183</v>
      </c>
      <c r="H216" s="350" t="s">
        <v>1934</v>
      </c>
      <c r="I216" s="351" t="s">
        <v>1934</v>
      </c>
      <c r="J216" s="409" t="s">
        <v>3198</v>
      </c>
      <c r="K216" s="410" t="s">
        <v>3189</v>
      </c>
      <c r="L216" s="329">
        <f>CONTINUA!BV216</f>
        <v>0</v>
      </c>
      <c r="M216" s="329">
        <f>CONTINUA!BW216</f>
        <v>0</v>
      </c>
      <c r="N216" s="895"/>
      <c r="O216" s="896" t="s">
        <v>3430</v>
      </c>
      <c r="P216" s="897">
        <v>0</v>
      </c>
      <c r="Q216" s="400">
        <v>2</v>
      </c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2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2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16337.8</v>
      </c>
      <c r="EY216" s="174">
        <f>(L216*regular)+(M216*Cadeirantee)</f>
        <v>0</v>
      </c>
      <c r="EZ216" s="249">
        <f>SUMIF(FG216:GJ216,"&gt;0")</f>
        <v>703.95866666666655</v>
      </c>
      <c r="FA216" s="249">
        <f>SUMIF(FG216:GJ216,"&lt;0")+SUMIF(GN216:HP216,"&lt;0")</f>
        <v>-372.68399999999997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16669.074666666664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16337.8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-372.68399999999997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703.95866666666655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3362</v>
      </c>
      <c r="B217" s="369" t="s">
        <v>3363</v>
      </c>
      <c r="C217" s="370" t="s">
        <v>3199</v>
      </c>
      <c r="D217" s="371" t="s">
        <v>3364</v>
      </c>
      <c r="E217" s="371" t="s">
        <v>3365</v>
      </c>
      <c r="F217" s="372" t="s">
        <v>3182</v>
      </c>
      <c r="G217" s="372" t="s">
        <v>3183</v>
      </c>
      <c r="H217" s="373" t="s">
        <v>1934</v>
      </c>
      <c r="I217" s="374" t="s">
        <v>1934</v>
      </c>
      <c r="J217" s="421" t="s">
        <v>3198</v>
      </c>
      <c r="K217" s="421" t="s">
        <v>3191</v>
      </c>
      <c r="L217" s="329">
        <f>CONTINUA!BV217</f>
        <v>0</v>
      </c>
      <c r="M217" s="329">
        <f>CONTINUA!BW217</f>
        <v>0</v>
      </c>
      <c r="N217" s="895"/>
      <c r="O217" s="896" t="s">
        <v>3430</v>
      </c>
      <c r="P217" s="897">
        <v>0</v>
      </c>
      <c r="Q217" s="400"/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3362</v>
      </c>
      <c r="B218" s="369" t="s">
        <v>3363</v>
      </c>
      <c r="C218" s="375" t="s">
        <v>3199</v>
      </c>
      <c r="D218" s="371" t="s">
        <v>3364</v>
      </c>
      <c r="E218" s="371" t="s">
        <v>3365</v>
      </c>
      <c r="F218" s="376" t="s">
        <v>3182</v>
      </c>
      <c r="G218" s="376" t="s">
        <v>3183</v>
      </c>
      <c r="H218" s="373" t="s">
        <v>1934</v>
      </c>
      <c r="I218" s="374" t="s">
        <v>1934</v>
      </c>
      <c r="J218" s="421" t="s">
        <v>3198</v>
      </c>
      <c r="K218" s="422" t="s">
        <v>3192</v>
      </c>
      <c r="L218" s="329">
        <f>CONTINUA!BV218</f>
        <v>0</v>
      </c>
      <c r="M218" s="329">
        <f>CONTINUA!BW218</f>
        <v>0</v>
      </c>
      <c r="N218" s="895"/>
      <c r="O218" s="896" t="s">
        <v>3430</v>
      </c>
      <c r="P218" s="897">
        <v>0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3362</v>
      </c>
      <c r="B219" s="369" t="s">
        <v>3363</v>
      </c>
      <c r="C219" s="375" t="s">
        <v>3199</v>
      </c>
      <c r="D219" s="371" t="s">
        <v>3364</v>
      </c>
      <c r="E219" s="371" t="s">
        <v>3365</v>
      </c>
      <c r="F219" s="376" t="s">
        <v>3182</v>
      </c>
      <c r="G219" s="376" t="s">
        <v>3183</v>
      </c>
      <c r="H219" s="373" t="s">
        <v>1934</v>
      </c>
      <c r="I219" s="374" t="s">
        <v>1934</v>
      </c>
      <c r="J219" s="421" t="s">
        <v>3198</v>
      </c>
      <c r="K219" s="423" t="s">
        <v>3193</v>
      </c>
      <c r="L219" s="329">
        <f>CONTINUA!BV219</f>
        <v>0</v>
      </c>
      <c r="M219" s="329">
        <f>CONTINUA!BW219</f>
        <v>0</v>
      </c>
      <c r="N219" s="895"/>
      <c r="O219" s="896" t="s">
        <v>3430</v>
      </c>
      <c r="P219" s="897">
        <v>0</v>
      </c>
      <c r="Q219" s="400">
        <v>23</v>
      </c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>
        <v>-1</v>
      </c>
      <c r="BN219" s="401"/>
      <c r="BO219" s="400"/>
      <c r="BP219" s="401"/>
      <c r="BQ219" s="400">
        <v>2</v>
      </c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23</v>
      </c>
      <c r="EQ219" s="171">
        <f t="shared" si="242"/>
        <v>1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24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3362</v>
      </c>
      <c r="B220" s="378" t="s">
        <v>3363</v>
      </c>
      <c r="C220" s="379" t="s">
        <v>3199</v>
      </c>
      <c r="D220" s="380" t="s">
        <v>3364</v>
      </c>
      <c r="E220" s="380" t="s">
        <v>3365</v>
      </c>
      <c r="F220" s="381" t="s">
        <v>3182</v>
      </c>
      <c r="G220" s="381" t="s">
        <v>3183</v>
      </c>
      <c r="H220" s="382" t="s">
        <v>1934</v>
      </c>
      <c r="I220" s="383" t="s">
        <v>1934</v>
      </c>
      <c r="J220" s="421" t="s">
        <v>3198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3430</v>
      </c>
      <c r="P220" s="897">
        <v>0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3366</v>
      </c>
      <c r="B221" s="522" t="s">
        <v>3367</v>
      </c>
      <c r="C221" s="523">
        <v>1</v>
      </c>
      <c r="D221" s="524" t="s">
        <v>3368</v>
      </c>
      <c r="E221" s="524" t="s">
        <v>3369</v>
      </c>
      <c r="F221" s="525" t="s">
        <v>3182</v>
      </c>
      <c r="G221" s="525" t="s">
        <v>3183</v>
      </c>
      <c r="H221" s="350" t="s">
        <v>1936</v>
      </c>
      <c r="I221" s="351" t="s">
        <v>1936</v>
      </c>
      <c r="J221" s="409" t="s">
        <v>3188</v>
      </c>
      <c r="K221" s="410" t="s">
        <v>3189</v>
      </c>
      <c r="L221" s="329">
        <f>CONTINUA!BV221</f>
        <v>0</v>
      </c>
      <c r="M221" s="329">
        <f>CONTINUA!BW221</f>
        <v>0</v>
      </c>
      <c r="N221" s="895"/>
      <c r="O221" s="896" t="s">
        <v>3431</v>
      </c>
      <c r="P221" s="897">
        <v>0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10189.130000000001</v>
      </c>
      <c r="EY221" s="174">
        <f>(L221*regular)+(M221*Cadeirantee)</f>
        <v>0</v>
      </c>
      <c r="EZ221" s="249">
        <f>SUMIF(FG221:GJ221,"&gt;0")</f>
        <v>128.41000000000003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10317.540000000001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10189.130000000001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128.41000000000003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3366</v>
      </c>
      <c r="B222" s="369" t="s">
        <v>3367</v>
      </c>
      <c r="C222" s="370" t="s">
        <v>3190</v>
      </c>
      <c r="D222" s="371" t="s">
        <v>3368</v>
      </c>
      <c r="E222" s="371" t="s">
        <v>3369</v>
      </c>
      <c r="F222" s="372" t="s">
        <v>3182</v>
      </c>
      <c r="G222" s="372" t="s">
        <v>3183</v>
      </c>
      <c r="H222" s="373" t="s">
        <v>1936</v>
      </c>
      <c r="I222" s="374" t="s">
        <v>1936</v>
      </c>
      <c r="J222" s="421" t="s">
        <v>3188</v>
      </c>
      <c r="K222" s="421" t="s">
        <v>3191</v>
      </c>
      <c r="L222" s="329">
        <f>CONTINUA!BV222</f>
        <v>0</v>
      </c>
      <c r="M222" s="329">
        <f>CONTINUA!BW222</f>
        <v>0</v>
      </c>
      <c r="N222" s="895"/>
      <c r="O222" s="896" t="s">
        <v>3431</v>
      </c>
      <c r="P222" s="897">
        <v>0</v>
      </c>
      <c r="Q222" s="400">
        <v>23</v>
      </c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>
        <v>1</v>
      </c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23</v>
      </c>
      <c r="EQ222" s="171">
        <f t="shared" si="242"/>
        <v>1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24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3366</v>
      </c>
      <c r="B223" s="369" t="s">
        <v>3367</v>
      </c>
      <c r="C223" s="375" t="s">
        <v>3190</v>
      </c>
      <c r="D223" s="371" t="s">
        <v>3368</v>
      </c>
      <c r="E223" s="371" t="s">
        <v>3369</v>
      </c>
      <c r="F223" s="376" t="s">
        <v>3182</v>
      </c>
      <c r="G223" s="376" t="s">
        <v>3183</v>
      </c>
      <c r="H223" s="373" t="s">
        <v>1936</v>
      </c>
      <c r="I223" s="374" t="s">
        <v>1936</v>
      </c>
      <c r="J223" s="421" t="s">
        <v>3188</v>
      </c>
      <c r="K223" s="422" t="s">
        <v>3192</v>
      </c>
      <c r="L223" s="329">
        <f>CONTINUA!BV223</f>
        <v>0</v>
      </c>
      <c r="M223" s="329">
        <f>CONTINUA!BW223</f>
        <v>0</v>
      </c>
      <c r="N223" s="895"/>
      <c r="O223" s="896" t="s">
        <v>3431</v>
      </c>
      <c r="P223" s="897">
        <v>0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3366</v>
      </c>
      <c r="B224" s="369" t="s">
        <v>3367</v>
      </c>
      <c r="C224" s="375" t="s">
        <v>3190</v>
      </c>
      <c r="D224" s="371" t="s">
        <v>3368</v>
      </c>
      <c r="E224" s="371" t="s">
        <v>3369</v>
      </c>
      <c r="F224" s="376" t="s">
        <v>3182</v>
      </c>
      <c r="G224" s="376" t="s">
        <v>3183</v>
      </c>
      <c r="H224" s="373" t="s">
        <v>1936</v>
      </c>
      <c r="I224" s="374" t="s">
        <v>1936</v>
      </c>
      <c r="J224" s="421" t="s">
        <v>3188</v>
      </c>
      <c r="K224" s="423" t="s">
        <v>3193</v>
      </c>
      <c r="L224" s="329">
        <f>CONTINUA!BV224</f>
        <v>0</v>
      </c>
      <c r="M224" s="329">
        <f>CONTINUA!BW224</f>
        <v>0</v>
      </c>
      <c r="N224" s="895"/>
      <c r="O224" s="896" t="s">
        <v>3431</v>
      </c>
      <c r="P224" s="897">
        <v>0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3366</v>
      </c>
      <c r="B225" s="378" t="s">
        <v>3367</v>
      </c>
      <c r="C225" s="379" t="s">
        <v>3190</v>
      </c>
      <c r="D225" s="380" t="s">
        <v>3368</v>
      </c>
      <c r="E225" s="380" t="s">
        <v>3369</v>
      </c>
      <c r="F225" s="381" t="s">
        <v>3182</v>
      </c>
      <c r="G225" s="381" t="s">
        <v>3183</v>
      </c>
      <c r="H225" s="382" t="s">
        <v>1936</v>
      </c>
      <c r="I225" s="383" t="s">
        <v>1936</v>
      </c>
      <c r="J225" s="421" t="s">
        <v>3188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3431</v>
      </c>
      <c r="P225" s="897">
        <v>0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3370</v>
      </c>
      <c r="B226" s="522" t="s">
        <v>3371</v>
      </c>
      <c r="C226" s="523">
        <v>3</v>
      </c>
      <c r="D226" s="524" t="s">
        <v>3372</v>
      </c>
      <c r="E226" s="524" t="s">
        <v>3373</v>
      </c>
      <c r="F226" s="525" t="s">
        <v>3182</v>
      </c>
      <c r="G226" s="525" t="s">
        <v>3183</v>
      </c>
      <c r="H226" s="350" t="s">
        <v>1937</v>
      </c>
      <c r="I226" s="351" t="s">
        <v>1937</v>
      </c>
      <c r="J226" s="409" t="s">
        <v>3198</v>
      </c>
      <c r="K226" s="410" t="s">
        <v>3189</v>
      </c>
      <c r="L226" s="329">
        <f>CONTINUA!BV226</f>
        <v>0</v>
      </c>
      <c r="M226" s="329">
        <f>CONTINUA!BW226</f>
        <v>0</v>
      </c>
      <c r="N226" s="895"/>
      <c r="O226" s="896" t="s">
        <v>3432</v>
      </c>
      <c r="P226" s="897">
        <v>0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15567.34</v>
      </c>
      <c r="EY226" s="174">
        <f>(L226*regular)+(M226*Cadeirantee)</f>
        <v>0</v>
      </c>
      <c r="EZ226" s="249">
        <f>SUMIF(FG226:GJ226,"&gt;0")</f>
        <v>372.68399999999997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15940.023999999999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15567.34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372.68399999999997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3370</v>
      </c>
      <c r="B227" s="369" t="s">
        <v>3371</v>
      </c>
      <c r="C227" s="370" t="s">
        <v>3199</v>
      </c>
      <c r="D227" s="371" t="s">
        <v>3372</v>
      </c>
      <c r="E227" s="371" t="s">
        <v>3373</v>
      </c>
      <c r="F227" s="372" t="s">
        <v>3182</v>
      </c>
      <c r="G227" s="372" t="s">
        <v>3183</v>
      </c>
      <c r="H227" s="373" t="s">
        <v>1937</v>
      </c>
      <c r="I227" s="374" t="s">
        <v>1937</v>
      </c>
      <c r="J227" s="421" t="s">
        <v>3198</v>
      </c>
      <c r="K227" s="421" t="s">
        <v>3191</v>
      </c>
      <c r="L227" s="329">
        <f>CONTINUA!BV227</f>
        <v>0</v>
      </c>
      <c r="M227" s="329">
        <f>CONTINUA!BW227</f>
        <v>0</v>
      </c>
      <c r="N227" s="895"/>
      <c r="O227" s="896" t="s">
        <v>3432</v>
      </c>
      <c r="P227" s="897">
        <v>0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3370</v>
      </c>
      <c r="B228" s="369" t="s">
        <v>3371</v>
      </c>
      <c r="C228" s="375" t="s">
        <v>3199</v>
      </c>
      <c r="D228" s="371" t="s">
        <v>3372</v>
      </c>
      <c r="E228" s="371" t="s">
        <v>3373</v>
      </c>
      <c r="F228" s="376" t="s">
        <v>3182</v>
      </c>
      <c r="G228" s="376" t="s">
        <v>3183</v>
      </c>
      <c r="H228" s="373" t="s">
        <v>1937</v>
      </c>
      <c r="I228" s="374" t="s">
        <v>1937</v>
      </c>
      <c r="J228" s="421" t="s">
        <v>3198</v>
      </c>
      <c r="K228" s="422" t="s">
        <v>3192</v>
      </c>
      <c r="L228" s="329">
        <f>CONTINUA!BV228</f>
        <v>0</v>
      </c>
      <c r="M228" s="329">
        <f>CONTINUA!BW228</f>
        <v>0</v>
      </c>
      <c r="N228" s="895"/>
      <c r="O228" s="896" t="s">
        <v>3432</v>
      </c>
      <c r="P228" s="897">
        <v>0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3370</v>
      </c>
      <c r="B229" s="369" t="s">
        <v>3371</v>
      </c>
      <c r="C229" s="375" t="s">
        <v>3199</v>
      </c>
      <c r="D229" s="371" t="s">
        <v>3372</v>
      </c>
      <c r="E229" s="371" t="s">
        <v>3373</v>
      </c>
      <c r="F229" s="376" t="s">
        <v>3182</v>
      </c>
      <c r="G229" s="376" t="s">
        <v>3183</v>
      </c>
      <c r="H229" s="373" t="s">
        <v>1937</v>
      </c>
      <c r="I229" s="374" t="s">
        <v>1937</v>
      </c>
      <c r="J229" s="421" t="s">
        <v>3198</v>
      </c>
      <c r="K229" s="423" t="s">
        <v>3193</v>
      </c>
      <c r="L229" s="329">
        <f>CONTINUA!BV229</f>
        <v>0</v>
      </c>
      <c r="M229" s="329">
        <f>CONTINUA!BW229</f>
        <v>0</v>
      </c>
      <c r="N229" s="895"/>
      <c r="O229" s="896" t="s">
        <v>3432</v>
      </c>
      <c r="P229" s="897">
        <v>0</v>
      </c>
      <c r="Q229" s="400">
        <v>23</v>
      </c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>
        <v>1</v>
      </c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23</v>
      </c>
      <c r="EQ229" s="171">
        <f t="shared" si="242"/>
        <v>1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24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3370</v>
      </c>
      <c r="B230" s="378" t="s">
        <v>3371</v>
      </c>
      <c r="C230" s="379" t="s">
        <v>3199</v>
      </c>
      <c r="D230" s="380" t="s">
        <v>3372</v>
      </c>
      <c r="E230" s="380" t="s">
        <v>3373</v>
      </c>
      <c r="F230" s="381" t="s">
        <v>3182</v>
      </c>
      <c r="G230" s="381" t="s">
        <v>3183</v>
      </c>
      <c r="H230" s="382" t="s">
        <v>1937</v>
      </c>
      <c r="I230" s="383" t="s">
        <v>1937</v>
      </c>
      <c r="J230" s="421" t="s">
        <v>3198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3432</v>
      </c>
      <c r="P230" s="897">
        <v>0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3374</v>
      </c>
      <c r="B231" s="522" t="s">
        <v>3375</v>
      </c>
      <c r="C231" s="523">
        <v>3</v>
      </c>
      <c r="D231" s="524" t="s">
        <v>3376</v>
      </c>
      <c r="E231" s="524" t="s">
        <v>3377</v>
      </c>
      <c r="F231" s="525" t="s">
        <v>3182</v>
      </c>
      <c r="G231" s="525" t="s">
        <v>3183</v>
      </c>
      <c r="H231" s="350" t="s">
        <v>1941</v>
      </c>
      <c r="I231" s="351" t="s">
        <v>1941</v>
      </c>
      <c r="J231" s="409" t="s">
        <v>3198</v>
      </c>
      <c r="K231" s="410" t="s">
        <v>3189</v>
      </c>
      <c r="L231" s="329">
        <f>CONTINUA!BV231</f>
        <v>0</v>
      </c>
      <c r="M231" s="329">
        <f>CONTINUA!BW231</f>
        <v>0</v>
      </c>
      <c r="N231" s="895"/>
      <c r="O231" s="896" t="s">
        <v>3433</v>
      </c>
      <c r="P231" s="897">
        <v>0</v>
      </c>
      <c r="Q231" s="400"/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16188.48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16188.48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16188.48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3374</v>
      </c>
      <c r="B232" s="369" t="s">
        <v>3375</v>
      </c>
      <c r="C232" s="370" t="s">
        <v>3199</v>
      </c>
      <c r="D232" s="371" t="s">
        <v>3376</v>
      </c>
      <c r="E232" s="371" t="s">
        <v>3377</v>
      </c>
      <c r="F232" s="372" t="s">
        <v>3182</v>
      </c>
      <c r="G232" s="372" t="s">
        <v>3183</v>
      </c>
      <c r="H232" s="373" t="s">
        <v>1941</v>
      </c>
      <c r="I232" s="374" t="s">
        <v>1941</v>
      </c>
      <c r="J232" s="421" t="s">
        <v>3198</v>
      </c>
      <c r="K232" s="421" t="s">
        <v>3191</v>
      </c>
      <c r="L232" s="329">
        <f>CONTINUA!BV232</f>
        <v>0</v>
      </c>
      <c r="M232" s="329">
        <f>CONTINUA!BW232</f>
        <v>0</v>
      </c>
      <c r="N232" s="895"/>
      <c r="O232" s="896" t="s">
        <v>3433</v>
      </c>
      <c r="P232" s="897">
        <v>0</v>
      </c>
      <c r="Q232" s="400"/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0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0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3374</v>
      </c>
      <c r="B233" s="369" t="s">
        <v>3375</v>
      </c>
      <c r="C233" s="375" t="s">
        <v>3199</v>
      </c>
      <c r="D233" s="371" t="s">
        <v>3376</v>
      </c>
      <c r="E233" s="371" t="s">
        <v>3377</v>
      </c>
      <c r="F233" s="376" t="s">
        <v>3182</v>
      </c>
      <c r="G233" s="376" t="s">
        <v>3183</v>
      </c>
      <c r="H233" s="373" t="s">
        <v>1941</v>
      </c>
      <c r="I233" s="374" t="s">
        <v>1941</v>
      </c>
      <c r="J233" s="421" t="s">
        <v>3198</v>
      </c>
      <c r="K233" s="422" t="s">
        <v>3192</v>
      </c>
      <c r="L233" s="329">
        <f>CONTINUA!BV233</f>
        <v>0</v>
      </c>
      <c r="M233" s="329">
        <f>CONTINUA!BW233</f>
        <v>0</v>
      </c>
      <c r="N233" s="895"/>
      <c r="O233" s="896" t="s">
        <v>3433</v>
      </c>
      <c r="P233" s="897">
        <v>0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3374</v>
      </c>
      <c r="B234" s="369" t="s">
        <v>3375</v>
      </c>
      <c r="C234" s="375" t="s">
        <v>3199</v>
      </c>
      <c r="D234" s="371" t="s">
        <v>3376</v>
      </c>
      <c r="E234" s="371" t="s">
        <v>3377</v>
      </c>
      <c r="F234" s="376" t="s">
        <v>3182</v>
      </c>
      <c r="G234" s="376" t="s">
        <v>3183</v>
      </c>
      <c r="H234" s="373" t="s">
        <v>1941</v>
      </c>
      <c r="I234" s="374" t="s">
        <v>1941</v>
      </c>
      <c r="J234" s="421" t="s">
        <v>3198</v>
      </c>
      <c r="K234" s="423" t="s">
        <v>3193</v>
      </c>
      <c r="L234" s="329">
        <f>CONTINUA!BV234</f>
        <v>0</v>
      </c>
      <c r="M234" s="329">
        <f>CONTINUA!BW234</f>
        <v>0</v>
      </c>
      <c r="N234" s="895"/>
      <c r="O234" s="896" t="s">
        <v>3433</v>
      </c>
      <c r="P234" s="897">
        <v>0</v>
      </c>
      <c r="Q234" s="400">
        <v>24</v>
      </c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24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24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3374</v>
      </c>
      <c r="B235" s="378" t="s">
        <v>3375</v>
      </c>
      <c r="C235" s="379" t="s">
        <v>3199</v>
      </c>
      <c r="D235" s="380" t="s">
        <v>3376</v>
      </c>
      <c r="E235" s="380" t="s">
        <v>3377</v>
      </c>
      <c r="F235" s="381" t="s">
        <v>3182</v>
      </c>
      <c r="G235" s="381" t="s">
        <v>3183</v>
      </c>
      <c r="H235" s="382" t="s">
        <v>1941</v>
      </c>
      <c r="I235" s="383" t="s">
        <v>1941</v>
      </c>
      <c r="J235" s="421" t="s">
        <v>3198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3433</v>
      </c>
      <c r="P235" s="897">
        <v>0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3378</v>
      </c>
      <c r="B236" s="522" t="s">
        <v>3379</v>
      </c>
      <c r="C236" s="523">
        <v>3</v>
      </c>
      <c r="D236" s="524" t="s">
        <v>3380</v>
      </c>
      <c r="E236" s="524" t="s">
        <v>3381</v>
      </c>
      <c r="F236" s="525" t="s">
        <v>3182</v>
      </c>
      <c r="G236" s="525" t="s">
        <v>3183</v>
      </c>
      <c r="H236" s="350" t="s">
        <v>1942</v>
      </c>
      <c r="I236" s="351" t="s">
        <v>1942</v>
      </c>
      <c r="J236" s="409" t="s">
        <v>3198</v>
      </c>
      <c r="K236" s="410" t="s">
        <v>3189</v>
      </c>
      <c r="L236" s="329">
        <f>CONTINUA!BV236</f>
        <v>0</v>
      </c>
      <c r="M236" s="329">
        <f>CONTINUA!BW236</f>
        <v>0</v>
      </c>
      <c r="N236" s="895"/>
      <c r="O236" s="896" t="s">
        <v>3434</v>
      </c>
      <c r="P236" s="897">
        <v>0</v>
      </c>
      <c r="Q236" s="400"/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14325.060000000001</v>
      </c>
      <c r="EY236" s="174">
        <f>(L236*regular)+(M236*Cadeirantee)</f>
        <v>0</v>
      </c>
      <c r="EZ236" s="249">
        <f>SUMIF(FG236:GJ236,"&gt;0")</f>
        <v>331.27466666666663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14656.334666666668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14325.060000000001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331.27466666666663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3378</v>
      </c>
      <c r="B237" s="369" t="s">
        <v>3379</v>
      </c>
      <c r="C237" s="370" t="s">
        <v>3199</v>
      </c>
      <c r="D237" s="371" t="s">
        <v>3380</v>
      </c>
      <c r="E237" s="371" t="s">
        <v>3381</v>
      </c>
      <c r="F237" s="372" t="s">
        <v>3182</v>
      </c>
      <c r="G237" s="372" t="s">
        <v>3183</v>
      </c>
      <c r="H237" s="373" t="s">
        <v>1942</v>
      </c>
      <c r="I237" s="374" t="s">
        <v>1942</v>
      </c>
      <c r="J237" s="421" t="s">
        <v>3198</v>
      </c>
      <c r="K237" s="421" t="s">
        <v>3191</v>
      </c>
      <c r="L237" s="329">
        <f>CONTINUA!BV237</f>
        <v>0</v>
      </c>
      <c r="M237" s="329">
        <f>CONTINUA!BW237</f>
        <v>0</v>
      </c>
      <c r="N237" s="895"/>
      <c r="O237" s="896" t="s">
        <v>3434</v>
      </c>
      <c r="P237" s="897">
        <v>0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3378</v>
      </c>
      <c r="B238" s="369" t="s">
        <v>3379</v>
      </c>
      <c r="C238" s="375" t="s">
        <v>3199</v>
      </c>
      <c r="D238" s="371" t="s">
        <v>3380</v>
      </c>
      <c r="E238" s="371" t="s">
        <v>3381</v>
      </c>
      <c r="F238" s="376" t="s">
        <v>3182</v>
      </c>
      <c r="G238" s="376" t="s">
        <v>3183</v>
      </c>
      <c r="H238" s="373" t="s">
        <v>1942</v>
      </c>
      <c r="I238" s="374" t="s">
        <v>1942</v>
      </c>
      <c r="J238" s="421" t="s">
        <v>3198</v>
      </c>
      <c r="K238" s="422" t="s">
        <v>3192</v>
      </c>
      <c r="L238" s="329">
        <f>CONTINUA!BV238</f>
        <v>0</v>
      </c>
      <c r="M238" s="329">
        <f>CONTINUA!BW238</f>
        <v>0</v>
      </c>
      <c r="N238" s="895"/>
      <c r="O238" s="896" t="s">
        <v>3434</v>
      </c>
      <c r="P238" s="897">
        <v>0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3378</v>
      </c>
      <c r="B239" s="369" t="s">
        <v>3379</v>
      </c>
      <c r="C239" s="375" t="s">
        <v>3199</v>
      </c>
      <c r="D239" s="371" t="s">
        <v>3380</v>
      </c>
      <c r="E239" s="371" t="s">
        <v>3381</v>
      </c>
      <c r="F239" s="376" t="s">
        <v>3182</v>
      </c>
      <c r="G239" s="376" t="s">
        <v>3183</v>
      </c>
      <c r="H239" s="373" t="s">
        <v>1942</v>
      </c>
      <c r="I239" s="374" t="s">
        <v>1942</v>
      </c>
      <c r="J239" s="421" t="s">
        <v>3198</v>
      </c>
      <c r="K239" s="423" t="s">
        <v>3193</v>
      </c>
      <c r="L239" s="329">
        <f>CONTINUA!BV239</f>
        <v>0</v>
      </c>
      <c r="M239" s="329">
        <f>CONTINUA!BW239</f>
        <v>0</v>
      </c>
      <c r="N239" s="895"/>
      <c r="O239" s="896" t="s">
        <v>3434</v>
      </c>
      <c r="P239" s="897">
        <v>0</v>
      </c>
      <c r="Q239" s="400">
        <v>21</v>
      </c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>
        <v>1</v>
      </c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21</v>
      </c>
      <c r="EQ239" s="171">
        <f t="shared" si="242"/>
        <v>1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22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3378</v>
      </c>
      <c r="B240" s="378" t="s">
        <v>3379</v>
      </c>
      <c r="C240" s="379" t="s">
        <v>3199</v>
      </c>
      <c r="D240" s="380" t="s">
        <v>3380</v>
      </c>
      <c r="E240" s="380" t="s">
        <v>3381</v>
      </c>
      <c r="F240" s="381" t="s">
        <v>3182</v>
      </c>
      <c r="G240" s="381" t="s">
        <v>3183</v>
      </c>
      <c r="H240" s="382" t="s">
        <v>1942</v>
      </c>
      <c r="I240" s="383" t="s">
        <v>1942</v>
      </c>
      <c r="J240" s="421" t="s">
        <v>3198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3434</v>
      </c>
      <c r="P240" s="897">
        <v>0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3382</v>
      </c>
      <c r="B241" s="522" t="s">
        <v>3383</v>
      </c>
      <c r="C241" s="523">
        <v>1</v>
      </c>
      <c r="D241" s="524" t="s">
        <v>3384</v>
      </c>
      <c r="E241" s="524" t="s">
        <v>3385</v>
      </c>
      <c r="F241" s="525" t="s">
        <v>3182</v>
      </c>
      <c r="G241" s="525" t="s">
        <v>3183</v>
      </c>
      <c r="H241" s="350" t="s">
        <v>1951</v>
      </c>
      <c r="I241" s="351" t="s">
        <v>1951</v>
      </c>
      <c r="J241" s="409" t="s">
        <v>3188</v>
      </c>
      <c r="K241" s="410" t="s">
        <v>3189</v>
      </c>
      <c r="L241" s="329">
        <f>CONTINUA!BV241</f>
        <v>0</v>
      </c>
      <c r="M241" s="329">
        <f>CONTINUA!BW241</f>
        <v>0</v>
      </c>
      <c r="N241" s="895"/>
      <c r="O241" s="896" t="s">
        <v>3435</v>
      </c>
      <c r="P241" s="897">
        <v>0</v>
      </c>
      <c r="Q241" s="400">
        <v>4</v>
      </c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4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4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19819.88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-372.38900000000001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19447.491000000002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19819.88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-372.38900000000001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3382</v>
      </c>
      <c r="B242" s="369" t="s">
        <v>3383</v>
      </c>
      <c r="C242" s="370" t="s">
        <v>3190</v>
      </c>
      <c r="D242" s="371" t="s">
        <v>3384</v>
      </c>
      <c r="E242" s="371" t="s">
        <v>3385</v>
      </c>
      <c r="F242" s="372" t="s">
        <v>3182</v>
      </c>
      <c r="G242" s="372" t="s">
        <v>3183</v>
      </c>
      <c r="H242" s="373" t="s">
        <v>1951</v>
      </c>
      <c r="I242" s="374" t="s">
        <v>1951</v>
      </c>
      <c r="J242" s="421" t="s">
        <v>3188</v>
      </c>
      <c r="K242" s="421" t="s">
        <v>3191</v>
      </c>
      <c r="L242" s="329">
        <f>CONTINUA!BV242</f>
        <v>0</v>
      </c>
      <c r="M242" s="329">
        <f>CONTINUA!BW242</f>
        <v>0</v>
      </c>
      <c r="N242" s="895"/>
      <c r="O242" s="896" t="s">
        <v>3435</v>
      </c>
      <c r="P242" s="897">
        <v>0</v>
      </c>
      <c r="Q242" s="400">
        <v>44</v>
      </c>
      <c r="R242" s="401"/>
      <c r="S242" s="400"/>
      <c r="T242" s="401"/>
      <c r="U242" s="400">
        <v>-1</v>
      </c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44</v>
      </c>
      <c r="EQ242" s="171">
        <f t="shared" si="242"/>
        <v>-1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43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3382</v>
      </c>
      <c r="B243" s="369" t="s">
        <v>3383</v>
      </c>
      <c r="C243" s="375" t="s">
        <v>3190</v>
      </c>
      <c r="D243" s="371" t="s">
        <v>3384</v>
      </c>
      <c r="E243" s="371" t="s">
        <v>3385</v>
      </c>
      <c r="F243" s="376" t="s">
        <v>3182</v>
      </c>
      <c r="G243" s="376" t="s">
        <v>3183</v>
      </c>
      <c r="H243" s="373" t="s">
        <v>1951</v>
      </c>
      <c r="I243" s="374" t="s">
        <v>1951</v>
      </c>
      <c r="J243" s="421" t="s">
        <v>3188</v>
      </c>
      <c r="K243" s="422" t="s">
        <v>3192</v>
      </c>
      <c r="L243" s="329">
        <f>CONTINUA!BV243</f>
        <v>0</v>
      </c>
      <c r="M243" s="329">
        <f>CONTINUA!BW243</f>
        <v>0</v>
      </c>
      <c r="N243" s="895"/>
      <c r="O243" s="896" t="s">
        <v>3435</v>
      </c>
      <c r="P243" s="897">
        <v>0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3382</v>
      </c>
      <c r="B244" s="369" t="s">
        <v>3383</v>
      </c>
      <c r="C244" s="375" t="s">
        <v>3190</v>
      </c>
      <c r="D244" s="371" t="s">
        <v>3384</v>
      </c>
      <c r="E244" s="371" t="s">
        <v>3385</v>
      </c>
      <c r="F244" s="376" t="s">
        <v>3182</v>
      </c>
      <c r="G244" s="376" t="s">
        <v>3183</v>
      </c>
      <c r="H244" s="373" t="s">
        <v>1951</v>
      </c>
      <c r="I244" s="374" t="s">
        <v>1951</v>
      </c>
      <c r="J244" s="421" t="s">
        <v>3188</v>
      </c>
      <c r="K244" s="423" t="s">
        <v>3193</v>
      </c>
      <c r="L244" s="329">
        <f>CONTINUA!BV244</f>
        <v>0</v>
      </c>
      <c r="M244" s="329">
        <f>CONTINUA!BW244</f>
        <v>0</v>
      </c>
      <c r="N244" s="895"/>
      <c r="O244" s="896" t="s">
        <v>3435</v>
      </c>
      <c r="P244" s="897">
        <v>0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3382</v>
      </c>
      <c r="B245" s="378" t="s">
        <v>3383</v>
      </c>
      <c r="C245" s="379" t="s">
        <v>3190</v>
      </c>
      <c r="D245" s="380" t="s">
        <v>3384</v>
      </c>
      <c r="E245" s="380" t="s">
        <v>3385</v>
      </c>
      <c r="F245" s="381" t="s">
        <v>3182</v>
      </c>
      <c r="G245" s="381" t="s">
        <v>3183</v>
      </c>
      <c r="H245" s="382" t="s">
        <v>1951</v>
      </c>
      <c r="I245" s="383" t="s">
        <v>1951</v>
      </c>
      <c r="J245" s="421" t="s">
        <v>3188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3435</v>
      </c>
      <c r="P245" s="897">
        <v>0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ht="11.25" x14ac:dyDescent="0.2">
      <c r="G246" s="7"/>
      <c r="H246" s="7"/>
      <c r="I246" s="7"/>
      <c r="J246" s="7"/>
      <c r="K246" s="7"/>
      <c r="L246" s="7">
        <f t="shared" ref="L246:P247" si="289">K246+1</f>
        <v>1</v>
      </c>
      <c r="M246" s="7">
        <f t="shared" si="289"/>
        <v>2</v>
      </c>
      <c r="N246" s="7">
        <f t="shared" si="289"/>
        <v>3</v>
      </c>
      <c r="O246" s="7">
        <f t="shared" si="289"/>
        <v>4</v>
      </c>
      <c r="P246" s="7">
        <f t="shared" si="289"/>
        <v>5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>
        <f t="shared" ref="EM246:EQ247" si="290">EL246+1</f>
        <v>1</v>
      </c>
      <c r="EN246" s="7">
        <f t="shared" si="290"/>
        <v>2</v>
      </c>
      <c r="EO246" s="7">
        <f t="shared" si="290"/>
        <v>3</v>
      </c>
      <c r="EP246" s="7">
        <f t="shared" si="290"/>
        <v>4</v>
      </c>
      <c r="EQ246" s="7">
        <f t="shared" si="290"/>
        <v>5</v>
      </c>
      <c r="ER246" s="7">
        <f t="shared" ref="ER246:GO247" si="291">EQ246+1</f>
        <v>6</v>
      </c>
      <c r="ES246" s="7">
        <f t="shared" si="291"/>
        <v>7</v>
      </c>
      <c r="ET246" s="7">
        <f t="shared" si="291"/>
        <v>8</v>
      </c>
      <c r="EU246" s="7">
        <f t="shared" si="291"/>
        <v>9</v>
      </c>
      <c r="EV246" s="7">
        <f t="shared" si="291"/>
        <v>10</v>
      </c>
      <c r="EW246" s="7">
        <f t="shared" si="291"/>
        <v>11</v>
      </c>
      <c r="EX246" s="7">
        <f t="shared" si="291"/>
        <v>12</v>
      </c>
      <c r="EY246" s="7">
        <f t="shared" si="291"/>
        <v>13</v>
      </c>
      <c r="EZ246" s="7">
        <f t="shared" si="291"/>
        <v>14</v>
      </c>
      <c r="FA246" s="7">
        <f t="shared" si="291"/>
        <v>15</v>
      </c>
      <c r="FB246" s="7">
        <f t="shared" si="291"/>
        <v>16</v>
      </c>
      <c r="FC246" s="7">
        <f t="shared" si="291"/>
        <v>17</v>
      </c>
      <c r="FD246" s="7">
        <f t="shared" si="291"/>
        <v>18</v>
      </c>
      <c r="FE246" s="7">
        <f t="shared" si="291"/>
        <v>19</v>
      </c>
      <c r="FF246" s="7">
        <f t="shared" si="291"/>
        <v>20</v>
      </c>
      <c r="FG246" s="7">
        <f t="shared" si="291"/>
        <v>21</v>
      </c>
      <c r="FH246" s="7">
        <f t="shared" si="291"/>
        <v>22</v>
      </c>
      <c r="FI246" s="7">
        <f t="shared" si="291"/>
        <v>23</v>
      </c>
      <c r="FJ246" s="7">
        <f t="shared" si="291"/>
        <v>24</v>
      </c>
      <c r="FK246" s="7">
        <f t="shared" si="291"/>
        <v>25</v>
      </c>
      <c r="FL246" s="7">
        <f t="shared" si="291"/>
        <v>26</v>
      </c>
      <c r="FM246" s="7">
        <f t="shared" si="291"/>
        <v>27</v>
      </c>
      <c r="FN246" s="7">
        <f t="shared" si="291"/>
        <v>28</v>
      </c>
      <c r="FO246" s="7">
        <f t="shared" si="291"/>
        <v>29</v>
      </c>
      <c r="FP246" s="7">
        <f t="shared" si="291"/>
        <v>30</v>
      </c>
      <c r="FQ246" s="7">
        <f t="shared" si="291"/>
        <v>31</v>
      </c>
      <c r="FR246" s="7">
        <f t="shared" si="291"/>
        <v>32</v>
      </c>
      <c r="FS246" s="7">
        <f t="shared" si="291"/>
        <v>33</v>
      </c>
      <c r="FT246" s="7">
        <f t="shared" si="291"/>
        <v>34</v>
      </c>
      <c r="FU246" s="7">
        <f t="shared" si="291"/>
        <v>35</v>
      </c>
      <c r="FV246" s="7">
        <f t="shared" si="291"/>
        <v>36</v>
      </c>
      <c r="FW246" s="7">
        <f t="shared" si="291"/>
        <v>37</v>
      </c>
      <c r="FX246" s="7">
        <f t="shared" si="291"/>
        <v>38</v>
      </c>
      <c r="FY246" s="7">
        <f t="shared" si="291"/>
        <v>39</v>
      </c>
      <c r="FZ246" s="7">
        <f t="shared" si="291"/>
        <v>40</v>
      </c>
      <c r="GA246" s="7">
        <f t="shared" si="291"/>
        <v>41</v>
      </c>
      <c r="GB246" s="7">
        <f t="shared" si="291"/>
        <v>42</v>
      </c>
      <c r="GC246" s="7">
        <f t="shared" si="291"/>
        <v>43</v>
      </c>
      <c r="GD246" s="7">
        <f t="shared" si="291"/>
        <v>44</v>
      </c>
      <c r="GE246" s="7">
        <f t="shared" si="291"/>
        <v>45</v>
      </c>
      <c r="GF246" s="7">
        <f t="shared" si="291"/>
        <v>46</v>
      </c>
      <c r="GG246" s="7">
        <f t="shared" si="291"/>
        <v>47</v>
      </c>
      <c r="GH246" s="7">
        <f t="shared" si="291"/>
        <v>48</v>
      </c>
      <c r="GI246" s="7">
        <f t="shared" si="291"/>
        <v>49</v>
      </c>
      <c r="GJ246" s="7">
        <f t="shared" si="291"/>
        <v>50</v>
      </c>
      <c r="GK246" s="7">
        <f t="shared" si="291"/>
        <v>51</v>
      </c>
      <c r="GL246" s="7">
        <f t="shared" si="291"/>
        <v>52</v>
      </c>
      <c r="GM246" s="7">
        <f t="shared" si="291"/>
        <v>53</v>
      </c>
      <c r="GN246" s="7">
        <f t="shared" si="291"/>
        <v>54</v>
      </c>
      <c r="GO246" s="7">
        <f t="shared" si="291"/>
        <v>55</v>
      </c>
      <c r="GP246" s="7">
        <f t="shared" ref="GP246:IA246" si="292">GO246+1</f>
        <v>56</v>
      </c>
      <c r="GQ246" s="7">
        <f t="shared" si="292"/>
        <v>57</v>
      </c>
      <c r="GR246" s="7">
        <f t="shared" si="292"/>
        <v>58</v>
      </c>
      <c r="GS246" s="7">
        <f t="shared" si="292"/>
        <v>59</v>
      </c>
      <c r="GT246" s="7">
        <f t="shared" si="292"/>
        <v>60</v>
      </c>
      <c r="GU246" s="7">
        <f t="shared" si="292"/>
        <v>61</v>
      </c>
      <c r="GV246" s="7">
        <f t="shared" si="292"/>
        <v>62</v>
      </c>
      <c r="GW246" s="7">
        <f t="shared" si="292"/>
        <v>63</v>
      </c>
      <c r="GX246" s="7">
        <f t="shared" si="292"/>
        <v>64</v>
      </c>
      <c r="GY246" s="7">
        <f t="shared" si="292"/>
        <v>65</v>
      </c>
      <c r="GZ246" s="7">
        <f t="shared" si="292"/>
        <v>66</v>
      </c>
      <c r="HA246" s="7">
        <f t="shared" si="292"/>
        <v>67</v>
      </c>
      <c r="HB246" s="7">
        <f t="shared" si="292"/>
        <v>68</v>
      </c>
      <c r="HC246" s="7">
        <f t="shared" si="292"/>
        <v>69</v>
      </c>
      <c r="HD246" s="7">
        <f t="shared" si="292"/>
        <v>70</v>
      </c>
      <c r="HE246" s="7">
        <f t="shared" si="292"/>
        <v>71</v>
      </c>
      <c r="HF246" s="7">
        <f t="shared" si="292"/>
        <v>72</v>
      </c>
      <c r="HG246" s="7">
        <f t="shared" si="292"/>
        <v>73</v>
      </c>
      <c r="HH246" s="7">
        <f t="shared" si="292"/>
        <v>74</v>
      </c>
      <c r="HI246" s="7">
        <f t="shared" si="292"/>
        <v>75</v>
      </c>
      <c r="HJ246" s="7">
        <f t="shared" si="292"/>
        <v>76</v>
      </c>
      <c r="HK246" s="7">
        <f t="shared" si="292"/>
        <v>77</v>
      </c>
      <c r="HL246" s="7">
        <f t="shared" si="292"/>
        <v>78</v>
      </c>
      <c r="HM246" s="7">
        <f t="shared" si="292"/>
        <v>79</v>
      </c>
      <c r="HN246" s="7">
        <f t="shared" si="292"/>
        <v>80</v>
      </c>
      <c r="HO246" s="7">
        <f t="shared" si="292"/>
        <v>81</v>
      </c>
      <c r="HP246" s="7">
        <f t="shared" si="292"/>
        <v>82</v>
      </c>
      <c r="HQ246" s="7">
        <f t="shared" si="292"/>
        <v>83</v>
      </c>
      <c r="HR246" s="7">
        <f t="shared" si="292"/>
        <v>84</v>
      </c>
      <c r="HS246" s="7">
        <f t="shared" si="292"/>
        <v>85</v>
      </c>
      <c r="HT246" s="7">
        <f t="shared" si="292"/>
        <v>86</v>
      </c>
      <c r="HU246" s="7">
        <f t="shared" si="292"/>
        <v>87</v>
      </c>
      <c r="HV246" s="7">
        <f t="shared" si="292"/>
        <v>88</v>
      </c>
      <c r="HW246" s="7">
        <f t="shared" si="292"/>
        <v>89</v>
      </c>
      <c r="HX246" s="7">
        <f t="shared" si="292"/>
        <v>90</v>
      </c>
      <c r="HY246" s="7">
        <f t="shared" si="292"/>
        <v>91</v>
      </c>
      <c r="HZ246" s="7">
        <f t="shared" si="292"/>
        <v>92</v>
      </c>
      <c r="IA246" s="7">
        <f t="shared" si="292"/>
        <v>93</v>
      </c>
    </row>
    <row r="247" spans="1:237" ht="11.25" x14ac:dyDescent="0.2">
      <c r="G247" s="7"/>
      <c r="H247" s="7"/>
      <c r="I247" s="7"/>
      <c r="J247" s="7"/>
      <c r="K247" s="7"/>
      <c r="L247" s="7">
        <f t="shared" si="289"/>
        <v>1</v>
      </c>
      <c r="M247" s="7">
        <f t="shared" si="289"/>
        <v>2</v>
      </c>
      <c r="N247" s="7">
        <f t="shared" si="289"/>
        <v>3</v>
      </c>
      <c r="O247" s="7">
        <f t="shared" si="289"/>
        <v>4</v>
      </c>
      <c r="P247" s="7">
        <f t="shared" si="289"/>
        <v>5</v>
      </c>
      <c r="Q247" s="7">
        <f t="shared" ref="Q247" si="293">P247+1</f>
        <v>6</v>
      </c>
      <c r="R247" s="7">
        <f t="shared" ref="R247" si="294">Q247+1</f>
        <v>7</v>
      </c>
      <c r="S247" s="7">
        <f t="shared" ref="S247" si="295">R247+1</f>
        <v>8</v>
      </c>
      <c r="T247" s="7">
        <f t="shared" ref="T247" si="296">S247+1</f>
        <v>9</v>
      </c>
      <c r="U247" s="7">
        <f t="shared" ref="U247" si="297">T247+1</f>
        <v>10</v>
      </c>
      <c r="V247" s="7">
        <f t="shared" ref="V247" si="298">U247+1</f>
        <v>11</v>
      </c>
      <c r="W247" s="7">
        <f t="shared" ref="W247" si="299">V247+1</f>
        <v>12</v>
      </c>
      <c r="X247" s="7">
        <f t="shared" ref="X247" si="300">W247+1</f>
        <v>13</v>
      </c>
      <c r="Y247" s="7">
        <f t="shared" ref="Y247" si="301">X247+1</f>
        <v>14</v>
      </c>
      <c r="Z247" s="7">
        <f t="shared" ref="Z247" si="302">Y247+1</f>
        <v>15</v>
      </c>
      <c r="AA247" s="7">
        <f t="shared" ref="AA247" si="303">Z247+1</f>
        <v>16</v>
      </c>
      <c r="AB247" s="7">
        <f t="shared" ref="AB247" si="304">AA247+1</f>
        <v>17</v>
      </c>
      <c r="AC247" s="7">
        <f t="shared" ref="AC247" si="305">AB247+1</f>
        <v>18</v>
      </c>
      <c r="AD247" s="7">
        <f t="shared" ref="AD247" si="306">AC247+1</f>
        <v>19</v>
      </c>
      <c r="AE247" s="7">
        <f t="shared" ref="AE247" si="307">AD247+1</f>
        <v>20</v>
      </c>
      <c r="AF247" s="7">
        <f t="shared" ref="AF247" si="308">AE247+1</f>
        <v>21</v>
      </c>
      <c r="AG247" s="7">
        <f t="shared" ref="AG247" si="309">AF247+1</f>
        <v>22</v>
      </c>
      <c r="AH247" s="7">
        <f t="shared" ref="AH247" si="310">AG247+1</f>
        <v>23</v>
      </c>
      <c r="AI247" s="7">
        <f t="shared" ref="AI247" si="311">AH247+1</f>
        <v>24</v>
      </c>
      <c r="AJ247" s="7">
        <f t="shared" ref="AJ247" si="312">AI247+1</f>
        <v>25</v>
      </c>
      <c r="AK247" s="7">
        <f t="shared" ref="AK247" si="313">AJ247+1</f>
        <v>26</v>
      </c>
      <c r="AL247" s="7">
        <f t="shared" ref="AL247" si="314">AK247+1</f>
        <v>27</v>
      </c>
      <c r="AM247" s="7">
        <f t="shared" ref="AM247" si="315">AL247+1</f>
        <v>28</v>
      </c>
      <c r="AN247" s="7">
        <f t="shared" ref="AN247" si="316">AM247+1</f>
        <v>29</v>
      </c>
      <c r="AO247" s="7">
        <f t="shared" ref="AO247" si="317">AN247+1</f>
        <v>30</v>
      </c>
      <c r="AP247" s="7">
        <f t="shared" ref="AP247" si="318">AO247+1</f>
        <v>31</v>
      </c>
      <c r="AQ247" s="7">
        <f t="shared" ref="AQ247" si="319">AP247+1</f>
        <v>32</v>
      </c>
      <c r="AR247" s="7">
        <f t="shared" ref="AR247" si="320">AQ247+1</f>
        <v>33</v>
      </c>
      <c r="AS247" s="7">
        <f t="shared" ref="AS247" si="321">AR247+1</f>
        <v>34</v>
      </c>
      <c r="AT247" s="7">
        <f t="shared" ref="AT247" si="322">AS247+1</f>
        <v>35</v>
      </c>
      <c r="AU247" s="7">
        <f t="shared" ref="AU247" si="323">AT247+1</f>
        <v>36</v>
      </c>
      <c r="AV247" s="7">
        <f t="shared" ref="AV247" si="324">AU247+1</f>
        <v>37</v>
      </c>
      <c r="AW247" s="7">
        <f t="shared" ref="AW247" si="325">AV247+1</f>
        <v>38</v>
      </c>
      <c r="AX247" s="7">
        <f t="shared" ref="AX247" si="326">AW247+1</f>
        <v>39</v>
      </c>
      <c r="AY247" s="7">
        <f t="shared" ref="AY247" si="327">AX247+1</f>
        <v>40</v>
      </c>
      <c r="AZ247" s="7">
        <f t="shared" ref="AZ247" si="328">AY247+1</f>
        <v>41</v>
      </c>
      <c r="BA247" s="7">
        <f t="shared" ref="BA247" si="329">AZ247+1</f>
        <v>42</v>
      </c>
      <c r="BB247" s="7">
        <f t="shared" ref="BB247" si="330">BA247+1</f>
        <v>43</v>
      </c>
      <c r="BC247" s="7">
        <f t="shared" ref="BC247" si="331">BB247+1</f>
        <v>44</v>
      </c>
      <c r="BD247" s="7">
        <f t="shared" ref="BD247" si="332">BC247+1</f>
        <v>45</v>
      </c>
      <c r="BE247" s="7">
        <f t="shared" ref="BE247" si="333">BD247+1</f>
        <v>46</v>
      </c>
      <c r="BF247" s="7">
        <f t="shared" ref="BF247" si="334">BE247+1</f>
        <v>47</v>
      </c>
      <c r="BG247" s="7">
        <f t="shared" ref="BG247" si="335">BF247+1</f>
        <v>48</v>
      </c>
      <c r="BH247" s="7">
        <f t="shared" ref="BH247" si="336">BG247+1</f>
        <v>49</v>
      </c>
      <c r="BI247" s="7">
        <f t="shared" ref="BI247" si="337">BH247+1</f>
        <v>50</v>
      </c>
      <c r="BJ247" s="7">
        <f t="shared" ref="BJ247" si="338">BI247+1</f>
        <v>51</v>
      </c>
      <c r="BK247" s="7">
        <f t="shared" ref="BK247" si="339">BJ247+1</f>
        <v>52</v>
      </c>
      <c r="BL247" s="7">
        <f t="shared" ref="BL247" si="340">BK247+1</f>
        <v>53</v>
      </c>
      <c r="BM247" s="7">
        <f t="shared" ref="BM247" si="341">BL247+1</f>
        <v>54</v>
      </c>
      <c r="BN247" s="7">
        <f t="shared" ref="BN247" si="342">BM247+1</f>
        <v>55</v>
      </c>
      <c r="BO247" s="7">
        <f t="shared" ref="BO247" si="343">BN247+1</f>
        <v>56</v>
      </c>
      <c r="BP247" s="7">
        <f t="shared" ref="BP247" si="344">BO247+1</f>
        <v>57</v>
      </c>
      <c r="BQ247" s="7">
        <f t="shared" ref="BQ247" si="345">BP247+1</f>
        <v>58</v>
      </c>
      <c r="BR247" s="7">
        <f t="shared" ref="BR247" si="346">BQ247+1</f>
        <v>59</v>
      </c>
      <c r="BS247" s="7">
        <f t="shared" ref="BS247" si="347">BR247+1</f>
        <v>60</v>
      </c>
      <c r="BT247" s="7">
        <f t="shared" ref="BT247" si="348">BS247+1</f>
        <v>61</v>
      </c>
      <c r="BU247" s="7">
        <f t="shared" ref="BU247" si="349">BT247+1</f>
        <v>62</v>
      </c>
      <c r="BV247" s="7">
        <f t="shared" ref="BV247" si="350">BU247+1</f>
        <v>63</v>
      </c>
      <c r="BW247" s="7">
        <f t="shared" ref="BW247" si="351">BV247+1</f>
        <v>64</v>
      </c>
      <c r="BX247" s="7">
        <f t="shared" ref="BX247" si="352">BW247+1</f>
        <v>65</v>
      </c>
      <c r="BY247" s="7">
        <f t="shared" ref="BY247" si="353">BX247+1</f>
        <v>66</v>
      </c>
      <c r="BZ247" s="7">
        <f t="shared" ref="BZ247" si="354">BY247+1</f>
        <v>67</v>
      </c>
      <c r="CA247" s="7">
        <f t="shared" ref="CA247" si="355">BZ247+1</f>
        <v>68</v>
      </c>
      <c r="CB247" s="7">
        <f t="shared" ref="CB247" si="356">CA247+1</f>
        <v>69</v>
      </c>
      <c r="CC247" s="7">
        <f t="shared" ref="CC247" si="357">CB247+1</f>
        <v>70</v>
      </c>
      <c r="CD247" s="7">
        <f t="shared" ref="CD247" si="358">CC247+1</f>
        <v>71</v>
      </c>
      <c r="CE247" s="7">
        <f t="shared" ref="CE247" si="359">CD247+1</f>
        <v>72</v>
      </c>
      <c r="CF247" s="7">
        <f t="shared" ref="CF247" si="360">CE247+1</f>
        <v>73</v>
      </c>
      <c r="CG247" s="7">
        <f t="shared" ref="CG247" si="361">CF247+1</f>
        <v>74</v>
      </c>
      <c r="CH247" s="7">
        <f t="shared" ref="CH247" si="362">CG247+1</f>
        <v>75</v>
      </c>
      <c r="CI247" s="7">
        <f t="shared" ref="CI247" si="363">CH247+1</f>
        <v>76</v>
      </c>
      <c r="CJ247" s="7">
        <f t="shared" ref="CJ247" si="364">CI247+1</f>
        <v>77</v>
      </c>
      <c r="CK247" s="7">
        <f t="shared" ref="CK247" si="365">CJ247+1</f>
        <v>78</v>
      </c>
      <c r="CL247" s="7">
        <f t="shared" ref="CL247" si="366">CK247+1</f>
        <v>79</v>
      </c>
      <c r="CM247" s="7">
        <f t="shared" ref="CM247" si="367">CL247+1</f>
        <v>80</v>
      </c>
      <c r="CN247" s="7">
        <f t="shared" ref="CN247" si="368">CM247+1</f>
        <v>81</v>
      </c>
      <c r="CO247" s="7">
        <f t="shared" ref="CO247" si="369">CN247+1</f>
        <v>82</v>
      </c>
      <c r="CP247" s="7">
        <f t="shared" ref="CP247" si="370">CO247+1</f>
        <v>83</v>
      </c>
      <c r="CQ247" s="7">
        <f t="shared" ref="CQ247" si="371">CP247+1</f>
        <v>84</v>
      </c>
      <c r="CR247" s="7">
        <f t="shared" ref="CR247" si="372">CQ247+1</f>
        <v>85</v>
      </c>
      <c r="CS247" s="7">
        <f t="shared" ref="CS247" si="373">CR247+1</f>
        <v>86</v>
      </c>
      <c r="CT247" s="7">
        <f t="shared" ref="CT247" si="374">CS247+1</f>
        <v>87</v>
      </c>
      <c r="CU247" s="7">
        <f t="shared" ref="CU247" si="375">CT247+1</f>
        <v>88</v>
      </c>
      <c r="CV247" s="7">
        <f t="shared" ref="CV247" si="376">CU247+1</f>
        <v>89</v>
      </c>
      <c r="CW247" s="7">
        <f t="shared" ref="CW247" si="377">CV247+1</f>
        <v>90</v>
      </c>
      <c r="CX247" s="7">
        <f t="shared" ref="CX247" si="378">CW247+1</f>
        <v>91</v>
      </c>
      <c r="CY247" s="7">
        <f t="shared" ref="CY247" si="379">CX247+1</f>
        <v>92</v>
      </c>
      <c r="CZ247" s="7">
        <f t="shared" ref="CZ247" si="380">CY247+1</f>
        <v>93</v>
      </c>
      <c r="DA247" s="7">
        <f t="shared" ref="DA247" si="381">CZ247+1</f>
        <v>94</v>
      </c>
      <c r="DB247" s="7">
        <f t="shared" ref="DB247" si="382">DA247+1</f>
        <v>95</v>
      </c>
      <c r="DC247" s="7">
        <f t="shared" ref="DC247" si="383">DB247+1</f>
        <v>96</v>
      </c>
      <c r="DD247" s="7">
        <f t="shared" ref="DD247" si="384">DC247+1</f>
        <v>97</v>
      </c>
      <c r="DE247" s="7">
        <f t="shared" ref="DE247" si="385">DD247+1</f>
        <v>98</v>
      </c>
      <c r="DF247" s="7">
        <f t="shared" ref="DF247" si="386">DE247+1</f>
        <v>99</v>
      </c>
      <c r="DG247" s="7">
        <f t="shared" ref="DG247" si="387">DF247+1</f>
        <v>100</v>
      </c>
      <c r="DH247" s="7">
        <f t="shared" ref="DH247" si="388">DG247+1</f>
        <v>101</v>
      </c>
      <c r="DI247" s="7">
        <f t="shared" ref="DI247" si="389">DH247+1</f>
        <v>102</v>
      </c>
      <c r="DJ247" s="7">
        <f t="shared" ref="DJ247" si="390">DI247+1</f>
        <v>103</v>
      </c>
      <c r="DK247" s="7">
        <f t="shared" ref="DK247" si="391">DJ247+1</f>
        <v>104</v>
      </c>
      <c r="DL247" s="7">
        <f t="shared" ref="DL247" si="392">DK247+1</f>
        <v>105</v>
      </c>
      <c r="DM247" s="7">
        <f t="shared" ref="DM247" si="393">DL247+1</f>
        <v>106</v>
      </c>
      <c r="DN247" s="7">
        <f t="shared" ref="DN247" si="394">DM247+1</f>
        <v>107</v>
      </c>
      <c r="DO247" s="7">
        <f t="shared" ref="DO247" si="395">DN247+1</f>
        <v>108</v>
      </c>
      <c r="DP247" s="7">
        <f t="shared" ref="DP247" si="396">DO247+1</f>
        <v>109</v>
      </c>
      <c r="DQ247" s="7">
        <f t="shared" ref="DQ247" si="397">DP247+1</f>
        <v>110</v>
      </c>
      <c r="DR247" s="7">
        <f t="shared" ref="DR247" si="398">DQ247+1</f>
        <v>111</v>
      </c>
      <c r="DS247" s="7">
        <f t="shared" ref="DS247" si="399">DR247+1</f>
        <v>112</v>
      </c>
      <c r="DT247" s="7">
        <f t="shared" ref="DT247" si="400">DS247+1</f>
        <v>113</v>
      </c>
      <c r="DU247" s="7">
        <f t="shared" ref="DU247" si="401">DT247+1</f>
        <v>114</v>
      </c>
      <c r="DV247" s="7">
        <f t="shared" ref="DV247" si="402">DU247+1</f>
        <v>115</v>
      </c>
      <c r="DW247" s="7">
        <f t="shared" ref="DW247" si="403">DV247+1</f>
        <v>116</v>
      </c>
      <c r="DX247" s="7">
        <f t="shared" ref="DX247" si="404">DW247+1</f>
        <v>117</v>
      </c>
      <c r="DY247" s="7">
        <f t="shared" ref="DY247" si="405">DX247+1</f>
        <v>118</v>
      </c>
      <c r="DZ247" s="7">
        <f t="shared" ref="DZ247" si="406">DY247+1</f>
        <v>119</v>
      </c>
      <c r="EA247" s="7">
        <f t="shared" ref="EA247" si="407">DZ247+1</f>
        <v>120</v>
      </c>
      <c r="EB247" s="7">
        <f t="shared" ref="EB247" si="408">EA247+1</f>
        <v>121</v>
      </c>
      <c r="EC247" s="7">
        <f t="shared" ref="EC247" si="409">EB247+1</f>
        <v>122</v>
      </c>
      <c r="ED247" s="7">
        <f t="shared" ref="ED247" si="410">EC247+1</f>
        <v>123</v>
      </c>
      <c r="EE247" s="7">
        <f t="shared" ref="EE247" si="411">ED247+1</f>
        <v>124</v>
      </c>
      <c r="EF247" s="7">
        <f t="shared" ref="EF247" si="412">EE247+1</f>
        <v>125</v>
      </c>
      <c r="EG247" s="7">
        <f t="shared" ref="EG247" si="413">EF247+1</f>
        <v>126</v>
      </c>
      <c r="EH247" s="7">
        <f t="shared" ref="EH247" si="414">EG247+1</f>
        <v>127</v>
      </c>
      <c r="EI247" s="7">
        <f t="shared" ref="EI247" si="415">EH247+1</f>
        <v>128</v>
      </c>
      <c r="EJ247" s="7">
        <f t="shared" ref="EJ247" si="416">EI247+1</f>
        <v>129</v>
      </c>
      <c r="EK247" s="7">
        <f t="shared" ref="EK247" si="417">EJ247+1</f>
        <v>130</v>
      </c>
      <c r="EL247" s="7">
        <f t="shared" ref="EL247" si="418">EK247+1</f>
        <v>131</v>
      </c>
      <c r="EM247" s="7">
        <f t="shared" si="290"/>
        <v>132</v>
      </c>
      <c r="EN247" s="7">
        <f t="shared" si="290"/>
        <v>133</v>
      </c>
      <c r="EO247" s="7">
        <f t="shared" si="290"/>
        <v>134</v>
      </c>
      <c r="EP247" s="7">
        <f t="shared" si="290"/>
        <v>135</v>
      </c>
      <c r="EQ247" s="7">
        <f t="shared" si="290"/>
        <v>136</v>
      </c>
      <c r="ER247" s="7">
        <f t="shared" si="291"/>
        <v>137</v>
      </c>
      <c r="ES247" s="7">
        <f t="shared" si="291"/>
        <v>138</v>
      </c>
      <c r="ET247" s="7">
        <f t="shared" si="291"/>
        <v>139</v>
      </c>
      <c r="EU247" s="7">
        <f t="shared" si="291"/>
        <v>140</v>
      </c>
      <c r="EV247" s="7">
        <f t="shared" si="291"/>
        <v>141</v>
      </c>
      <c r="EW247" s="7">
        <f t="shared" si="291"/>
        <v>142</v>
      </c>
      <c r="EX247" s="7">
        <f t="shared" si="291"/>
        <v>143</v>
      </c>
      <c r="EY247" s="7">
        <f t="shared" si="291"/>
        <v>144</v>
      </c>
      <c r="EZ247" s="7">
        <f t="shared" si="291"/>
        <v>145</v>
      </c>
      <c r="FA247" s="7">
        <f t="shared" si="291"/>
        <v>146</v>
      </c>
      <c r="FB247" s="7">
        <f t="shared" si="291"/>
        <v>147</v>
      </c>
      <c r="FC247" s="7">
        <f t="shared" si="291"/>
        <v>148</v>
      </c>
      <c r="FD247" s="7">
        <f t="shared" si="291"/>
        <v>149</v>
      </c>
      <c r="FE247" s="7">
        <f t="shared" si="291"/>
        <v>150</v>
      </c>
      <c r="FF247" s="7">
        <f t="shared" si="291"/>
        <v>151</v>
      </c>
      <c r="FG247" s="7">
        <f t="shared" si="291"/>
        <v>152</v>
      </c>
      <c r="FH247" s="7">
        <f t="shared" si="291"/>
        <v>153</v>
      </c>
      <c r="FI247" s="7">
        <f t="shared" si="291"/>
        <v>154</v>
      </c>
      <c r="FJ247" s="7">
        <f t="shared" si="291"/>
        <v>155</v>
      </c>
      <c r="FK247" s="7">
        <f t="shared" si="291"/>
        <v>156</v>
      </c>
      <c r="FL247" s="7">
        <f t="shared" si="291"/>
        <v>157</v>
      </c>
      <c r="FM247" s="7">
        <f t="shared" si="291"/>
        <v>158</v>
      </c>
      <c r="FN247" s="7">
        <f t="shared" si="291"/>
        <v>159</v>
      </c>
      <c r="FO247" s="7">
        <f t="shared" si="291"/>
        <v>160</v>
      </c>
      <c r="FP247" s="7">
        <f t="shared" si="291"/>
        <v>161</v>
      </c>
      <c r="FQ247" s="7">
        <f t="shared" si="291"/>
        <v>162</v>
      </c>
      <c r="FR247" s="7">
        <f t="shared" si="291"/>
        <v>163</v>
      </c>
      <c r="FS247" s="7">
        <f t="shared" si="291"/>
        <v>164</v>
      </c>
      <c r="FT247" s="7">
        <f t="shared" si="291"/>
        <v>165</v>
      </c>
      <c r="FU247" s="7">
        <f t="shared" si="291"/>
        <v>166</v>
      </c>
      <c r="FV247" s="7">
        <f t="shared" si="291"/>
        <v>167</v>
      </c>
      <c r="FW247" s="7">
        <f t="shared" si="291"/>
        <v>168</v>
      </c>
      <c r="FX247" s="7">
        <f t="shared" si="291"/>
        <v>169</v>
      </c>
      <c r="FY247" s="7">
        <f t="shared" si="291"/>
        <v>170</v>
      </c>
    </row>
    <row r="248" spans="1:237" x14ac:dyDescent="0.25">
      <c r="N248"/>
      <c r="P248" s="84"/>
    </row>
    <row r="249" spans="1:237" x14ac:dyDescent="0.25">
      <c r="P249" s="84"/>
    </row>
    <row r="250" spans="1:237" x14ac:dyDescent="0.25">
      <c r="P250" s="84"/>
    </row>
    <row r="251" spans="1:237" x14ac:dyDescent="0.25">
      <c r="P251" s="84"/>
    </row>
    <row r="252" spans="1:237" x14ac:dyDescent="0.25">
      <c r="P252" s="84"/>
    </row>
    <row r="253" spans="1:237" x14ac:dyDescent="0.25">
      <c r="P253" s="84"/>
    </row>
    <row r="254" spans="1:237" x14ac:dyDescent="0.25">
      <c r="P254" s="84"/>
    </row>
    <row r="255" spans="1:237" x14ac:dyDescent="0.25">
      <c r="P255" s="84"/>
    </row>
    <row r="256" spans="1:237" x14ac:dyDescent="0.25">
      <c r="P256" s="84"/>
    </row>
    <row r="257" spans="16:16" x14ac:dyDescent="0.25">
      <c r="P257" s="84"/>
    </row>
    <row r="258" spans="16:16" x14ac:dyDescent="0.25">
      <c r="P258" s="84"/>
    </row>
    <row r="259" spans="16:16" x14ac:dyDescent="0.25">
      <c r="P259" s="84"/>
    </row>
    <row r="260" spans="16:16" x14ac:dyDescent="0.25">
      <c r="P260" s="84"/>
    </row>
    <row r="261" spans="16:16" x14ac:dyDescent="0.25">
      <c r="P261" s="84"/>
    </row>
    <row r="262" spans="16:16" x14ac:dyDescent="0.25">
      <c r="P262" s="84"/>
    </row>
    <row r="263" spans="16:16" x14ac:dyDescent="0.25">
      <c r="P263" s="84"/>
    </row>
    <row r="264" spans="16:16" x14ac:dyDescent="0.25">
      <c r="P264" s="84"/>
    </row>
    <row r="265" spans="16:16" x14ac:dyDescent="0.25">
      <c r="P265" s="84"/>
    </row>
    <row r="266" spans="16:16" x14ac:dyDescent="0.25">
      <c r="P266" s="84"/>
    </row>
    <row r="267" spans="16:16" x14ac:dyDescent="0.25">
      <c r="P267" s="84"/>
    </row>
    <row r="268" spans="16:16" x14ac:dyDescent="0.25">
      <c r="P268" s="84"/>
    </row>
    <row r="269" spans="16:16" x14ac:dyDescent="0.25">
      <c r="P269" s="84"/>
    </row>
    <row r="270" spans="16:16" x14ac:dyDescent="0.25">
      <c r="P270" s="84"/>
    </row>
    <row r="271" spans="16:16" x14ac:dyDescent="0.25">
      <c r="P271" s="84"/>
    </row>
    <row r="272" spans="16:16" x14ac:dyDescent="0.25">
      <c r="P272" s="84"/>
    </row>
    <row r="273" spans="16:16" x14ac:dyDescent="0.25">
      <c r="P273" s="84"/>
    </row>
    <row r="274" spans="16:16" x14ac:dyDescent="0.25">
      <c r="P274" s="84"/>
    </row>
    <row r="275" spans="16:16" x14ac:dyDescent="0.25">
      <c r="P275" s="84"/>
    </row>
    <row r="276" spans="16:16" x14ac:dyDescent="0.25">
      <c r="P276" s="84"/>
    </row>
    <row r="277" spans="16:16" x14ac:dyDescent="0.25">
      <c r="P277" s="84"/>
    </row>
    <row r="278" spans="16:16" x14ac:dyDescent="0.25">
      <c r="P278" s="84"/>
    </row>
    <row r="279" spans="16:16" x14ac:dyDescent="0.25">
      <c r="P279" s="84"/>
    </row>
    <row r="280" spans="16:16" x14ac:dyDescent="0.25">
      <c r="P280" s="84"/>
    </row>
    <row r="281" spans="16:16" x14ac:dyDescent="0.25">
      <c r="P281" s="84"/>
    </row>
    <row r="282" spans="16:16" x14ac:dyDescent="0.25">
      <c r="P282" s="84"/>
    </row>
    <row r="283" spans="16:16" x14ac:dyDescent="0.25">
      <c r="P283" s="84"/>
    </row>
    <row r="284" spans="16:16" x14ac:dyDescent="0.25">
      <c r="P284" s="84"/>
    </row>
    <row r="285" spans="16:16" x14ac:dyDescent="0.25">
      <c r="P285" s="84"/>
    </row>
    <row r="286" spans="16:16" x14ac:dyDescent="0.25">
      <c r="P286" s="84"/>
    </row>
    <row r="287" spans="16:16" x14ac:dyDescent="0.25">
      <c r="P287" s="84"/>
    </row>
    <row r="288" spans="16:16" x14ac:dyDescent="0.25">
      <c r="P288" s="84"/>
    </row>
    <row r="289" spans="16:16" x14ac:dyDescent="0.25">
      <c r="P289" s="84"/>
    </row>
    <row r="290" spans="16:16" x14ac:dyDescent="0.25">
      <c r="P290" s="84"/>
    </row>
    <row r="291" spans="16:16" x14ac:dyDescent="0.25">
      <c r="P291" s="84"/>
    </row>
    <row r="292" spans="16:16" x14ac:dyDescent="0.25">
      <c r="P292" s="84"/>
    </row>
    <row r="293" spans="16:16" x14ac:dyDescent="0.25">
      <c r="P293" s="84"/>
    </row>
    <row r="294" spans="16:16" x14ac:dyDescent="0.25">
      <c r="P294" s="84"/>
    </row>
    <row r="295" spans="16:16" x14ac:dyDescent="0.25">
      <c r="P295" s="84"/>
    </row>
    <row r="296" spans="16:16" x14ac:dyDescent="0.25">
      <c r="P296" s="84"/>
    </row>
    <row r="297" spans="16:16" x14ac:dyDescent="0.25">
      <c r="P297" s="84"/>
    </row>
    <row r="298" spans="16:16" x14ac:dyDescent="0.25">
      <c r="P298" s="84"/>
    </row>
    <row r="299" spans="16:16" x14ac:dyDescent="0.25">
      <c r="P299" s="84"/>
    </row>
    <row r="300" spans="16:16" x14ac:dyDescent="0.25">
      <c r="P300" s="84"/>
    </row>
    <row r="301" spans="16:16" x14ac:dyDescent="0.25">
      <c r="P301" s="84"/>
    </row>
    <row r="302" spans="16:16" x14ac:dyDescent="0.25">
      <c r="P302" s="84"/>
    </row>
    <row r="303" spans="16:16" x14ac:dyDescent="0.25">
      <c r="P303" s="84"/>
    </row>
    <row r="304" spans="16:16" x14ac:dyDescent="0.25">
      <c r="P304" s="84"/>
    </row>
    <row r="305" spans="16:16" x14ac:dyDescent="0.25">
      <c r="P305" s="84"/>
    </row>
    <row r="306" spans="16:16" x14ac:dyDescent="0.25">
      <c r="P306" s="84"/>
    </row>
    <row r="307" spans="16:16" x14ac:dyDescent="0.25">
      <c r="P307" s="84"/>
    </row>
    <row r="308" spans="16:16" x14ac:dyDescent="0.25">
      <c r="P30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245">
    <cfRule type="cellIs" dxfId="566" priority="8117" operator="greaterThan">
      <formula>0</formula>
    </cfRule>
  </conditionalFormatting>
  <conditionalFormatting sqref="J6:J245">
    <cfRule type="cellIs" dxfId="565" priority="1" operator="equal">
      <formula>"CRECHE"</formula>
    </cfRule>
    <cfRule type="cellIs" dxfId="56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245 T6:T245 V6:V245 X6:X245 Z6:Z245 AB6:AB245 AD6:AD245 AF6:AF245 AH6:AH245 AJ6:AJ245 AL6:AL245 AN6:AN245 AP6:AP245 AR6:AR245 AT6:AT245 AV6:AV245 AX6:AX245 AZ6:AZ245 BB6:BB245 BD6:BD245 BF6:BF245 BH6:BH245 BJ6:BJ245 BL6:BL245 BN6:BN245 BP6:BP245 BR6:BR245 BT6:BT245 BV6:BV245 BX6:BX245 BZ6:BZ245 CB6:CB245 CD6:CD245 CF6:CF245 CH6:CH245 CJ6:CJ245 CL6:CL245 CN6:CN245 CP6:CP245 CR6:CR245 CT6:CT245 CV6:CV245 CX6:CX245 CZ6:CZ245 DB6:DB245 DD6:DD245 DF6:DF245 DH6:DH245 DJ6:DJ245 DL6:DL245 DN6:DN245 DP6:DP245 DR6:DR245 DT6:DT245 DV6:DV245 DX6:DX245 DZ6:DZ245 EB6:EB245 ED6:ED245 EF6:EF245 EH6:EH245 EJ6:EJ24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249"/>
  <sheetViews>
    <sheetView showGridLines="0" topLeftCell="R1" zoomScale="80" zoomScaleNormal="80" workbookViewId="0">
      <selection activeCell="L241" sqref="L241:BU24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Jaçanã / Tremembé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3184</v>
      </c>
      <c r="B6" s="526" t="s">
        <v>3185</v>
      </c>
      <c r="C6" s="527">
        <v>1</v>
      </c>
      <c r="D6" s="528" t="s">
        <v>3186</v>
      </c>
      <c r="E6" s="426" t="s">
        <v>3187</v>
      </c>
      <c r="F6" s="529" t="s">
        <v>3182</v>
      </c>
      <c r="G6" s="529" t="s">
        <v>3183</v>
      </c>
      <c r="H6" s="530" t="s">
        <v>1850</v>
      </c>
      <c r="I6" s="384" t="s">
        <v>1850</v>
      </c>
      <c r="J6" s="353" t="s">
        <v>3188</v>
      </c>
      <c r="K6" s="354" t="s">
        <v>3189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3184</v>
      </c>
      <c r="B7" s="386" t="s">
        <v>3185</v>
      </c>
      <c r="C7" s="352" t="s">
        <v>3190</v>
      </c>
      <c r="D7" s="387" t="s">
        <v>3186</v>
      </c>
      <c r="E7" s="388" t="s">
        <v>3187</v>
      </c>
      <c r="F7" s="389" t="s">
        <v>3182</v>
      </c>
      <c r="G7" s="389" t="s">
        <v>3183</v>
      </c>
      <c r="H7" s="390" t="s">
        <v>1850</v>
      </c>
      <c r="I7" s="391" t="s">
        <v>1850</v>
      </c>
      <c r="J7" s="353" t="s">
        <v>3188</v>
      </c>
      <c r="K7" s="353" t="s">
        <v>3191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3184</v>
      </c>
      <c r="B8" s="386" t="s">
        <v>3185</v>
      </c>
      <c r="C8" s="392" t="s">
        <v>3190</v>
      </c>
      <c r="D8" s="387" t="s">
        <v>3186</v>
      </c>
      <c r="E8" s="388" t="s">
        <v>3187</v>
      </c>
      <c r="F8" s="389" t="s">
        <v>3182</v>
      </c>
      <c r="G8" s="389" t="s">
        <v>3183</v>
      </c>
      <c r="H8" s="390" t="s">
        <v>1850</v>
      </c>
      <c r="I8" s="391" t="s">
        <v>1850</v>
      </c>
      <c r="J8" s="353" t="s">
        <v>3188</v>
      </c>
      <c r="K8" s="355" t="s">
        <v>3192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3184</v>
      </c>
      <c r="B9" s="386" t="s">
        <v>3185</v>
      </c>
      <c r="C9" s="392" t="s">
        <v>3190</v>
      </c>
      <c r="D9" s="387" t="s">
        <v>3186</v>
      </c>
      <c r="E9" s="388" t="s">
        <v>3187</v>
      </c>
      <c r="F9" s="389" t="s">
        <v>3182</v>
      </c>
      <c r="G9" s="389" t="s">
        <v>3183</v>
      </c>
      <c r="H9" s="390" t="s">
        <v>1850</v>
      </c>
      <c r="I9" s="391" t="s">
        <v>1850</v>
      </c>
      <c r="J9" s="353" t="s">
        <v>3188</v>
      </c>
      <c r="K9" s="356" t="s">
        <v>3193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3184</v>
      </c>
      <c r="B10" s="393" t="s">
        <v>3185</v>
      </c>
      <c r="C10" s="394" t="s">
        <v>3190</v>
      </c>
      <c r="D10" s="395" t="s">
        <v>3186</v>
      </c>
      <c r="E10" s="411" t="s">
        <v>3187</v>
      </c>
      <c r="F10" s="396" t="s">
        <v>3182</v>
      </c>
      <c r="G10" s="396" t="s">
        <v>3183</v>
      </c>
      <c r="H10" s="397" t="s">
        <v>1850</v>
      </c>
      <c r="I10" s="899" t="s">
        <v>1850</v>
      </c>
      <c r="J10" s="353" t="s">
        <v>3188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3194</v>
      </c>
      <c r="B11" s="526" t="s">
        <v>3195</v>
      </c>
      <c r="C11" s="527">
        <v>3</v>
      </c>
      <c r="D11" s="528" t="s">
        <v>3196</v>
      </c>
      <c r="E11" s="426" t="s">
        <v>3197</v>
      </c>
      <c r="F11" s="529" t="s">
        <v>3182</v>
      </c>
      <c r="G11" s="529" t="s">
        <v>3183</v>
      </c>
      <c r="H11" s="530" t="s">
        <v>1851</v>
      </c>
      <c r="I11" s="384" t="s">
        <v>1851</v>
      </c>
      <c r="J11" s="353" t="s">
        <v>3198</v>
      </c>
      <c r="K11" s="354" t="s">
        <v>3189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3194</v>
      </c>
      <c r="B12" s="386" t="s">
        <v>3195</v>
      </c>
      <c r="C12" s="352" t="s">
        <v>3199</v>
      </c>
      <c r="D12" s="387" t="s">
        <v>3196</v>
      </c>
      <c r="E12" s="388" t="s">
        <v>3197</v>
      </c>
      <c r="F12" s="389" t="s">
        <v>3182</v>
      </c>
      <c r="G12" s="389" t="s">
        <v>3183</v>
      </c>
      <c r="H12" s="390" t="s">
        <v>1851</v>
      </c>
      <c r="I12" s="391" t="s">
        <v>1851</v>
      </c>
      <c r="J12" s="353" t="s">
        <v>3198</v>
      </c>
      <c r="K12" s="353" t="s">
        <v>3191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3194</v>
      </c>
      <c r="B13" s="386" t="s">
        <v>3195</v>
      </c>
      <c r="C13" s="392" t="s">
        <v>3199</v>
      </c>
      <c r="D13" s="387" t="s">
        <v>3196</v>
      </c>
      <c r="E13" s="388" t="s">
        <v>3197</v>
      </c>
      <c r="F13" s="389" t="s">
        <v>3182</v>
      </c>
      <c r="G13" s="389" t="s">
        <v>3183</v>
      </c>
      <c r="H13" s="390" t="s">
        <v>1851</v>
      </c>
      <c r="I13" s="391" t="s">
        <v>1851</v>
      </c>
      <c r="J13" s="353" t="s">
        <v>3198</v>
      </c>
      <c r="K13" s="355" t="s">
        <v>3192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3194</v>
      </c>
      <c r="B14" s="386" t="s">
        <v>3195</v>
      </c>
      <c r="C14" s="392" t="s">
        <v>3199</v>
      </c>
      <c r="D14" s="387" t="s">
        <v>3196</v>
      </c>
      <c r="E14" s="388" t="s">
        <v>3197</v>
      </c>
      <c r="F14" s="389" t="s">
        <v>3182</v>
      </c>
      <c r="G14" s="389" t="s">
        <v>3183</v>
      </c>
      <c r="H14" s="390" t="s">
        <v>1851</v>
      </c>
      <c r="I14" s="391" t="s">
        <v>1851</v>
      </c>
      <c r="J14" s="353" t="s">
        <v>3198</v>
      </c>
      <c r="K14" s="356" t="s">
        <v>3193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3194</v>
      </c>
      <c r="B15" s="393" t="s">
        <v>3195</v>
      </c>
      <c r="C15" s="394" t="s">
        <v>3199</v>
      </c>
      <c r="D15" s="395" t="s">
        <v>3196</v>
      </c>
      <c r="E15" s="411" t="s">
        <v>3197</v>
      </c>
      <c r="F15" s="396" t="s">
        <v>3182</v>
      </c>
      <c r="G15" s="396" t="s">
        <v>3183</v>
      </c>
      <c r="H15" s="397" t="s">
        <v>1851</v>
      </c>
      <c r="I15" s="899" t="s">
        <v>1851</v>
      </c>
      <c r="J15" s="353" t="s">
        <v>3198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3200</v>
      </c>
      <c r="B16" s="526" t="s">
        <v>3201</v>
      </c>
      <c r="C16" s="527">
        <v>1</v>
      </c>
      <c r="D16" s="528" t="s">
        <v>3202</v>
      </c>
      <c r="E16" s="426" t="s">
        <v>3203</v>
      </c>
      <c r="F16" s="529" t="s">
        <v>3182</v>
      </c>
      <c r="G16" s="529" t="s">
        <v>3183</v>
      </c>
      <c r="H16" s="530" t="s">
        <v>1852</v>
      </c>
      <c r="I16" s="384" t="s">
        <v>1852</v>
      </c>
      <c r="J16" s="353" t="s">
        <v>3188</v>
      </c>
      <c r="K16" s="354" t="s">
        <v>3189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3200</v>
      </c>
      <c r="B17" s="386" t="s">
        <v>3201</v>
      </c>
      <c r="C17" s="352" t="s">
        <v>3190</v>
      </c>
      <c r="D17" s="387" t="s">
        <v>3202</v>
      </c>
      <c r="E17" s="388" t="s">
        <v>3203</v>
      </c>
      <c r="F17" s="389" t="s">
        <v>3182</v>
      </c>
      <c r="G17" s="389" t="s">
        <v>3183</v>
      </c>
      <c r="H17" s="390" t="s">
        <v>1852</v>
      </c>
      <c r="I17" s="391" t="s">
        <v>1852</v>
      </c>
      <c r="J17" s="353" t="s">
        <v>3188</v>
      </c>
      <c r="K17" s="353" t="s">
        <v>3191</v>
      </c>
      <c r="L17" s="400">
        <v>2</v>
      </c>
      <c r="M17" s="401"/>
      <c r="N17" s="400"/>
      <c r="O17" s="401"/>
      <c r="P17" s="400"/>
      <c r="Q17" s="401"/>
      <c r="R17" s="400"/>
      <c r="S17" s="401"/>
      <c r="T17" s="400"/>
      <c r="U17" s="401"/>
      <c r="V17" s="400">
        <v>2</v>
      </c>
      <c r="W17" s="401"/>
      <c r="X17" s="400"/>
      <c r="Y17" s="401"/>
      <c r="Z17" s="400">
        <v>2</v>
      </c>
      <c r="AA17" s="401"/>
      <c r="AB17" s="400"/>
      <c r="AC17" s="401"/>
      <c r="AD17" s="400"/>
      <c r="AE17" s="401"/>
      <c r="AF17" s="400"/>
      <c r="AG17" s="401"/>
      <c r="AH17" s="400"/>
      <c r="AI17" s="401"/>
      <c r="AJ17" s="400">
        <v>2</v>
      </c>
      <c r="AK17" s="401"/>
      <c r="AL17" s="400"/>
      <c r="AM17" s="401"/>
      <c r="AN17" s="400">
        <v>2</v>
      </c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>
        <v>2</v>
      </c>
      <c r="BC17" s="401"/>
      <c r="BD17" s="400"/>
      <c r="BE17" s="401"/>
      <c r="BF17" s="400"/>
      <c r="BG17" s="401"/>
      <c r="BH17" s="400"/>
      <c r="BI17" s="401"/>
      <c r="BJ17" s="400"/>
      <c r="BK17" s="401"/>
      <c r="BL17" s="400">
        <v>2</v>
      </c>
      <c r="BM17" s="401"/>
      <c r="BN17" s="400"/>
      <c r="BO17" s="401"/>
      <c r="BP17" s="400">
        <v>2</v>
      </c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16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3200</v>
      </c>
      <c r="B18" s="386" t="s">
        <v>3201</v>
      </c>
      <c r="C18" s="392" t="s">
        <v>3190</v>
      </c>
      <c r="D18" s="387" t="s">
        <v>3202</v>
      </c>
      <c r="E18" s="388" t="s">
        <v>3203</v>
      </c>
      <c r="F18" s="389" t="s">
        <v>3182</v>
      </c>
      <c r="G18" s="389" t="s">
        <v>3183</v>
      </c>
      <c r="H18" s="390" t="s">
        <v>1852</v>
      </c>
      <c r="I18" s="391" t="s">
        <v>1852</v>
      </c>
      <c r="J18" s="353" t="s">
        <v>3188</v>
      </c>
      <c r="K18" s="355" t="s">
        <v>3192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3200</v>
      </c>
      <c r="B19" s="386" t="s">
        <v>3201</v>
      </c>
      <c r="C19" s="392" t="s">
        <v>3190</v>
      </c>
      <c r="D19" s="387" t="s">
        <v>3202</v>
      </c>
      <c r="E19" s="388" t="s">
        <v>3203</v>
      </c>
      <c r="F19" s="389" t="s">
        <v>3182</v>
      </c>
      <c r="G19" s="389" t="s">
        <v>3183</v>
      </c>
      <c r="H19" s="390" t="s">
        <v>1852</v>
      </c>
      <c r="I19" s="391" t="s">
        <v>1852</v>
      </c>
      <c r="J19" s="353" t="s">
        <v>3188</v>
      </c>
      <c r="K19" s="356" t="s">
        <v>3193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3200</v>
      </c>
      <c r="B20" s="393" t="s">
        <v>3201</v>
      </c>
      <c r="C20" s="394" t="s">
        <v>3190</v>
      </c>
      <c r="D20" s="395" t="s">
        <v>3202</v>
      </c>
      <c r="E20" s="411" t="s">
        <v>3203</v>
      </c>
      <c r="F20" s="396" t="s">
        <v>3182</v>
      </c>
      <c r="G20" s="396" t="s">
        <v>3183</v>
      </c>
      <c r="H20" s="397" t="s">
        <v>1852</v>
      </c>
      <c r="I20" s="899" t="s">
        <v>1852</v>
      </c>
      <c r="J20" s="353" t="s">
        <v>3188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3204</v>
      </c>
      <c r="B21" s="526" t="s">
        <v>3205</v>
      </c>
      <c r="C21" s="527">
        <v>1</v>
      </c>
      <c r="D21" s="528" t="s">
        <v>3206</v>
      </c>
      <c r="E21" s="426" t="s">
        <v>3207</v>
      </c>
      <c r="F21" s="529" t="s">
        <v>3182</v>
      </c>
      <c r="G21" s="529" t="s">
        <v>3183</v>
      </c>
      <c r="H21" s="530" t="s">
        <v>1855</v>
      </c>
      <c r="I21" s="384" t="s">
        <v>1855</v>
      </c>
      <c r="J21" s="353" t="s">
        <v>3188</v>
      </c>
      <c r="K21" s="354" t="s">
        <v>3189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3204</v>
      </c>
      <c r="B22" s="386" t="s">
        <v>3205</v>
      </c>
      <c r="C22" s="352" t="s">
        <v>3190</v>
      </c>
      <c r="D22" s="387" t="s">
        <v>3206</v>
      </c>
      <c r="E22" s="388" t="s">
        <v>3207</v>
      </c>
      <c r="F22" s="389" t="s">
        <v>3182</v>
      </c>
      <c r="G22" s="389" t="s">
        <v>3183</v>
      </c>
      <c r="H22" s="390" t="s">
        <v>1855</v>
      </c>
      <c r="I22" s="391" t="s">
        <v>1855</v>
      </c>
      <c r="J22" s="353" t="s">
        <v>3188</v>
      </c>
      <c r="K22" s="353" t="s">
        <v>3191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3204</v>
      </c>
      <c r="B23" s="386" t="s">
        <v>3205</v>
      </c>
      <c r="C23" s="392" t="s">
        <v>3190</v>
      </c>
      <c r="D23" s="387" t="s">
        <v>3206</v>
      </c>
      <c r="E23" s="388" t="s">
        <v>3207</v>
      </c>
      <c r="F23" s="389" t="s">
        <v>3182</v>
      </c>
      <c r="G23" s="389" t="s">
        <v>3183</v>
      </c>
      <c r="H23" s="390" t="s">
        <v>1855</v>
      </c>
      <c r="I23" s="391" t="s">
        <v>1855</v>
      </c>
      <c r="J23" s="353" t="s">
        <v>3188</v>
      </c>
      <c r="K23" s="355" t="s">
        <v>3192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3204</v>
      </c>
      <c r="B24" s="386" t="s">
        <v>3205</v>
      </c>
      <c r="C24" s="392" t="s">
        <v>3190</v>
      </c>
      <c r="D24" s="387" t="s">
        <v>3206</v>
      </c>
      <c r="E24" s="388" t="s">
        <v>3207</v>
      </c>
      <c r="F24" s="389" t="s">
        <v>3182</v>
      </c>
      <c r="G24" s="389" t="s">
        <v>3183</v>
      </c>
      <c r="H24" s="390" t="s">
        <v>1855</v>
      </c>
      <c r="I24" s="391" t="s">
        <v>1855</v>
      </c>
      <c r="J24" s="353" t="s">
        <v>3188</v>
      </c>
      <c r="K24" s="356" t="s">
        <v>3193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3204</v>
      </c>
      <c r="B25" s="393" t="s">
        <v>3205</v>
      </c>
      <c r="C25" s="394" t="s">
        <v>3190</v>
      </c>
      <c r="D25" s="395" t="s">
        <v>3206</v>
      </c>
      <c r="E25" s="411" t="s">
        <v>3207</v>
      </c>
      <c r="F25" s="396" t="s">
        <v>3182</v>
      </c>
      <c r="G25" s="396" t="s">
        <v>3183</v>
      </c>
      <c r="H25" s="397" t="s">
        <v>1855</v>
      </c>
      <c r="I25" s="899" t="s">
        <v>1855</v>
      </c>
      <c r="J25" s="353" t="s">
        <v>3188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3208</v>
      </c>
      <c r="B26" s="526" t="s">
        <v>3209</v>
      </c>
      <c r="C26" s="527">
        <v>1</v>
      </c>
      <c r="D26" s="528" t="s">
        <v>3210</v>
      </c>
      <c r="E26" s="426" t="s">
        <v>3211</v>
      </c>
      <c r="F26" s="529" t="s">
        <v>3182</v>
      </c>
      <c r="G26" s="529" t="s">
        <v>3183</v>
      </c>
      <c r="H26" s="530" t="s">
        <v>1860</v>
      </c>
      <c r="I26" s="384" t="s">
        <v>1860</v>
      </c>
      <c r="J26" s="353" t="s">
        <v>3188</v>
      </c>
      <c r="K26" s="354" t="s">
        <v>3189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3208</v>
      </c>
      <c r="B27" s="386" t="s">
        <v>3209</v>
      </c>
      <c r="C27" s="352" t="s">
        <v>3190</v>
      </c>
      <c r="D27" s="387" t="s">
        <v>3210</v>
      </c>
      <c r="E27" s="388" t="s">
        <v>3211</v>
      </c>
      <c r="F27" s="389" t="s">
        <v>3182</v>
      </c>
      <c r="G27" s="389" t="s">
        <v>3183</v>
      </c>
      <c r="H27" s="390" t="s">
        <v>1860</v>
      </c>
      <c r="I27" s="391" t="s">
        <v>1860</v>
      </c>
      <c r="J27" s="353" t="s">
        <v>3188</v>
      </c>
      <c r="K27" s="353" t="s">
        <v>3191</v>
      </c>
      <c r="L27" s="400">
        <v>1</v>
      </c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>
        <v>1</v>
      </c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>
        <v>1</v>
      </c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>
        <v>1</v>
      </c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4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3208</v>
      </c>
      <c r="B28" s="386" t="s">
        <v>3209</v>
      </c>
      <c r="C28" s="392" t="s">
        <v>3190</v>
      </c>
      <c r="D28" s="387" t="s">
        <v>3210</v>
      </c>
      <c r="E28" s="388" t="s">
        <v>3211</v>
      </c>
      <c r="F28" s="389" t="s">
        <v>3182</v>
      </c>
      <c r="G28" s="389" t="s">
        <v>3183</v>
      </c>
      <c r="H28" s="390" t="s">
        <v>1860</v>
      </c>
      <c r="I28" s="391" t="s">
        <v>1860</v>
      </c>
      <c r="J28" s="353" t="s">
        <v>3188</v>
      </c>
      <c r="K28" s="355" t="s">
        <v>3192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3208</v>
      </c>
      <c r="B29" s="386" t="s">
        <v>3209</v>
      </c>
      <c r="C29" s="392" t="s">
        <v>3190</v>
      </c>
      <c r="D29" s="387" t="s">
        <v>3210</v>
      </c>
      <c r="E29" s="388" t="s">
        <v>3211</v>
      </c>
      <c r="F29" s="389" t="s">
        <v>3182</v>
      </c>
      <c r="G29" s="389" t="s">
        <v>3183</v>
      </c>
      <c r="H29" s="390" t="s">
        <v>1860</v>
      </c>
      <c r="I29" s="391" t="s">
        <v>1860</v>
      </c>
      <c r="J29" s="353" t="s">
        <v>3188</v>
      </c>
      <c r="K29" s="356" t="s">
        <v>3193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3208</v>
      </c>
      <c r="B30" s="393" t="s">
        <v>3209</v>
      </c>
      <c r="C30" s="394" t="s">
        <v>3190</v>
      </c>
      <c r="D30" s="395" t="s">
        <v>3210</v>
      </c>
      <c r="E30" s="411" t="s">
        <v>3211</v>
      </c>
      <c r="F30" s="396" t="s">
        <v>3182</v>
      </c>
      <c r="G30" s="396" t="s">
        <v>3183</v>
      </c>
      <c r="H30" s="397" t="s">
        <v>1860</v>
      </c>
      <c r="I30" s="899" t="s">
        <v>1860</v>
      </c>
      <c r="J30" s="353" t="s">
        <v>3188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3212</v>
      </c>
      <c r="B31" s="526" t="s">
        <v>3213</v>
      </c>
      <c r="C31" s="527">
        <v>1</v>
      </c>
      <c r="D31" s="528" t="s">
        <v>3214</v>
      </c>
      <c r="E31" s="426" t="s">
        <v>3215</v>
      </c>
      <c r="F31" s="529" t="s">
        <v>3182</v>
      </c>
      <c r="G31" s="529" t="s">
        <v>3183</v>
      </c>
      <c r="H31" s="530" t="s">
        <v>1861</v>
      </c>
      <c r="I31" s="384" t="s">
        <v>1861</v>
      </c>
      <c r="J31" s="353" t="s">
        <v>3188</v>
      </c>
      <c r="K31" s="354" t="s">
        <v>3189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3212</v>
      </c>
      <c r="B32" s="386" t="s">
        <v>3213</v>
      </c>
      <c r="C32" s="352" t="s">
        <v>3190</v>
      </c>
      <c r="D32" s="387" t="s">
        <v>3214</v>
      </c>
      <c r="E32" s="388" t="s">
        <v>3215</v>
      </c>
      <c r="F32" s="389" t="s">
        <v>3182</v>
      </c>
      <c r="G32" s="389" t="s">
        <v>3183</v>
      </c>
      <c r="H32" s="390" t="s">
        <v>1861</v>
      </c>
      <c r="I32" s="391" t="s">
        <v>1861</v>
      </c>
      <c r="J32" s="353" t="s">
        <v>3188</v>
      </c>
      <c r="K32" s="353" t="s">
        <v>3191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3212</v>
      </c>
      <c r="B33" s="386" t="s">
        <v>3213</v>
      </c>
      <c r="C33" s="392" t="s">
        <v>3190</v>
      </c>
      <c r="D33" s="387" t="s">
        <v>3214</v>
      </c>
      <c r="E33" s="388" t="s">
        <v>3215</v>
      </c>
      <c r="F33" s="389" t="s">
        <v>3182</v>
      </c>
      <c r="G33" s="389" t="s">
        <v>3183</v>
      </c>
      <c r="H33" s="390" t="s">
        <v>1861</v>
      </c>
      <c r="I33" s="391" t="s">
        <v>1861</v>
      </c>
      <c r="J33" s="353" t="s">
        <v>3188</v>
      </c>
      <c r="K33" s="355" t="s">
        <v>3192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3212</v>
      </c>
      <c r="B34" s="386" t="s">
        <v>3213</v>
      </c>
      <c r="C34" s="392" t="s">
        <v>3190</v>
      </c>
      <c r="D34" s="387" t="s">
        <v>3214</v>
      </c>
      <c r="E34" s="388" t="s">
        <v>3215</v>
      </c>
      <c r="F34" s="389" t="s">
        <v>3182</v>
      </c>
      <c r="G34" s="389" t="s">
        <v>3183</v>
      </c>
      <c r="H34" s="390" t="s">
        <v>1861</v>
      </c>
      <c r="I34" s="391" t="s">
        <v>1861</v>
      </c>
      <c r="J34" s="353" t="s">
        <v>3188</v>
      </c>
      <c r="K34" s="356" t="s">
        <v>3193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3212</v>
      </c>
      <c r="B35" s="393" t="s">
        <v>3213</v>
      </c>
      <c r="C35" s="394" t="s">
        <v>3190</v>
      </c>
      <c r="D35" s="395" t="s">
        <v>3214</v>
      </c>
      <c r="E35" s="411" t="s">
        <v>3215</v>
      </c>
      <c r="F35" s="396" t="s">
        <v>3182</v>
      </c>
      <c r="G35" s="396" t="s">
        <v>3183</v>
      </c>
      <c r="H35" s="397" t="s">
        <v>1861</v>
      </c>
      <c r="I35" s="899" t="s">
        <v>1861</v>
      </c>
      <c r="J35" s="353" t="s">
        <v>3188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3216</v>
      </c>
      <c r="B36" s="526" t="s">
        <v>3217</v>
      </c>
      <c r="C36" s="527">
        <v>4</v>
      </c>
      <c r="D36" s="528" t="s">
        <v>3218</v>
      </c>
      <c r="E36" s="426" t="s">
        <v>3219</v>
      </c>
      <c r="F36" s="529" t="s">
        <v>3182</v>
      </c>
      <c r="G36" s="529" t="s">
        <v>3183</v>
      </c>
      <c r="H36" s="530" t="s">
        <v>1862</v>
      </c>
      <c r="I36" s="384" t="s">
        <v>1862</v>
      </c>
      <c r="J36" s="353" t="s">
        <v>3188</v>
      </c>
      <c r="K36" s="354" t="s">
        <v>3189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3216</v>
      </c>
      <c r="B37" s="386" t="s">
        <v>3217</v>
      </c>
      <c r="C37" s="352" t="s">
        <v>3220</v>
      </c>
      <c r="D37" s="387" t="s">
        <v>3218</v>
      </c>
      <c r="E37" s="388" t="s">
        <v>3219</v>
      </c>
      <c r="F37" s="389" t="s">
        <v>3182</v>
      </c>
      <c r="G37" s="389" t="s">
        <v>3183</v>
      </c>
      <c r="H37" s="390" t="s">
        <v>1862</v>
      </c>
      <c r="I37" s="391" t="s">
        <v>1862</v>
      </c>
      <c r="J37" s="353" t="s">
        <v>3188</v>
      </c>
      <c r="K37" s="353" t="s">
        <v>3191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3216</v>
      </c>
      <c r="B38" s="386" t="s">
        <v>3217</v>
      </c>
      <c r="C38" s="392" t="s">
        <v>3220</v>
      </c>
      <c r="D38" s="387" t="s">
        <v>3218</v>
      </c>
      <c r="E38" s="388" t="s">
        <v>3219</v>
      </c>
      <c r="F38" s="389" t="s">
        <v>3182</v>
      </c>
      <c r="G38" s="389" t="s">
        <v>3183</v>
      </c>
      <c r="H38" s="390" t="s">
        <v>1862</v>
      </c>
      <c r="I38" s="391" t="s">
        <v>1862</v>
      </c>
      <c r="J38" s="353" t="s">
        <v>3188</v>
      </c>
      <c r="K38" s="355" t="s">
        <v>3192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3216</v>
      </c>
      <c r="B39" s="386" t="s">
        <v>3217</v>
      </c>
      <c r="C39" s="392" t="s">
        <v>3220</v>
      </c>
      <c r="D39" s="387" t="s">
        <v>3218</v>
      </c>
      <c r="E39" s="388" t="s">
        <v>3219</v>
      </c>
      <c r="F39" s="389" t="s">
        <v>3182</v>
      </c>
      <c r="G39" s="389" t="s">
        <v>3183</v>
      </c>
      <c r="H39" s="390" t="s">
        <v>1862</v>
      </c>
      <c r="I39" s="391" t="s">
        <v>1862</v>
      </c>
      <c r="J39" s="353" t="s">
        <v>3188</v>
      </c>
      <c r="K39" s="356" t="s">
        <v>3193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3216</v>
      </c>
      <c r="B40" s="393" t="s">
        <v>3217</v>
      </c>
      <c r="C40" s="394" t="s">
        <v>3220</v>
      </c>
      <c r="D40" s="395" t="s">
        <v>3218</v>
      </c>
      <c r="E40" s="411" t="s">
        <v>3219</v>
      </c>
      <c r="F40" s="396" t="s">
        <v>3182</v>
      </c>
      <c r="G40" s="396" t="s">
        <v>3183</v>
      </c>
      <c r="H40" s="397" t="s">
        <v>1862</v>
      </c>
      <c r="I40" s="899" t="s">
        <v>1862</v>
      </c>
      <c r="J40" s="353" t="s">
        <v>3188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3221</v>
      </c>
      <c r="B41" s="526" t="s">
        <v>3222</v>
      </c>
      <c r="C41" s="527">
        <v>1</v>
      </c>
      <c r="D41" s="528" t="s">
        <v>3223</v>
      </c>
      <c r="E41" s="426" t="s">
        <v>3224</v>
      </c>
      <c r="F41" s="529" t="s">
        <v>3182</v>
      </c>
      <c r="G41" s="529" t="s">
        <v>3183</v>
      </c>
      <c r="H41" s="530" t="s">
        <v>1866</v>
      </c>
      <c r="I41" s="384" t="s">
        <v>1866</v>
      </c>
      <c r="J41" s="353" t="s">
        <v>3188</v>
      </c>
      <c r="K41" s="354" t="s">
        <v>3189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3221</v>
      </c>
      <c r="B42" s="386" t="s">
        <v>3222</v>
      </c>
      <c r="C42" s="352" t="s">
        <v>3190</v>
      </c>
      <c r="D42" s="387" t="s">
        <v>3223</v>
      </c>
      <c r="E42" s="388" t="s">
        <v>3224</v>
      </c>
      <c r="F42" s="389" t="s">
        <v>3182</v>
      </c>
      <c r="G42" s="389" t="s">
        <v>3183</v>
      </c>
      <c r="H42" s="390" t="s">
        <v>1866</v>
      </c>
      <c r="I42" s="391" t="s">
        <v>1866</v>
      </c>
      <c r="J42" s="353" t="s">
        <v>3188</v>
      </c>
      <c r="K42" s="353" t="s">
        <v>3191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3221</v>
      </c>
      <c r="B43" s="386" t="s">
        <v>3222</v>
      </c>
      <c r="C43" s="392" t="s">
        <v>3190</v>
      </c>
      <c r="D43" s="387" t="s">
        <v>3223</v>
      </c>
      <c r="E43" s="388" t="s">
        <v>3224</v>
      </c>
      <c r="F43" s="389" t="s">
        <v>3182</v>
      </c>
      <c r="G43" s="389" t="s">
        <v>3183</v>
      </c>
      <c r="H43" s="390" t="s">
        <v>1866</v>
      </c>
      <c r="I43" s="391" t="s">
        <v>1866</v>
      </c>
      <c r="J43" s="353" t="s">
        <v>3188</v>
      </c>
      <c r="K43" s="355" t="s">
        <v>3192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3221</v>
      </c>
      <c r="B44" s="386" t="s">
        <v>3222</v>
      </c>
      <c r="C44" s="392" t="s">
        <v>3190</v>
      </c>
      <c r="D44" s="387" t="s">
        <v>3223</v>
      </c>
      <c r="E44" s="388" t="s">
        <v>3224</v>
      </c>
      <c r="F44" s="389" t="s">
        <v>3182</v>
      </c>
      <c r="G44" s="389" t="s">
        <v>3183</v>
      </c>
      <c r="H44" s="390" t="s">
        <v>1866</v>
      </c>
      <c r="I44" s="391" t="s">
        <v>1866</v>
      </c>
      <c r="J44" s="353" t="s">
        <v>3188</v>
      </c>
      <c r="K44" s="356" t="s">
        <v>3193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3221</v>
      </c>
      <c r="B45" s="393" t="s">
        <v>3222</v>
      </c>
      <c r="C45" s="394" t="s">
        <v>3190</v>
      </c>
      <c r="D45" s="395" t="s">
        <v>3223</v>
      </c>
      <c r="E45" s="411" t="s">
        <v>3224</v>
      </c>
      <c r="F45" s="396" t="s">
        <v>3182</v>
      </c>
      <c r="G45" s="396" t="s">
        <v>3183</v>
      </c>
      <c r="H45" s="397" t="s">
        <v>1866</v>
      </c>
      <c r="I45" s="899" t="s">
        <v>1866</v>
      </c>
      <c r="J45" s="353" t="s">
        <v>3188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3225</v>
      </c>
      <c r="B46" s="526" t="s">
        <v>3226</v>
      </c>
      <c r="C46" s="527">
        <v>4</v>
      </c>
      <c r="D46" s="528" t="s">
        <v>3227</v>
      </c>
      <c r="E46" s="426" t="s">
        <v>3228</v>
      </c>
      <c r="F46" s="529" t="s">
        <v>3182</v>
      </c>
      <c r="G46" s="529" t="s">
        <v>3183</v>
      </c>
      <c r="H46" s="530" t="s">
        <v>1870</v>
      </c>
      <c r="I46" s="384" t="s">
        <v>1870</v>
      </c>
      <c r="J46" s="353" t="s">
        <v>3188</v>
      </c>
      <c r="K46" s="354" t="s">
        <v>3189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3225</v>
      </c>
      <c r="B47" s="386" t="s">
        <v>3226</v>
      </c>
      <c r="C47" s="352" t="s">
        <v>3220</v>
      </c>
      <c r="D47" s="387" t="s">
        <v>3227</v>
      </c>
      <c r="E47" s="388" t="s">
        <v>3228</v>
      </c>
      <c r="F47" s="389" t="s">
        <v>3182</v>
      </c>
      <c r="G47" s="389" t="s">
        <v>3183</v>
      </c>
      <c r="H47" s="390" t="s">
        <v>1870</v>
      </c>
      <c r="I47" s="391" t="s">
        <v>1870</v>
      </c>
      <c r="J47" s="353" t="s">
        <v>3188</v>
      </c>
      <c r="K47" s="353" t="s">
        <v>3191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3225</v>
      </c>
      <c r="B48" s="386" t="s">
        <v>3226</v>
      </c>
      <c r="C48" s="392" t="s">
        <v>3220</v>
      </c>
      <c r="D48" s="387" t="s">
        <v>3227</v>
      </c>
      <c r="E48" s="388" t="s">
        <v>3228</v>
      </c>
      <c r="F48" s="389" t="s">
        <v>3182</v>
      </c>
      <c r="G48" s="389" t="s">
        <v>3183</v>
      </c>
      <c r="H48" s="390" t="s">
        <v>1870</v>
      </c>
      <c r="I48" s="391" t="s">
        <v>1870</v>
      </c>
      <c r="J48" s="353" t="s">
        <v>3188</v>
      </c>
      <c r="K48" s="355" t="s">
        <v>3192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3225</v>
      </c>
      <c r="B49" s="386" t="s">
        <v>3226</v>
      </c>
      <c r="C49" s="392" t="s">
        <v>3220</v>
      </c>
      <c r="D49" s="387" t="s">
        <v>3227</v>
      </c>
      <c r="E49" s="388" t="s">
        <v>3228</v>
      </c>
      <c r="F49" s="389" t="s">
        <v>3182</v>
      </c>
      <c r="G49" s="389" t="s">
        <v>3183</v>
      </c>
      <c r="H49" s="390" t="s">
        <v>1870</v>
      </c>
      <c r="I49" s="391" t="s">
        <v>1870</v>
      </c>
      <c r="J49" s="353" t="s">
        <v>3188</v>
      </c>
      <c r="K49" s="356" t="s">
        <v>3193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3225</v>
      </c>
      <c r="B50" s="393" t="s">
        <v>3226</v>
      </c>
      <c r="C50" s="394" t="s">
        <v>3220</v>
      </c>
      <c r="D50" s="395" t="s">
        <v>3227</v>
      </c>
      <c r="E50" s="411" t="s">
        <v>3228</v>
      </c>
      <c r="F50" s="396" t="s">
        <v>3182</v>
      </c>
      <c r="G50" s="396" t="s">
        <v>3183</v>
      </c>
      <c r="H50" s="397" t="s">
        <v>1870</v>
      </c>
      <c r="I50" s="899" t="s">
        <v>1870</v>
      </c>
      <c r="J50" s="353" t="s">
        <v>3188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3229</v>
      </c>
      <c r="B51" s="526" t="s">
        <v>3230</v>
      </c>
      <c r="C51" s="527">
        <v>1</v>
      </c>
      <c r="D51" s="528" t="s">
        <v>3231</v>
      </c>
      <c r="E51" s="426" t="s">
        <v>3232</v>
      </c>
      <c r="F51" s="529" t="s">
        <v>3182</v>
      </c>
      <c r="G51" s="529" t="s">
        <v>3183</v>
      </c>
      <c r="H51" s="530" t="s">
        <v>1872</v>
      </c>
      <c r="I51" s="384" t="s">
        <v>1872</v>
      </c>
      <c r="J51" s="353" t="s">
        <v>3188</v>
      </c>
      <c r="K51" s="354" t="s">
        <v>3189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3229</v>
      </c>
      <c r="B52" s="386" t="s">
        <v>3230</v>
      </c>
      <c r="C52" s="352" t="s">
        <v>3190</v>
      </c>
      <c r="D52" s="387" t="s">
        <v>3231</v>
      </c>
      <c r="E52" s="388" t="s">
        <v>3232</v>
      </c>
      <c r="F52" s="389" t="s">
        <v>3182</v>
      </c>
      <c r="G52" s="389" t="s">
        <v>3183</v>
      </c>
      <c r="H52" s="390" t="s">
        <v>1872</v>
      </c>
      <c r="I52" s="391" t="s">
        <v>1872</v>
      </c>
      <c r="J52" s="353" t="s">
        <v>3188</v>
      </c>
      <c r="K52" s="353" t="s">
        <v>3191</v>
      </c>
      <c r="L52" s="400"/>
      <c r="M52" s="401"/>
      <c r="N52" s="400">
        <v>1</v>
      </c>
      <c r="O52" s="401"/>
      <c r="P52" s="400"/>
      <c r="Q52" s="401"/>
      <c r="R52" s="400"/>
      <c r="S52" s="401"/>
      <c r="T52" s="400"/>
      <c r="U52" s="401"/>
      <c r="V52" s="400"/>
      <c r="W52" s="401"/>
      <c r="X52" s="400">
        <v>1</v>
      </c>
      <c r="Y52" s="401"/>
      <c r="Z52" s="400"/>
      <c r="AA52" s="401"/>
      <c r="AB52" s="400">
        <v>1</v>
      </c>
      <c r="AC52" s="401"/>
      <c r="AD52" s="400"/>
      <c r="AE52" s="401"/>
      <c r="AF52" s="400"/>
      <c r="AG52" s="401"/>
      <c r="AH52" s="400"/>
      <c r="AI52" s="401"/>
      <c r="AJ52" s="400"/>
      <c r="AK52" s="401"/>
      <c r="AL52" s="400">
        <v>1</v>
      </c>
      <c r="AM52" s="401"/>
      <c r="AN52" s="400"/>
      <c r="AO52" s="401"/>
      <c r="AP52" s="400">
        <v>1</v>
      </c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>
        <v>1</v>
      </c>
      <c r="BE52" s="401"/>
      <c r="BF52" s="400"/>
      <c r="BG52" s="401"/>
      <c r="BH52" s="400"/>
      <c r="BI52" s="401"/>
      <c r="BJ52" s="400"/>
      <c r="BK52" s="401"/>
      <c r="BL52" s="400"/>
      <c r="BM52" s="401"/>
      <c r="BN52" s="400">
        <v>1</v>
      </c>
      <c r="BO52" s="401"/>
      <c r="BP52" s="400"/>
      <c r="BQ52" s="401"/>
      <c r="BR52" s="400">
        <v>1</v>
      </c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8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3229</v>
      </c>
      <c r="B53" s="386" t="s">
        <v>3230</v>
      </c>
      <c r="C53" s="392" t="s">
        <v>3190</v>
      </c>
      <c r="D53" s="387" t="s">
        <v>3231</v>
      </c>
      <c r="E53" s="388" t="s">
        <v>3232</v>
      </c>
      <c r="F53" s="389" t="s">
        <v>3182</v>
      </c>
      <c r="G53" s="389" t="s">
        <v>3183</v>
      </c>
      <c r="H53" s="390" t="s">
        <v>1872</v>
      </c>
      <c r="I53" s="391" t="s">
        <v>1872</v>
      </c>
      <c r="J53" s="353" t="s">
        <v>3188</v>
      </c>
      <c r="K53" s="355" t="s">
        <v>3192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3229</v>
      </c>
      <c r="B54" s="386" t="s">
        <v>3230</v>
      </c>
      <c r="C54" s="392" t="s">
        <v>3190</v>
      </c>
      <c r="D54" s="387" t="s">
        <v>3231</v>
      </c>
      <c r="E54" s="388" t="s">
        <v>3232</v>
      </c>
      <c r="F54" s="389" t="s">
        <v>3182</v>
      </c>
      <c r="G54" s="389" t="s">
        <v>3183</v>
      </c>
      <c r="H54" s="390" t="s">
        <v>1872</v>
      </c>
      <c r="I54" s="391" t="s">
        <v>1872</v>
      </c>
      <c r="J54" s="353" t="s">
        <v>3188</v>
      </c>
      <c r="K54" s="356" t="s">
        <v>3193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3229</v>
      </c>
      <c r="B55" s="393" t="s">
        <v>3230</v>
      </c>
      <c r="C55" s="394" t="s">
        <v>3190</v>
      </c>
      <c r="D55" s="395" t="s">
        <v>3231</v>
      </c>
      <c r="E55" s="411" t="s">
        <v>3232</v>
      </c>
      <c r="F55" s="396" t="s">
        <v>3182</v>
      </c>
      <c r="G55" s="396" t="s">
        <v>3183</v>
      </c>
      <c r="H55" s="397" t="s">
        <v>1872</v>
      </c>
      <c r="I55" s="899" t="s">
        <v>1872</v>
      </c>
      <c r="J55" s="353" t="s">
        <v>3188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3233</v>
      </c>
      <c r="B56" s="526" t="s">
        <v>3234</v>
      </c>
      <c r="C56" s="527">
        <v>1</v>
      </c>
      <c r="D56" s="528" t="s">
        <v>3235</v>
      </c>
      <c r="E56" s="426" t="s">
        <v>3236</v>
      </c>
      <c r="F56" s="529" t="s">
        <v>3182</v>
      </c>
      <c r="G56" s="529" t="s">
        <v>3183</v>
      </c>
      <c r="H56" s="530" t="s">
        <v>1873</v>
      </c>
      <c r="I56" s="384" t="s">
        <v>1873</v>
      </c>
      <c r="J56" s="353" t="s">
        <v>3188</v>
      </c>
      <c r="K56" s="354" t="s">
        <v>3189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3233</v>
      </c>
      <c r="B57" s="386" t="s">
        <v>3234</v>
      </c>
      <c r="C57" s="352" t="s">
        <v>3190</v>
      </c>
      <c r="D57" s="387" t="s">
        <v>3235</v>
      </c>
      <c r="E57" s="388" t="s">
        <v>3236</v>
      </c>
      <c r="F57" s="389" t="s">
        <v>3182</v>
      </c>
      <c r="G57" s="389" t="s">
        <v>3183</v>
      </c>
      <c r="H57" s="390" t="s">
        <v>1873</v>
      </c>
      <c r="I57" s="391" t="s">
        <v>1873</v>
      </c>
      <c r="J57" s="353" t="s">
        <v>3188</v>
      </c>
      <c r="K57" s="353" t="s">
        <v>3191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3233</v>
      </c>
      <c r="B58" s="386" t="s">
        <v>3234</v>
      </c>
      <c r="C58" s="392" t="s">
        <v>3190</v>
      </c>
      <c r="D58" s="387" t="s">
        <v>3235</v>
      </c>
      <c r="E58" s="388" t="s">
        <v>3236</v>
      </c>
      <c r="F58" s="389" t="s">
        <v>3182</v>
      </c>
      <c r="G58" s="389" t="s">
        <v>3183</v>
      </c>
      <c r="H58" s="390" t="s">
        <v>1873</v>
      </c>
      <c r="I58" s="391" t="s">
        <v>1873</v>
      </c>
      <c r="J58" s="353" t="s">
        <v>3188</v>
      </c>
      <c r="K58" s="355" t="s">
        <v>3192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3233</v>
      </c>
      <c r="B59" s="386" t="s">
        <v>3234</v>
      </c>
      <c r="C59" s="392" t="s">
        <v>3190</v>
      </c>
      <c r="D59" s="387" t="s">
        <v>3235</v>
      </c>
      <c r="E59" s="388" t="s">
        <v>3236</v>
      </c>
      <c r="F59" s="389" t="s">
        <v>3182</v>
      </c>
      <c r="G59" s="389" t="s">
        <v>3183</v>
      </c>
      <c r="H59" s="390" t="s">
        <v>1873</v>
      </c>
      <c r="I59" s="391" t="s">
        <v>1873</v>
      </c>
      <c r="J59" s="353" t="s">
        <v>3188</v>
      </c>
      <c r="K59" s="356" t="s">
        <v>3193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3233</v>
      </c>
      <c r="B60" s="393" t="s">
        <v>3234</v>
      </c>
      <c r="C60" s="394" t="s">
        <v>3190</v>
      </c>
      <c r="D60" s="395" t="s">
        <v>3235</v>
      </c>
      <c r="E60" s="411" t="s">
        <v>3236</v>
      </c>
      <c r="F60" s="396" t="s">
        <v>3182</v>
      </c>
      <c r="G60" s="396" t="s">
        <v>3183</v>
      </c>
      <c r="H60" s="397" t="s">
        <v>1873</v>
      </c>
      <c r="I60" s="899" t="s">
        <v>1873</v>
      </c>
      <c r="J60" s="353" t="s">
        <v>3188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3237</v>
      </c>
      <c r="B61" s="526" t="s">
        <v>3238</v>
      </c>
      <c r="C61" s="527">
        <v>2</v>
      </c>
      <c r="D61" s="528" t="s">
        <v>3239</v>
      </c>
      <c r="E61" s="426" t="s">
        <v>3240</v>
      </c>
      <c r="F61" s="529" t="s">
        <v>3182</v>
      </c>
      <c r="G61" s="529" t="s">
        <v>3183</v>
      </c>
      <c r="H61" s="530" t="s">
        <v>1874</v>
      </c>
      <c r="I61" s="384" t="s">
        <v>1874</v>
      </c>
      <c r="J61" s="353" t="s">
        <v>3241</v>
      </c>
      <c r="K61" s="354" t="s">
        <v>3189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3237</v>
      </c>
      <c r="B62" s="386" t="s">
        <v>3238</v>
      </c>
      <c r="C62" s="352" t="s">
        <v>3190</v>
      </c>
      <c r="D62" s="387" t="s">
        <v>3239</v>
      </c>
      <c r="E62" s="388" t="s">
        <v>3240</v>
      </c>
      <c r="F62" s="389" t="s">
        <v>3182</v>
      </c>
      <c r="G62" s="389" t="s">
        <v>3183</v>
      </c>
      <c r="H62" s="390" t="s">
        <v>1874</v>
      </c>
      <c r="I62" s="391" t="s">
        <v>1874</v>
      </c>
      <c r="J62" s="353" t="s">
        <v>3241</v>
      </c>
      <c r="K62" s="353" t="s">
        <v>3191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3237</v>
      </c>
      <c r="B63" s="386" t="s">
        <v>3238</v>
      </c>
      <c r="C63" s="392" t="s">
        <v>3190</v>
      </c>
      <c r="D63" s="387" t="s">
        <v>3239</v>
      </c>
      <c r="E63" s="388" t="s">
        <v>3240</v>
      </c>
      <c r="F63" s="389" t="s">
        <v>3182</v>
      </c>
      <c r="G63" s="389" t="s">
        <v>3183</v>
      </c>
      <c r="H63" s="390" t="s">
        <v>1874</v>
      </c>
      <c r="I63" s="391" t="s">
        <v>1874</v>
      </c>
      <c r="J63" s="353" t="s">
        <v>3241</v>
      </c>
      <c r="K63" s="355" t="s">
        <v>3192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3237</v>
      </c>
      <c r="B64" s="386" t="s">
        <v>3238</v>
      </c>
      <c r="C64" s="392" t="s">
        <v>3190</v>
      </c>
      <c r="D64" s="387" t="s">
        <v>3239</v>
      </c>
      <c r="E64" s="388" t="s">
        <v>3240</v>
      </c>
      <c r="F64" s="389" t="s">
        <v>3182</v>
      </c>
      <c r="G64" s="389" t="s">
        <v>3183</v>
      </c>
      <c r="H64" s="390" t="s">
        <v>1874</v>
      </c>
      <c r="I64" s="391" t="s">
        <v>1874</v>
      </c>
      <c r="J64" s="353" t="s">
        <v>3241</v>
      </c>
      <c r="K64" s="356" t="s">
        <v>3193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3237</v>
      </c>
      <c r="B65" s="393" t="s">
        <v>3238</v>
      </c>
      <c r="C65" s="394" t="s">
        <v>3190</v>
      </c>
      <c r="D65" s="395" t="s">
        <v>3239</v>
      </c>
      <c r="E65" s="411" t="s">
        <v>3240</v>
      </c>
      <c r="F65" s="396" t="s">
        <v>3182</v>
      </c>
      <c r="G65" s="396" t="s">
        <v>3183</v>
      </c>
      <c r="H65" s="397" t="s">
        <v>1874</v>
      </c>
      <c r="I65" s="899" t="s">
        <v>1874</v>
      </c>
      <c r="J65" s="353" t="s">
        <v>3241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3242</v>
      </c>
      <c r="B66" s="526" t="s">
        <v>3243</v>
      </c>
      <c r="C66" s="527">
        <v>1</v>
      </c>
      <c r="D66" s="528" t="s">
        <v>3244</v>
      </c>
      <c r="E66" s="426" t="s">
        <v>3245</v>
      </c>
      <c r="F66" s="529" t="s">
        <v>3182</v>
      </c>
      <c r="G66" s="529" t="s">
        <v>3183</v>
      </c>
      <c r="H66" s="530" t="s">
        <v>1875</v>
      </c>
      <c r="I66" s="384" t="s">
        <v>1875</v>
      </c>
      <c r="J66" s="353" t="s">
        <v>3188</v>
      </c>
      <c r="K66" s="354" t="s">
        <v>3189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3242</v>
      </c>
      <c r="B67" s="386" t="s">
        <v>3243</v>
      </c>
      <c r="C67" s="352" t="s">
        <v>3190</v>
      </c>
      <c r="D67" s="387" t="s">
        <v>3244</v>
      </c>
      <c r="E67" s="388" t="s">
        <v>3245</v>
      </c>
      <c r="F67" s="389" t="s">
        <v>3182</v>
      </c>
      <c r="G67" s="389" t="s">
        <v>3183</v>
      </c>
      <c r="H67" s="390" t="s">
        <v>1875</v>
      </c>
      <c r="I67" s="391" t="s">
        <v>1875</v>
      </c>
      <c r="J67" s="353" t="s">
        <v>3188</v>
      </c>
      <c r="K67" s="353" t="s">
        <v>3191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3242</v>
      </c>
      <c r="B68" s="386" t="s">
        <v>3243</v>
      </c>
      <c r="C68" s="392" t="s">
        <v>3190</v>
      </c>
      <c r="D68" s="387" t="s">
        <v>3244</v>
      </c>
      <c r="E68" s="388" t="s">
        <v>3245</v>
      </c>
      <c r="F68" s="389" t="s">
        <v>3182</v>
      </c>
      <c r="G68" s="389" t="s">
        <v>3183</v>
      </c>
      <c r="H68" s="390" t="s">
        <v>1875</v>
      </c>
      <c r="I68" s="391" t="s">
        <v>1875</v>
      </c>
      <c r="J68" s="353" t="s">
        <v>3188</v>
      </c>
      <c r="K68" s="355" t="s">
        <v>3192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3242</v>
      </c>
      <c r="B69" s="386" t="s">
        <v>3243</v>
      </c>
      <c r="C69" s="392" t="s">
        <v>3190</v>
      </c>
      <c r="D69" s="387" t="s">
        <v>3244</v>
      </c>
      <c r="E69" s="388" t="s">
        <v>3245</v>
      </c>
      <c r="F69" s="389" t="s">
        <v>3182</v>
      </c>
      <c r="G69" s="389" t="s">
        <v>3183</v>
      </c>
      <c r="H69" s="390" t="s">
        <v>1875</v>
      </c>
      <c r="I69" s="391" t="s">
        <v>1875</v>
      </c>
      <c r="J69" s="353" t="s">
        <v>3188</v>
      </c>
      <c r="K69" s="356" t="s">
        <v>3193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3242</v>
      </c>
      <c r="B70" s="393" t="s">
        <v>3243</v>
      </c>
      <c r="C70" s="394" t="s">
        <v>3190</v>
      </c>
      <c r="D70" s="395" t="s">
        <v>3244</v>
      </c>
      <c r="E70" s="411" t="s">
        <v>3245</v>
      </c>
      <c r="F70" s="396" t="s">
        <v>3182</v>
      </c>
      <c r="G70" s="396" t="s">
        <v>3183</v>
      </c>
      <c r="H70" s="397" t="s">
        <v>1875</v>
      </c>
      <c r="I70" s="899" t="s">
        <v>1875</v>
      </c>
      <c r="J70" s="353" t="s">
        <v>3188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3246</v>
      </c>
      <c r="B71" s="526" t="s">
        <v>3247</v>
      </c>
      <c r="C71" s="527">
        <v>1</v>
      </c>
      <c r="D71" s="528" t="s">
        <v>3248</v>
      </c>
      <c r="E71" s="426" t="s">
        <v>3249</v>
      </c>
      <c r="F71" s="529" t="s">
        <v>3182</v>
      </c>
      <c r="G71" s="529" t="s">
        <v>3183</v>
      </c>
      <c r="H71" s="530" t="s">
        <v>1878</v>
      </c>
      <c r="I71" s="384" t="s">
        <v>1878</v>
      </c>
      <c r="J71" s="353" t="s">
        <v>3188</v>
      </c>
      <c r="K71" s="354" t="s">
        <v>3189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3246</v>
      </c>
      <c r="B72" s="386" t="s">
        <v>3247</v>
      </c>
      <c r="C72" s="352" t="s">
        <v>3190</v>
      </c>
      <c r="D72" s="387" t="s">
        <v>3248</v>
      </c>
      <c r="E72" s="388" t="s">
        <v>3249</v>
      </c>
      <c r="F72" s="389" t="s">
        <v>3182</v>
      </c>
      <c r="G72" s="389" t="s">
        <v>3183</v>
      </c>
      <c r="H72" s="390" t="s">
        <v>1878</v>
      </c>
      <c r="I72" s="391" t="s">
        <v>1878</v>
      </c>
      <c r="J72" s="353" t="s">
        <v>3188</v>
      </c>
      <c r="K72" s="353" t="s">
        <v>3191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3246</v>
      </c>
      <c r="B73" s="386" t="s">
        <v>3247</v>
      </c>
      <c r="C73" s="392" t="s">
        <v>3190</v>
      </c>
      <c r="D73" s="387" t="s">
        <v>3248</v>
      </c>
      <c r="E73" s="388" t="s">
        <v>3249</v>
      </c>
      <c r="F73" s="389" t="s">
        <v>3182</v>
      </c>
      <c r="G73" s="389" t="s">
        <v>3183</v>
      </c>
      <c r="H73" s="390" t="s">
        <v>1878</v>
      </c>
      <c r="I73" s="391" t="s">
        <v>1878</v>
      </c>
      <c r="J73" s="353" t="s">
        <v>3188</v>
      </c>
      <c r="K73" s="355" t="s">
        <v>3192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3246</v>
      </c>
      <c r="B74" s="386" t="s">
        <v>3247</v>
      </c>
      <c r="C74" s="392" t="s">
        <v>3190</v>
      </c>
      <c r="D74" s="387" t="s">
        <v>3248</v>
      </c>
      <c r="E74" s="388" t="s">
        <v>3249</v>
      </c>
      <c r="F74" s="389" t="s">
        <v>3182</v>
      </c>
      <c r="G74" s="389" t="s">
        <v>3183</v>
      </c>
      <c r="H74" s="390" t="s">
        <v>1878</v>
      </c>
      <c r="I74" s="391" t="s">
        <v>1878</v>
      </c>
      <c r="J74" s="353" t="s">
        <v>3188</v>
      </c>
      <c r="K74" s="356" t="s">
        <v>3193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3246</v>
      </c>
      <c r="B75" s="393" t="s">
        <v>3247</v>
      </c>
      <c r="C75" s="394" t="s">
        <v>3190</v>
      </c>
      <c r="D75" s="395" t="s">
        <v>3248</v>
      </c>
      <c r="E75" s="411" t="s">
        <v>3249</v>
      </c>
      <c r="F75" s="396" t="s">
        <v>3182</v>
      </c>
      <c r="G75" s="396" t="s">
        <v>3183</v>
      </c>
      <c r="H75" s="397" t="s">
        <v>1878</v>
      </c>
      <c r="I75" s="899" t="s">
        <v>1878</v>
      </c>
      <c r="J75" s="353" t="s">
        <v>3188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3250</v>
      </c>
      <c r="B76" s="526" t="s">
        <v>3251</v>
      </c>
      <c r="C76" s="527">
        <v>1</v>
      </c>
      <c r="D76" s="528" t="s">
        <v>3252</v>
      </c>
      <c r="E76" s="426" t="s">
        <v>3253</v>
      </c>
      <c r="F76" s="529" t="s">
        <v>3182</v>
      </c>
      <c r="G76" s="529" t="s">
        <v>3183</v>
      </c>
      <c r="H76" s="530" t="s">
        <v>1881</v>
      </c>
      <c r="I76" s="384" t="s">
        <v>1881</v>
      </c>
      <c r="J76" s="353" t="s">
        <v>3188</v>
      </c>
      <c r="K76" s="354" t="s">
        <v>3189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3250</v>
      </c>
      <c r="B77" s="386" t="s">
        <v>3251</v>
      </c>
      <c r="C77" s="352" t="s">
        <v>3190</v>
      </c>
      <c r="D77" s="387" t="s">
        <v>3252</v>
      </c>
      <c r="E77" s="388" t="s">
        <v>3253</v>
      </c>
      <c r="F77" s="389" t="s">
        <v>3182</v>
      </c>
      <c r="G77" s="389" t="s">
        <v>3183</v>
      </c>
      <c r="H77" s="390" t="s">
        <v>1881</v>
      </c>
      <c r="I77" s="391" t="s">
        <v>1881</v>
      </c>
      <c r="J77" s="353" t="s">
        <v>3188</v>
      </c>
      <c r="K77" s="353" t="s">
        <v>3191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3250</v>
      </c>
      <c r="B78" s="386" t="s">
        <v>3251</v>
      </c>
      <c r="C78" s="392" t="s">
        <v>3190</v>
      </c>
      <c r="D78" s="387" t="s">
        <v>3252</v>
      </c>
      <c r="E78" s="388" t="s">
        <v>3253</v>
      </c>
      <c r="F78" s="389" t="s">
        <v>3182</v>
      </c>
      <c r="G78" s="389" t="s">
        <v>3183</v>
      </c>
      <c r="H78" s="390" t="s">
        <v>1881</v>
      </c>
      <c r="I78" s="391" t="s">
        <v>1881</v>
      </c>
      <c r="J78" s="353" t="s">
        <v>3188</v>
      </c>
      <c r="K78" s="355" t="s">
        <v>3192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3250</v>
      </c>
      <c r="B79" s="386" t="s">
        <v>3251</v>
      </c>
      <c r="C79" s="392" t="s">
        <v>3190</v>
      </c>
      <c r="D79" s="387" t="s">
        <v>3252</v>
      </c>
      <c r="E79" s="388" t="s">
        <v>3253</v>
      </c>
      <c r="F79" s="389" t="s">
        <v>3182</v>
      </c>
      <c r="G79" s="389" t="s">
        <v>3183</v>
      </c>
      <c r="H79" s="390" t="s">
        <v>1881</v>
      </c>
      <c r="I79" s="391" t="s">
        <v>1881</v>
      </c>
      <c r="J79" s="353" t="s">
        <v>3188</v>
      </c>
      <c r="K79" s="356" t="s">
        <v>3193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3250</v>
      </c>
      <c r="B80" s="393" t="s">
        <v>3251</v>
      </c>
      <c r="C80" s="394" t="s">
        <v>3190</v>
      </c>
      <c r="D80" s="395" t="s">
        <v>3252</v>
      </c>
      <c r="E80" s="411" t="s">
        <v>3253</v>
      </c>
      <c r="F80" s="396" t="s">
        <v>3182</v>
      </c>
      <c r="G80" s="396" t="s">
        <v>3183</v>
      </c>
      <c r="H80" s="397" t="s">
        <v>1881</v>
      </c>
      <c r="I80" s="899" t="s">
        <v>1881</v>
      </c>
      <c r="J80" s="353" t="s">
        <v>3188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3254</v>
      </c>
      <c r="B81" s="526" t="s">
        <v>3255</v>
      </c>
      <c r="C81" s="527">
        <v>1</v>
      </c>
      <c r="D81" s="528" t="s">
        <v>3256</v>
      </c>
      <c r="E81" s="426" t="s">
        <v>3257</v>
      </c>
      <c r="F81" s="529" t="s">
        <v>3182</v>
      </c>
      <c r="G81" s="529" t="s">
        <v>3183</v>
      </c>
      <c r="H81" s="530" t="s">
        <v>1885</v>
      </c>
      <c r="I81" s="384" t="s">
        <v>1885</v>
      </c>
      <c r="J81" s="353" t="s">
        <v>3188</v>
      </c>
      <c r="K81" s="354" t="s">
        <v>3189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3254</v>
      </c>
      <c r="B82" s="386" t="s">
        <v>3255</v>
      </c>
      <c r="C82" s="352" t="s">
        <v>3190</v>
      </c>
      <c r="D82" s="387" t="s">
        <v>3256</v>
      </c>
      <c r="E82" s="388" t="s">
        <v>3257</v>
      </c>
      <c r="F82" s="389" t="s">
        <v>3182</v>
      </c>
      <c r="G82" s="389" t="s">
        <v>3183</v>
      </c>
      <c r="H82" s="390" t="s">
        <v>1885</v>
      </c>
      <c r="I82" s="391" t="s">
        <v>1885</v>
      </c>
      <c r="J82" s="353" t="s">
        <v>3188</v>
      </c>
      <c r="K82" s="353" t="s">
        <v>3191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3254</v>
      </c>
      <c r="B83" s="386" t="s">
        <v>3255</v>
      </c>
      <c r="C83" s="392" t="s">
        <v>3190</v>
      </c>
      <c r="D83" s="387" t="s">
        <v>3256</v>
      </c>
      <c r="E83" s="388" t="s">
        <v>3257</v>
      </c>
      <c r="F83" s="389" t="s">
        <v>3182</v>
      </c>
      <c r="G83" s="389" t="s">
        <v>3183</v>
      </c>
      <c r="H83" s="390" t="s">
        <v>1885</v>
      </c>
      <c r="I83" s="391" t="s">
        <v>1885</v>
      </c>
      <c r="J83" s="353" t="s">
        <v>3188</v>
      </c>
      <c r="K83" s="355" t="s">
        <v>3192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3254</v>
      </c>
      <c r="B84" s="386" t="s">
        <v>3255</v>
      </c>
      <c r="C84" s="392" t="s">
        <v>3190</v>
      </c>
      <c r="D84" s="387" t="s">
        <v>3256</v>
      </c>
      <c r="E84" s="388" t="s">
        <v>3257</v>
      </c>
      <c r="F84" s="389" t="s">
        <v>3182</v>
      </c>
      <c r="G84" s="389" t="s">
        <v>3183</v>
      </c>
      <c r="H84" s="390" t="s">
        <v>1885</v>
      </c>
      <c r="I84" s="391" t="s">
        <v>1885</v>
      </c>
      <c r="J84" s="353" t="s">
        <v>3188</v>
      </c>
      <c r="K84" s="356" t="s">
        <v>3193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3254</v>
      </c>
      <c r="B85" s="393" t="s">
        <v>3255</v>
      </c>
      <c r="C85" s="394" t="s">
        <v>3190</v>
      </c>
      <c r="D85" s="395" t="s">
        <v>3256</v>
      </c>
      <c r="E85" s="411" t="s">
        <v>3257</v>
      </c>
      <c r="F85" s="396" t="s">
        <v>3182</v>
      </c>
      <c r="G85" s="396" t="s">
        <v>3183</v>
      </c>
      <c r="H85" s="397" t="s">
        <v>1885</v>
      </c>
      <c r="I85" s="899" t="s">
        <v>1885</v>
      </c>
      <c r="J85" s="353" t="s">
        <v>3188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3258</v>
      </c>
      <c r="B86" s="526" t="s">
        <v>3259</v>
      </c>
      <c r="C86" s="527">
        <v>1</v>
      </c>
      <c r="D86" s="528" t="s">
        <v>3260</v>
      </c>
      <c r="E86" s="426" t="s">
        <v>3261</v>
      </c>
      <c r="F86" s="529" t="s">
        <v>3182</v>
      </c>
      <c r="G86" s="529" t="s">
        <v>3183</v>
      </c>
      <c r="H86" s="530" t="s">
        <v>1886</v>
      </c>
      <c r="I86" s="384" t="s">
        <v>1886</v>
      </c>
      <c r="J86" s="353" t="s">
        <v>3188</v>
      </c>
      <c r="K86" s="354" t="s">
        <v>3189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3258</v>
      </c>
      <c r="B87" s="386" t="s">
        <v>3259</v>
      </c>
      <c r="C87" s="352" t="s">
        <v>3190</v>
      </c>
      <c r="D87" s="387" t="s">
        <v>3260</v>
      </c>
      <c r="E87" s="388" t="s">
        <v>3261</v>
      </c>
      <c r="F87" s="389" t="s">
        <v>3182</v>
      </c>
      <c r="G87" s="389" t="s">
        <v>3183</v>
      </c>
      <c r="H87" s="390" t="s">
        <v>1886</v>
      </c>
      <c r="I87" s="391" t="s">
        <v>1886</v>
      </c>
      <c r="J87" s="353" t="s">
        <v>3188</v>
      </c>
      <c r="K87" s="353" t="s">
        <v>3191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3258</v>
      </c>
      <c r="B88" s="386" t="s">
        <v>3259</v>
      </c>
      <c r="C88" s="392" t="s">
        <v>3190</v>
      </c>
      <c r="D88" s="387" t="s">
        <v>3260</v>
      </c>
      <c r="E88" s="388" t="s">
        <v>3261</v>
      </c>
      <c r="F88" s="389" t="s">
        <v>3182</v>
      </c>
      <c r="G88" s="389" t="s">
        <v>3183</v>
      </c>
      <c r="H88" s="390" t="s">
        <v>1886</v>
      </c>
      <c r="I88" s="391" t="s">
        <v>1886</v>
      </c>
      <c r="J88" s="353" t="s">
        <v>3188</v>
      </c>
      <c r="K88" s="355" t="s">
        <v>3192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3258</v>
      </c>
      <c r="B89" s="386" t="s">
        <v>3259</v>
      </c>
      <c r="C89" s="392" t="s">
        <v>3190</v>
      </c>
      <c r="D89" s="387" t="s">
        <v>3260</v>
      </c>
      <c r="E89" s="388" t="s">
        <v>3261</v>
      </c>
      <c r="F89" s="389" t="s">
        <v>3182</v>
      </c>
      <c r="G89" s="389" t="s">
        <v>3183</v>
      </c>
      <c r="H89" s="390" t="s">
        <v>1886</v>
      </c>
      <c r="I89" s="391" t="s">
        <v>1886</v>
      </c>
      <c r="J89" s="353" t="s">
        <v>3188</v>
      </c>
      <c r="K89" s="356" t="s">
        <v>3193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3258</v>
      </c>
      <c r="B90" s="393" t="s">
        <v>3259</v>
      </c>
      <c r="C90" s="394" t="s">
        <v>3190</v>
      </c>
      <c r="D90" s="395" t="s">
        <v>3260</v>
      </c>
      <c r="E90" s="411" t="s">
        <v>3261</v>
      </c>
      <c r="F90" s="396" t="s">
        <v>3182</v>
      </c>
      <c r="G90" s="396" t="s">
        <v>3183</v>
      </c>
      <c r="H90" s="397" t="s">
        <v>1886</v>
      </c>
      <c r="I90" s="899" t="s">
        <v>1886</v>
      </c>
      <c r="J90" s="353" t="s">
        <v>3188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3262</v>
      </c>
      <c r="B91" s="526" t="s">
        <v>3263</v>
      </c>
      <c r="C91" s="527">
        <v>2</v>
      </c>
      <c r="D91" s="528" t="s">
        <v>3264</v>
      </c>
      <c r="E91" s="426" t="s">
        <v>3265</v>
      </c>
      <c r="F91" s="529" t="s">
        <v>3182</v>
      </c>
      <c r="G91" s="529" t="s">
        <v>3183</v>
      </c>
      <c r="H91" s="530" t="s">
        <v>1887</v>
      </c>
      <c r="I91" s="384" t="s">
        <v>1887</v>
      </c>
      <c r="J91" s="353" t="s">
        <v>3241</v>
      </c>
      <c r="K91" s="354" t="s">
        <v>3189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3262</v>
      </c>
      <c r="B92" s="386" t="s">
        <v>3263</v>
      </c>
      <c r="C92" s="352" t="s">
        <v>3190</v>
      </c>
      <c r="D92" s="387" t="s">
        <v>3264</v>
      </c>
      <c r="E92" s="388" t="s">
        <v>3265</v>
      </c>
      <c r="F92" s="389" t="s">
        <v>3182</v>
      </c>
      <c r="G92" s="389" t="s">
        <v>3183</v>
      </c>
      <c r="H92" s="390" t="s">
        <v>1887</v>
      </c>
      <c r="I92" s="391" t="s">
        <v>1887</v>
      </c>
      <c r="J92" s="353" t="s">
        <v>3241</v>
      </c>
      <c r="K92" s="353" t="s">
        <v>3191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3262</v>
      </c>
      <c r="B93" s="386" t="s">
        <v>3263</v>
      </c>
      <c r="C93" s="392" t="s">
        <v>3190</v>
      </c>
      <c r="D93" s="387" t="s">
        <v>3264</v>
      </c>
      <c r="E93" s="388" t="s">
        <v>3265</v>
      </c>
      <c r="F93" s="389" t="s">
        <v>3182</v>
      </c>
      <c r="G93" s="389" t="s">
        <v>3183</v>
      </c>
      <c r="H93" s="390" t="s">
        <v>1887</v>
      </c>
      <c r="I93" s="391" t="s">
        <v>1887</v>
      </c>
      <c r="J93" s="353" t="s">
        <v>3241</v>
      </c>
      <c r="K93" s="355" t="s">
        <v>3192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3262</v>
      </c>
      <c r="B94" s="386" t="s">
        <v>3263</v>
      </c>
      <c r="C94" s="392" t="s">
        <v>3190</v>
      </c>
      <c r="D94" s="387" t="s">
        <v>3264</v>
      </c>
      <c r="E94" s="388" t="s">
        <v>3265</v>
      </c>
      <c r="F94" s="389" t="s">
        <v>3182</v>
      </c>
      <c r="G94" s="389" t="s">
        <v>3183</v>
      </c>
      <c r="H94" s="390" t="s">
        <v>1887</v>
      </c>
      <c r="I94" s="391" t="s">
        <v>1887</v>
      </c>
      <c r="J94" s="353" t="s">
        <v>3241</v>
      </c>
      <c r="K94" s="356" t="s">
        <v>3193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3262</v>
      </c>
      <c r="B95" s="393" t="s">
        <v>3263</v>
      </c>
      <c r="C95" s="394" t="s">
        <v>3190</v>
      </c>
      <c r="D95" s="395" t="s">
        <v>3264</v>
      </c>
      <c r="E95" s="411" t="s">
        <v>3265</v>
      </c>
      <c r="F95" s="396" t="s">
        <v>3182</v>
      </c>
      <c r="G95" s="396" t="s">
        <v>3183</v>
      </c>
      <c r="H95" s="397" t="s">
        <v>1887</v>
      </c>
      <c r="I95" s="899" t="s">
        <v>1887</v>
      </c>
      <c r="J95" s="353" t="s">
        <v>3241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3266</v>
      </c>
      <c r="B96" s="526" t="s">
        <v>3267</v>
      </c>
      <c r="C96" s="527">
        <v>1</v>
      </c>
      <c r="D96" s="528" t="s">
        <v>3268</v>
      </c>
      <c r="E96" s="426" t="s">
        <v>3269</v>
      </c>
      <c r="F96" s="529" t="s">
        <v>3182</v>
      </c>
      <c r="G96" s="529" t="s">
        <v>3183</v>
      </c>
      <c r="H96" s="530" t="s">
        <v>1888</v>
      </c>
      <c r="I96" s="384" t="s">
        <v>1888</v>
      </c>
      <c r="J96" s="353" t="s">
        <v>3188</v>
      </c>
      <c r="K96" s="354" t="s">
        <v>3189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3266</v>
      </c>
      <c r="B97" s="386" t="s">
        <v>3267</v>
      </c>
      <c r="C97" s="352" t="s">
        <v>3190</v>
      </c>
      <c r="D97" s="387" t="s">
        <v>3268</v>
      </c>
      <c r="E97" s="388" t="s">
        <v>3269</v>
      </c>
      <c r="F97" s="389" t="s">
        <v>3182</v>
      </c>
      <c r="G97" s="389" t="s">
        <v>3183</v>
      </c>
      <c r="H97" s="390" t="s">
        <v>1888</v>
      </c>
      <c r="I97" s="391" t="s">
        <v>1888</v>
      </c>
      <c r="J97" s="353" t="s">
        <v>3188</v>
      </c>
      <c r="K97" s="353" t="s">
        <v>3191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3266</v>
      </c>
      <c r="B98" s="386" t="s">
        <v>3267</v>
      </c>
      <c r="C98" s="392" t="s">
        <v>3190</v>
      </c>
      <c r="D98" s="387" t="s">
        <v>3268</v>
      </c>
      <c r="E98" s="388" t="s">
        <v>3269</v>
      </c>
      <c r="F98" s="389" t="s">
        <v>3182</v>
      </c>
      <c r="G98" s="389" t="s">
        <v>3183</v>
      </c>
      <c r="H98" s="390" t="s">
        <v>1888</v>
      </c>
      <c r="I98" s="391" t="s">
        <v>1888</v>
      </c>
      <c r="J98" s="353" t="s">
        <v>3188</v>
      </c>
      <c r="K98" s="355" t="s">
        <v>3192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3266</v>
      </c>
      <c r="B99" s="386" t="s">
        <v>3267</v>
      </c>
      <c r="C99" s="392" t="s">
        <v>3190</v>
      </c>
      <c r="D99" s="387" t="s">
        <v>3268</v>
      </c>
      <c r="E99" s="388" t="s">
        <v>3269</v>
      </c>
      <c r="F99" s="389" t="s">
        <v>3182</v>
      </c>
      <c r="G99" s="389" t="s">
        <v>3183</v>
      </c>
      <c r="H99" s="390" t="s">
        <v>1888</v>
      </c>
      <c r="I99" s="391" t="s">
        <v>1888</v>
      </c>
      <c r="J99" s="353" t="s">
        <v>3188</v>
      </c>
      <c r="K99" s="356" t="s">
        <v>3193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3266</v>
      </c>
      <c r="B100" s="393" t="s">
        <v>3267</v>
      </c>
      <c r="C100" s="394" t="s">
        <v>3190</v>
      </c>
      <c r="D100" s="395" t="s">
        <v>3268</v>
      </c>
      <c r="E100" s="411" t="s">
        <v>3269</v>
      </c>
      <c r="F100" s="396" t="s">
        <v>3182</v>
      </c>
      <c r="G100" s="396" t="s">
        <v>3183</v>
      </c>
      <c r="H100" s="397" t="s">
        <v>1888</v>
      </c>
      <c r="I100" s="899" t="s">
        <v>1888</v>
      </c>
      <c r="J100" s="353" t="s">
        <v>3188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3270</v>
      </c>
      <c r="B101" s="526" t="s">
        <v>3271</v>
      </c>
      <c r="C101" s="527">
        <v>1</v>
      </c>
      <c r="D101" s="528" t="s">
        <v>3272</v>
      </c>
      <c r="E101" s="426" t="s">
        <v>3273</v>
      </c>
      <c r="F101" s="529" t="s">
        <v>3182</v>
      </c>
      <c r="G101" s="529" t="s">
        <v>3183</v>
      </c>
      <c r="H101" s="530" t="s">
        <v>1889</v>
      </c>
      <c r="I101" s="384" t="s">
        <v>1889</v>
      </c>
      <c r="J101" s="353" t="s">
        <v>3188</v>
      </c>
      <c r="K101" s="354" t="s">
        <v>3189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3270</v>
      </c>
      <c r="B102" s="386" t="s">
        <v>3271</v>
      </c>
      <c r="C102" s="352" t="s">
        <v>3190</v>
      </c>
      <c r="D102" s="387" t="s">
        <v>3272</v>
      </c>
      <c r="E102" s="388" t="s">
        <v>3273</v>
      </c>
      <c r="F102" s="389" t="s">
        <v>3182</v>
      </c>
      <c r="G102" s="389" t="s">
        <v>3183</v>
      </c>
      <c r="H102" s="390" t="s">
        <v>1889</v>
      </c>
      <c r="I102" s="391" t="s">
        <v>1889</v>
      </c>
      <c r="J102" s="353" t="s">
        <v>3188</v>
      </c>
      <c r="K102" s="353" t="s">
        <v>3191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3270</v>
      </c>
      <c r="B103" s="386" t="s">
        <v>3271</v>
      </c>
      <c r="C103" s="392" t="s">
        <v>3190</v>
      </c>
      <c r="D103" s="387" t="s">
        <v>3272</v>
      </c>
      <c r="E103" s="388" t="s">
        <v>3273</v>
      </c>
      <c r="F103" s="389" t="s">
        <v>3182</v>
      </c>
      <c r="G103" s="389" t="s">
        <v>3183</v>
      </c>
      <c r="H103" s="390" t="s">
        <v>1889</v>
      </c>
      <c r="I103" s="391" t="s">
        <v>1889</v>
      </c>
      <c r="J103" s="353" t="s">
        <v>3188</v>
      </c>
      <c r="K103" s="355" t="s">
        <v>3192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3270</v>
      </c>
      <c r="B104" s="386" t="s">
        <v>3271</v>
      </c>
      <c r="C104" s="392" t="s">
        <v>3190</v>
      </c>
      <c r="D104" s="387" t="s">
        <v>3272</v>
      </c>
      <c r="E104" s="388" t="s">
        <v>3273</v>
      </c>
      <c r="F104" s="389" t="s">
        <v>3182</v>
      </c>
      <c r="G104" s="389" t="s">
        <v>3183</v>
      </c>
      <c r="H104" s="390" t="s">
        <v>1889</v>
      </c>
      <c r="I104" s="391" t="s">
        <v>1889</v>
      </c>
      <c r="J104" s="353" t="s">
        <v>3188</v>
      </c>
      <c r="K104" s="356" t="s">
        <v>3193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3270</v>
      </c>
      <c r="B105" s="393" t="s">
        <v>3271</v>
      </c>
      <c r="C105" s="394" t="s">
        <v>3190</v>
      </c>
      <c r="D105" s="395" t="s">
        <v>3272</v>
      </c>
      <c r="E105" s="411" t="s">
        <v>3273</v>
      </c>
      <c r="F105" s="396" t="s">
        <v>3182</v>
      </c>
      <c r="G105" s="396" t="s">
        <v>3183</v>
      </c>
      <c r="H105" s="397" t="s">
        <v>1889</v>
      </c>
      <c r="I105" s="899" t="s">
        <v>1889</v>
      </c>
      <c r="J105" s="353" t="s">
        <v>3188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3274</v>
      </c>
      <c r="B106" s="526" t="s">
        <v>3275</v>
      </c>
      <c r="C106" s="527">
        <v>1</v>
      </c>
      <c r="D106" s="528" t="s">
        <v>3276</v>
      </c>
      <c r="E106" s="426" t="s">
        <v>3277</v>
      </c>
      <c r="F106" s="529" t="s">
        <v>3182</v>
      </c>
      <c r="G106" s="529" t="s">
        <v>3183</v>
      </c>
      <c r="H106" s="530" t="s">
        <v>1894</v>
      </c>
      <c r="I106" s="384" t="s">
        <v>1894</v>
      </c>
      <c r="J106" s="353" t="s">
        <v>3188</v>
      </c>
      <c r="K106" s="354" t="s">
        <v>3189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3274</v>
      </c>
      <c r="B107" s="386" t="s">
        <v>3275</v>
      </c>
      <c r="C107" s="352" t="s">
        <v>3190</v>
      </c>
      <c r="D107" s="387" t="s">
        <v>3276</v>
      </c>
      <c r="E107" s="388" t="s">
        <v>3277</v>
      </c>
      <c r="F107" s="389" t="s">
        <v>3182</v>
      </c>
      <c r="G107" s="389" t="s">
        <v>3183</v>
      </c>
      <c r="H107" s="390" t="s">
        <v>1894</v>
      </c>
      <c r="I107" s="391" t="s">
        <v>1894</v>
      </c>
      <c r="J107" s="353" t="s">
        <v>3188</v>
      </c>
      <c r="K107" s="353" t="s">
        <v>3191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3274</v>
      </c>
      <c r="B108" s="386" t="s">
        <v>3275</v>
      </c>
      <c r="C108" s="392" t="s">
        <v>3190</v>
      </c>
      <c r="D108" s="387" t="s">
        <v>3276</v>
      </c>
      <c r="E108" s="388" t="s">
        <v>3277</v>
      </c>
      <c r="F108" s="389" t="s">
        <v>3182</v>
      </c>
      <c r="G108" s="389" t="s">
        <v>3183</v>
      </c>
      <c r="H108" s="390" t="s">
        <v>1894</v>
      </c>
      <c r="I108" s="391" t="s">
        <v>1894</v>
      </c>
      <c r="J108" s="353" t="s">
        <v>3188</v>
      </c>
      <c r="K108" s="355" t="s">
        <v>3192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3274</v>
      </c>
      <c r="B109" s="386" t="s">
        <v>3275</v>
      </c>
      <c r="C109" s="392" t="s">
        <v>3190</v>
      </c>
      <c r="D109" s="387" t="s">
        <v>3276</v>
      </c>
      <c r="E109" s="388" t="s">
        <v>3277</v>
      </c>
      <c r="F109" s="389" t="s">
        <v>3182</v>
      </c>
      <c r="G109" s="389" t="s">
        <v>3183</v>
      </c>
      <c r="H109" s="390" t="s">
        <v>1894</v>
      </c>
      <c r="I109" s="391" t="s">
        <v>1894</v>
      </c>
      <c r="J109" s="353" t="s">
        <v>3188</v>
      </c>
      <c r="K109" s="356" t="s">
        <v>3193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3274</v>
      </c>
      <c r="B110" s="393" t="s">
        <v>3275</v>
      </c>
      <c r="C110" s="394" t="s">
        <v>3190</v>
      </c>
      <c r="D110" s="395" t="s">
        <v>3276</v>
      </c>
      <c r="E110" s="411" t="s">
        <v>3277</v>
      </c>
      <c r="F110" s="396" t="s">
        <v>3182</v>
      </c>
      <c r="G110" s="396" t="s">
        <v>3183</v>
      </c>
      <c r="H110" s="397" t="s">
        <v>1894</v>
      </c>
      <c r="I110" s="899" t="s">
        <v>1894</v>
      </c>
      <c r="J110" s="353" t="s">
        <v>3188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3278</v>
      </c>
      <c r="B111" s="526" t="s">
        <v>3279</v>
      </c>
      <c r="C111" s="527">
        <v>1</v>
      </c>
      <c r="D111" s="528" t="s">
        <v>3280</v>
      </c>
      <c r="E111" s="426" t="s">
        <v>3281</v>
      </c>
      <c r="F111" s="529" t="s">
        <v>3182</v>
      </c>
      <c r="G111" s="529" t="s">
        <v>3183</v>
      </c>
      <c r="H111" s="530" t="s">
        <v>1896</v>
      </c>
      <c r="I111" s="384" t="s">
        <v>1896</v>
      </c>
      <c r="J111" s="353" t="s">
        <v>3188</v>
      </c>
      <c r="K111" s="354" t="s">
        <v>3189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3278</v>
      </c>
      <c r="B112" s="386" t="s">
        <v>3279</v>
      </c>
      <c r="C112" s="352" t="s">
        <v>3190</v>
      </c>
      <c r="D112" s="387" t="s">
        <v>3280</v>
      </c>
      <c r="E112" s="388" t="s">
        <v>3281</v>
      </c>
      <c r="F112" s="389" t="s">
        <v>3182</v>
      </c>
      <c r="G112" s="389" t="s">
        <v>3183</v>
      </c>
      <c r="H112" s="390" t="s">
        <v>1896</v>
      </c>
      <c r="I112" s="391" t="s">
        <v>1896</v>
      </c>
      <c r="J112" s="353" t="s">
        <v>3188</v>
      </c>
      <c r="K112" s="353" t="s">
        <v>3191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3278</v>
      </c>
      <c r="B113" s="386" t="s">
        <v>3279</v>
      </c>
      <c r="C113" s="392" t="s">
        <v>3190</v>
      </c>
      <c r="D113" s="387" t="s">
        <v>3280</v>
      </c>
      <c r="E113" s="388" t="s">
        <v>3281</v>
      </c>
      <c r="F113" s="389" t="s">
        <v>3182</v>
      </c>
      <c r="G113" s="389" t="s">
        <v>3183</v>
      </c>
      <c r="H113" s="390" t="s">
        <v>1896</v>
      </c>
      <c r="I113" s="391" t="s">
        <v>1896</v>
      </c>
      <c r="J113" s="353" t="s">
        <v>3188</v>
      </c>
      <c r="K113" s="355" t="s">
        <v>3192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3278</v>
      </c>
      <c r="B114" s="386" t="s">
        <v>3279</v>
      </c>
      <c r="C114" s="392" t="s">
        <v>3190</v>
      </c>
      <c r="D114" s="387" t="s">
        <v>3280</v>
      </c>
      <c r="E114" s="388" t="s">
        <v>3281</v>
      </c>
      <c r="F114" s="389" t="s">
        <v>3182</v>
      </c>
      <c r="G114" s="389" t="s">
        <v>3183</v>
      </c>
      <c r="H114" s="390" t="s">
        <v>1896</v>
      </c>
      <c r="I114" s="391" t="s">
        <v>1896</v>
      </c>
      <c r="J114" s="353" t="s">
        <v>3188</v>
      </c>
      <c r="K114" s="356" t="s">
        <v>3193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3278</v>
      </c>
      <c r="B115" s="393" t="s">
        <v>3279</v>
      </c>
      <c r="C115" s="394" t="s">
        <v>3190</v>
      </c>
      <c r="D115" s="395" t="s">
        <v>3280</v>
      </c>
      <c r="E115" s="411" t="s">
        <v>3281</v>
      </c>
      <c r="F115" s="396" t="s">
        <v>3182</v>
      </c>
      <c r="G115" s="396" t="s">
        <v>3183</v>
      </c>
      <c r="H115" s="397" t="s">
        <v>1896</v>
      </c>
      <c r="I115" s="899" t="s">
        <v>1896</v>
      </c>
      <c r="J115" s="353" t="s">
        <v>3188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3282</v>
      </c>
      <c r="B116" s="526" t="s">
        <v>3283</v>
      </c>
      <c r="C116" s="527">
        <v>1</v>
      </c>
      <c r="D116" s="528" t="s">
        <v>3284</v>
      </c>
      <c r="E116" s="426" t="s">
        <v>3285</v>
      </c>
      <c r="F116" s="529" t="s">
        <v>3182</v>
      </c>
      <c r="G116" s="529" t="s">
        <v>3183</v>
      </c>
      <c r="H116" s="530" t="s">
        <v>1899</v>
      </c>
      <c r="I116" s="384" t="s">
        <v>1899</v>
      </c>
      <c r="J116" s="353" t="s">
        <v>3188</v>
      </c>
      <c r="K116" s="354" t="s">
        <v>3189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3282</v>
      </c>
      <c r="B117" s="386" t="s">
        <v>3283</v>
      </c>
      <c r="C117" s="352" t="s">
        <v>3190</v>
      </c>
      <c r="D117" s="387" t="s">
        <v>3284</v>
      </c>
      <c r="E117" s="388" t="s">
        <v>3285</v>
      </c>
      <c r="F117" s="389" t="s">
        <v>3182</v>
      </c>
      <c r="G117" s="389" t="s">
        <v>3183</v>
      </c>
      <c r="H117" s="390" t="s">
        <v>1899</v>
      </c>
      <c r="I117" s="391" t="s">
        <v>1899</v>
      </c>
      <c r="J117" s="353" t="s">
        <v>3188</v>
      </c>
      <c r="K117" s="353" t="s">
        <v>3191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3282</v>
      </c>
      <c r="B118" s="386" t="s">
        <v>3283</v>
      </c>
      <c r="C118" s="392" t="s">
        <v>3190</v>
      </c>
      <c r="D118" s="387" t="s">
        <v>3284</v>
      </c>
      <c r="E118" s="388" t="s">
        <v>3285</v>
      </c>
      <c r="F118" s="389" t="s">
        <v>3182</v>
      </c>
      <c r="G118" s="389" t="s">
        <v>3183</v>
      </c>
      <c r="H118" s="390" t="s">
        <v>1899</v>
      </c>
      <c r="I118" s="391" t="s">
        <v>1899</v>
      </c>
      <c r="J118" s="353" t="s">
        <v>3188</v>
      </c>
      <c r="K118" s="355" t="s">
        <v>3192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3282</v>
      </c>
      <c r="B119" s="386" t="s">
        <v>3283</v>
      </c>
      <c r="C119" s="392" t="s">
        <v>3190</v>
      </c>
      <c r="D119" s="387" t="s">
        <v>3284</v>
      </c>
      <c r="E119" s="388" t="s">
        <v>3285</v>
      </c>
      <c r="F119" s="389" t="s">
        <v>3182</v>
      </c>
      <c r="G119" s="389" t="s">
        <v>3183</v>
      </c>
      <c r="H119" s="390" t="s">
        <v>1899</v>
      </c>
      <c r="I119" s="391" t="s">
        <v>1899</v>
      </c>
      <c r="J119" s="353" t="s">
        <v>3188</v>
      </c>
      <c r="K119" s="356" t="s">
        <v>3193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3282</v>
      </c>
      <c r="B120" s="393" t="s">
        <v>3283</v>
      </c>
      <c r="C120" s="394" t="s">
        <v>3190</v>
      </c>
      <c r="D120" s="395" t="s">
        <v>3284</v>
      </c>
      <c r="E120" s="411" t="s">
        <v>3285</v>
      </c>
      <c r="F120" s="396" t="s">
        <v>3182</v>
      </c>
      <c r="G120" s="396" t="s">
        <v>3183</v>
      </c>
      <c r="H120" s="397" t="s">
        <v>1899</v>
      </c>
      <c r="I120" s="899" t="s">
        <v>1899</v>
      </c>
      <c r="J120" s="353" t="s">
        <v>3188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3286</v>
      </c>
      <c r="B121" s="526" t="s">
        <v>3287</v>
      </c>
      <c r="C121" s="527">
        <v>2</v>
      </c>
      <c r="D121" s="528" t="s">
        <v>3288</v>
      </c>
      <c r="E121" s="426" t="s">
        <v>3289</v>
      </c>
      <c r="F121" s="529" t="s">
        <v>3182</v>
      </c>
      <c r="G121" s="529" t="s">
        <v>3183</v>
      </c>
      <c r="H121" s="530" t="s">
        <v>1900</v>
      </c>
      <c r="I121" s="384" t="s">
        <v>1900</v>
      </c>
      <c r="J121" s="353" t="s">
        <v>3241</v>
      </c>
      <c r="K121" s="354" t="s">
        <v>3189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3286</v>
      </c>
      <c r="B122" s="386" t="s">
        <v>3287</v>
      </c>
      <c r="C122" s="352" t="s">
        <v>3190</v>
      </c>
      <c r="D122" s="387" t="s">
        <v>3288</v>
      </c>
      <c r="E122" s="388" t="s">
        <v>3289</v>
      </c>
      <c r="F122" s="389" t="s">
        <v>3182</v>
      </c>
      <c r="G122" s="389" t="s">
        <v>3183</v>
      </c>
      <c r="H122" s="390" t="s">
        <v>1900</v>
      </c>
      <c r="I122" s="391" t="s">
        <v>1900</v>
      </c>
      <c r="J122" s="353" t="s">
        <v>3241</v>
      </c>
      <c r="K122" s="353" t="s">
        <v>3191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3286</v>
      </c>
      <c r="B123" s="386" t="s">
        <v>3287</v>
      </c>
      <c r="C123" s="392" t="s">
        <v>3190</v>
      </c>
      <c r="D123" s="387" t="s">
        <v>3288</v>
      </c>
      <c r="E123" s="388" t="s">
        <v>3289</v>
      </c>
      <c r="F123" s="389" t="s">
        <v>3182</v>
      </c>
      <c r="G123" s="389" t="s">
        <v>3183</v>
      </c>
      <c r="H123" s="390" t="s">
        <v>1900</v>
      </c>
      <c r="I123" s="391" t="s">
        <v>1900</v>
      </c>
      <c r="J123" s="353" t="s">
        <v>3241</v>
      </c>
      <c r="K123" s="355" t="s">
        <v>3192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3286</v>
      </c>
      <c r="B124" s="386" t="s">
        <v>3287</v>
      </c>
      <c r="C124" s="392" t="s">
        <v>3190</v>
      </c>
      <c r="D124" s="387" t="s">
        <v>3288</v>
      </c>
      <c r="E124" s="388" t="s">
        <v>3289</v>
      </c>
      <c r="F124" s="389" t="s">
        <v>3182</v>
      </c>
      <c r="G124" s="389" t="s">
        <v>3183</v>
      </c>
      <c r="H124" s="390" t="s">
        <v>1900</v>
      </c>
      <c r="I124" s="391" t="s">
        <v>1900</v>
      </c>
      <c r="J124" s="353" t="s">
        <v>3241</v>
      </c>
      <c r="K124" s="356" t="s">
        <v>3193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3286</v>
      </c>
      <c r="B125" s="393" t="s">
        <v>3287</v>
      </c>
      <c r="C125" s="394" t="s">
        <v>3190</v>
      </c>
      <c r="D125" s="395" t="s">
        <v>3288</v>
      </c>
      <c r="E125" s="411" t="s">
        <v>3289</v>
      </c>
      <c r="F125" s="396" t="s">
        <v>3182</v>
      </c>
      <c r="G125" s="396" t="s">
        <v>3183</v>
      </c>
      <c r="H125" s="397" t="s">
        <v>1900</v>
      </c>
      <c r="I125" s="899" t="s">
        <v>1900</v>
      </c>
      <c r="J125" s="353" t="s">
        <v>3241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3290</v>
      </c>
      <c r="B126" s="526" t="s">
        <v>3291</v>
      </c>
      <c r="C126" s="527">
        <v>1</v>
      </c>
      <c r="D126" s="528" t="s">
        <v>3292</v>
      </c>
      <c r="E126" s="426" t="s">
        <v>3293</v>
      </c>
      <c r="F126" s="529" t="s">
        <v>3182</v>
      </c>
      <c r="G126" s="529" t="s">
        <v>3183</v>
      </c>
      <c r="H126" s="530" t="s">
        <v>1904</v>
      </c>
      <c r="I126" s="384" t="s">
        <v>1904</v>
      </c>
      <c r="J126" s="353" t="s">
        <v>3188</v>
      </c>
      <c r="K126" s="354" t="s">
        <v>3189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3290</v>
      </c>
      <c r="B127" s="386" t="s">
        <v>3291</v>
      </c>
      <c r="C127" s="352" t="s">
        <v>3190</v>
      </c>
      <c r="D127" s="387" t="s">
        <v>3292</v>
      </c>
      <c r="E127" s="388" t="s">
        <v>3293</v>
      </c>
      <c r="F127" s="389" t="s">
        <v>3182</v>
      </c>
      <c r="G127" s="389" t="s">
        <v>3183</v>
      </c>
      <c r="H127" s="390" t="s">
        <v>1904</v>
      </c>
      <c r="I127" s="391" t="s">
        <v>1904</v>
      </c>
      <c r="J127" s="353" t="s">
        <v>3188</v>
      </c>
      <c r="K127" s="353" t="s">
        <v>3191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3290</v>
      </c>
      <c r="B128" s="386" t="s">
        <v>3291</v>
      </c>
      <c r="C128" s="392" t="s">
        <v>3190</v>
      </c>
      <c r="D128" s="387" t="s">
        <v>3292</v>
      </c>
      <c r="E128" s="388" t="s">
        <v>3293</v>
      </c>
      <c r="F128" s="389" t="s">
        <v>3182</v>
      </c>
      <c r="G128" s="389" t="s">
        <v>3183</v>
      </c>
      <c r="H128" s="390" t="s">
        <v>1904</v>
      </c>
      <c r="I128" s="391" t="s">
        <v>1904</v>
      </c>
      <c r="J128" s="353" t="s">
        <v>3188</v>
      </c>
      <c r="K128" s="355" t="s">
        <v>3192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3290</v>
      </c>
      <c r="B129" s="386" t="s">
        <v>3291</v>
      </c>
      <c r="C129" s="392" t="s">
        <v>3190</v>
      </c>
      <c r="D129" s="387" t="s">
        <v>3292</v>
      </c>
      <c r="E129" s="388" t="s">
        <v>3293</v>
      </c>
      <c r="F129" s="389" t="s">
        <v>3182</v>
      </c>
      <c r="G129" s="389" t="s">
        <v>3183</v>
      </c>
      <c r="H129" s="390" t="s">
        <v>1904</v>
      </c>
      <c r="I129" s="391" t="s">
        <v>1904</v>
      </c>
      <c r="J129" s="353" t="s">
        <v>3188</v>
      </c>
      <c r="K129" s="356" t="s">
        <v>3193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3290</v>
      </c>
      <c r="B130" s="393" t="s">
        <v>3291</v>
      </c>
      <c r="C130" s="394" t="s">
        <v>3190</v>
      </c>
      <c r="D130" s="395" t="s">
        <v>3292</v>
      </c>
      <c r="E130" s="411" t="s">
        <v>3293</v>
      </c>
      <c r="F130" s="396" t="s">
        <v>3182</v>
      </c>
      <c r="G130" s="396" t="s">
        <v>3183</v>
      </c>
      <c r="H130" s="397" t="s">
        <v>1904</v>
      </c>
      <c r="I130" s="899" t="s">
        <v>1904</v>
      </c>
      <c r="J130" s="353" t="s">
        <v>3188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3294</v>
      </c>
      <c r="B131" s="526" t="s">
        <v>3295</v>
      </c>
      <c r="C131" s="527">
        <v>4</v>
      </c>
      <c r="D131" s="528" t="s">
        <v>3296</v>
      </c>
      <c r="E131" s="426" t="s">
        <v>3297</v>
      </c>
      <c r="F131" s="529" t="s">
        <v>3182</v>
      </c>
      <c r="G131" s="529" t="s">
        <v>3183</v>
      </c>
      <c r="H131" s="530" t="s">
        <v>1906</v>
      </c>
      <c r="I131" s="384" t="s">
        <v>1906</v>
      </c>
      <c r="J131" s="353" t="s">
        <v>3188</v>
      </c>
      <c r="K131" s="354" t="s">
        <v>3189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3294</v>
      </c>
      <c r="B132" s="386" t="s">
        <v>3295</v>
      </c>
      <c r="C132" s="352" t="s">
        <v>3220</v>
      </c>
      <c r="D132" s="387" t="s">
        <v>3296</v>
      </c>
      <c r="E132" s="388" t="s">
        <v>3297</v>
      </c>
      <c r="F132" s="389" t="s">
        <v>3182</v>
      </c>
      <c r="G132" s="389" t="s">
        <v>3183</v>
      </c>
      <c r="H132" s="390" t="s">
        <v>1906</v>
      </c>
      <c r="I132" s="391" t="s">
        <v>1906</v>
      </c>
      <c r="J132" s="353" t="s">
        <v>3188</v>
      </c>
      <c r="K132" s="353" t="s">
        <v>3191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3294</v>
      </c>
      <c r="B133" s="386" t="s">
        <v>3295</v>
      </c>
      <c r="C133" s="392" t="s">
        <v>3220</v>
      </c>
      <c r="D133" s="387" t="s">
        <v>3296</v>
      </c>
      <c r="E133" s="388" t="s">
        <v>3297</v>
      </c>
      <c r="F133" s="389" t="s">
        <v>3182</v>
      </c>
      <c r="G133" s="389" t="s">
        <v>3183</v>
      </c>
      <c r="H133" s="390" t="s">
        <v>1906</v>
      </c>
      <c r="I133" s="391" t="s">
        <v>1906</v>
      </c>
      <c r="J133" s="353" t="s">
        <v>3188</v>
      </c>
      <c r="K133" s="355" t="s">
        <v>3192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3294</v>
      </c>
      <c r="B134" s="386" t="s">
        <v>3295</v>
      </c>
      <c r="C134" s="392" t="s">
        <v>3220</v>
      </c>
      <c r="D134" s="387" t="s">
        <v>3296</v>
      </c>
      <c r="E134" s="388" t="s">
        <v>3297</v>
      </c>
      <c r="F134" s="389" t="s">
        <v>3182</v>
      </c>
      <c r="G134" s="389" t="s">
        <v>3183</v>
      </c>
      <c r="H134" s="390" t="s">
        <v>1906</v>
      </c>
      <c r="I134" s="391" t="s">
        <v>1906</v>
      </c>
      <c r="J134" s="353" t="s">
        <v>3188</v>
      </c>
      <c r="K134" s="356" t="s">
        <v>3193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3294</v>
      </c>
      <c r="B135" s="393" t="s">
        <v>3295</v>
      </c>
      <c r="C135" s="394" t="s">
        <v>3220</v>
      </c>
      <c r="D135" s="395" t="s">
        <v>3296</v>
      </c>
      <c r="E135" s="411" t="s">
        <v>3297</v>
      </c>
      <c r="F135" s="396" t="s">
        <v>3182</v>
      </c>
      <c r="G135" s="396" t="s">
        <v>3183</v>
      </c>
      <c r="H135" s="397" t="s">
        <v>1906</v>
      </c>
      <c r="I135" s="899" t="s">
        <v>1906</v>
      </c>
      <c r="J135" s="353" t="s">
        <v>3188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3298</v>
      </c>
      <c r="B136" s="526" t="s">
        <v>3299</v>
      </c>
      <c r="C136" s="527">
        <v>1</v>
      </c>
      <c r="D136" s="528" t="s">
        <v>3300</v>
      </c>
      <c r="E136" s="426" t="s">
        <v>3301</v>
      </c>
      <c r="F136" s="529" t="s">
        <v>3182</v>
      </c>
      <c r="G136" s="529" t="s">
        <v>3183</v>
      </c>
      <c r="H136" s="530" t="s">
        <v>1907</v>
      </c>
      <c r="I136" s="384" t="s">
        <v>1907</v>
      </c>
      <c r="J136" s="353" t="s">
        <v>3188</v>
      </c>
      <c r="K136" s="354" t="s">
        <v>3189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3298</v>
      </c>
      <c r="B137" s="386" t="s">
        <v>3299</v>
      </c>
      <c r="C137" s="352" t="s">
        <v>3190</v>
      </c>
      <c r="D137" s="387" t="s">
        <v>3300</v>
      </c>
      <c r="E137" s="388" t="s">
        <v>3301</v>
      </c>
      <c r="F137" s="389" t="s">
        <v>3182</v>
      </c>
      <c r="G137" s="389" t="s">
        <v>3183</v>
      </c>
      <c r="H137" s="390" t="s">
        <v>1907</v>
      </c>
      <c r="I137" s="391" t="s">
        <v>1907</v>
      </c>
      <c r="J137" s="353" t="s">
        <v>3188</v>
      </c>
      <c r="K137" s="353" t="s">
        <v>3191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3298</v>
      </c>
      <c r="B138" s="386" t="s">
        <v>3299</v>
      </c>
      <c r="C138" s="392" t="s">
        <v>3190</v>
      </c>
      <c r="D138" s="387" t="s">
        <v>3300</v>
      </c>
      <c r="E138" s="388" t="s">
        <v>3301</v>
      </c>
      <c r="F138" s="389" t="s">
        <v>3182</v>
      </c>
      <c r="G138" s="389" t="s">
        <v>3183</v>
      </c>
      <c r="H138" s="390" t="s">
        <v>1907</v>
      </c>
      <c r="I138" s="391" t="s">
        <v>1907</v>
      </c>
      <c r="J138" s="353" t="s">
        <v>3188</v>
      </c>
      <c r="K138" s="355" t="s">
        <v>3192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3298</v>
      </c>
      <c r="B139" s="386" t="s">
        <v>3299</v>
      </c>
      <c r="C139" s="392" t="s">
        <v>3190</v>
      </c>
      <c r="D139" s="387" t="s">
        <v>3300</v>
      </c>
      <c r="E139" s="388" t="s">
        <v>3301</v>
      </c>
      <c r="F139" s="389" t="s">
        <v>3182</v>
      </c>
      <c r="G139" s="389" t="s">
        <v>3183</v>
      </c>
      <c r="H139" s="390" t="s">
        <v>1907</v>
      </c>
      <c r="I139" s="391" t="s">
        <v>1907</v>
      </c>
      <c r="J139" s="353" t="s">
        <v>3188</v>
      </c>
      <c r="K139" s="356" t="s">
        <v>3193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3298</v>
      </c>
      <c r="B140" s="393" t="s">
        <v>3299</v>
      </c>
      <c r="C140" s="394" t="s">
        <v>3190</v>
      </c>
      <c r="D140" s="395" t="s">
        <v>3300</v>
      </c>
      <c r="E140" s="411" t="s">
        <v>3301</v>
      </c>
      <c r="F140" s="396" t="s">
        <v>3182</v>
      </c>
      <c r="G140" s="396" t="s">
        <v>3183</v>
      </c>
      <c r="H140" s="397" t="s">
        <v>1907</v>
      </c>
      <c r="I140" s="899" t="s">
        <v>1907</v>
      </c>
      <c r="J140" s="353" t="s">
        <v>3188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3302</v>
      </c>
      <c r="B141" s="526" t="s">
        <v>3303</v>
      </c>
      <c r="C141" s="527">
        <v>1</v>
      </c>
      <c r="D141" s="528" t="s">
        <v>3304</v>
      </c>
      <c r="E141" s="426" t="s">
        <v>3305</v>
      </c>
      <c r="F141" s="529" t="s">
        <v>3182</v>
      </c>
      <c r="G141" s="529" t="s">
        <v>3183</v>
      </c>
      <c r="H141" s="530" t="s">
        <v>1908</v>
      </c>
      <c r="I141" s="384" t="s">
        <v>1908</v>
      </c>
      <c r="J141" s="353" t="s">
        <v>3188</v>
      </c>
      <c r="K141" s="354" t="s">
        <v>3189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3302</v>
      </c>
      <c r="B142" s="386" t="s">
        <v>3303</v>
      </c>
      <c r="C142" s="352" t="s">
        <v>3190</v>
      </c>
      <c r="D142" s="387" t="s">
        <v>3304</v>
      </c>
      <c r="E142" s="388" t="s">
        <v>3305</v>
      </c>
      <c r="F142" s="389" t="s">
        <v>3182</v>
      </c>
      <c r="G142" s="389" t="s">
        <v>3183</v>
      </c>
      <c r="H142" s="390" t="s">
        <v>1908</v>
      </c>
      <c r="I142" s="391" t="s">
        <v>1908</v>
      </c>
      <c r="J142" s="353" t="s">
        <v>3188</v>
      </c>
      <c r="K142" s="353" t="s">
        <v>3191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3302</v>
      </c>
      <c r="B143" s="386" t="s">
        <v>3303</v>
      </c>
      <c r="C143" s="392" t="s">
        <v>3190</v>
      </c>
      <c r="D143" s="387" t="s">
        <v>3304</v>
      </c>
      <c r="E143" s="388" t="s">
        <v>3305</v>
      </c>
      <c r="F143" s="389" t="s">
        <v>3182</v>
      </c>
      <c r="G143" s="389" t="s">
        <v>3183</v>
      </c>
      <c r="H143" s="390" t="s">
        <v>1908</v>
      </c>
      <c r="I143" s="391" t="s">
        <v>1908</v>
      </c>
      <c r="J143" s="353" t="s">
        <v>3188</v>
      </c>
      <c r="K143" s="355" t="s">
        <v>3192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3302</v>
      </c>
      <c r="B144" s="386" t="s">
        <v>3303</v>
      </c>
      <c r="C144" s="392" t="s">
        <v>3190</v>
      </c>
      <c r="D144" s="387" t="s">
        <v>3304</v>
      </c>
      <c r="E144" s="388" t="s">
        <v>3305</v>
      </c>
      <c r="F144" s="389" t="s">
        <v>3182</v>
      </c>
      <c r="G144" s="389" t="s">
        <v>3183</v>
      </c>
      <c r="H144" s="390" t="s">
        <v>1908</v>
      </c>
      <c r="I144" s="391" t="s">
        <v>1908</v>
      </c>
      <c r="J144" s="353" t="s">
        <v>3188</v>
      </c>
      <c r="K144" s="356" t="s">
        <v>3193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3302</v>
      </c>
      <c r="B145" s="393" t="s">
        <v>3303</v>
      </c>
      <c r="C145" s="394" t="s">
        <v>3190</v>
      </c>
      <c r="D145" s="395" t="s">
        <v>3304</v>
      </c>
      <c r="E145" s="411" t="s">
        <v>3305</v>
      </c>
      <c r="F145" s="396" t="s">
        <v>3182</v>
      </c>
      <c r="G145" s="396" t="s">
        <v>3183</v>
      </c>
      <c r="H145" s="397" t="s">
        <v>1908</v>
      </c>
      <c r="I145" s="899" t="s">
        <v>1908</v>
      </c>
      <c r="J145" s="353" t="s">
        <v>3188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3306</v>
      </c>
      <c r="B146" s="526" t="s">
        <v>3307</v>
      </c>
      <c r="C146" s="527">
        <v>1</v>
      </c>
      <c r="D146" s="528" t="s">
        <v>3308</v>
      </c>
      <c r="E146" s="426" t="s">
        <v>3309</v>
      </c>
      <c r="F146" s="529" t="s">
        <v>3182</v>
      </c>
      <c r="G146" s="529" t="s">
        <v>3183</v>
      </c>
      <c r="H146" s="530" t="s">
        <v>1909</v>
      </c>
      <c r="I146" s="384" t="s">
        <v>1909</v>
      </c>
      <c r="J146" s="353" t="s">
        <v>3188</v>
      </c>
      <c r="K146" s="354" t="s">
        <v>3189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3306</v>
      </c>
      <c r="B147" s="386" t="s">
        <v>3307</v>
      </c>
      <c r="C147" s="352" t="s">
        <v>3190</v>
      </c>
      <c r="D147" s="387" t="s">
        <v>3308</v>
      </c>
      <c r="E147" s="388" t="s">
        <v>3309</v>
      </c>
      <c r="F147" s="389" t="s">
        <v>3182</v>
      </c>
      <c r="G147" s="389" t="s">
        <v>3183</v>
      </c>
      <c r="H147" s="390" t="s">
        <v>1909</v>
      </c>
      <c r="I147" s="391" t="s">
        <v>1909</v>
      </c>
      <c r="J147" s="353" t="s">
        <v>3188</v>
      </c>
      <c r="K147" s="353" t="s">
        <v>3191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3306</v>
      </c>
      <c r="B148" s="386" t="s">
        <v>3307</v>
      </c>
      <c r="C148" s="392" t="s">
        <v>3190</v>
      </c>
      <c r="D148" s="387" t="s">
        <v>3308</v>
      </c>
      <c r="E148" s="388" t="s">
        <v>3309</v>
      </c>
      <c r="F148" s="389" t="s">
        <v>3182</v>
      </c>
      <c r="G148" s="389" t="s">
        <v>3183</v>
      </c>
      <c r="H148" s="390" t="s">
        <v>1909</v>
      </c>
      <c r="I148" s="391" t="s">
        <v>1909</v>
      </c>
      <c r="J148" s="353" t="s">
        <v>3188</v>
      </c>
      <c r="K148" s="355" t="s">
        <v>3192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3306</v>
      </c>
      <c r="B149" s="386" t="s">
        <v>3307</v>
      </c>
      <c r="C149" s="392" t="s">
        <v>3190</v>
      </c>
      <c r="D149" s="387" t="s">
        <v>3308</v>
      </c>
      <c r="E149" s="388" t="s">
        <v>3309</v>
      </c>
      <c r="F149" s="389" t="s">
        <v>3182</v>
      </c>
      <c r="G149" s="389" t="s">
        <v>3183</v>
      </c>
      <c r="H149" s="390" t="s">
        <v>1909</v>
      </c>
      <c r="I149" s="391" t="s">
        <v>1909</v>
      </c>
      <c r="J149" s="353" t="s">
        <v>3188</v>
      </c>
      <c r="K149" s="356" t="s">
        <v>3193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3306</v>
      </c>
      <c r="B150" s="393" t="s">
        <v>3307</v>
      </c>
      <c r="C150" s="394" t="s">
        <v>3190</v>
      </c>
      <c r="D150" s="395" t="s">
        <v>3308</v>
      </c>
      <c r="E150" s="411" t="s">
        <v>3309</v>
      </c>
      <c r="F150" s="396" t="s">
        <v>3182</v>
      </c>
      <c r="G150" s="396" t="s">
        <v>3183</v>
      </c>
      <c r="H150" s="397" t="s">
        <v>1909</v>
      </c>
      <c r="I150" s="899" t="s">
        <v>1909</v>
      </c>
      <c r="J150" s="353" t="s">
        <v>3188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3310</v>
      </c>
      <c r="B151" s="526" t="s">
        <v>3311</v>
      </c>
      <c r="C151" s="527">
        <v>1</v>
      </c>
      <c r="D151" s="528" t="s">
        <v>3312</v>
      </c>
      <c r="E151" s="426" t="s">
        <v>3313</v>
      </c>
      <c r="F151" s="529" t="s">
        <v>3182</v>
      </c>
      <c r="G151" s="529" t="s">
        <v>3183</v>
      </c>
      <c r="H151" s="530" t="s">
        <v>1910</v>
      </c>
      <c r="I151" s="384" t="s">
        <v>1910</v>
      </c>
      <c r="J151" s="353" t="s">
        <v>3188</v>
      </c>
      <c r="K151" s="354" t="s">
        <v>3189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3310</v>
      </c>
      <c r="B152" s="386" t="s">
        <v>3311</v>
      </c>
      <c r="C152" s="352" t="s">
        <v>3190</v>
      </c>
      <c r="D152" s="387" t="s">
        <v>3312</v>
      </c>
      <c r="E152" s="388" t="s">
        <v>3313</v>
      </c>
      <c r="F152" s="389" t="s">
        <v>3182</v>
      </c>
      <c r="G152" s="389" t="s">
        <v>3183</v>
      </c>
      <c r="H152" s="390" t="s">
        <v>1910</v>
      </c>
      <c r="I152" s="391" t="s">
        <v>1910</v>
      </c>
      <c r="J152" s="353" t="s">
        <v>3188</v>
      </c>
      <c r="K152" s="353" t="s">
        <v>3191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3310</v>
      </c>
      <c r="B153" s="386" t="s">
        <v>3311</v>
      </c>
      <c r="C153" s="392" t="s">
        <v>3190</v>
      </c>
      <c r="D153" s="387" t="s">
        <v>3312</v>
      </c>
      <c r="E153" s="388" t="s">
        <v>3313</v>
      </c>
      <c r="F153" s="389" t="s">
        <v>3182</v>
      </c>
      <c r="G153" s="389" t="s">
        <v>3183</v>
      </c>
      <c r="H153" s="390" t="s">
        <v>1910</v>
      </c>
      <c r="I153" s="391" t="s">
        <v>1910</v>
      </c>
      <c r="J153" s="353" t="s">
        <v>3188</v>
      </c>
      <c r="K153" s="355" t="s">
        <v>3192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3310</v>
      </c>
      <c r="B154" s="386" t="s">
        <v>3311</v>
      </c>
      <c r="C154" s="392" t="s">
        <v>3190</v>
      </c>
      <c r="D154" s="387" t="s">
        <v>3312</v>
      </c>
      <c r="E154" s="388" t="s">
        <v>3313</v>
      </c>
      <c r="F154" s="389" t="s">
        <v>3182</v>
      </c>
      <c r="G154" s="389" t="s">
        <v>3183</v>
      </c>
      <c r="H154" s="390" t="s">
        <v>1910</v>
      </c>
      <c r="I154" s="391" t="s">
        <v>1910</v>
      </c>
      <c r="J154" s="353" t="s">
        <v>3188</v>
      </c>
      <c r="K154" s="356" t="s">
        <v>3193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3310</v>
      </c>
      <c r="B155" s="393" t="s">
        <v>3311</v>
      </c>
      <c r="C155" s="394" t="s">
        <v>3190</v>
      </c>
      <c r="D155" s="395" t="s">
        <v>3312</v>
      </c>
      <c r="E155" s="411" t="s">
        <v>3313</v>
      </c>
      <c r="F155" s="396" t="s">
        <v>3182</v>
      </c>
      <c r="G155" s="396" t="s">
        <v>3183</v>
      </c>
      <c r="H155" s="397" t="s">
        <v>1910</v>
      </c>
      <c r="I155" s="899" t="s">
        <v>1910</v>
      </c>
      <c r="J155" s="353" t="s">
        <v>3188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3314</v>
      </c>
      <c r="B156" s="526" t="s">
        <v>3315</v>
      </c>
      <c r="C156" s="527">
        <v>3</v>
      </c>
      <c r="D156" s="528" t="s">
        <v>3316</v>
      </c>
      <c r="E156" s="426" t="s">
        <v>3317</v>
      </c>
      <c r="F156" s="529" t="s">
        <v>3182</v>
      </c>
      <c r="G156" s="529" t="s">
        <v>3183</v>
      </c>
      <c r="H156" s="530" t="s">
        <v>1911</v>
      </c>
      <c r="I156" s="384" t="s">
        <v>1911</v>
      </c>
      <c r="J156" s="353" t="s">
        <v>3198</v>
      </c>
      <c r="K156" s="354" t="s">
        <v>3189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3314</v>
      </c>
      <c r="B157" s="386" t="s">
        <v>3315</v>
      </c>
      <c r="C157" s="352" t="s">
        <v>3199</v>
      </c>
      <c r="D157" s="387" t="s">
        <v>3316</v>
      </c>
      <c r="E157" s="388" t="s">
        <v>3317</v>
      </c>
      <c r="F157" s="389" t="s">
        <v>3182</v>
      </c>
      <c r="G157" s="389" t="s">
        <v>3183</v>
      </c>
      <c r="H157" s="390" t="s">
        <v>1911</v>
      </c>
      <c r="I157" s="391" t="s">
        <v>1911</v>
      </c>
      <c r="J157" s="353" t="s">
        <v>3198</v>
      </c>
      <c r="K157" s="353" t="s">
        <v>3191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3314</v>
      </c>
      <c r="B158" s="386" t="s">
        <v>3315</v>
      </c>
      <c r="C158" s="392" t="s">
        <v>3199</v>
      </c>
      <c r="D158" s="387" t="s">
        <v>3316</v>
      </c>
      <c r="E158" s="388" t="s">
        <v>3317</v>
      </c>
      <c r="F158" s="389" t="s">
        <v>3182</v>
      </c>
      <c r="G158" s="389" t="s">
        <v>3183</v>
      </c>
      <c r="H158" s="390" t="s">
        <v>1911</v>
      </c>
      <c r="I158" s="391" t="s">
        <v>1911</v>
      </c>
      <c r="J158" s="353" t="s">
        <v>3198</v>
      </c>
      <c r="K158" s="355" t="s">
        <v>3192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3314</v>
      </c>
      <c r="B159" s="386" t="s">
        <v>3315</v>
      </c>
      <c r="C159" s="392" t="s">
        <v>3199</v>
      </c>
      <c r="D159" s="387" t="s">
        <v>3316</v>
      </c>
      <c r="E159" s="388" t="s">
        <v>3317</v>
      </c>
      <c r="F159" s="389" t="s">
        <v>3182</v>
      </c>
      <c r="G159" s="389" t="s">
        <v>3183</v>
      </c>
      <c r="H159" s="390" t="s">
        <v>1911</v>
      </c>
      <c r="I159" s="391" t="s">
        <v>1911</v>
      </c>
      <c r="J159" s="353" t="s">
        <v>3198</v>
      </c>
      <c r="K159" s="356" t="s">
        <v>3193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3314</v>
      </c>
      <c r="B160" s="393" t="s">
        <v>3315</v>
      </c>
      <c r="C160" s="394" t="s">
        <v>3199</v>
      </c>
      <c r="D160" s="395" t="s">
        <v>3316</v>
      </c>
      <c r="E160" s="411" t="s">
        <v>3317</v>
      </c>
      <c r="F160" s="396" t="s">
        <v>3182</v>
      </c>
      <c r="G160" s="396" t="s">
        <v>3183</v>
      </c>
      <c r="H160" s="397" t="s">
        <v>1911</v>
      </c>
      <c r="I160" s="899" t="s">
        <v>1911</v>
      </c>
      <c r="J160" s="353" t="s">
        <v>3198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3318</v>
      </c>
      <c r="B161" s="526" t="s">
        <v>3319</v>
      </c>
      <c r="C161" s="527">
        <v>1</v>
      </c>
      <c r="D161" s="528" t="s">
        <v>3320</v>
      </c>
      <c r="E161" s="426" t="s">
        <v>3321</v>
      </c>
      <c r="F161" s="529" t="s">
        <v>3182</v>
      </c>
      <c r="G161" s="529" t="s">
        <v>3183</v>
      </c>
      <c r="H161" s="530" t="s">
        <v>1912</v>
      </c>
      <c r="I161" s="384" t="s">
        <v>1912</v>
      </c>
      <c r="J161" s="353" t="s">
        <v>3188</v>
      </c>
      <c r="K161" s="354" t="s">
        <v>3189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3318</v>
      </c>
      <c r="B162" s="386" t="s">
        <v>3319</v>
      </c>
      <c r="C162" s="352" t="s">
        <v>3190</v>
      </c>
      <c r="D162" s="387" t="s">
        <v>3320</v>
      </c>
      <c r="E162" s="388" t="s">
        <v>3321</v>
      </c>
      <c r="F162" s="389" t="s">
        <v>3182</v>
      </c>
      <c r="G162" s="389" t="s">
        <v>3183</v>
      </c>
      <c r="H162" s="390" t="s">
        <v>1912</v>
      </c>
      <c r="I162" s="391" t="s">
        <v>1912</v>
      </c>
      <c r="J162" s="353" t="s">
        <v>3188</v>
      </c>
      <c r="K162" s="353" t="s">
        <v>3191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3318</v>
      </c>
      <c r="B163" s="386" t="s">
        <v>3319</v>
      </c>
      <c r="C163" s="392" t="s">
        <v>3190</v>
      </c>
      <c r="D163" s="387" t="s">
        <v>3320</v>
      </c>
      <c r="E163" s="388" t="s">
        <v>3321</v>
      </c>
      <c r="F163" s="389" t="s">
        <v>3182</v>
      </c>
      <c r="G163" s="389" t="s">
        <v>3183</v>
      </c>
      <c r="H163" s="390" t="s">
        <v>1912</v>
      </c>
      <c r="I163" s="391" t="s">
        <v>1912</v>
      </c>
      <c r="J163" s="353" t="s">
        <v>3188</v>
      </c>
      <c r="K163" s="355" t="s">
        <v>3192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3318</v>
      </c>
      <c r="B164" s="386" t="s">
        <v>3319</v>
      </c>
      <c r="C164" s="392" t="s">
        <v>3190</v>
      </c>
      <c r="D164" s="387" t="s">
        <v>3320</v>
      </c>
      <c r="E164" s="388" t="s">
        <v>3321</v>
      </c>
      <c r="F164" s="389" t="s">
        <v>3182</v>
      </c>
      <c r="G164" s="389" t="s">
        <v>3183</v>
      </c>
      <c r="H164" s="390" t="s">
        <v>1912</v>
      </c>
      <c r="I164" s="391" t="s">
        <v>1912</v>
      </c>
      <c r="J164" s="353" t="s">
        <v>3188</v>
      </c>
      <c r="K164" s="356" t="s">
        <v>3193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3318</v>
      </c>
      <c r="B165" s="393" t="s">
        <v>3319</v>
      </c>
      <c r="C165" s="394" t="s">
        <v>3190</v>
      </c>
      <c r="D165" s="395" t="s">
        <v>3320</v>
      </c>
      <c r="E165" s="411" t="s">
        <v>3321</v>
      </c>
      <c r="F165" s="396" t="s">
        <v>3182</v>
      </c>
      <c r="G165" s="396" t="s">
        <v>3183</v>
      </c>
      <c r="H165" s="397" t="s">
        <v>1912</v>
      </c>
      <c r="I165" s="899" t="s">
        <v>1912</v>
      </c>
      <c r="J165" s="353" t="s">
        <v>3188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3322</v>
      </c>
      <c r="B166" s="526" t="s">
        <v>3323</v>
      </c>
      <c r="C166" s="527">
        <v>1</v>
      </c>
      <c r="D166" s="528" t="s">
        <v>3324</v>
      </c>
      <c r="E166" s="426" t="s">
        <v>3325</v>
      </c>
      <c r="F166" s="529" t="s">
        <v>3182</v>
      </c>
      <c r="G166" s="529" t="s">
        <v>3183</v>
      </c>
      <c r="H166" s="530" t="s">
        <v>1913</v>
      </c>
      <c r="I166" s="384" t="s">
        <v>1913</v>
      </c>
      <c r="J166" s="353" t="s">
        <v>3188</v>
      </c>
      <c r="K166" s="354" t="s">
        <v>3189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3322</v>
      </c>
      <c r="B167" s="386" t="s">
        <v>3323</v>
      </c>
      <c r="C167" s="352" t="s">
        <v>3190</v>
      </c>
      <c r="D167" s="387" t="s">
        <v>3324</v>
      </c>
      <c r="E167" s="388" t="s">
        <v>3325</v>
      </c>
      <c r="F167" s="389" t="s">
        <v>3182</v>
      </c>
      <c r="G167" s="389" t="s">
        <v>3183</v>
      </c>
      <c r="H167" s="390" t="s">
        <v>1913</v>
      </c>
      <c r="I167" s="391" t="s">
        <v>1913</v>
      </c>
      <c r="J167" s="353" t="s">
        <v>3188</v>
      </c>
      <c r="K167" s="353" t="s">
        <v>3191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3322</v>
      </c>
      <c r="B168" s="386" t="s">
        <v>3323</v>
      </c>
      <c r="C168" s="392" t="s">
        <v>3190</v>
      </c>
      <c r="D168" s="387" t="s">
        <v>3324</v>
      </c>
      <c r="E168" s="388" t="s">
        <v>3325</v>
      </c>
      <c r="F168" s="389" t="s">
        <v>3182</v>
      </c>
      <c r="G168" s="389" t="s">
        <v>3183</v>
      </c>
      <c r="H168" s="390" t="s">
        <v>1913</v>
      </c>
      <c r="I168" s="391" t="s">
        <v>1913</v>
      </c>
      <c r="J168" s="353" t="s">
        <v>3188</v>
      </c>
      <c r="K168" s="355" t="s">
        <v>3192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3322</v>
      </c>
      <c r="B169" s="386" t="s">
        <v>3323</v>
      </c>
      <c r="C169" s="392" t="s">
        <v>3190</v>
      </c>
      <c r="D169" s="387" t="s">
        <v>3324</v>
      </c>
      <c r="E169" s="388" t="s">
        <v>3325</v>
      </c>
      <c r="F169" s="389" t="s">
        <v>3182</v>
      </c>
      <c r="G169" s="389" t="s">
        <v>3183</v>
      </c>
      <c r="H169" s="390" t="s">
        <v>1913</v>
      </c>
      <c r="I169" s="391" t="s">
        <v>1913</v>
      </c>
      <c r="J169" s="353" t="s">
        <v>3188</v>
      </c>
      <c r="K169" s="356" t="s">
        <v>3193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3322</v>
      </c>
      <c r="B170" s="393" t="s">
        <v>3323</v>
      </c>
      <c r="C170" s="394" t="s">
        <v>3190</v>
      </c>
      <c r="D170" s="395" t="s">
        <v>3324</v>
      </c>
      <c r="E170" s="411" t="s">
        <v>3325</v>
      </c>
      <c r="F170" s="396" t="s">
        <v>3182</v>
      </c>
      <c r="G170" s="396" t="s">
        <v>3183</v>
      </c>
      <c r="H170" s="397" t="s">
        <v>1913</v>
      </c>
      <c r="I170" s="899" t="s">
        <v>1913</v>
      </c>
      <c r="J170" s="353" t="s">
        <v>3188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3326</v>
      </c>
      <c r="B171" s="526" t="s">
        <v>3327</v>
      </c>
      <c r="C171" s="527">
        <v>1</v>
      </c>
      <c r="D171" s="528" t="s">
        <v>3328</v>
      </c>
      <c r="E171" s="426" t="s">
        <v>3329</v>
      </c>
      <c r="F171" s="529" t="s">
        <v>3182</v>
      </c>
      <c r="G171" s="529" t="s">
        <v>3183</v>
      </c>
      <c r="H171" s="530" t="s">
        <v>1915</v>
      </c>
      <c r="I171" s="384" t="s">
        <v>1915</v>
      </c>
      <c r="J171" s="353" t="s">
        <v>3188</v>
      </c>
      <c r="K171" s="354" t="s">
        <v>3189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3326</v>
      </c>
      <c r="B172" s="386" t="s">
        <v>3327</v>
      </c>
      <c r="C172" s="352" t="s">
        <v>3190</v>
      </c>
      <c r="D172" s="387" t="s">
        <v>3328</v>
      </c>
      <c r="E172" s="388" t="s">
        <v>3329</v>
      </c>
      <c r="F172" s="389" t="s">
        <v>3182</v>
      </c>
      <c r="G172" s="389" t="s">
        <v>3183</v>
      </c>
      <c r="H172" s="390" t="s">
        <v>1915</v>
      </c>
      <c r="I172" s="391" t="s">
        <v>1915</v>
      </c>
      <c r="J172" s="353" t="s">
        <v>3188</v>
      </c>
      <c r="K172" s="353" t="s">
        <v>3191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3326</v>
      </c>
      <c r="B173" s="386" t="s">
        <v>3327</v>
      </c>
      <c r="C173" s="392" t="s">
        <v>3190</v>
      </c>
      <c r="D173" s="387" t="s">
        <v>3328</v>
      </c>
      <c r="E173" s="388" t="s">
        <v>3329</v>
      </c>
      <c r="F173" s="389" t="s">
        <v>3182</v>
      </c>
      <c r="G173" s="389" t="s">
        <v>3183</v>
      </c>
      <c r="H173" s="390" t="s">
        <v>1915</v>
      </c>
      <c r="I173" s="391" t="s">
        <v>1915</v>
      </c>
      <c r="J173" s="353" t="s">
        <v>3188</v>
      </c>
      <c r="K173" s="355" t="s">
        <v>3192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3326</v>
      </c>
      <c r="B174" s="386" t="s">
        <v>3327</v>
      </c>
      <c r="C174" s="392" t="s">
        <v>3190</v>
      </c>
      <c r="D174" s="387" t="s">
        <v>3328</v>
      </c>
      <c r="E174" s="388" t="s">
        <v>3329</v>
      </c>
      <c r="F174" s="389" t="s">
        <v>3182</v>
      </c>
      <c r="G174" s="389" t="s">
        <v>3183</v>
      </c>
      <c r="H174" s="390" t="s">
        <v>1915</v>
      </c>
      <c r="I174" s="391" t="s">
        <v>1915</v>
      </c>
      <c r="J174" s="353" t="s">
        <v>3188</v>
      </c>
      <c r="K174" s="356" t="s">
        <v>3193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3326</v>
      </c>
      <c r="B175" s="393" t="s">
        <v>3327</v>
      </c>
      <c r="C175" s="394" t="s">
        <v>3190</v>
      </c>
      <c r="D175" s="395" t="s">
        <v>3328</v>
      </c>
      <c r="E175" s="411" t="s">
        <v>3329</v>
      </c>
      <c r="F175" s="396" t="s">
        <v>3182</v>
      </c>
      <c r="G175" s="396" t="s">
        <v>3183</v>
      </c>
      <c r="H175" s="397" t="s">
        <v>1915</v>
      </c>
      <c r="I175" s="899" t="s">
        <v>1915</v>
      </c>
      <c r="J175" s="353" t="s">
        <v>3188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3330</v>
      </c>
      <c r="B176" s="526" t="s">
        <v>3331</v>
      </c>
      <c r="C176" s="527">
        <v>1</v>
      </c>
      <c r="D176" s="528" t="s">
        <v>3332</v>
      </c>
      <c r="E176" s="426" t="s">
        <v>3333</v>
      </c>
      <c r="F176" s="529" t="s">
        <v>3182</v>
      </c>
      <c r="G176" s="529" t="s">
        <v>3183</v>
      </c>
      <c r="H176" s="530" t="s">
        <v>1916</v>
      </c>
      <c r="I176" s="384" t="s">
        <v>1916</v>
      </c>
      <c r="J176" s="353" t="s">
        <v>3188</v>
      </c>
      <c r="K176" s="354" t="s">
        <v>3189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3330</v>
      </c>
      <c r="B177" s="386" t="s">
        <v>3331</v>
      </c>
      <c r="C177" s="352" t="s">
        <v>3190</v>
      </c>
      <c r="D177" s="387" t="s">
        <v>3332</v>
      </c>
      <c r="E177" s="388" t="s">
        <v>3333</v>
      </c>
      <c r="F177" s="389" t="s">
        <v>3182</v>
      </c>
      <c r="G177" s="389" t="s">
        <v>3183</v>
      </c>
      <c r="H177" s="390" t="s">
        <v>1916</v>
      </c>
      <c r="I177" s="391" t="s">
        <v>1916</v>
      </c>
      <c r="J177" s="353" t="s">
        <v>3188</v>
      </c>
      <c r="K177" s="353" t="s">
        <v>3191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3330</v>
      </c>
      <c r="B178" s="386" t="s">
        <v>3331</v>
      </c>
      <c r="C178" s="392" t="s">
        <v>3190</v>
      </c>
      <c r="D178" s="387" t="s">
        <v>3332</v>
      </c>
      <c r="E178" s="388" t="s">
        <v>3333</v>
      </c>
      <c r="F178" s="389" t="s">
        <v>3182</v>
      </c>
      <c r="G178" s="389" t="s">
        <v>3183</v>
      </c>
      <c r="H178" s="390" t="s">
        <v>1916</v>
      </c>
      <c r="I178" s="391" t="s">
        <v>1916</v>
      </c>
      <c r="J178" s="353" t="s">
        <v>3188</v>
      </c>
      <c r="K178" s="355" t="s">
        <v>3192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3330</v>
      </c>
      <c r="B179" s="386" t="s">
        <v>3331</v>
      </c>
      <c r="C179" s="392" t="s">
        <v>3190</v>
      </c>
      <c r="D179" s="387" t="s">
        <v>3332</v>
      </c>
      <c r="E179" s="388" t="s">
        <v>3333</v>
      </c>
      <c r="F179" s="389" t="s">
        <v>3182</v>
      </c>
      <c r="G179" s="389" t="s">
        <v>3183</v>
      </c>
      <c r="H179" s="390" t="s">
        <v>1916</v>
      </c>
      <c r="I179" s="391" t="s">
        <v>1916</v>
      </c>
      <c r="J179" s="353" t="s">
        <v>3188</v>
      </c>
      <c r="K179" s="356" t="s">
        <v>3193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3330</v>
      </c>
      <c r="B180" s="393" t="s">
        <v>3331</v>
      </c>
      <c r="C180" s="394" t="s">
        <v>3190</v>
      </c>
      <c r="D180" s="395" t="s">
        <v>3332</v>
      </c>
      <c r="E180" s="411" t="s">
        <v>3333</v>
      </c>
      <c r="F180" s="396" t="s">
        <v>3182</v>
      </c>
      <c r="G180" s="396" t="s">
        <v>3183</v>
      </c>
      <c r="H180" s="397" t="s">
        <v>1916</v>
      </c>
      <c r="I180" s="899" t="s">
        <v>1916</v>
      </c>
      <c r="J180" s="353" t="s">
        <v>3188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3334</v>
      </c>
      <c r="B181" s="526" t="s">
        <v>3335</v>
      </c>
      <c r="C181" s="527">
        <v>1</v>
      </c>
      <c r="D181" s="528" t="s">
        <v>3336</v>
      </c>
      <c r="E181" s="426" t="s">
        <v>3337</v>
      </c>
      <c r="F181" s="529" t="s">
        <v>3182</v>
      </c>
      <c r="G181" s="529" t="s">
        <v>3183</v>
      </c>
      <c r="H181" s="530" t="s">
        <v>1917</v>
      </c>
      <c r="I181" s="384" t="s">
        <v>1917</v>
      </c>
      <c r="J181" s="353" t="s">
        <v>3188</v>
      </c>
      <c r="K181" s="354" t="s">
        <v>3189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3334</v>
      </c>
      <c r="B182" s="386" t="s">
        <v>3335</v>
      </c>
      <c r="C182" s="352" t="s">
        <v>3190</v>
      </c>
      <c r="D182" s="387" t="s">
        <v>3336</v>
      </c>
      <c r="E182" s="388" t="s">
        <v>3337</v>
      </c>
      <c r="F182" s="389" t="s">
        <v>3182</v>
      </c>
      <c r="G182" s="389" t="s">
        <v>3183</v>
      </c>
      <c r="H182" s="390" t="s">
        <v>1917</v>
      </c>
      <c r="I182" s="391" t="s">
        <v>1917</v>
      </c>
      <c r="J182" s="353" t="s">
        <v>3188</v>
      </c>
      <c r="K182" s="353" t="s">
        <v>3191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3334</v>
      </c>
      <c r="B183" s="386" t="s">
        <v>3335</v>
      </c>
      <c r="C183" s="392" t="s">
        <v>3190</v>
      </c>
      <c r="D183" s="387" t="s">
        <v>3336</v>
      </c>
      <c r="E183" s="388" t="s">
        <v>3337</v>
      </c>
      <c r="F183" s="389" t="s">
        <v>3182</v>
      </c>
      <c r="G183" s="389" t="s">
        <v>3183</v>
      </c>
      <c r="H183" s="390" t="s">
        <v>1917</v>
      </c>
      <c r="I183" s="391" t="s">
        <v>1917</v>
      </c>
      <c r="J183" s="353" t="s">
        <v>3188</v>
      </c>
      <c r="K183" s="355" t="s">
        <v>3192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3334</v>
      </c>
      <c r="B184" s="386" t="s">
        <v>3335</v>
      </c>
      <c r="C184" s="392" t="s">
        <v>3190</v>
      </c>
      <c r="D184" s="387" t="s">
        <v>3336</v>
      </c>
      <c r="E184" s="388" t="s">
        <v>3337</v>
      </c>
      <c r="F184" s="389" t="s">
        <v>3182</v>
      </c>
      <c r="G184" s="389" t="s">
        <v>3183</v>
      </c>
      <c r="H184" s="390" t="s">
        <v>1917</v>
      </c>
      <c r="I184" s="391" t="s">
        <v>1917</v>
      </c>
      <c r="J184" s="353" t="s">
        <v>3188</v>
      </c>
      <c r="K184" s="356" t="s">
        <v>3193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3334</v>
      </c>
      <c r="B185" s="393" t="s">
        <v>3335</v>
      </c>
      <c r="C185" s="394" t="s">
        <v>3190</v>
      </c>
      <c r="D185" s="395" t="s">
        <v>3336</v>
      </c>
      <c r="E185" s="411" t="s">
        <v>3337</v>
      </c>
      <c r="F185" s="396" t="s">
        <v>3182</v>
      </c>
      <c r="G185" s="396" t="s">
        <v>3183</v>
      </c>
      <c r="H185" s="397" t="s">
        <v>1917</v>
      </c>
      <c r="I185" s="899" t="s">
        <v>1917</v>
      </c>
      <c r="J185" s="353" t="s">
        <v>3188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3338</v>
      </c>
      <c r="B186" s="526" t="s">
        <v>3339</v>
      </c>
      <c r="C186" s="527">
        <v>1</v>
      </c>
      <c r="D186" s="528" t="s">
        <v>3340</v>
      </c>
      <c r="E186" s="426" t="s">
        <v>3341</v>
      </c>
      <c r="F186" s="529" t="s">
        <v>3182</v>
      </c>
      <c r="G186" s="529" t="s">
        <v>3183</v>
      </c>
      <c r="H186" s="530" t="s">
        <v>1921</v>
      </c>
      <c r="I186" s="384" t="s">
        <v>1921</v>
      </c>
      <c r="J186" s="353" t="s">
        <v>3188</v>
      </c>
      <c r="K186" s="354" t="s">
        <v>3189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3338</v>
      </c>
      <c r="B187" s="386" t="s">
        <v>3339</v>
      </c>
      <c r="C187" s="352" t="s">
        <v>3190</v>
      </c>
      <c r="D187" s="387" t="s">
        <v>3340</v>
      </c>
      <c r="E187" s="388" t="s">
        <v>3341</v>
      </c>
      <c r="F187" s="389" t="s">
        <v>3182</v>
      </c>
      <c r="G187" s="389" t="s">
        <v>3183</v>
      </c>
      <c r="H187" s="390" t="s">
        <v>1921</v>
      </c>
      <c r="I187" s="391" t="s">
        <v>1921</v>
      </c>
      <c r="J187" s="353" t="s">
        <v>3188</v>
      </c>
      <c r="K187" s="353" t="s">
        <v>3191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3338</v>
      </c>
      <c r="B188" s="386" t="s">
        <v>3339</v>
      </c>
      <c r="C188" s="392" t="s">
        <v>3190</v>
      </c>
      <c r="D188" s="387" t="s">
        <v>3340</v>
      </c>
      <c r="E188" s="388" t="s">
        <v>3341</v>
      </c>
      <c r="F188" s="389" t="s">
        <v>3182</v>
      </c>
      <c r="G188" s="389" t="s">
        <v>3183</v>
      </c>
      <c r="H188" s="390" t="s">
        <v>1921</v>
      </c>
      <c r="I188" s="391" t="s">
        <v>1921</v>
      </c>
      <c r="J188" s="353" t="s">
        <v>3188</v>
      </c>
      <c r="K188" s="355" t="s">
        <v>3192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3338</v>
      </c>
      <c r="B189" s="386" t="s">
        <v>3339</v>
      </c>
      <c r="C189" s="392" t="s">
        <v>3190</v>
      </c>
      <c r="D189" s="387" t="s">
        <v>3340</v>
      </c>
      <c r="E189" s="388" t="s">
        <v>3341</v>
      </c>
      <c r="F189" s="389" t="s">
        <v>3182</v>
      </c>
      <c r="G189" s="389" t="s">
        <v>3183</v>
      </c>
      <c r="H189" s="390" t="s">
        <v>1921</v>
      </c>
      <c r="I189" s="391" t="s">
        <v>1921</v>
      </c>
      <c r="J189" s="353" t="s">
        <v>3188</v>
      </c>
      <c r="K189" s="356" t="s">
        <v>3193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3338</v>
      </c>
      <c r="B190" s="393" t="s">
        <v>3339</v>
      </c>
      <c r="C190" s="394" t="s">
        <v>3190</v>
      </c>
      <c r="D190" s="395" t="s">
        <v>3340</v>
      </c>
      <c r="E190" s="411" t="s">
        <v>3341</v>
      </c>
      <c r="F190" s="396" t="s">
        <v>3182</v>
      </c>
      <c r="G190" s="396" t="s">
        <v>3183</v>
      </c>
      <c r="H190" s="397" t="s">
        <v>1921</v>
      </c>
      <c r="I190" s="899" t="s">
        <v>1921</v>
      </c>
      <c r="J190" s="353" t="s">
        <v>3188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3342</v>
      </c>
      <c r="B191" s="526" t="s">
        <v>3343</v>
      </c>
      <c r="C191" s="527">
        <v>1</v>
      </c>
      <c r="D191" s="528" t="s">
        <v>3344</v>
      </c>
      <c r="E191" s="426" t="s">
        <v>3345</v>
      </c>
      <c r="F191" s="529" t="s">
        <v>3182</v>
      </c>
      <c r="G191" s="529" t="s">
        <v>3183</v>
      </c>
      <c r="H191" s="530" t="s">
        <v>1923</v>
      </c>
      <c r="I191" s="384" t="s">
        <v>1923</v>
      </c>
      <c r="J191" s="353" t="s">
        <v>3188</v>
      </c>
      <c r="K191" s="354" t="s">
        <v>3189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3342</v>
      </c>
      <c r="B192" s="386" t="s">
        <v>3343</v>
      </c>
      <c r="C192" s="352" t="s">
        <v>3190</v>
      </c>
      <c r="D192" s="387" t="s">
        <v>3344</v>
      </c>
      <c r="E192" s="388" t="s">
        <v>3345</v>
      </c>
      <c r="F192" s="389" t="s">
        <v>3182</v>
      </c>
      <c r="G192" s="389" t="s">
        <v>3183</v>
      </c>
      <c r="H192" s="390" t="s">
        <v>1923</v>
      </c>
      <c r="I192" s="391" t="s">
        <v>1923</v>
      </c>
      <c r="J192" s="353" t="s">
        <v>3188</v>
      </c>
      <c r="K192" s="353" t="s">
        <v>3191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3342</v>
      </c>
      <c r="B193" s="386" t="s">
        <v>3343</v>
      </c>
      <c r="C193" s="392" t="s">
        <v>3190</v>
      </c>
      <c r="D193" s="387" t="s">
        <v>3344</v>
      </c>
      <c r="E193" s="388" t="s">
        <v>3345</v>
      </c>
      <c r="F193" s="389" t="s">
        <v>3182</v>
      </c>
      <c r="G193" s="389" t="s">
        <v>3183</v>
      </c>
      <c r="H193" s="390" t="s">
        <v>1923</v>
      </c>
      <c r="I193" s="391" t="s">
        <v>1923</v>
      </c>
      <c r="J193" s="353" t="s">
        <v>3188</v>
      </c>
      <c r="K193" s="355" t="s">
        <v>3192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3342</v>
      </c>
      <c r="B194" s="386" t="s">
        <v>3343</v>
      </c>
      <c r="C194" s="392" t="s">
        <v>3190</v>
      </c>
      <c r="D194" s="387" t="s">
        <v>3344</v>
      </c>
      <c r="E194" s="388" t="s">
        <v>3345</v>
      </c>
      <c r="F194" s="389" t="s">
        <v>3182</v>
      </c>
      <c r="G194" s="389" t="s">
        <v>3183</v>
      </c>
      <c r="H194" s="390" t="s">
        <v>1923</v>
      </c>
      <c r="I194" s="391" t="s">
        <v>1923</v>
      </c>
      <c r="J194" s="353" t="s">
        <v>3188</v>
      </c>
      <c r="K194" s="356" t="s">
        <v>3193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3342</v>
      </c>
      <c r="B195" s="393" t="s">
        <v>3343</v>
      </c>
      <c r="C195" s="394" t="s">
        <v>3190</v>
      </c>
      <c r="D195" s="395" t="s">
        <v>3344</v>
      </c>
      <c r="E195" s="411" t="s">
        <v>3345</v>
      </c>
      <c r="F195" s="396" t="s">
        <v>3182</v>
      </c>
      <c r="G195" s="396" t="s">
        <v>3183</v>
      </c>
      <c r="H195" s="397" t="s">
        <v>1923</v>
      </c>
      <c r="I195" s="899" t="s">
        <v>1923</v>
      </c>
      <c r="J195" s="353" t="s">
        <v>3188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3346</v>
      </c>
      <c r="B196" s="526" t="s">
        <v>3347</v>
      </c>
      <c r="C196" s="527">
        <v>1</v>
      </c>
      <c r="D196" s="528" t="s">
        <v>3348</v>
      </c>
      <c r="E196" s="426" t="s">
        <v>3349</v>
      </c>
      <c r="F196" s="529" t="s">
        <v>3182</v>
      </c>
      <c r="G196" s="529" t="s">
        <v>3183</v>
      </c>
      <c r="H196" s="530" t="s">
        <v>1924</v>
      </c>
      <c r="I196" s="384" t="s">
        <v>1924</v>
      </c>
      <c r="J196" s="353" t="s">
        <v>3188</v>
      </c>
      <c r="K196" s="354" t="s">
        <v>3189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3346</v>
      </c>
      <c r="B197" s="386" t="s">
        <v>3347</v>
      </c>
      <c r="C197" s="352" t="s">
        <v>3190</v>
      </c>
      <c r="D197" s="387" t="s">
        <v>3348</v>
      </c>
      <c r="E197" s="388" t="s">
        <v>3349</v>
      </c>
      <c r="F197" s="389" t="s">
        <v>3182</v>
      </c>
      <c r="G197" s="389" t="s">
        <v>3183</v>
      </c>
      <c r="H197" s="390" t="s">
        <v>1924</v>
      </c>
      <c r="I197" s="391" t="s">
        <v>1924</v>
      </c>
      <c r="J197" s="353" t="s">
        <v>3188</v>
      </c>
      <c r="K197" s="353" t="s">
        <v>3191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3346</v>
      </c>
      <c r="B198" s="386" t="s">
        <v>3347</v>
      </c>
      <c r="C198" s="392" t="s">
        <v>3190</v>
      </c>
      <c r="D198" s="387" t="s">
        <v>3348</v>
      </c>
      <c r="E198" s="388" t="s">
        <v>3349</v>
      </c>
      <c r="F198" s="389" t="s">
        <v>3182</v>
      </c>
      <c r="G198" s="389" t="s">
        <v>3183</v>
      </c>
      <c r="H198" s="390" t="s">
        <v>1924</v>
      </c>
      <c r="I198" s="391" t="s">
        <v>1924</v>
      </c>
      <c r="J198" s="353" t="s">
        <v>3188</v>
      </c>
      <c r="K198" s="355" t="s">
        <v>3192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3346</v>
      </c>
      <c r="B199" s="386" t="s">
        <v>3347</v>
      </c>
      <c r="C199" s="392" t="s">
        <v>3190</v>
      </c>
      <c r="D199" s="387" t="s">
        <v>3348</v>
      </c>
      <c r="E199" s="388" t="s">
        <v>3349</v>
      </c>
      <c r="F199" s="389" t="s">
        <v>3182</v>
      </c>
      <c r="G199" s="389" t="s">
        <v>3183</v>
      </c>
      <c r="H199" s="390" t="s">
        <v>1924</v>
      </c>
      <c r="I199" s="391" t="s">
        <v>1924</v>
      </c>
      <c r="J199" s="353" t="s">
        <v>3188</v>
      </c>
      <c r="K199" s="356" t="s">
        <v>3193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3346</v>
      </c>
      <c r="B200" s="393" t="s">
        <v>3347</v>
      </c>
      <c r="C200" s="394" t="s">
        <v>3190</v>
      </c>
      <c r="D200" s="395" t="s">
        <v>3348</v>
      </c>
      <c r="E200" s="411" t="s">
        <v>3349</v>
      </c>
      <c r="F200" s="396" t="s">
        <v>3182</v>
      </c>
      <c r="G200" s="396" t="s">
        <v>3183</v>
      </c>
      <c r="H200" s="397" t="s">
        <v>1924</v>
      </c>
      <c r="I200" s="899" t="s">
        <v>1924</v>
      </c>
      <c r="J200" s="353" t="s">
        <v>3188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3350</v>
      </c>
      <c r="B201" s="526" t="s">
        <v>3351</v>
      </c>
      <c r="C201" s="527">
        <v>3</v>
      </c>
      <c r="D201" s="528" t="s">
        <v>3352</v>
      </c>
      <c r="E201" s="426" t="s">
        <v>3353</v>
      </c>
      <c r="F201" s="529" t="s">
        <v>3182</v>
      </c>
      <c r="G201" s="529" t="s">
        <v>3183</v>
      </c>
      <c r="H201" s="530" t="s">
        <v>1928</v>
      </c>
      <c r="I201" s="384" t="s">
        <v>1928</v>
      </c>
      <c r="J201" s="353" t="s">
        <v>3198</v>
      </c>
      <c r="K201" s="354" t="s">
        <v>3189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3350</v>
      </c>
      <c r="B202" s="386" t="s">
        <v>3351</v>
      </c>
      <c r="C202" s="352" t="s">
        <v>3199</v>
      </c>
      <c r="D202" s="387" t="s">
        <v>3352</v>
      </c>
      <c r="E202" s="388" t="s">
        <v>3353</v>
      </c>
      <c r="F202" s="389" t="s">
        <v>3182</v>
      </c>
      <c r="G202" s="389" t="s">
        <v>3183</v>
      </c>
      <c r="H202" s="390" t="s">
        <v>1928</v>
      </c>
      <c r="I202" s="391" t="s">
        <v>1928</v>
      </c>
      <c r="J202" s="353" t="s">
        <v>3198</v>
      </c>
      <c r="K202" s="353" t="s">
        <v>3191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3350</v>
      </c>
      <c r="B203" s="386" t="s">
        <v>3351</v>
      </c>
      <c r="C203" s="392" t="s">
        <v>3199</v>
      </c>
      <c r="D203" s="387" t="s">
        <v>3352</v>
      </c>
      <c r="E203" s="388" t="s">
        <v>3353</v>
      </c>
      <c r="F203" s="389" t="s">
        <v>3182</v>
      </c>
      <c r="G203" s="389" t="s">
        <v>3183</v>
      </c>
      <c r="H203" s="390" t="s">
        <v>1928</v>
      </c>
      <c r="I203" s="391" t="s">
        <v>1928</v>
      </c>
      <c r="J203" s="353" t="s">
        <v>3198</v>
      </c>
      <c r="K203" s="355" t="s">
        <v>3192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3350</v>
      </c>
      <c r="B204" s="386" t="s">
        <v>3351</v>
      </c>
      <c r="C204" s="392" t="s">
        <v>3199</v>
      </c>
      <c r="D204" s="387" t="s">
        <v>3352</v>
      </c>
      <c r="E204" s="388" t="s">
        <v>3353</v>
      </c>
      <c r="F204" s="389" t="s">
        <v>3182</v>
      </c>
      <c r="G204" s="389" t="s">
        <v>3183</v>
      </c>
      <c r="H204" s="390" t="s">
        <v>1928</v>
      </c>
      <c r="I204" s="391" t="s">
        <v>1928</v>
      </c>
      <c r="J204" s="353" t="s">
        <v>3198</v>
      </c>
      <c r="K204" s="356" t="s">
        <v>3193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3350</v>
      </c>
      <c r="B205" s="393" t="s">
        <v>3351</v>
      </c>
      <c r="C205" s="394" t="s">
        <v>3199</v>
      </c>
      <c r="D205" s="395" t="s">
        <v>3352</v>
      </c>
      <c r="E205" s="411" t="s">
        <v>3353</v>
      </c>
      <c r="F205" s="396" t="s">
        <v>3182</v>
      </c>
      <c r="G205" s="396" t="s">
        <v>3183</v>
      </c>
      <c r="H205" s="397" t="s">
        <v>1928</v>
      </c>
      <c r="I205" s="899" t="s">
        <v>1928</v>
      </c>
      <c r="J205" s="353" t="s">
        <v>3198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3354</v>
      </c>
      <c r="B206" s="526" t="s">
        <v>3355</v>
      </c>
      <c r="C206" s="527">
        <v>1</v>
      </c>
      <c r="D206" s="528" t="s">
        <v>3356</v>
      </c>
      <c r="E206" s="426" t="s">
        <v>3357</v>
      </c>
      <c r="F206" s="529" t="s">
        <v>3182</v>
      </c>
      <c r="G206" s="529">
        <v>46140</v>
      </c>
      <c r="H206" s="530" t="s">
        <v>1931</v>
      </c>
      <c r="I206" s="384" t="s">
        <v>1931</v>
      </c>
      <c r="J206" s="353" t="s">
        <v>3188</v>
      </c>
      <c r="K206" s="354" t="s">
        <v>3189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3354</v>
      </c>
      <c r="B207" s="386" t="s">
        <v>3355</v>
      </c>
      <c r="C207" s="352" t="s">
        <v>3190</v>
      </c>
      <c r="D207" s="387" t="s">
        <v>3356</v>
      </c>
      <c r="E207" s="388" t="s">
        <v>3357</v>
      </c>
      <c r="F207" s="389" t="s">
        <v>3182</v>
      </c>
      <c r="G207" s="389" t="s">
        <v>3183</v>
      </c>
      <c r="H207" s="390" t="s">
        <v>1931</v>
      </c>
      <c r="I207" s="391" t="s">
        <v>1931</v>
      </c>
      <c r="J207" s="353" t="s">
        <v>3188</v>
      </c>
      <c r="K207" s="353" t="s">
        <v>3191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3354</v>
      </c>
      <c r="B208" s="386" t="s">
        <v>3355</v>
      </c>
      <c r="C208" s="392" t="s">
        <v>3190</v>
      </c>
      <c r="D208" s="387" t="s">
        <v>3356</v>
      </c>
      <c r="E208" s="388" t="s">
        <v>3357</v>
      </c>
      <c r="F208" s="389" t="s">
        <v>3182</v>
      </c>
      <c r="G208" s="389" t="s">
        <v>3183</v>
      </c>
      <c r="H208" s="390" t="s">
        <v>1931</v>
      </c>
      <c r="I208" s="391" t="s">
        <v>1931</v>
      </c>
      <c r="J208" s="353" t="s">
        <v>3188</v>
      </c>
      <c r="K208" s="355" t="s">
        <v>3192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3354</v>
      </c>
      <c r="B209" s="386" t="s">
        <v>3355</v>
      </c>
      <c r="C209" s="392" t="s">
        <v>3190</v>
      </c>
      <c r="D209" s="387" t="s">
        <v>3356</v>
      </c>
      <c r="E209" s="388" t="s">
        <v>3357</v>
      </c>
      <c r="F209" s="389" t="s">
        <v>3182</v>
      </c>
      <c r="G209" s="389" t="s">
        <v>3183</v>
      </c>
      <c r="H209" s="390" t="s">
        <v>1931</v>
      </c>
      <c r="I209" s="391" t="s">
        <v>1931</v>
      </c>
      <c r="J209" s="353" t="s">
        <v>3188</v>
      </c>
      <c r="K209" s="356" t="s">
        <v>3193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3354</v>
      </c>
      <c r="B210" s="393" t="s">
        <v>3355</v>
      </c>
      <c r="C210" s="394" t="s">
        <v>3190</v>
      </c>
      <c r="D210" s="395" t="s">
        <v>3356</v>
      </c>
      <c r="E210" s="411" t="s">
        <v>3357</v>
      </c>
      <c r="F210" s="396" t="s">
        <v>3182</v>
      </c>
      <c r="G210" s="396" t="s">
        <v>3183</v>
      </c>
      <c r="H210" s="397" t="s">
        <v>1931</v>
      </c>
      <c r="I210" s="899" t="s">
        <v>1931</v>
      </c>
      <c r="J210" s="353" t="s">
        <v>3188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3358</v>
      </c>
      <c r="B211" s="526" t="s">
        <v>3359</v>
      </c>
      <c r="C211" s="527">
        <v>1</v>
      </c>
      <c r="D211" s="528" t="s">
        <v>3360</v>
      </c>
      <c r="E211" s="426" t="s">
        <v>3361</v>
      </c>
      <c r="F211" s="529" t="s">
        <v>3182</v>
      </c>
      <c r="G211" s="529" t="s">
        <v>3183</v>
      </c>
      <c r="H211" s="530" t="s">
        <v>1933</v>
      </c>
      <c r="I211" s="384" t="s">
        <v>1933</v>
      </c>
      <c r="J211" s="353" t="s">
        <v>3188</v>
      </c>
      <c r="K211" s="354" t="s">
        <v>3189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3358</v>
      </c>
      <c r="B212" s="386" t="s">
        <v>3359</v>
      </c>
      <c r="C212" s="352" t="s">
        <v>3190</v>
      </c>
      <c r="D212" s="387" t="s">
        <v>3360</v>
      </c>
      <c r="E212" s="388" t="s">
        <v>3361</v>
      </c>
      <c r="F212" s="389" t="s">
        <v>3182</v>
      </c>
      <c r="G212" s="389" t="s">
        <v>3183</v>
      </c>
      <c r="H212" s="390" t="s">
        <v>1933</v>
      </c>
      <c r="I212" s="391" t="s">
        <v>1933</v>
      </c>
      <c r="J212" s="353" t="s">
        <v>3188</v>
      </c>
      <c r="K212" s="353" t="s">
        <v>3191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3358</v>
      </c>
      <c r="B213" s="386" t="s">
        <v>3359</v>
      </c>
      <c r="C213" s="392" t="s">
        <v>3190</v>
      </c>
      <c r="D213" s="387" t="s">
        <v>3360</v>
      </c>
      <c r="E213" s="388" t="s">
        <v>3361</v>
      </c>
      <c r="F213" s="389" t="s">
        <v>3182</v>
      </c>
      <c r="G213" s="389" t="s">
        <v>3183</v>
      </c>
      <c r="H213" s="390" t="s">
        <v>1933</v>
      </c>
      <c r="I213" s="391" t="s">
        <v>1933</v>
      </c>
      <c r="J213" s="353" t="s">
        <v>3188</v>
      </c>
      <c r="K213" s="355" t="s">
        <v>3192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3358</v>
      </c>
      <c r="B214" s="386" t="s">
        <v>3359</v>
      </c>
      <c r="C214" s="392" t="s">
        <v>3190</v>
      </c>
      <c r="D214" s="387" t="s">
        <v>3360</v>
      </c>
      <c r="E214" s="388" t="s">
        <v>3361</v>
      </c>
      <c r="F214" s="389" t="s">
        <v>3182</v>
      </c>
      <c r="G214" s="389" t="s">
        <v>3183</v>
      </c>
      <c r="H214" s="390" t="s">
        <v>1933</v>
      </c>
      <c r="I214" s="391" t="s">
        <v>1933</v>
      </c>
      <c r="J214" s="353" t="s">
        <v>3188</v>
      </c>
      <c r="K214" s="356" t="s">
        <v>3193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3358</v>
      </c>
      <c r="B215" s="393" t="s">
        <v>3359</v>
      </c>
      <c r="C215" s="394" t="s">
        <v>3190</v>
      </c>
      <c r="D215" s="395" t="s">
        <v>3360</v>
      </c>
      <c r="E215" s="411" t="s">
        <v>3361</v>
      </c>
      <c r="F215" s="396" t="s">
        <v>3182</v>
      </c>
      <c r="G215" s="396" t="s">
        <v>3183</v>
      </c>
      <c r="H215" s="397" t="s">
        <v>1933</v>
      </c>
      <c r="I215" s="899" t="s">
        <v>1933</v>
      </c>
      <c r="J215" s="353" t="s">
        <v>3188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3362</v>
      </c>
      <c r="B216" s="526" t="s">
        <v>3363</v>
      </c>
      <c r="C216" s="527">
        <v>3</v>
      </c>
      <c r="D216" s="528" t="s">
        <v>3364</v>
      </c>
      <c r="E216" s="426" t="s">
        <v>3365</v>
      </c>
      <c r="F216" s="529" t="s">
        <v>3182</v>
      </c>
      <c r="G216" s="529" t="s">
        <v>3183</v>
      </c>
      <c r="H216" s="530" t="s">
        <v>1934</v>
      </c>
      <c r="I216" s="384" t="s">
        <v>1934</v>
      </c>
      <c r="J216" s="353" t="s">
        <v>3198</v>
      </c>
      <c r="K216" s="354" t="s">
        <v>3189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3362</v>
      </c>
      <c r="B217" s="386" t="s">
        <v>3363</v>
      </c>
      <c r="C217" s="352" t="s">
        <v>3199</v>
      </c>
      <c r="D217" s="387" t="s">
        <v>3364</v>
      </c>
      <c r="E217" s="388" t="s">
        <v>3365</v>
      </c>
      <c r="F217" s="389" t="s">
        <v>3182</v>
      </c>
      <c r="G217" s="389" t="s">
        <v>3183</v>
      </c>
      <c r="H217" s="390" t="s">
        <v>1934</v>
      </c>
      <c r="I217" s="391" t="s">
        <v>1934</v>
      </c>
      <c r="J217" s="353" t="s">
        <v>3198</v>
      </c>
      <c r="K217" s="353" t="s">
        <v>3191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3362</v>
      </c>
      <c r="B218" s="386" t="s">
        <v>3363</v>
      </c>
      <c r="C218" s="392" t="s">
        <v>3199</v>
      </c>
      <c r="D218" s="387" t="s">
        <v>3364</v>
      </c>
      <c r="E218" s="388" t="s">
        <v>3365</v>
      </c>
      <c r="F218" s="389" t="s">
        <v>3182</v>
      </c>
      <c r="G218" s="389" t="s">
        <v>3183</v>
      </c>
      <c r="H218" s="390" t="s">
        <v>1934</v>
      </c>
      <c r="I218" s="391" t="s">
        <v>1934</v>
      </c>
      <c r="J218" s="353" t="s">
        <v>3198</v>
      </c>
      <c r="K218" s="355" t="s">
        <v>3192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3362</v>
      </c>
      <c r="B219" s="386" t="s">
        <v>3363</v>
      </c>
      <c r="C219" s="392" t="s">
        <v>3199</v>
      </c>
      <c r="D219" s="387" t="s">
        <v>3364</v>
      </c>
      <c r="E219" s="388" t="s">
        <v>3365</v>
      </c>
      <c r="F219" s="389" t="s">
        <v>3182</v>
      </c>
      <c r="G219" s="389" t="s">
        <v>3183</v>
      </c>
      <c r="H219" s="390" t="s">
        <v>1934</v>
      </c>
      <c r="I219" s="391" t="s">
        <v>1934</v>
      </c>
      <c r="J219" s="353" t="s">
        <v>3198</v>
      </c>
      <c r="K219" s="356" t="s">
        <v>3193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3362</v>
      </c>
      <c r="B220" s="393" t="s">
        <v>3363</v>
      </c>
      <c r="C220" s="394" t="s">
        <v>3199</v>
      </c>
      <c r="D220" s="395" t="s">
        <v>3364</v>
      </c>
      <c r="E220" s="411" t="s">
        <v>3365</v>
      </c>
      <c r="F220" s="396" t="s">
        <v>3182</v>
      </c>
      <c r="G220" s="396" t="s">
        <v>3183</v>
      </c>
      <c r="H220" s="397" t="s">
        <v>1934</v>
      </c>
      <c r="I220" s="899" t="s">
        <v>1934</v>
      </c>
      <c r="J220" s="353" t="s">
        <v>3198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3366</v>
      </c>
      <c r="B221" s="526" t="s">
        <v>3367</v>
      </c>
      <c r="C221" s="527">
        <v>1</v>
      </c>
      <c r="D221" s="528" t="s">
        <v>3368</v>
      </c>
      <c r="E221" s="426" t="s">
        <v>3369</v>
      </c>
      <c r="F221" s="529" t="s">
        <v>3182</v>
      </c>
      <c r="G221" s="529" t="s">
        <v>3183</v>
      </c>
      <c r="H221" s="530" t="s">
        <v>1936</v>
      </c>
      <c r="I221" s="384" t="s">
        <v>1936</v>
      </c>
      <c r="J221" s="353" t="s">
        <v>3188</v>
      </c>
      <c r="K221" s="354" t="s">
        <v>3189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3366</v>
      </c>
      <c r="B222" s="386" t="s">
        <v>3367</v>
      </c>
      <c r="C222" s="352" t="s">
        <v>3190</v>
      </c>
      <c r="D222" s="387" t="s">
        <v>3368</v>
      </c>
      <c r="E222" s="388" t="s">
        <v>3369</v>
      </c>
      <c r="F222" s="389" t="s">
        <v>3182</v>
      </c>
      <c r="G222" s="389" t="s">
        <v>3183</v>
      </c>
      <c r="H222" s="390" t="s">
        <v>1936</v>
      </c>
      <c r="I222" s="391" t="s">
        <v>1936</v>
      </c>
      <c r="J222" s="353" t="s">
        <v>3188</v>
      </c>
      <c r="K222" s="353" t="s">
        <v>3191</v>
      </c>
      <c r="L222" s="400"/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3366</v>
      </c>
      <c r="B223" s="386" t="s">
        <v>3367</v>
      </c>
      <c r="C223" s="392" t="s">
        <v>3190</v>
      </c>
      <c r="D223" s="387" t="s">
        <v>3368</v>
      </c>
      <c r="E223" s="388" t="s">
        <v>3369</v>
      </c>
      <c r="F223" s="389" t="s">
        <v>3182</v>
      </c>
      <c r="G223" s="389" t="s">
        <v>3183</v>
      </c>
      <c r="H223" s="390" t="s">
        <v>1936</v>
      </c>
      <c r="I223" s="391" t="s">
        <v>1936</v>
      </c>
      <c r="J223" s="353" t="s">
        <v>3188</v>
      </c>
      <c r="K223" s="355" t="s">
        <v>3192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3366</v>
      </c>
      <c r="B224" s="386" t="s">
        <v>3367</v>
      </c>
      <c r="C224" s="392" t="s">
        <v>3190</v>
      </c>
      <c r="D224" s="387" t="s">
        <v>3368</v>
      </c>
      <c r="E224" s="388" t="s">
        <v>3369</v>
      </c>
      <c r="F224" s="389" t="s">
        <v>3182</v>
      </c>
      <c r="G224" s="389" t="s">
        <v>3183</v>
      </c>
      <c r="H224" s="390" t="s">
        <v>1936</v>
      </c>
      <c r="I224" s="391" t="s">
        <v>1936</v>
      </c>
      <c r="J224" s="353" t="s">
        <v>3188</v>
      </c>
      <c r="K224" s="356" t="s">
        <v>3193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3366</v>
      </c>
      <c r="B225" s="393" t="s">
        <v>3367</v>
      </c>
      <c r="C225" s="394" t="s">
        <v>3190</v>
      </c>
      <c r="D225" s="395" t="s">
        <v>3368</v>
      </c>
      <c r="E225" s="411" t="s">
        <v>3369</v>
      </c>
      <c r="F225" s="396" t="s">
        <v>3182</v>
      </c>
      <c r="G225" s="396" t="s">
        <v>3183</v>
      </c>
      <c r="H225" s="397" t="s">
        <v>1936</v>
      </c>
      <c r="I225" s="899" t="s">
        <v>1936</v>
      </c>
      <c r="J225" s="353" t="s">
        <v>3188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3370</v>
      </c>
      <c r="B226" s="526" t="s">
        <v>3371</v>
      </c>
      <c r="C226" s="527">
        <v>3</v>
      </c>
      <c r="D226" s="528" t="s">
        <v>3372</v>
      </c>
      <c r="E226" s="426" t="s">
        <v>3373</v>
      </c>
      <c r="F226" s="529" t="s">
        <v>3182</v>
      </c>
      <c r="G226" s="529" t="s">
        <v>3183</v>
      </c>
      <c r="H226" s="530" t="s">
        <v>1937</v>
      </c>
      <c r="I226" s="384" t="s">
        <v>1937</v>
      </c>
      <c r="J226" s="353" t="s">
        <v>3198</v>
      </c>
      <c r="K226" s="354" t="s">
        <v>3189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3370</v>
      </c>
      <c r="B227" s="386" t="s">
        <v>3371</v>
      </c>
      <c r="C227" s="352" t="s">
        <v>3199</v>
      </c>
      <c r="D227" s="387" t="s">
        <v>3372</v>
      </c>
      <c r="E227" s="388" t="s">
        <v>3373</v>
      </c>
      <c r="F227" s="389" t="s">
        <v>3182</v>
      </c>
      <c r="G227" s="389" t="s">
        <v>3183</v>
      </c>
      <c r="H227" s="390" t="s">
        <v>1937</v>
      </c>
      <c r="I227" s="391" t="s">
        <v>1937</v>
      </c>
      <c r="J227" s="353" t="s">
        <v>3198</v>
      </c>
      <c r="K227" s="353" t="s">
        <v>3191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3370</v>
      </c>
      <c r="B228" s="386" t="s">
        <v>3371</v>
      </c>
      <c r="C228" s="392" t="s">
        <v>3199</v>
      </c>
      <c r="D228" s="387" t="s">
        <v>3372</v>
      </c>
      <c r="E228" s="388" t="s">
        <v>3373</v>
      </c>
      <c r="F228" s="389" t="s">
        <v>3182</v>
      </c>
      <c r="G228" s="389" t="s">
        <v>3183</v>
      </c>
      <c r="H228" s="390" t="s">
        <v>1937</v>
      </c>
      <c r="I228" s="391" t="s">
        <v>1937</v>
      </c>
      <c r="J228" s="353" t="s">
        <v>3198</v>
      </c>
      <c r="K228" s="355" t="s">
        <v>3192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3370</v>
      </c>
      <c r="B229" s="386" t="s">
        <v>3371</v>
      </c>
      <c r="C229" s="392" t="s">
        <v>3199</v>
      </c>
      <c r="D229" s="387" t="s">
        <v>3372</v>
      </c>
      <c r="E229" s="388" t="s">
        <v>3373</v>
      </c>
      <c r="F229" s="389" t="s">
        <v>3182</v>
      </c>
      <c r="G229" s="389" t="s">
        <v>3183</v>
      </c>
      <c r="H229" s="390" t="s">
        <v>1937</v>
      </c>
      <c r="I229" s="391" t="s">
        <v>1937</v>
      </c>
      <c r="J229" s="353" t="s">
        <v>3198</v>
      </c>
      <c r="K229" s="356" t="s">
        <v>3193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3370</v>
      </c>
      <c r="B230" s="393" t="s">
        <v>3371</v>
      </c>
      <c r="C230" s="394" t="s">
        <v>3199</v>
      </c>
      <c r="D230" s="395" t="s">
        <v>3372</v>
      </c>
      <c r="E230" s="411" t="s">
        <v>3373</v>
      </c>
      <c r="F230" s="396" t="s">
        <v>3182</v>
      </c>
      <c r="G230" s="396" t="s">
        <v>3183</v>
      </c>
      <c r="H230" s="397" t="s">
        <v>1937</v>
      </c>
      <c r="I230" s="899" t="s">
        <v>1937</v>
      </c>
      <c r="J230" s="353" t="s">
        <v>3198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3374</v>
      </c>
      <c r="B231" s="526" t="s">
        <v>3375</v>
      </c>
      <c r="C231" s="527">
        <v>3</v>
      </c>
      <c r="D231" s="528" t="s">
        <v>3376</v>
      </c>
      <c r="E231" s="426" t="s">
        <v>3377</v>
      </c>
      <c r="F231" s="529" t="s">
        <v>3182</v>
      </c>
      <c r="G231" s="529" t="s">
        <v>3183</v>
      </c>
      <c r="H231" s="530" t="s">
        <v>1941</v>
      </c>
      <c r="I231" s="384" t="s">
        <v>1941</v>
      </c>
      <c r="J231" s="353" t="s">
        <v>3198</v>
      </c>
      <c r="K231" s="354" t="s">
        <v>3189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3374</v>
      </c>
      <c r="B232" s="386" t="s">
        <v>3375</v>
      </c>
      <c r="C232" s="352" t="s">
        <v>3199</v>
      </c>
      <c r="D232" s="387" t="s">
        <v>3376</v>
      </c>
      <c r="E232" s="388" t="s">
        <v>3377</v>
      </c>
      <c r="F232" s="389" t="s">
        <v>3182</v>
      </c>
      <c r="G232" s="389" t="s">
        <v>3183</v>
      </c>
      <c r="H232" s="390" t="s">
        <v>1941</v>
      </c>
      <c r="I232" s="391" t="s">
        <v>1941</v>
      </c>
      <c r="J232" s="353" t="s">
        <v>3198</v>
      </c>
      <c r="K232" s="353" t="s">
        <v>3191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3374</v>
      </c>
      <c r="B233" s="386" t="s">
        <v>3375</v>
      </c>
      <c r="C233" s="392" t="s">
        <v>3199</v>
      </c>
      <c r="D233" s="387" t="s">
        <v>3376</v>
      </c>
      <c r="E233" s="388" t="s">
        <v>3377</v>
      </c>
      <c r="F233" s="389" t="s">
        <v>3182</v>
      </c>
      <c r="G233" s="389" t="s">
        <v>3183</v>
      </c>
      <c r="H233" s="390" t="s">
        <v>1941</v>
      </c>
      <c r="I233" s="391" t="s">
        <v>1941</v>
      </c>
      <c r="J233" s="353" t="s">
        <v>3198</v>
      </c>
      <c r="K233" s="355" t="s">
        <v>3192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3374</v>
      </c>
      <c r="B234" s="386" t="s">
        <v>3375</v>
      </c>
      <c r="C234" s="392" t="s">
        <v>3199</v>
      </c>
      <c r="D234" s="387" t="s">
        <v>3376</v>
      </c>
      <c r="E234" s="388" t="s">
        <v>3377</v>
      </c>
      <c r="F234" s="389" t="s">
        <v>3182</v>
      </c>
      <c r="G234" s="389" t="s">
        <v>3183</v>
      </c>
      <c r="H234" s="390" t="s">
        <v>1941</v>
      </c>
      <c r="I234" s="391" t="s">
        <v>1941</v>
      </c>
      <c r="J234" s="353" t="s">
        <v>3198</v>
      </c>
      <c r="K234" s="356" t="s">
        <v>3193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3374</v>
      </c>
      <c r="B235" s="393" t="s">
        <v>3375</v>
      </c>
      <c r="C235" s="394" t="s">
        <v>3199</v>
      </c>
      <c r="D235" s="395" t="s">
        <v>3376</v>
      </c>
      <c r="E235" s="411" t="s">
        <v>3377</v>
      </c>
      <c r="F235" s="396" t="s">
        <v>3182</v>
      </c>
      <c r="G235" s="396" t="s">
        <v>3183</v>
      </c>
      <c r="H235" s="397" t="s">
        <v>1941</v>
      </c>
      <c r="I235" s="899" t="s">
        <v>1941</v>
      </c>
      <c r="J235" s="353" t="s">
        <v>3198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3378</v>
      </c>
      <c r="B236" s="526" t="s">
        <v>3379</v>
      </c>
      <c r="C236" s="527">
        <v>3</v>
      </c>
      <c r="D236" s="528" t="s">
        <v>3380</v>
      </c>
      <c r="E236" s="426" t="s">
        <v>3381</v>
      </c>
      <c r="F236" s="529" t="s">
        <v>3182</v>
      </c>
      <c r="G236" s="529" t="s">
        <v>3183</v>
      </c>
      <c r="H236" s="530" t="s">
        <v>1942</v>
      </c>
      <c r="I236" s="384" t="s">
        <v>1942</v>
      </c>
      <c r="J236" s="353" t="s">
        <v>3198</v>
      </c>
      <c r="K236" s="354" t="s">
        <v>3189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3378</v>
      </c>
      <c r="B237" s="386" t="s">
        <v>3379</v>
      </c>
      <c r="C237" s="352" t="s">
        <v>3199</v>
      </c>
      <c r="D237" s="387" t="s">
        <v>3380</v>
      </c>
      <c r="E237" s="388" t="s">
        <v>3381</v>
      </c>
      <c r="F237" s="389" t="s">
        <v>3182</v>
      </c>
      <c r="G237" s="389" t="s">
        <v>3183</v>
      </c>
      <c r="H237" s="390" t="s">
        <v>1942</v>
      </c>
      <c r="I237" s="391" t="s">
        <v>1942</v>
      </c>
      <c r="J237" s="353" t="s">
        <v>3198</v>
      </c>
      <c r="K237" s="353" t="s">
        <v>3191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3378</v>
      </c>
      <c r="B238" s="386" t="s">
        <v>3379</v>
      </c>
      <c r="C238" s="392" t="s">
        <v>3199</v>
      </c>
      <c r="D238" s="387" t="s">
        <v>3380</v>
      </c>
      <c r="E238" s="388" t="s">
        <v>3381</v>
      </c>
      <c r="F238" s="389" t="s">
        <v>3182</v>
      </c>
      <c r="G238" s="389" t="s">
        <v>3183</v>
      </c>
      <c r="H238" s="390" t="s">
        <v>1942</v>
      </c>
      <c r="I238" s="391" t="s">
        <v>1942</v>
      </c>
      <c r="J238" s="353" t="s">
        <v>3198</v>
      </c>
      <c r="K238" s="355" t="s">
        <v>3192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3378</v>
      </c>
      <c r="B239" s="386" t="s">
        <v>3379</v>
      </c>
      <c r="C239" s="392" t="s">
        <v>3199</v>
      </c>
      <c r="D239" s="387" t="s">
        <v>3380</v>
      </c>
      <c r="E239" s="388" t="s">
        <v>3381</v>
      </c>
      <c r="F239" s="389" t="s">
        <v>3182</v>
      </c>
      <c r="G239" s="389" t="s">
        <v>3183</v>
      </c>
      <c r="H239" s="390" t="s">
        <v>1942</v>
      </c>
      <c r="I239" s="391" t="s">
        <v>1942</v>
      </c>
      <c r="J239" s="353" t="s">
        <v>3198</v>
      </c>
      <c r="K239" s="356" t="s">
        <v>3193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3378</v>
      </c>
      <c r="B240" s="393" t="s">
        <v>3379</v>
      </c>
      <c r="C240" s="394" t="s">
        <v>3199</v>
      </c>
      <c r="D240" s="395" t="s">
        <v>3380</v>
      </c>
      <c r="E240" s="411" t="s">
        <v>3381</v>
      </c>
      <c r="F240" s="396" t="s">
        <v>3182</v>
      </c>
      <c r="G240" s="396" t="s">
        <v>3183</v>
      </c>
      <c r="H240" s="397" t="s">
        <v>1942</v>
      </c>
      <c r="I240" s="899" t="s">
        <v>1942</v>
      </c>
      <c r="J240" s="353" t="s">
        <v>3198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3382</v>
      </c>
      <c r="B241" s="526" t="s">
        <v>3383</v>
      </c>
      <c r="C241" s="527">
        <v>1</v>
      </c>
      <c r="D241" s="528" t="s">
        <v>3384</v>
      </c>
      <c r="E241" s="426" t="s">
        <v>3385</v>
      </c>
      <c r="F241" s="529" t="s">
        <v>3182</v>
      </c>
      <c r="G241" s="529" t="s">
        <v>3183</v>
      </c>
      <c r="H241" s="530" t="s">
        <v>1951</v>
      </c>
      <c r="I241" s="384" t="s">
        <v>1951</v>
      </c>
      <c r="J241" s="353" t="s">
        <v>3188</v>
      </c>
      <c r="K241" s="354" t="s">
        <v>3189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3382</v>
      </c>
      <c r="B242" s="386" t="s">
        <v>3383</v>
      </c>
      <c r="C242" s="352" t="s">
        <v>3190</v>
      </c>
      <c r="D242" s="387" t="s">
        <v>3384</v>
      </c>
      <c r="E242" s="388" t="s">
        <v>3385</v>
      </c>
      <c r="F242" s="389" t="s">
        <v>3182</v>
      </c>
      <c r="G242" s="389" t="s">
        <v>3183</v>
      </c>
      <c r="H242" s="390" t="s">
        <v>1951</v>
      </c>
      <c r="I242" s="391" t="s">
        <v>1951</v>
      </c>
      <c r="J242" s="353" t="s">
        <v>3188</v>
      </c>
      <c r="K242" s="353" t="s">
        <v>3191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3382</v>
      </c>
      <c r="B243" s="386" t="s">
        <v>3383</v>
      </c>
      <c r="C243" s="392" t="s">
        <v>3190</v>
      </c>
      <c r="D243" s="387" t="s">
        <v>3384</v>
      </c>
      <c r="E243" s="388" t="s">
        <v>3385</v>
      </c>
      <c r="F243" s="389" t="s">
        <v>3182</v>
      </c>
      <c r="G243" s="389" t="s">
        <v>3183</v>
      </c>
      <c r="H243" s="390" t="s">
        <v>1951</v>
      </c>
      <c r="I243" s="391" t="s">
        <v>1951</v>
      </c>
      <c r="J243" s="353" t="s">
        <v>3188</v>
      </c>
      <c r="K243" s="355" t="s">
        <v>3192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3382</v>
      </c>
      <c r="B244" s="386" t="s">
        <v>3383</v>
      </c>
      <c r="C244" s="392" t="s">
        <v>3190</v>
      </c>
      <c r="D244" s="387" t="s">
        <v>3384</v>
      </c>
      <c r="E244" s="388" t="s">
        <v>3385</v>
      </c>
      <c r="F244" s="389" t="s">
        <v>3182</v>
      </c>
      <c r="G244" s="389" t="s">
        <v>3183</v>
      </c>
      <c r="H244" s="390" t="s">
        <v>1951</v>
      </c>
      <c r="I244" s="391" t="s">
        <v>1951</v>
      </c>
      <c r="J244" s="353" t="s">
        <v>3188</v>
      </c>
      <c r="K244" s="356" t="s">
        <v>3193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x14ac:dyDescent="0.2">
      <c r="A245" s="898" t="s">
        <v>3382</v>
      </c>
      <c r="B245" s="393" t="s">
        <v>3383</v>
      </c>
      <c r="C245" s="394" t="s">
        <v>3190</v>
      </c>
      <c r="D245" s="395" t="s">
        <v>3384</v>
      </c>
      <c r="E245" s="411" t="s">
        <v>3385</v>
      </c>
      <c r="F245" s="396" t="s">
        <v>3182</v>
      </c>
      <c r="G245" s="396" t="s">
        <v>3183</v>
      </c>
      <c r="H245" s="397" t="s">
        <v>1951</v>
      </c>
      <c r="I245" s="899" t="s">
        <v>1951</v>
      </c>
      <c r="J245" s="353" t="s">
        <v>3188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">
      <c r="A246" s="5"/>
      <c r="B246" s="5"/>
      <c r="C246" s="6"/>
      <c r="D246" s="7"/>
      <c r="E246" s="7"/>
      <c r="F246" s="7"/>
      <c r="G246" s="6"/>
      <c r="H246" s="5"/>
      <c r="I246" s="79"/>
      <c r="J246" s="5"/>
      <c r="K246" s="5"/>
      <c r="L246" s="335"/>
      <c r="M246" s="336"/>
      <c r="N246" s="335"/>
      <c r="O246" s="336"/>
      <c r="P246" s="335"/>
      <c r="Q246" s="336"/>
      <c r="R246" s="335"/>
      <c r="S246" s="336"/>
      <c r="T246" s="335"/>
      <c r="U246" s="336"/>
      <c r="V246" s="335"/>
      <c r="W246" s="336"/>
      <c r="X246" s="335"/>
      <c r="Y246" s="336"/>
      <c r="Z246" s="335"/>
      <c r="AA246" s="336"/>
      <c r="AB246" s="335"/>
      <c r="AC246" s="336"/>
      <c r="AD246" s="335"/>
      <c r="AE246" s="336"/>
      <c r="AF246" s="335"/>
      <c r="AG246" s="336"/>
      <c r="AH246" s="335"/>
      <c r="AI246" s="336"/>
      <c r="AJ246" s="335"/>
      <c r="AK246" s="336"/>
      <c r="AL246" s="335"/>
      <c r="AM246" s="336"/>
      <c r="AN246" s="335"/>
      <c r="AO246" s="336"/>
      <c r="AP246" s="335"/>
      <c r="AQ246" s="336"/>
      <c r="AR246" s="335"/>
      <c r="AS246" s="336"/>
      <c r="AT246" s="335"/>
      <c r="AU246" s="336"/>
      <c r="AV246" s="335"/>
      <c r="AW246" s="336"/>
      <c r="AX246" s="335"/>
      <c r="AY246" s="336"/>
      <c r="AZ246" s="335"/>
      <c r="BA246" s="336"/>
      <c r="BB246" s="335"/>
      <c r="BC246" s="336"/>
      <c r="BD246" s="335"/>
      <c r="BE246" s="336"/>
      <c r="BF246" s="335"/>
      <c r="BG246" s="336"/>
      <c r="BH246" s="335"/>
      <c r="BI246" s="336"/>
      <c r="BJ246" s="335"/>
      <c r="BK246" s="336"/>
      <c r="BL246" s="335"/>
      <c r="BM246" s="336"/>
      <c r="BN246" s="335"/>
      <c r="BO246" s="336"/>
      <c r="BP246" s="335"/>
      <c r="BQ246" s="336"/>
      <c r="BR246" s="335"/>
      <c r="BS246" s="336"/>
      <c r="BT246" s="335"/>
      <c r="BU246" s="336"/>
      <c r="BV246" s="337"/>
      <c r="BW246" s="337"/>
    </row>
    <row r="247" spans="1:75" s="64" customFormat="1" ht="21.95" customHeight="1" x14ac:dyDescent="0.2">
      <c r="A247" s="5"/>
      <c r="B247" s="5"/>
      <c r="C247" s="6"/>
      <c r="D247" s="7"/>
      <c r="E247" s="7"/>
      <c r="F247" s="7"/>
      <c r="G247" s="6"/>
      <c r="H247" s="5"/>
      <c r="I247" s="79"/>
      <c r="J247" s="5"/>
      <c r="K247" s="5"/>
      <c r="L247" s="335">
        <f t="shared" ref="L247:BU247" si="99">SUM(L6:L246)</f>
        <v>3</v>
      </c>
      <c r="M247" s="335">
        <f t="shared" si="99"/>
        <v>0</v>
      </c>
      <c r="N247" s="335">
        <f t="shared" si="99"/>
        <v>1</v>
      </c>
      <c r="O247" s="335">
        <f t="shared" si="99"/>
        <v>0</v>
      </c>
      <c r="P247" s="335">
        <f t="shared" si="99"/>
        <v>0</v>
      </c>
      <c r="Q247" s="335">
        <f t="shared" si="99"/>
        <v>0</v>
      </c>
      <c r="R247" s="335">
        <f t="shared" si="99"/>
        <v>0</v>
      </c>
      <c r="S247" s="335">
        <f t="shared" si="99"/>
        <v>0</v>
      </c>
      <c r="T247" s="335">
        <f t="shared" si="99"/>
        <v>0</v>
      </c>
      <c r="U247" s="335">
        <f t="shared" si="99"/>
        <v>0</v>
      </c>
      <c r="V247" s="335">
        <f t="shared" si="99"/>
        <v>2</v>
      </c>
      <c r="W247" s="335">
        <f t="shared" si="99"/>
        <v>0</v>
      </c>
      <c r="X247" s="335">
        <f t="shared" si="99"/>
        <v>1</v>
      </c>
      <c r="Y247" s="335">
        <f t="shared" si="99"/>
        <v>0</v>
      </c>
      <c r="Z247" s="335">
        <f t="shared" si="99"/>
        <v>3</v>
      </c>
      <c r="AA247" s="335">
        <f t="shared" si="99"/>
        <v>0</v>
      </c>
      <c r="AB247" s="335">
        <f t="shared" si="99"/>
        <v>1</v>
      </c>
      <c r="AC247" s="335">
        <f t="shared" si="99"/>
        <v>0</v>
      </c>
      <c r="AD247" s="335">
        <f t="shared" si="99"/>
        <v>0</v>
      </c>
      <c r="AE247" s="335">
        <f t="shared" si="99"/>
        <v>0</v>
      </c>
      <c r="AF247" s="335">
        <f t="shared" si="99"/>
        <v>0</v>
      </c>
      <c r="AG247" s="335">
        <f t="shared" si="99"/>
        <v>0</v>
      </c>
      <c r="AH247" s="335">
        <f t="shared" si="99"/>
        <v>0</v>
      </c>
      <c r="AI247" s="335">
        <f t="shared" si="99"/>
        <v>0</v>
      </c>
      <c r="AJ247" s="335">
        <f t="shared" si="99"/>
        <v>2</v>
      </c>
      <c r="AK247" s="335">
        <f t="shared" si="99"/>
        <v>0</v>
      </c>
      <c r="AL247" s="335">
        <f t="shared" si="99"/>
        <v>1</v>
      </c>
      <c r="AM247" s="335">
        <f t="shared" si="99"/>
        <v>0</v>
      </c>
      <c r="AN247" s="335">
        <f t="shared" si="99"/>
        <v>3</v>
      </c>
      <c r="AO247" s="335">
        <f t="shared" si="99"/>
        <v>0</v>
      </c>
      <c r="AP247" s="335">
        <f t="shared" si="99"/>
        <v>1</v>
      </c>
      <c r="AQ247" s="335">
        <f t="shared" si="99"/>
        <v>0</v>
      </c>
      <c r="AR247" s="335">
        <f t="shared" si="99"/>
        <v>0</v>
      </c>
      <c r="AS247" s="335">
        <f t="shared" si="99"/>
        <v>0</v>
      </c>
      <c r="AT247" s="335">
        <f t="shared" si="99"/>
        <v>0</v>
      </c>
      <c r="AU247" s="335">
        <f t="shared" si="99"/>
        <v>0</v>
      </c>
      <c r="AV247" s="335">
        <f t="shared" si="99"/>
        <v>0</v>
      </c>
      <c r="AW247" s="335">
        <f t="shared" si="99"/>
        <v>0</v>
      </c>
      <c r="AX247" s="335">
        <f t="shared" si="99"/>
        <v>0</v>
      </c>
      <c r="AY247" s="335">
        <f t="shared" si="99"/>
        <v>0</v>
      </c>
      <c r="AZ247" s="335">
        <f t="shared" si="99"/>
        <v>0</v>
      </c>
      <c r="BA247" s="335">
        <f t="shared" si="99"/>
        <v>0</v>
      </c>
      <c r="BB247" s="335">
        <f t="shared" si="99"/>
        <v>3</v>
      </c>
      <c r="BC247" s="335">
        <f t="shared" si="99"/>
        <v>0</v>
      </c>
      <c r="BD247" s="335">
        <f t="shared" si="99"/>
        <v>1</v>
      </c>
      <c r="BE247" s="335">
        <f t="shared" si="99"/>
        <v>0</v>
      </c>
      <c r="BF247" s="335">
        <f t="shared" si="99"/>
        <v>0</v>
      </c>
      <c r="BG247" s="335">
        <f t="shared" si="99"/>
        <v>0</v>
      </c>
      <c r="BH247" s="335">
        <f t="shared" si="99"/>
        <v>0</v>
      </c>
      <c r="BI247" s="335">
        <f t="shared" si="99"/>
        <v>0</v>
      </c>
      <c r="BJ247" s="335">
        <f t="shared" si="99"/>
        <v>0</v>
      </c>
      <c r="BK247" s="335">
        <f t="shared" si="99"/>
        <v>0</v>
      </c>
      <c r="BL247" s="335">
        <f t="shared" si="99"/>
        <v>2</v>
      </c>
      <c r="BM247" s="335">
        <f t="shared" si="99"/>
        <v>0</v>
      </c>
      <c r="BN247" s="335">
        <f t="shared" si="99"/>
        <v>1</v>
      </c>
      <c r="BO247" s="335">
        <f t="shared" si="99"/>
        <v>0</v>
      </c>
      <c r="BP247" s="335">
        <f t="shared" si="99"/>
        <v>2</v>
      </c>
      <c r="BQ247" s="335">
        <f t="shared" si="99"/>
        <v>0</v>
      </c>
      <c r="BR247" s="335">
        <f t="shared" si="99"/>
        <v>1</v>
      </c>
      <c r="BS247" s="335">
        <f t="shared" si="99"/>
        <v>0</v>
      </c>
      <c r="BT247" s="335">
        <f t="shared" si="99"/>
        <v>0</v>
      </c>
      <c r="BU247" s="335">
        <f t="shared" si="99"/>
        <v>0</v>
      </c>
      <c r="BV247" s="335">
        <f>SUM(BV6:BV246)</f>
        <v>28</v>
      </c>
      <c r="BW247" s="335">
        <f>SUM(BW6:BW246)</f>
        <v>0</v>
      </c>
    </row>
    <row r="248" spans="1:75" ht="21.95" customHeight="1" x14ac:dyDescent="0.25">
      <c r="A248" s="332"/>
      <c r="L248" s="335"/>
      <c r="M248" s="336"/>
      <c r="N248" s="335"/>
      <c r="O248" s="336"/>
      <c r="P248" s="335"/>
      <c r="Q248" s="336"/>
      <c r="R248" s="335"/>
      <c r="S248" s="336"/>
      <c r="T248" s="335"/>
      <c r="U248" s="336"/>
      <c r="V248" s="335"/>
      <c r="W248" s="336"/>
      <c r="X248" s="335"/>
      <c r="Y248" s="336"/>
      <c r="Z248" s="335"/>
      <c r="AA248" s="336"/>
      <c r="AB248" s="335"/>
      <c r="AC248" s="336"/>
      <c r="AD248" s="335"/>
      <c r="AE248" s="336"/>
      <c r="AF248" s="335"/>
      <c r="AG248" s="336"/>
      <c r="AH248" s="335"/>
      <c r="AI248" s="336"/>
      <c r="AJ248" s="335"/>
      <c r="AK248" s="336"/>
      <c r="AL248" s="335"/>
      <c r="AM248" s="336"/>
      <c r="AN248" s="335"/>
      <c r="AO248" s="336"/>
      <c r="AP248" s="335"/>
      <c r="AQ248" s="336"/>
      <c r="AR248" s="335"/>
      <c r="AS248" s="336"/>
      <c r="AT248" s="335"/>
      <c r="AU248" s="336"/>
      <c r="AV248" s="335"/>
      <c r="AW248" s="336"/>
      <c r="AX248" s="335"/>
      <c r="AY248" s="336"/>
      <c r="AZ248" s="335"/>
      <c r="BA248" s="336"/>
      <c r="BB248" s="335"/>
      <c r="BC248" s="336"/>
      <c r="BD248" s="335"/>
      <c r="BE248" s="336"/>
      <c r="BF248" s="335"/>
      <c r="BG248" s="336"/>
      <c r="BH248" s="335"/>
      <c r="BI248" s="336"/>
      <c r="BJ248" s="335"/>
      <c r="BK248" s="336"/>
      <c r="BL248" s="335"/>
      <c r="BM248" s="336"/>
      <c r="BN248" s="335"/>
      <c r="BO248" s="336"/>
      <c r="BP248" s="335"/>
      <c r="BQ248" s="336"/>
      <c r="BR248" s="335"/>
      <c r="BS248" s="336"/>
      <c r="BT248" s="335"/>
      <c r="BU248" s="336"/>
      <c r="BV248" s="337"/>
      <c r="BW248" s="337"/>
    </row>
    <row r="249" spans="1:75" ht="21.95" customHeight="1" x14ac:dyDescent="0.2">
      <c r="A249" s="79"/>
      <c r="B249" s="79"/>
      <c r="C249" s="331"/>
      <c r="D249" s="333"/>
      <c r="E249" s="333"/>
      <c r="F249" s="333"/>
      <c r="G249" s="331"/>
      <c r="H249" s="79"/>
      <c r="J249" s="334"/>
      <c r="K249" s="79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  <c r="AA249" s="335"/>
      <c r="AB249" s="335"/>
      <c r="AC249" s="335"/>
      <c r="AD249" s="335"/>
      <c r="AE249" s="335"/>
      <c r="AF249" s="335"/>
      <c r="AG249" s="335"/>
      <c r="AH249" s="335"/>
      <c r="AI249" s="335"/>
      <c r="AJ249" s="335"/>
      <c r="AK249" s="335"/>
      <c r="AL249" s="335"/>
      <c r="AM249" s="335"/>
      <c r="AN249" s="335"/>
      <c r="AO249" s="335"/>
      <c r="AP249" s="335"/>
      <c r="AQ249" s="335"/>
      <c r="AR249" s="335"/>
      <c r="AS249" s="335"/>
      <c r="AT249" s="335"/>
      <c r="AU249" s="335"/>
      <c r="AV249" s="335"/>
      <c r="AW249" s="335"/>
      <c r="AX249" s="335"/>
      <c r="AY249" s="335"/>
      <c r="AZ249" s="335"/>
      <c r="BA249" s="335"/>
      <c r="BB249" s="335"/>
      <c r="BC249" s="335"/>
      <c r="BD249" s="335"/>
      <c r="BE249" s="335"/>
      <c r="BF249" s="335"/>
      <c r="BG249" s="335"/>
      <c r="BH249" s="335"/>
      <c r="BI249" s="335"/>
      <c r="BJ249" s="335"/>
      <c r="BK249" s="335"/>
      <c r="BL249" s="335"/>
      <c r="BM249" s="335"/>
      <c r="BN249" s="335"/>
      <c r="BO249" s="335"/>
      <c r="BP249" s="335"/>
      <c r="BQ249" s="335"/>
      <c r="BR249" s="335"/>
      <c r="BS249" s="335"/>
      <c r="BT249" s="335"/>
      <c r="BU24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246:I247">
    <cfRule type="expression" dxfId="563" priority="160563">
      <formula>C247="CSE"</formula>
    </cfRule>
    <cfRule type="expression" dxfId="562" priority="160564">
      <formula>C247="CSC"</formula>
    </cfRule>
    <cfRule type="expression" dxfId="561" priority="162359">
      <formula>C247="CSE"</formula>
    </cfRule>
    <cfRule type="expression" dxfId="560" priority="162360">
      <formula>C247="CSC"</formula>
    </cfRule>
  </conditionalFormatting>
  <conditionalFormatting sqref="I246:I247">
    <cfRule type="expression" dxfId="559" priority="160561">
      <formula>C246="CSE"</formula>
    </cfRule>
    <cfRule type="expression" dxfId="558" priority="160562">
      <formula>C246="CSC"</formula>
    </cfRule>
    <cfRule type="expression" dxfId="557" priority="162357">
      <formula>C246="CSE"</formula>
    </cfRule>
    <cfRule type="expression" dxfId="556" priority="162358">
      <formula>C246="CSC"</formula>
    </cfRule>
  </conditionalFormatting>
  <conditionalFormatting sqref="J246:J247">
    <cfRule type="cellIs" dxfId="555" priority="160523" operator="equal">
      <formula>"CRECHE"</formula>
    </cfRule>
    <cfRule type="cellIs" dxfId="554" priority="160524" operator="equal">
      <formula>"ADAPTADO"</formula>
    </cfRule>
    <cfRule type="cellIs" dxfId="553" priority="160551" operator="equal">
      <formula>"CRECHE"</formula>
    </cfRule>
    <cfRule type="cellIs" dxfId="552" priority="160552" operator="equal">
      <formula>"ADAPTADO"</formula>
    </cfRule>
  </conditionalFormatting>
  <conditionalFormatting sqref="J246:K247">
    <cfRule type="expression" dxfId="551" priority="160549" stopIfTrue="1">
      <formula>NOT(ISERROR(SEARCH("NORMAL",J246)))</formula>
    </cfRule>
    <cfRule type="expression" dxfId="550" priority="160550" stopIfTrue="1">
      <formula>NOT(ISERROR(SEARCH("ADAPTADO",J246)))</formula>
    </cfRule>
    <cfRule type="expression" dxfId="549" priority="162398" stopIfTrue="1">
      <formula>NOT(ISERROR(SEARCH("NORMAL",J246)))</formula>
    </cfRule>
    <cfRule type="expression" dxfId="548" priority="162399" stopIfTrue="1">
      <formula>NOT(ISERROR(SEARCH("ADAPTADO",J246)))</formula>
    </cfRule>
  </conditionalFormatting>
  <conditionalFormatting sqref="L246:BU246">
    <cfRule type="cellIs" dxfId="547" priority="160547" operator="lessThan">
      <formula>0</formula>
    </cfRule>
    <cfRule type="cellIs" dxfId="546" priority="160548" operator="greaterThan">
      <formula>0</formula>
    </cfRule>
  </conditionalFormatting>
  <conditionalFormatting sqref="I246:I247">
    <cfRule type="expression" dxfId="545" priority="160519">
      <formula>C247="CSE"</formula>
    </cfRule>
    <cfRule type="expression" dxfId="544" priority="160520">
      <formula>C247="CSC"</formula>
    </cfRule>
    <cfRule type="expression" dxfId="543" priority="160521">
      <formula>C247="CSE"</formula>
    </cfRule>
    <cfRule type="expression" dxfId="542" priority="160522">
      <formula>C247="CSC"</formula>
    </cfRule>
  </conditionalFormatting>
  <conditionalFormatting sqref="I246:I247">
    <cfRule type="expression" dxfId="541" priority="160515">
      <formula>C246="CSE"</formula>
    </cfRule>
    <cfRule type="expression" dxfId="540" priority="160516">
      <formula>C246="CSC"</formula>
    </cfRule>
    <cfRule type="expression" dxfId="539" priority="160517">
      <formula>C246="CSE"</formula>
    </cfRule>
    <cfRule type="expression" dxfId="538" priority="160518">
      <formula>C246="CSC"</formula>
    </cfRule>
  </conditionalFormatting>
  <conditionalFormatting sqref="J246:J247">
    <cfRule type="cellIs" dxfId="537" priority="160513" operator="equal">
      <formula>"CRECHE"</formula>
    </cfRule>
    <cfRule type="cellIs" dxfId="536" priority="160514" operator="equal">
      <formula>"ADAPTADO"</formula>
    </cfRule>
  </conditionalFormatting>
  <conditionalFormatting sqref="J246:J247">
    <cfRule type="cellIs" dxfId="535" priority="160509" operator="equal">
      <formula>"CRECHE"</formula>
    </cfRule>
    <cfRule type="cellIs" dxfId="534" priority="160510" operator="equal">
      <formula>"ADAPTADO"</formula>
    </cfRule>
    <cfRule type="cellIs" dxfId="533" priority="160511" operator="equal">
      <formula>"CRECHE"</formula>
    </cfRule>
    <cfRule type="cellIs" dxfId="532" priority="160512" operator="equal">
      <formula>"ADAPTADO"</formula>
    </cfRule>
  </conditionalFormatting>
  <conditionalFormatting sqref="J246:K247">
    <cfRule type="expression" dxfId="531" priority="160505">
      <formula>NOT(ISERROR(SEARCH("NORMAL",J246)))</formula>
    </cfRule>
    <cfRule type="expression" dxfId="530" priority="160506">
      <formula>NOT(ISERROR(SEARCH("ADAPTADO",J246)))</formula>
    </cfRule>
    <cfRule type="expression" dxfId="529" priority="160507">
      <formula>NOT(ISERROR(SEARCH("NORMAL",J246)))</formula>
    </cfRule>
    <cfRule type="expression" dxfId="528" priority="160508">
      <formula>NOT(ISERROR(SEARCH("ADAPTADO",J246)))</formula>
    </cfRule>
  </conditionalFormatting>
  <conditionalFormatting sqref="I246:I247">
    <cfRule type="expression" dxfId="527" priority="116660">
      <formula>C247="CSC"</formula>
    </cfRule>
  </conditionalFormatting>
  <conditionalFormatting sqref="I246:I247">
    <cfRule type="expression" dxfId="526" priority="116659">
      <formula>C247="CSE"</formula>
    </cfRule>
  </conditionalFormatting>
  <conditionalFormatting sqref="I246:I247">
    <cfRule type="expression" dxfId="525" priority="116658">
      <formula>C246="CSC"</formula>
    </cfRule>
  </conditionalFormatting>
  <conditionalFormatting sqref="I246:I247">
    <cfRule type="expression" dxfId="524" priority="116637">
      <formula>C246="CSE"</formula>
    </cfRule>
  </conditionalFormatting>
  <conditionalFormatting sqref="J246:J247">
    <cfRule type="cellIs" dxfId="523" priority="116635" operator="equal">
      <formula>"CRECHE"</formula>
    </cfRule>
    <cfRule type="cellIs" dxfId="522" priority="116636" operator="equal">
      <formula>"ADAPTADO"</formula>
    </cfRule>
  </conditionalFormatting>
  <conditionalFormatting sqref="J246:K247">
    <cfRule type="expression" dxfId="521" priority="116629" stopIfTrue="1">
      <formula>NOT(ISERROR(SEARCH("NORMAL",J246)))</formula>
    </cfRule>
    <cfRule type="expression" dxfId="520" priority="116630" stopIfTrue="1">
      <formula>NOT(ISERROR(SEARCH("ADAPTADO",J246)))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5">
    <cfRule type="cellIs" dxfId="519" priority="55221" operator="lessThan">
      <formula>0</formula>
    </cfRule>
    <cfRule type="cellIs" dxfId="518" priority="55222" operator="greaterThan">
      <formula>0</formula>
    </cfRule>
  </conditionalFormatting>
  <conditionalFormatting sqref="I6:I245">
    <cfRule type="expression" dxfId="517" priority="491">
      <formula>C7="CSE"</formula>
    </cfRule>
    <cfRule type="expression" dxfId="516" priority="492">
      <formula>C7="CSC"</formula>
    </cfRule>
    <cfRule type="expression" dxfId="515" priority="493">
      <formula>C7="CSE"</formula>
    </cfRule>
    <cfRule type="expression" dxfId="514" priority="494">
      <formula>C7="CSC"</formula>
    </cfRule>
  </conditionalFormatting>
  <conditionalFormatting sqref="I10">
    <cfRule type="expression" dxfId="513" priority="483">
      <formula>C10="CSE"</formula>
    </cfRule>
    <cfRule type="expression" dxfId="512" priority="484">
      <formula>C10="CSC"</formula>
    </cfRule>
    <cfRule type="expression" dxfId="511" priority="485">
      <formula>C10="CSE"</formula>
    </cfRule>
    <cfRule type="expression" dxfId="510" priority="486">
      <formula>C10="CSC"</formula>
    </cfRule>
    <cfRule type="expression" dxfId="509" priority="487">
      <formula>C10="CSE"</formula>
    </cfRule>
    <cfRule type="expression" dxfId="508" priority="488">
      <formula>C10="CSC"</formula>
    </cfRule>
    <cfRule type="expression" dxfId="507" priority="489">
      <formula>C10="CSE"</formula>
    </cfRule>
    <cfRule type="expression" dxfId="506" priority="490">
      <formula>C10="CSC"</formula>
    </cfRule>
  </conditionalFormatting>
  <conditionalFormatting sqref="I15">
    <cfRule type="expression" dxfId="505" priority="475">
      <formula>C15="CSE"</formula>
    </cfRule>
    <cfRule type="expression" dxfId="504" priority="476">
      <formula>C15="CSC"</formula>
    </cfRule>
    <cfRule type="expression" dxfId="503" priority="477">
      <formula>C15="CSE"</formula>
    </cfRule>
    <cfRule type="expression" dxfId="502" priority="478">
      <formula>C15="CSC"</formula>
    </cfRule>
    <cfRule type="expression" dxfId="501" priority="479">
      <formula>C15="CSE"</formula>
    </cfRule>
    <cfRule type="expression" dxfId="500" priority="480">
      <formula>C15="CSC"</formula>
    </cfRule>
    <cfRule type="expression" dxfId="499" priority="481">
      <formula>C15="CSE"</formula>
    </cfRule>
    <cfRule type="expression" dxfId="498" priority="482">
      <formula>C15="CSC"</formula>
    </cfRule>
  </conditionalFormatting>
  <conditionalFormatting sqref="I20">
    <cfRule type="expression" dxfId="497" priority="467">
      <formula>C20="CSE"</formula>
    </cfRule>
    <cfRule type="expression" dxfId="496" priority="468">
      <formula>C20="CSC"</formula>
    </cfRule>
    <cfRule type="expression" dxfId="495" priority="469">
      <formula>C20="CSE"</formula>
    </cfRule>
    <cfRule type="expression" dxfId="494" priority="470">
      <formula>C20="CSC"</formula>
    </cfRule>
    <cfRule type="expression" dxfId="493" priority="471">
      <formula>C20="CSE"</formula>
    </cfRule>
    <cfRule type="expression" dxfId="492" priority="472">
      <formula>C20="CSC"</formula>
    </cfRule>
    <cfRule type="expression" dxfId="491" priority="473">
      <formula>C20="CSE"</formula>
    </cfRule>
    <cfRule type="expression" dxfId="490" priority="474">
      <formula>C20="CSC"</formula>
    </cfRule>
  </conditionalFormatting>
  <conditionalFormatting sqref="I25">
    <cfRule type="expression" dxfId="489" priority="459">
      <formula>C25="CSE"</formula>
    </cfRule>
    <cfRule type="expression" dxfId="488" priority="460">
      <formula>C25="CSC"</formula>
    </cfRule>
    <cfRule type="expression" dxfId="487" priority="461">
      <formula>C25="CSE"</formula>
    </cfRule>
    <cfRule type="expression" dxfId="486" priority="462">
      <formula>C25="CSC"</formula>
    </cfRule>
    <cfRule type="expression" dxfId="485" priority="463">
      <formula>C25="CSE"</formula>
    </cfRule>
    <cfRule type="expression" dxfId="484" priority="464">
      <formula>C25="CSC"</formula>
    </cfRule>
    <cfRule type="expression" dxfId="483" priority="465">
      <formula>C25="CSE"</formula>
    </cfRule>
    <cfRule type="expression" dxfId="482" priority="466">
      <formula>C25="CSC"</formula>
    </cfRule>
  </conditionalFormatting>
  <conditionalFormatting sqref="I30">
    <cfRule type="expression" dxfId="481" priority="451">
      <formula>C30="CSE"</formula>
    </cfRule>
    <cfRule type="expression" dxfId="480" priority="452">
      <formula>C30="CSC"</formula>
    </cfRule>
    <cfRule type="expression" dxfId="479" priority="453">
      <formula>C30="CSE"</formula>
    </cfRule>
    <cfRule type="expression" dxfId="478" priority="454">
      <formula>C30="CSC"</formula>
    </cfRule>
    <cfRule type="expression" dxfId="477" priority="455">
      <formula>C30="CSE"</formula>
    </cfRule>
    <cfRule type="expression" dxfId="476" priority="456">
      <formula>C30="CSC"</formula>
    </cfRule>
    <cfRule type="expression" dxfId="475" priority="457">
      <formula>C30="CSE"</formula>
    </cfRule>
    <cfRule type="expression" dxfId="474" priority="458">
      <formula>C30="CSC"</formula>
    </cfRule>
  </conditionalFormatting>
  <conditionalFormatting sqref="I35">
    <cfRule type="expression" dxfId="473" priority="443">
      <formula>C35="CSE"</formula>
    </cfRule>
    <cfRule type="expression" dxfId="472" priority="444">
      <formula>C35="CSC"</formula>
    </cfRule>
    <cfRule type="expression" dxfId="471" priority="445">
      <formula>C35="CSE"</formula>
    </cfRule>
    <cfRule type="expression" dxfId="470" priority="446">
      <formula>C35="CSC"</formula>
    </cfRule>
    <cfRule type="expression" dxfId="469" priority="447">
      <formula>C35="CSE"</formula>
    </cfRule>
    <cfRule type="expression" dxfId="468" priority="448">
      <formula>C35="CSC"</formula>
    </cfRule>
    <cfRule type="expression" dxfId="467" priority="449">
      <formula>C35="CSE"</formula>
    </cfRule>
    <cfRule type="expression" dxfId="466" priority="450">
      <formula>C35="CSC"</formula>
    </cfRule>
  </conditionalFormatting>
  <conditionalFormatting sqref="I40">
    <cfRule type="expression" dxfId="465" priority="435">
      <formula>C40="CSE"</formula>
    </cfRule>
    <cfRule type="expression" dxfId="464" priority="436">
      <formula>C40="CSC"</formula>
    </cfRule>
    <cfRule type="expression" dxfId="463" priority="437">
      <formula>C40="CSE"</formula>
    </cfRule>
    <cfRule type="expression" dxfId="462" priority="438">
      <formula>C40="CSC"</formula>
    </cfRule>
    <cfRule type="expression" dxfId="461" priority="439">
      <formula>C40="CSE"</formula>
    </cfRule>
    <cfRule type="expression" dxfId="460" priority="440">
      <formula>C40="CSC"</formula>
    </cfRule>
    <cfRule type="expression" dxfId="459" priority="441">
      <formula>C40="CSE"</formula>
    </cfRule>
    <cfRule type="expression" dxfId="458" priority="442">
      <formula>C40="CSC"</formula>
    </cfRule>
  </conditionalFormatting>
  <conditionalFormatting sqref="I45">
    <cfRule type="expression" dxfId="457" priority="427">
      <formula>C45="CSE"</formula>
    </cfRule>
    <cfRule type="expression" dxfId="456" priority="428">
      <formula>C45="CSC"</formula>
    </cfRule>
    <cfRule type="expression" dxfId="455" priority="429">
      <formula>C45="CSE"</formula>
    </cfRule>
    <cfRule type="expression" dxfId="454" priority="430">
      <formula>C45="CSC"</formula>
    </cfRule>
    <cfRule type="expression" dxfId="453" priority="431">
      <formula>C45="CSE"</formula>
    </cfRule>
    <cfRule type="expression" dxfId="452" priority="432">
      <formula>C45="CSC"</formula>
    </cfRule>
    <cfRule type="expression" dxfId="451" priority="433">
      <formula>C45="CSE"</formula>
    </cfRule>
    <cfRule type="expression" dxfId="450" priority="434">
      <formula>C45="CSC"</formula>
    </cfRule>
  </conditionalFormatting>
  <conditionalFormatting sqref="I50">
    <cfRule type="expression" dxfId="449" priority="419">
      <formula>C50="CSE"</formula>
    </cfRule>
    <cfRule type="expression" dxfId="448" priority="420">
      <formula>C50="CSC"</formula>
    </cfRule>
    <cfRule type="expression" dxfId="447" priority="421">
      <formula>C50="CSE"</formula>
    </cfRule>
    <cfRule type="expression" dxfId="446" priority="422">
      <formula>C50="CSC"</formula>
    </cfRule>
    <cfRule type="expression" dxfId="445" priority="423">
      <formula>C50="CSE"</formula>
    </cfRule>
    <cfRule type="expression" dxfId="444" priority="424">
      <formula>C50="CSC"</formula>
    </cfRule>
    <cfRule type="expression" dxfId="443" priority="425">
      <formula>C50="CSE"</formula>
    </cfRule>
    <cfRule type="expression" dxfId="442" priority="426">
      <formula>C50="CSC"</formula>
    </cfRule>
  </conditionalFormatting>
  <conditionalFormatting sqref="I55">
    <cfRule type="expression" dxfId="441" priority="411">
      <formula>C55="CSE"</formula>
    </cfRule>
    <cfRule type="expression" dxfId="440" priority="412">
      <formula>C55="CSC"</formula>
    </cfRule>
    <cfRule type="expression" dxfId="439" priority="413">
      <formula>C55="CSE"</formula>
    </cfRule>
    <cfRule type="expression" dxfId="438" priority="414">
      <formula>C55="CSC"</formula>
    </cfRule>
    <cfRule type="expression" dxfId="437" priority="415">
      <formula>C55="CSE"</formula>
    </cfRule>
    <cfRule type="expression" dxfId="436" priority="416">
      <formula>C55="CSC"</formula>
    </cfRule>
    <cfRule type="expression" dxfId="435" priority="417">
      <formula>C55="CSE"</formula>
    </cfRule>
    <cfRule type="expression" dxfId="434" priority="418">
      <formula>C55="CSC"</formula>
    </cfRule>
  </conditionalFormatting>
  <conditionalFormatting sqref="I60">
    <cfRule type="expression" dxfId="433" priority="403">
      <formula>C60="CSE"</formula>
    </cfRule>
    <cfRule type="expression" dxfId="432" priority="404">
      <formula>C60="CSC"</formula>
    </cfRule>
    <cfRule type="expression" dxfId="431" priority="405">
      <formula>C60="CSE"</formula>
    </cfRule>
    <cfRule type="expression" dxfId="430" priority="406">
      <formula>C60="CSC"</formula>
    </cfRule>
    <cfRule type="expression" dxfId="429" priority="407">
      <formula>C60="CSE"</formula>
    </cfRule>
    <cfRule type="expression" dxfId="428" priority="408">
      <formula>C60="CSC"</formula>
    </cfRule>
    <cfRule type="expression" dxfId="427" priority="409">
      <formula>C60="CSE"</formula>
    </cfRule>
    <cfRule type="expression" dxfId="426" priority="410">
      <formula>C60="CSC"</formula>
    </cfRule>
  </conditionalFormatting>
  <conditionalFormatting sqref="I65">
    <cfRule type="expression" dxfId="425" priority="395">
      <formula>C65="CSE"</formula>
    </cfRule>
    <cfRule type="expression" dxfId="424" priority="396">
      <formula>C65="CSC"</formula>
    </cfRule>
    <cfRule type="expression" dxfId="423" priority="397">
      <formula>C65="CSE"</formula>
    </cfRule>
    <cfRule type="expression" dxfId="422" priority="398">
      <formula>C65="CSC"</formula>
    </cfRule>
    <cfRule type="expression" dxfId="421" priority="399">
      <formula>C65="CSE"</formula>
    </cfRule>
    <cfRule type="expression" dxfId="420" priority="400">
      <formula>C65="CSC"</formula>
    </cfRule>
    <cfRule type="expression" dxfId="419" priority="401">
      <formula>C65="CSE"</formula>
    </cfRule>
    <cfRule type="expression" dxfId="418" priority="402">
      <formula>C65="CSC"</formula>
    </cfRule>
  </conditionalFormatting>
  <conditionalFormatting sqref="I70">
    <cfRule type="expression" dxfId="417" priority="387">
      <formula>C70="CSE"</formula>
    </cfRule>
    <cfRule type="expression" dxfId="416" priority="388">
      <formula>C70="CSC"</formula>
    </cfRule>
    <cfRule type="expression" dxfId="415" priority="389">
      <formula>C70="CSE"</formula>
    </cfRule>
    <cfRule type="expression" dxfId="414" priority="390">
      <formula>C70="CSC"</formula>
    </cfRule>
    <cfRule type="expression" dxfId="413" priority="391">
      <formula>C70="CSE"</formula>
    </cfRule>
    <cfRule type="expression" dxfId="412" priority="392">
      <formula>C70="CSC"</formula>
    </cfRule>
    <cfRule type="expression" dxfId="411" priority="393">
      <formula>C70="CSE"</formula>
    </cfRule>
    <cfRule type="expression" dxfId="410" priority="394">
      <formula>C70="CSC"</formula>
    </cfRule>
  </conditionalFormatting>
  <conditionalFormatting sqref="I75">
    <cfRule type="expression" dxfId="409" priority="379">
      <formula>C75="CSE"</formula>
    </cfRule>
    <cfRule type="expression" dxfId="408" priority="380">
      <formula>C75="CSC"</formula>
    </cfRule>
    <cfRule type="expression" dxfId="407" priority="381">
      <formula>C75="CSE"</formula>
    </cfRule>
    <cfRule type="expression" dxfId="406" priority="382">
      <formula>C75="CSC"</formula>
    </cfRule>
    <cfRule type="expression" dxfId="405" priority="383">
      <formula>C75="CSE"</formula>
    </cfRule>
    <cfRule type="expression" dxfId="404" priority="384">
      <formula>C75="CSC"</formula>
    </cfRule>
    <cfRule type="expression" dxfId="403" priority="385">
      <formula>C75="CSE"</formula>
    </cfRule>
    <cfRule type="expression" dxfId="402" priority="386">
      <formula>C75="CSC"</formula>
    </cfRule>
  </conditionalFormatting>
  <conditionalFormatting sqref="I80">
    <cfRule type="expression" dxfId="401" priority="371">
      <formula>C80="CSE"</formula>
    </cfRule>
    <cfRule type="expression" dxfId="400" priority="372">
      <formula>C80="CSC"</formula>
    </cfRule>
    <cfRule type="expression" dxfId="399" priority="373">
      <formula>C80="CSE"</formula>
    </cfRule>
    <cfRule type="expression" dxfId="398" priority="374">
      <formula>C80="CSC"</formula>
    </cfRule>
    <cfRule type="expression" dxfId="397" priority="375">
      <formula>C80="CSE"</formula>
    </cfRule>
    <cfRule type="expression" dxfId="396" priority="376">
      <formula>C80="CSC"</formula>
    </cfRule>
    <cfRule type="expression" dxfId="395" priority="377">
      <formula>C80="CSE"</formula>
    </cfRule>
    <cfRule type="expression" dxfId="394" priority="378">
      <formula>C80="CSC"</formula>
    </cfRule>
  </conditionalFormatting>
  <conditionalFormatting sqref="I85">
    <cfRule type="expression" dxfId="393" priority="363">
      <formula>C85="CSE"</formula>
    </cfRule>
    <cfRule type="expression" dxfId="392" priority="364">
      <formula>C85="CSC"</formula>
    </cfRule>
    <cfRule type="expression" dxfId="391" priority="365">
      <formula>C85="CSE"</formula>
    </cfRule>
    <cfRule type="expression" dxfId="390" priority="366">
      <formula>C85="CSC"</formula>
    </cfRule>
    <cfRule type="expression" dxfId="389" priority="367">
      <formula>C85="CSE"</formula>
    </cfRule>
    <cfRule type="expression" dxfId="388" priority="368">
      <formula>C85="CSC"</formula>
    </cfRule>
    <cfRule type="expression" dxfId="387" priority="369">
      <formula>C85="CSE"</formula>
    </cfRule>
    <cfRule type="expression" dxfId="386" priority="370">
      <formula>C85="CSC"</formula>
    </cfRule>
  </conditionalFormatting>
  <conditionalFormatting sqref="I90">
    <cfRule type="expression" dxfId="385" priority="355">
      <formula>C90="CSE"</formula>
    </cfRule>
    <cfRule type="expression" dxfId="384" priority="356">
      <formula>C90="CSC"</formula>
    </cfRule>
    <cfRule type="expression" dxfId="383" priority="357">
      <formula>C90="CSE"</formula>
    </cfRule>
    <cfRule type="expression" dxfId="382" priority="358">
      <formula>C90="CSC"</formula>
    </cfRule>
    <cfRule type="expression" dxfId="381" priority="359">
      <formula>C90="CSE"</formula>
    </cfRule>
    <cfRule type="expression" dxfId="380" priority="360">
      <formula>C90="CSC"</formula>
    </cfRule>
    <cfRule type="expression" dxfId="379" priority="361">
      <formula>C90="CSE"</formula>
    </cfRule>
    <cfRule type="expression" dxfId="378" priority="362">
      <formula>C90="CSC"</formula>
    </cfRule>
  </conditionalFormatting>
  <conditionalFormatting sqref="I95">
    <cfRule type="expression" dxfId="377" priority="347">
      <formula>C95="CSE"</formula>
    </cfRule>
    <cfRule type="expression" dxfId="376" priority="348">
      <formula>C95="CSC"</formula>
    </cfRule>
    <cfRule type="expression" dxfId="375" priority="349">
      <formula>C95="CSE"</formula>
    </cfRule>
    <cfRule type="expression" dxfId="374" priority="350">
      <formula>C95="CSC"</formula>
    </cfRule>
    <cfRule type="expression" dxfId="373" priority="351">
      <formula>C95="CSE"</formula>
    </cfRule>
    <cfRule type="expression" dxfId="372" priority="352">
      <formula>C95="CSC"</formula>
    </cfRule>
    <cfRule type="expression" dxfId="371" priority="353">
      <formula>C95="CSE"</formula>
    </cfRule>
    <cfRule type="expression" dxfId="370" priority="354">
      <formula>C95="CSC"</formula>
    </cfRule>
  </conditionalFormatting>
  <conditionalFormatting sqref="I100">
    <cfRule type="expression" dxfId="369" priority="339">
      <formula>C100="CSE"</formula>
    </cfRule>
    <cfRule type="expression" dxfId="368" priority="340">
      <formula>C100="CSC"</formula>
    </cfRule>
    <cfRule type="expression" dxfId="367" priority="341">
      <formula>C100="CSE"</formula>
    </cfRule>
    <cfRule type="expression" dxfId="366" priority="342">
      <formula>C100="CSC"</formula>
    </cfRule>
    <cfRule type="expression" dxfId="365" priority="343">
      <formula>C100="CSE"</formula>
    </cfRule>
    <cfRule type="expression" dxfId="364" priority="344">
      <formula>C100="CSC"</formula>
    </cfRule>
    <cfRule type="expression" dxfId="363" priority="345">
      <formula>C100="CSE"</formula>
    </cfRule>
    <cfRule type="expression" dxfId="362" priority="346">
      <formula>C100="CSC"</formula>
    </cfRule>
  </conditionalFormatting>
  <conditionalFormatting sqref="I105">
    <cfRule type="expression" dxfId="361" priority="331">
      <formula>C105="CSE"</formula>
    </cfRule>
    <cfRule type="expression" dxfId="360" priority="332">
      <formula>C105="CSC"</formula>
    </cfRule>
    <cfRule type="expression" dxfId="359" priority="333">
      <formula>C105="CSE"</formula>
    </cfRule>
    <cfRule type="expression" dxfId="358" priority="334">
      <formula>C105="CSC"</formula>
    </cfRule>
    <cfRule type="expression" dxfId="357" priority="335">
      <formula>C105="CSE"</formula>
    </cfRule>
    <cfRule type="expression" dxfId="356" priority="336">
      <formula>C105="CSC"</formula>
    </cfRule>
    <cfRule type="expression" dxfId="355" priority="337">
      <formula>C105="CSE"</formula>
    </cfRule>
    <cfRule type="expression" dxfId="354" priority="338">
      <formula>C105="CSC"</formula>
    </cfRule>
  </conditionalFormatting>
  <conditionalFormatting sqref="I110">
    <cfRule type="expression" dxfId="353" priority="323">
      <formula>C110="CSE"</formula>
    </cfRule>
    <cfRule type="expression" dxfId="352" priority="324">
      <formula>C110="CSC"</formula>
    </cfRule>
    <cfRule type="expression" dxfId="351" priority="325">
      <formula>C110="CSE"</formula>
    </cfRule>
    <cfRule type="expression" dxfId="350" priority="326">
      <formula>C110="CSC"</formula>
    </cfRule>
    <cfRule type="expression" dxfId="349" priority="327">
      <formula>C110="CSE"</formula>
    </cfRule>
    <cfRule type="expression" dxfId="348" priority="328">
      <formula>C110="CSC"</formula>
    </cfRule>
    <cfRule type="expression" dxfId="347" priority="329">
      <formula>C110="CSE"</formula>
    </cfRule>
    <cfRule type="expression" dxfId="346" priority="330">
      <formula>C110="CSC"</formula>
    </cfRule>
  </conditionalFormatting>
  <conditionalFormatting sqref="I115">
    <cfRule type="expression" dxfId="345" priority="315">
      <formula>C115="CSE"</formula>
    </cfRule>
    <cfRule type="expression" dxfId="344" priority="316">
      <formula>C115="CSC"</formula>
    </cfRule>
    <cfRule type="expression" dxfId="343" priority="317">
      <formula>C115="CSE"</formula>
    </cfRule>
    <cfRule type="expression" dxfId="342" priority="318">
      <formula>C115="CSC"</formula>
    </cfRule>
    <cfRule type="expression" dxfId="341" priority="319">
      <formula>C115="CSE"</formula>
    </cfRule>
    <cfRule type="expression" dxfId="340" priority="320">
      <formula>C115="CSC"</formula>
    </cfRule>
    <cfRule type="expression" dxfId="339" priority="321">
      <formula>C115="CSE"</formula>
    </cfRule>
    <cfRule type="expression" dxfId="338" priority="322">
      <formula>C115="CSC"</formula>
    </cfRule>
  </conditionalFormatting>
  <conditionalFormatting sqref="I120">
    <cfRule type="expression" dxfId="337" priority="307">
      <formula>C120="CSE"</formula>
    </cfRule>
    <cfRule type="expression" dxfId="336" priority="308">
      <formula>C120="CSC"</formula>
    </cfRule>
    <cfRule type="expression" dxfId="335" priority="309">
      <formula>C120="CSE"</formula>
    </cfRule>
    <cfRule type="expression" dxfId="334" priority="310">
      <formula>C120="CSC"</formula>
    </cfRule>
    <cfRule type="expression" dxfId="333" priority="311">
      <formula>C120="CSE"</formula>
    </cfRule>
    <cfRule type="expression" dxfId="332" priority="312">
      <formula>C120="CSC"</formula>
    </cfRule>
    <cfRule type="expression" dxfId="331" priority="313">
      <formula>C120="CSE"</formula>
    </cfRule>
    <cfRule type="expression" dxfId="330" priority="314">
      <formula>C120="CSC"</formula>
    </cfRule>
  </conditionalFormatting>
  <conditionalFormatting sqref="I125">
    <cfRule type="expression" dxfId="329" priority="299">
      <formula>C125="CSE"</formula>
    </cfRule>
    <cfRule type="expression" dxfId="328" priority="300">
      <formula>C125="CSC"</formula>
    </cfRule>
    <cfRule type="expression" dxfId="327" priority="301">
      <formula>C125="CSE"</formula>
    </cfRule>
    <cfRule type="expression" dxfId="326" priority="302">
      <formula>C125="CSC"</formula>
    </cfRule>
    <cfRule type="expression" dxfId="325" priority="303">
      <formula>C125="CSE"</formula>
    </cfRule>
    <cfRule type="expression" dxfId="324" priority="304">
      <formula>C125="CSC"</formula>
    </cfRule>
    <cfRule type="expression" dxfId="323" priority="305">
      <formula>C125="CSE"</formula>
    </cfRule>
    <cfRule type="expression" dxfId="322" priority="306">
      <formula>C125="CSC"</formula>
    </cfRule>
  </conditionalFormatting>
  <conditionalFormatting sqref="I130">
    <cfRule type="expression" dxfId="321" priority="291">
      <formula>C130="CSE"</formula>
    </cfRule>
    <cfRule type="expression" dxfId="320" priority="292">
      <formula>C130="CSC"</formula>
    </cfRule>
    <cfRule type="expression" dxfId="319" priority="293">
      <formula>C130="CSE"</formula>
    </cfRule>
    <cfRule type="expression" dxfId="318" priority="294">
      <formula>C130="CSC"</formula>
    </cfRule>
    <cfRule type="expression" dxfId="317" priority="295">
      <formula>C130="CSE"</formula>
    </cfRule>
    <cfRule type="expression" dxfId="316" priority="296">
      <formula>C130="CSC"</formula>
    </cfRule>
    <cfRule type="expression" dxfId="315" priority="297">
      <formula>C130="CSE"</formula>
    </cfRule>
    <cfRule type="expression" dxfId="314" priority="298">
      <formula>C130="CSC"</formula>
    </cfRule>
  </conditionalFormatting>
  <conditionalFormatting sqref="I135">
    <cfRule type="expression" dxfId="313" priority="283">
      <formula>C135="CSE"</formula>
    </cfRule>
    <cfRule type="expression" dxfId="312" priority="284">
      <formula>C135="CSC"</formula>
    </cfRule>
    <cfRule type="expression" dxfId="311" priority="285">
      <formula>C135="CSE"</formula>
    </cfRule>
    <cfRule type="expression" dxfId="310" priority="286">
      <formula>C135="CSC"</formula>
    </cfRule>
    <cfRule type="expression" dxfId="309" priority="287">
      <formula>C135="CSE"</formula>
    </cfRule>
    <cfRule type="expression" dxfId="308" priority="288">
      <formula>C135="CSC"</formula>
    </cfRule>
    <cfRule type="expression" dxfId="307" priority="289">
      <formula>C135="CSE"</formula>
    </cfRule>
    <cfRule type="expression" dxfId="306" priority="290">
      <formula>C135="CSC"</formula>
    </cfRule>
  </conditionalFormatting>
  <conditionalFormatting sqref="I140">
    <cfRule type="expression" dxfId="305" priority="275">
      <formula>C140="CSE"</formula>
    </cfRule>
    <cfRule type="expression" dxfId="304" priority="276">
      <formula>C140="CSC"</formula>
    </cfRule>
    <cfRule type="expression" dxfId="303" priority="277">
      <formula>C140="CSE"</formula>
    </cfRule>
    <cfRule type="expression" dxfId="302" priority="278">
      <formula>C140="CSC"</formula>
    </cfRule>
    <cfRule type="expression" dxfId="301" priority="279">
      <formula>C140="CSE"</formula>
    </cfRule>
    <cfRule type="expression" dxfId="300" priority="280">
      <formula>C140="CSC"</formula>
    </cfRule>
    <cfRule type="expression" dxfId="299" priority="281">
      <formula>C140="CSE"</formula>
    </cfRule>
    <cfRule type="expression" dxfId="298" priority="282">
      <formula>C140="CSC"</formula>
    </cfRule>
  </conditionalFormatting>
  <conditionalFormatting sqref="I145">
    <cfRule type="expression" dxfId="297" priority="267">
      <formula>C145="CSE"</formula>
    </cfRule>
    <cfRule type="expression" dxfId="296" priority="268">
      <formula>C145="CSC"</formula>
    </cfRule>
    <cfRule type="expression" dxfId="295" priority="269">
      <formula>C145="CSE"</formula>
    </cfRule>
    <cfRule type="expression" dxfId="294" priority="270">
      <formula>C145="CSC"</formula>
    </cfRule>
    <cfRule type="expression" dxfId="293" priority="271">
      <formula>C145="CSE"</formula>
    </cfRule>
    <cfRule type="expression" dxfId="292" priority="272">
      <formula>C145="CSC"</formula>
    </cfRule>
    <cfRule type="expression" dxfId="291" priority="273">
      <formula>C145="CSE"</formula>
    </cfRule>
    <cfRule type="expression" dxfId="290" priority="274">
      <formula>C145="CSC"</formula>
    </cfRule>
  </conditionalFormatting>
  <conditionalFormatting sqref="I150">
    <cfRule type="expression" dxfId="289" priority="259">
      <formula>C150="CSE"</formula>
    </cfRule>
    <cfRule type="expression" dxfId="288" priority="260">
      <formula>C150="CSC"</formula>
    </cfRule>
    <cfRule type="expression" dxfId="287" priority="261">
      <formula>C150="CSE"</formula>
    </cfRule>
    <cfRule type="expression" dxfId="286" priority="262">
      <formula>C150="CSC"</formula>
    </cfRule>
    <cfRule type="expression" dxfId="285" priority="263">
      <formula>C150="CSE"</formula>
    </cfRule>
    <cfRule type="expression" dxfId="284" priority="264">
      <formula>C150="CSC"</formula>
    </cfRule>
    <cfRule type="expression" dxfId="283" priority="265">
      <formula>C150="CSE"</formula>
    </cfRule>
    <cfRule type="expression" dxfId="282" priority="266">
      <formula>C150="CSC"</formula>
    </cfRule>
  </conditionalFormatting>
  <conditionalFormatting sqref="I155">
    <cfRule type="expression" dxfId="281" priority="251">
      <formula>C155="CSE"</formula>
    </cfRule>
    <cfRule type="expression" dxfId="280" priority="252">
      <formula>C155="CSC"</formula>
    </cfRule>
    <cfRule type="expression" dxfId="279" priority="253">
      <formula>C155="CSE"</formula>
    </cfRule>
    <cfRule type="expression" dxfId="278" priority="254">
      <formula>C155="CSC"</formula>
    </cfRule>
    <cfRule type="expression" dxfId="277" priority="255">
      <formula>C155="CSE"</formula>
    </cfRule>
    <cfRule type="expression" dxfId="276" priority="256">
      <formula>C155="CSC"</formula>
    </cfRule>
    <cfRule type="expression" dxfId="275" priority="257">
      <formula>C155="CSE"</formula>
    </cfRule>
    <cfRule type="expression" dxfId="274" priority="258">
      <formula>C155="CSC"</formula>
    </cfRule>
  </conditionalFormatting>
  <conditionalFormatting sqref="I160">
    <cfRule type="expression" dxfId="273" priority="243">
      <formula>C160="CSE"</formula>
    </cfRule>
    <cfRule type="expression" dxfId="272" priority="244">
      <formula>C160="CSC"</formula>
    </cfRule>
    <cfRule type="expression" dxfId="271" priority="245">
      <formula>C160="CSE"</formula>
    </cfRule>
    <cfRule type="expression" dxfId="270" priority="246">
      <formula>C160="CSC"</formula>
    </cfRule>
    <cfRule type="expression" dxfId="269" priority="247">
      <formula>C160="CSE"</formula>
    </cfRule>
    <cfRule type="expression" dxfId="268" priority="248">
      <formula>C160="CSC"</formula>
    </cfRule>
    <cfRule type="expression" dxfId="267" priority="249">
      <formula>C160="CSE"</formula>
    </cfRule>
    <cfRule type="expression" dxfId="266" priority="250">
      <formula>C160="CSC"</formula>
    </cfRule>
  </conditionalFormatting>
  <conditionalFormatting sqref="I165">
    <cfRule type="expression" dxfId="265" priority="235">
      <formula>C165="CSE"</formula>
    </cfRule>
    <cfRule type="expression" dxfId="264" priority="236">
      <formula>C165="CSC"</formula>
    </cfRule>
    <cfRule type="expression" dxfId="263" priority="237">
      <formula>C165="CSE"</formula>
    </cfRule>
    <cfRule type="expression" dxfId="262" priority="238">
      <formula>C165="CSC"</formula>
    </cfRule>
    <cfRule type="expression" dxfId="261" priority="239">
      <formula>C165="CSE"</formula>
    </cfRule>
    <cfRule type="expression" dxfId="260" priority="240">
      <formula>C165="CSC"</formula>
    </cfRule>
    <cfRule type="expression" dxfId="259" priority="241">
      <formula>C165="CSE"</formula>
    </cfRule>
    <cfRule type="expression" dxfId="258" priority="242">
      <formula>C165="CSC"</formula>
    </cfRule>
  </conditionalFormatting>
  <conditionalFormatting sqref="I170">
    <cfRule type="expression" dxfId="257" priority="227">
      <formula>C170="CSE"</formula>
    </cfRule>
    <cfRule type="expression" dxfId="256" priority="228">
      <formula>C170="CSC"</formula>
    </cfRule>
    <cfRule type="expression" dxfId="255" priority="229">
      <formula>C170="CSE"</formula>
    </cfRule>
    <cfRule type="expression" dxfId="254" priority="230">
      <formula>C170="CSC"</formula>
    </cfRule>
    <cfRule type="expression" dxfId="253" priority="231">
      <formula>C170="CSE"</formula>
    </cfRule>
    <cfRule type="expression" dxfId="252" priority="232">
      <formula>C170="CSC"</formula>
    </cfRule>
    <cfRule type="expression" dxfId="251" priority="233">
      <formula>C170="CSE"</formula>
    </cfRule>
    <cfRule type="expression" dxfId="250" priority="234">
      <formula>C170="CSC"</formula>
    </cfRule>
  </conditionalFormatting>
  <conditionalFormatting sqref="I175">
    <cfRule type="expression" dxfId="249" priority="219">
      <formula>C175="CSE"</formula>
    </cfRule>
    <cfRule type="expression" dxfId="248" priority="220">
      <formula>C175="CSC"</formula>
    </cfRule>
    <cfRule type="expression" dxfId="247" priority="221">
      <formula>C175="CSE"</formula>
    </cfRule>
    <cfRule type="expression" dxfId="246" priority="222">
      <formula>C175="CSC"</formula>
    </cfRule>
    <cfRule type="expression" dxfId="245" priority="223">
      <formula>C175="CSE"</formula>
    </cfRule>
    <cfRule type="expression" dxfId="244" priority="224">
      <formula>C175="CSC"</formula>
    </cfRule>
    <cfRule type="expression" dxfId="243" priority="225">
      <formula>C175="CSE"</formula>
    </cfRule>
    <cfRule type="expression" dxfId="242" priority="226">
      <formula>C175="CSC"</formula>
    </cfRule>
  </conditionalFormatting>
  <conditionalFormatting sqref="I180">
    <cfRule type="expression" dxfId="241" priority="211">
      <formula>C180="CSE"</formula>
    </cfRule>
    <cfRule type="expression" dxfId="240" priority="212">
      <formula>C180="CSC"</formula>
    </cfRule>
    <cfRule type="expression" dxfId="239" priority="213">
      <formula>C180="CSE"</formula>
    </cfRule>
    <cfRule type="expression" dxfId="238" priority="214">
      <formula>C180="CSC"</formula>
    </cfRule>
    <cfRule type="expression" dxfId="237" priority="215">
      <formula>C180="CSE"</formula>
    </cfRule>
    <cfRule type="expression" dxfId="236" priority="216">
      <formula>C180="CSC"</formula>
    </cfRule>
    <cfRule type="expression" dxfId="235" priority="217">
      <formula>C180="CSE"</formula>
    </cfRule>
    <cfRule type="expression" dxfId="234" priority="218">
      <formula>C180="CSC"</formula>
    </cfRule>
  </conditionalFormatting>
  <conditionalFormatting sqref="I185">
    <cfRule type="expression" dxfId="233" priority="203">
      <formula>C185="CSE"</formula>
    </cfRule>
    <cfRule type="expression" dxfId="232" priority="204">
      <formula>C185="CSC"</formula>
    </cfRule>
    <cfRule type="expression" dxfId="231" priority="205">
      <formula>C185="CSE"</formula>
    </cfRule>
    <cfRule type="expression" dxfId="230" priority="206">
      <formula>C185="CSC"</formula>
    </cfRule>
    <cfRule type="expression" dxfId="229" priority="207">
      <formula>C185="CSE"</formula>
    </cfRule>
    <cfRule type="expression" dxfId="228" priority="208">
      <formula>C185="CSC"</formula>
    </cfRule>
    <cfRule type="expression" dxfId="227" priority="209">
      <formula>C185="CSE"</formula>
    </cfRule>
    <cfRule type="expression" dxfId="226" priority="210">
      <formula>C185="CSC"</formula>
    </cfRule>
  </conditionalFormatting>
  <conditionalFormatting sqref="I190">
    <cfRule type="expression" dxfId="225" priority="195">
      <formula>C190="CSE"</formula>
    </cfRule>
    <cfRule type="expression" dxfId="224" priority="196">
      <formula>C190="CSC"</formula>
    </cfRule>
    <cfRule type="expression" dxfId="223" priority="197">
      <formula>C190="CSE"</formula>
    </cfRule>
    <cfRule type="expression" dxfId="222" priority="198">
      <formula>C190="CSC"</formula>
    </cfRule>
    <cfRule type="expression" dxfId="221" priority="199">
      <formula>C190="CSE"</formula>
    </cfRule>
    <cfRule type="expression" dxfId="220" priority="200">
      <formula>C190="CSC"</formula>
    </cfRule>
    <cfRule type="expression" dxfId="219" priority="201">
      <formula>C190="CSE"</formula>
    </cfRule>
    <cfRule type="expression" dxfId="218" priority="202">
      <formula>C190="CSC"</formula>
    </cfRule>
  </conditionalFormatting>
  <conditionalFormatting sqref="I195">
    <cfRule type="expression" dxfId="217" priority="187">
      <formula>C195="CSE"</formula>
    </cfRule>
    <cfRule type="expression" dxfId="216" priority="188">
      <formula>C195="CSC"</formula>
    </cfRule>
    <cfRule type="expression" dxfId="215" priority="189">
      <formula>C195="CSE"</formula>
    </cfRule>
    <cfRule type="expression" dxfId="214" priority="190">
      <formula>C195="CSC"</formula>
    </cfRule>
    <cfRule type="expression" dxfId="213" priority="191">
      <formula>C195="CSE"</formula>
    </cfRule>
    <cfRule type="expression" dxfId="212" priority="192">
      <formula>C195="CSC"</formula>
    </cfRule>
    <cfRule type="expression" dxfId="211" priority="193">
      <formula>C195="CSE"</formula>
    </cfRule>
    <cfRule type="expression" dxfId="210" priority="194">
      <formula>C195="CSC"</formula>
    </cfRule>
  </conditionalFormatting>
  <conditionalFormatting sqref="I200">
    <cfRule type="expression" dxfId="209" priority="179">
      <formula>C200="CSE"</formula>
    </cfRule>
    <cfRule type="expression" dxfId="208" priority="180">
      <formula>C200="CSC"</formula>
    </cfRule>
    <cfRule type="expression" dxfId="207" priority="181">
      <formula>C200="CSE"</formula>
    </cfRule>
    <cfRule type="expression" dxfId="206" priority="182">
      <formula>C200="CSC"</formula>
    </cfRule>
    <cfRule type="expression" dxfId="205" priority="183">
      <formula>C200="CSE"</formula>
    </cfRule>
    <cfRule type="expression" dxfId="204" priority="184">
      <formula>C200="CSC"</formula>
    </cfRule>
    <cfRule type="expression" dxfId="203" priority="185">
      <formula>C200="CSE"</formula>
    </cfRule>
    <cfRule type="expression" dxfId="202" priority="186">
      <formula>C200="CSC"</formula>
    </cfRule>
  </conditionalFormatting>
  <conditionalFormatting sqref="I205">
    <cfRule type="expression" dxfId="201" priority="171">
      <formula>C205="CSE"</formula>
    </cfRule>
    <cfRule type="expression" dxfId="200" priority="172">
      <formula>C205="CSC"</formula>
    </cfRule>
    <cfRule type="expression" dxfId="199" priority="173">
      <formula>C205="CSE"</formula>
    </cfRule>
    <cfRule type="expression" dxfId="198" priority="174">
      <formula>C205="CSC"</formula>
    </cfRule>
    <cfRule type="expression" dxfId="197" priority="175">
      <formula>C205="CSE"</formula>
    </cfRule>
    <cfRule type="expression" dxfId="196" priority="176">
      <formula>C205="CSC"</formula>
    </cfRule>
    <cfRule type="expression" dxfId="195" priority="177">
      <formula>C205="CSE"</formula>
    </cfRule>
    <cfRule type="expression" dxfId="194" priority="178">
      <formula>C205="CSC"</formula>
    </cfRule>
  </conditionalFormatting>
  <conditionalFormatting sqref="I210">
    <cfRule type="expression" dxfId="193" priority="163">
      <formula>C210="CSE"</formula>
    </cfRule>
    <cfRule type="expression" dxfId="192" priority="164">
      <formula>C210="CSC"</formula>
    </cfRule>
    <cfRule type="expression" dxfId="191" priority="165">
      <formula>C210="CSE"</formula>
    </cfRule>
    <cfRule type="expression" dxfId="190" priority="166">
      <formula>C210="CSC"</formula>
    </cfRule>
    <cfRule type="expression" dxfId="189" priority="167">
      <formula>C210="CSE"</formula>
    </cfRule>
    <cfRule type="expression" dxfId="188" priority="168">
      <formula>C210="CSC"</formula>
    </cfRule>
    <cfRule type="expression" dxfId="187" priority="169">
      <formula>C210="CSE"</formula>
    </cfRule>
    <cfRule type="expression" dxfId="186" priority="170">
      <formula>C210="CSC"</formula>
    </cfRule>
  </conditionalFormatting>
  <conditionalFormatting sqref="I215">
    <cfRule type="expression" dxfId="185" priority="155">
      <formula>C215="CSE"</formula>
    </cfRule>
    <cfRule type="expression" dxfId="184" priority="156">
      <formula>C215="CSC"</formula>
    </cfRule>
    <cfRule type="expression" dxfId="183" priority="157">
      <formula>C215="CSE"</formula>
    </cfRule>
    <cfRule type="expression" dxfId="182" priority="158">
      <formula>C215="CSC"</formula>
    </cfRule>
    <cfRule type="expression" dxfId="181" priority="159">
      <formula>C215="CSE"</formula>
    </cfRule>
    <cfRule type="expression" dxfId="180" priority="160">
      <formula>C215="CSC"</formula>
    </cfRule>
    <cfRule type="expression" dxfId="179" priority="161">
      <formula>C215="CSE"</formula>
    </cfRule>
    <cfRule type="expression" dxfId="178" priority="162">
      <formula>C215="CSC"</formula>
    </cfRule>
  </conditionalFormatting>
  <conditionalFormatting sqref="I220">
    <cfRule type="expression" dxfId="177" priority="147">
      <formula>C220="CSE"</formula>
    </cfRule>
    <cfRule type="expression" dxfId="176" priority="148">
      <formula>C220="CSC"</formula>
    </cfRule>
    <cfRule type="expression" dxfId="175" priority="149">
      <formula>C220="CSE"</formula>
    </cfRule>
    <cfRule type="expression" dxfId="174" priority="150">
      <formula>C220="CSC"</formula>
    </cfRule>
    <cfRule type="expression" dxfId="173" priority="151">
      <formula>C220="CSE"</formula>
    </cfRule>
    <cfRule type="expression" dxfId="172" priority="152">
      <formula>C220="CSC"</formula>
    </cfRule>
    <cfRule type="expression" dxfId="171" priority="153">
      <formula>C220="CSE"</formula>
    </cfRule>
    <cfRule type="expression" dxfId="170" priority="154">
      <formula>C220="CSC"</formula>
    </cfRule>
  </conditionalFormatting>
  <conditionalFormatting sqref="I225">
    <cfRule type="expression" dxfId="169" priority="139">
      <formula>C225="CSE"</formula>
    </cfRule>
    <cfRule type="expression" dxfId="168" priority="140">
      <formula>C225="CSC"</formula>
    </cfRule>
    <cfRule type="expression" dxfId="167" priority="141">
      <formula>C225="CSE"</formula>
    </cfRule>
    <cfRule type="expression" dxfId="166" priority="142">
      <formula>C225="CSC"</formula>
    </cfRule>
    <cfRule type="expression" dxfId="165" priority="143">
      <formula>C225="CSE"</formula>
    </cfRule>
    <cfRule type="expression" dxfId="164" priority="144">
      <formula>C225="CSC"</formula>
    </cfRule>
    <cfRule type="expression" dxfId="163" priority="145">
      <formula>C225="CSE"</formula>
    </cfRule>
    <cfRule type="expression" dxfId="162" priority="146">
      <formula>C225="CSC"</formula>
    </cfRule>
  </conditionalFormatting>
  <conditionalFormatting sqref="I230">
    <cfRule type="expression" dxfId="161" priority="131">
      <formula>C230="CSE"</formula>
    </cfRule>
    <cfRule type="expression" dxfId="160" priority="132">
      <formula>C230="CSC"</formula>
    </cfRule>
    <cfRule type="expression" dxfId="159" priority="133">
      <formula>C230="CSE"</formula>
    </cfRule>
    <cfRule type="expression" dxfId="158" priority="134">
      <formula>C230="CSC"</formula>
    </cfRule>
    <cfRule type="expression" dxfId="157" priority="135">
      <formula>C230="CSE"</formula>
    </cfRule>
    <cfRule type="expression" dxfId="156" priority="136">
      <formula>C230="CSC"</formula>
    </cfRule>
    <cfRule type="expression" dxfId="155" priority="137">
      <formula>C230="CSE"</formula>
    </cfRule>
    <cfRule type="expression" dxfId="154" priority="138">
      <formula>C230="CSC"</formula>
    </cfRule>
  </conditionalFormatting>
  <conditionalFormatting sqref="I235">
    <cfRule type="expression" dxfId="153" priority="123">
      <formula>C235="CSE"</formula>
    </cfRule>
    <cfRule type="expression" dxfId="152" priority="124">
      <formula>C235="CSC"</formula>
    </cfRule>
    <cfRule type="expression" dxfId="151" priority="125">
      <formula>C235="CSE"</formula>
    </cfRule>
    <cfRule type="expression" dxfId="150" priority="126">
      <formula>C235="CSC"</formula>
    </cfRule>
    <cfRule type="expression" dxfId="149" priority="127">
      <formula>C235="CSE"</formula>
    </cfRule>
    <cfRule type="expression" dxfId="148" priority="128">
      <formula>C235="CSC"</formula>
    </cfRule>
    <cfRule type="expression" dxfId="147" priority="129">
      <formula>C235="CSE"</formula>
    </cfRule>
    <cfRule type="expression" dxfId="146" priority="130">
      <formula>C235="CSC"</formula>
    </cfRule>
  </conditionalFormatting>
  <conditionalFormatting sqref="I240">
    <cfRule type="expression" dxfId="145" priority="115">
      <formula>C240="CSE"</formula>
    </cfRule>
    <cfRule type="expression" dxfId="144" priority="116">
      <formula>C240="CSC"</formula>
    </cfRule>
    <cfRule type="expression" dxfId="143" priority="117">
      <formula>C240="CSE"</formula>
    </cfRule>
    <cfRule type="expression" dxfId="142" priority="118">
      <formula>C240="CSC"</formula>
    </cfRule>
    <cfRule type="expression" dxfId="141" priority="119">
      <formula>C240="CSE"</formula>
    </cfRule>
    <cfRule type="expression" dxfId="140" priority="120">
      <formula>C240="CSC"</formula>
    </cfRule>
    <cfRule type="expression" dxfId="139" priority="121">
      <formula>C240="CSE"</formula>
    </cfRule>
    <cfRule type="expression" dxfId="138" priority="122">
      <formula>C240="CSC"</formula>
    </cfRule>
  </conditionalFormatting>
  <conditionalFormatting sqref="I245">
    <cfRule type="expression" dxfId="137" priority="107">
      <formula>C245="CSE"</formula>
    </cfRule>
    <cfRule type="expression" dxfId="136" priority="108">
      <formula>C245="CSC"</formula>
    </cfRule>
    <cfRule type="expression" dxfId="135" priority="109">
      <formula>C245="CSE"</formula>
    </cfRule>
    <cfRule type="expression" dxfId="134" priority="110">
      <formula>C245="CSC"</formula>
    </cfRule>
    <cfRule type="expression" dxfId="133" priority="111">
      <formula>C245="CSE"</formula>
    </cfRule>
    <cfRule type="expression" dxfId="132" priority="112">
      <formula>C245="CSC"</formula>
    </cfRule>
    <cfRule type="expression" dxfId="131" priority="113">
      <formula>C245="CSE"</formula>
    </cfRule>
    <cfRule type="expression" dxfId="130" priority="114">
      <formula>C245="CSC"</formula>
    </cfRule>
  </conditionalFormatting>
  <conditionalFormatting sqref="J6:J245">
    <cfRule type="cellIs" dxfId="129" priority="101" operator="equal">
      <formula>"CRECHE"</formula>
    </cfRule>
    <cfRule type="cellIs" dxfId="128" priority="102" operator="equal">
      <formula>"ADAPTADO"</formula>
    </cfRule>
    <cfRule type="cellIs" dxfId="127" priority="103" operator="equal">
      <formula>"CRECHE"</formula>
    </cfRule>
    <cfRule type="cellIs" dxfId="126" priority="104" operator="equal">
      <formula>"ADAPTADO"</formula>
    </cfRule>
    <cfRule type="cellIs" dxfId="125" priority="105" operator="equal">
      <formula>"CRECHE"</formula>
    </cfRule>
    <cfRule type="cellIs" dxfId="124" priority="106" operator="equal">
      <formula>"ADAPTADO"</formula>
    </cfRule>
  </conditionalFormatting>
  <conditionalFormatting sqref="J6:K10">
    <cfRule type="expression" dxfId="123" priority="97">
      <formula>NOT(ISERROR(SEARCH("NORMAL",J6)))</formula>
    </cfRule>
    <cfRule type="expression" dxfId="122" priority="98">
      <formula>NOT(ISERROR(SEARCH("ADAPTADO",J6)))</formula>
    </cfRule>
    <cfRule type="expression" dxfId="121" priority="99">
      <formula>NOT(ISERROR(SEARCH("NORMAL",J6)))</formula>
    </cfRule>
    <cfRule type="expression" dxfId="120" priority="100">
      <formula>NOT(ISERROR(SEARCH("ADAPTADO",J6)))</formula>
    </cfRule>
  </conditionalFormatting>
  <conditionalFormatting sqref="J11:K15">
    <cfRule type="expression" dxfId="119" priority="95">
      <formula>NOT(ISERROR(SEARCH("NORMAL",J11)))</formula>
    </cfRule>
    <cfRule type="expression" dxfId="118" priority="96">
      <formula>NOT(ISERROR(SEARCH("ADAPTADO",J11)))</formula>
    </cfRule>
  </conditionalFormatting>
  <conditionalFormatting sqref="J11:K20">
    <cfRule type="expression" dxfId="117" priority="93">
      <formula>NOT(ISERROR(SEARCH("NORMAL",J11)))</formula>
    </cfRule>
    <cfRule type="expression" dxfId="116" priority="94">
      <formula>NOT(ISERROR(SEARCH("ADAPTADO",J11)))</formula>
    </cfRule>
  </conditionalFormatting>
  <conditionalFormatting sqref="J16:K25">
    <cfRule type="expression" dxfId="115" priority="91">
      <formula>NOT(ISERROR(SEARCH("NORMAL",J16)))</formula>
    </cfRule>
    <cfRule type="expression" dxfId="114" priority="92">
      <formula>NOT(ISERROR(SEARCH("ADAPTADO",J16)))</formula>
    </cfRule>
  </conditionalFormatting>
  <conditionalFormatting sqref="J21:K30">
    <cfRule type="expression" dxfId="113" priority="89">
      <formula>NOT(ISERROR(SEARCH("NORMAL",J21)))</formula>
    </cfRule>
    <cfRule type="expression" dxfId="112" priority="90">
      <formula>NOT(ISERROR(SEARCH("ADAPTADO",J21)))</formula>
    </cfRule>
  </conditionalFormatting>
  <conditionalFormatting sqref="J26:K35">
    <cfRule type="expression" dxfId="111" priority="87">
      <formula>NOT(ISERROR(SEARCH("NORMAL",J26)))</formula>
    </cfRule>
    <cfRule type="expression" dxfId="110" priority="88">
      <formula>NOT(ISERROR(SEARCH("ADAPTADO",J26)))</formula>
    </cfRule>
  </conditionalFormatting>
  <conditionalFormatting sqref="J31:K40">
    <cfRule type="expression" dxfId="109" priority="85">
      <formula>NOT(ISERROR(SEARCH("NORMAL",J31)))</formula>
    </cfRule>
    <cfRule type="expression" dxfId="108" priority="86">
      <formula>NOT(ISERROR(SEARCH("ADAPTADO",J31)))</formula>
    </cfRule>
  </conditionalFormatting>
  <conditionalFormatting sqref="J36:K45">
    <cfRule type="expression" dxfId="107" priority="83">
      <formula>NOT(ISERROR(SEARCH("NORMAL",J36)))</formula>
    </cfRule>
    <cfRule type="expression" dxfId="106" priority="84">
      <formula>NOT(ISERROR(SEARCH("ADAPTADO",J36)))</formula>
    </cfRule>
  </conditionalFormatting>
  <conditionalFormatting sqref="J41:K50">
    <cfRule type="expression" dxfId="105" priority="81">
      <formula>NOT(ISERROR(SEARCH("NORMAL",J41)))</formula>
    </cfRule>
    <cfRule type="expression" dxfId="104" priority="82">
      <formula>NOT(ISERROR(SEARCH("ADAPTADO",J41)))</formula>
    </cfRule>
  </conditionalFormatting>
  <conditionalFormatting sqref="J46:K55">
    <cfRule type="expression" dxfId="103" priority="79">
      <formula>NOT(ISERROR(SEARCH("NORMAL",J46)))</formula>
    </cfRule>
    <cfRule type="expression" dxfId="102" priority="80">
      <formula>NOT(ISERROR(SEARCH("ADAPTADO",J46)))</formula>
    </cfRule>
  </conditionalFormatting>
  <conditionalFormatting sqref="J51:K60">
    <cfRule type="expression" dxfId="101" priority="77">
      <formula>NOT(ISERROR(SEARCH("NORMAL",J51)))</formula>
    </cfRule>
    <cfRule type="expression" dxfId="100" priority="78">
      <formula>NOT(ISERROR(SEARCH("ADAPTADO",J51)))</formula>
    </cfRule>
  </conditionalFormatting>
  <conditionalFormatting sqref="J56:K65">
    <cfRule type="expression" dxfId="99" priority="75">
      <formula>NOT(ISERROR(SEARCH("NORMAL",J56)))</formula>
    </cfRule>
    <cfRule type="expression" dxfId="98" priority="76">
      <formula>NOT(ISERROR(SEARCH("ADAPTADO",J56)))</formula>
    </cfRule>
  </conditionalFormatting>
  <conditionalFormatting sqref="J61:K70">
    <cfRule type="expression" dxfId="97" priority="73">
      <formula>NOT(ISERROR(SEARCH("NORMAL",J61)))</formula>
    </cfRule>
    <cfRule type="expression" dxfId="96" priority="74">
      <formula>NOT(ISERROR(SEARCH("ADAPTADO",J61)))</formula>
    </cfRule>
  </conditionalFormatting>
  <conditionalFormatting sqref="J66:K75">
    <cfRule type="expression" dxfId="95" priority="71">
      <formula>NOT(ISERROR(SEARCH("NORMAL",J66)))</formula>
    </cfRule>
    <cfRule type="expression" dxfId="94" priority="72">
      <formula>NOT(ISERROR(SEARCH("ADAPTADO",J66)))</formula>
    </cfRule>
  </conditionalFormatting>
  <conditionalFormatting sqref="J71:K80">
    <cfRule type="expression" dxfId="93" priority="69">
      <formula>NOT(ISERROR(SEARCH("NORMAL",J71)))</formula>
    </cfRule>
    <cfRule type="expression" dxfId="92" priority="70">
      <formula>NOT(ISERROR(SEARCH("ADAPTADO",J71)))</formula>
    </cfRule>
  </conditionalFormatting>
  <conditionalFormatting sqref="J76:K85">
    <cfRule type="expression" dxfId="91" priority="67">
      <formula>NOT(ISERROR(SEARCH("NORMAL",J76)))</formula>
    </cfRule>
    <cfRule type="expression" dxfId="90" priority="68">
      <formula>NOT(ISERROR(SEARCH("ADAPTADO",J76)))</formula>
    </cfRule>
  </conditionalFormatting>
  <conditionalFormatting sqref="J81:K90">
    <cfRule type="expression" dxfId="89" priority="65">
      <formula>NOT(ISERROR(SEARCH("NORMAL",J81)))</formula>
    </cfRule>
    <cfRule type="expression" dxfId="88" priority="66">
      <formula>NOT(ISERROR(SEARCH("ADAPTADO",J81)))</formula>
    </cfRule>
  </conditionalFormatting>
  <conditionalFormatting sqref="J86:K95">
    <cfRule type="expression" dxfId="87" priority="63">
      <formula>NOT(ISERROR(SEARCH("NORMAL",J86)))</formula>
    </cfRule>
    <cfRule type="expression" dxfId="86" priority="64">
      <formula>NOT(ISERROR(SEARCH("ADAPTADO",J86)))</formula>
    </cfRule>
  </conditionalFormatting>
  <conditionalFormatting sqref="J91:K100">
    <cfRule type="expression" dxfId="85" priority="61">
      <formula>NOT(ISERROR(SEARCH("NORMAL",J91)))</formula>
    </cfRule>
    <cfRule type="expression" dxfId="84" priority="62">
      <formula>NOT(ISERROR(SEARCH("ADAPTADO",J91)))</formula>
    </cfRule>
  </conditionalFormatting>
  <conditionalFormatting sqref="J96:K105">
    <cfRule type="expression" dxfId="83" priority="59">
      <formula>NOT(ISERROR(SEARCH("NORMAL",J96)))</formula>
    </cfRule>
    <cfRule type="expression" dxfId="82" priority="60">
      <formula>NOT(ISERROR(SEARCH("ADAPTADO",J96)))</formula>
    </cfRule>
  </conditionalFormatting>
  <conditionalFormatting sqref="J101:K110">
    <cfRule type="expression" dxfId="81" priority="57">
      <formula>NOT(ISERROR(SEARCH("NORMAL",J101)))</formula>
    </cfRule>
    <cfRule type="expression" dxfId="80" priority="58">
      <formula>NOT(ISERROR(SEARCH("ADAPTADO",J101)))</formula>
    </cfRule>
  </conditionalFormatting>
  <conditionalFormatting sqref="J106:K115">
    <cfRule type="expression" dxfId="79" priority="55">
      <formula>NOT(ISERROR(SEARCH("NORMAL",J106)))</formula>
    </cfRule>
    <cfRule type="expression" dxfId="78" priority="56">
      <formula>NOT(ISERROR(SEARCH("ADAPTADO",J106)))</formula>
    </cfRule>
  </conditionalFormatting>
  <conditionalFormatting sqref="J111:K120">
    <cfRule type="expression" dxfId="77" priority="53">
      <formula>NOT(ISERROR(SEARCH("NORMAL",J111)))</formula>
    </cfRule>
    <cfRule type="expression" dxfId="76" priority="54">
      <formula>NOT(ISERROR(SEARCH("ADAPTADO",J111)))</formula>
    </cfRule>
  </conditionalFormatting>
  <conditionalFormatting sqref="J116:K125">
    <cfRule type="expression" dxfId="75" priority="51">
      <formula>NOT(ISERROR(SEARCH("NORMAL",J116)))</formula>
    </cfRule>
    <cfRule type="expression" dxfId="74" priority="52">
      <formula>NOT(ISERROR(SEARCH("ADAPTADO",J116)))</formula>
    </cfRule>
  </conditionalFormatting>
  <conditionalFormatting sqref="J121:K130">
    <cfRule type="expression" dxfId="73" priority="49">
      <formula>NOT(ISERROR(SEARCH("NORMAL",J121)))</formula>
    </cfRule>
    <cfRule type="expression" dxfId="72" priority="50">
      <formula>NOT(ISERROR(SEARCH("ADAPTADO",J121)))</formula>
    </cfRule>
  </conditionalFormatting>
  <conditionalFormatting sqref="J126:K135">
    <cfRule type="expression" dxfId="71" priority="47">
      <formula>NOT(ISERROR(SEARCH("NORMAL",J126)))</formula>
    </cfRule>
    <cfRule type="expression" dxfId="70" priority="48">
      <formula>NOT(ISERROR(SEARCH("ADAPTADO",J126)))</formula>
    </cfRule>
  </conditionalFormatting>
  <conditionalFormatting sqref="J131:K140">
    <cfRule type="expression" dxfId="69" priority="45">
      <formula>NOT(ISERROR(SEARCH("NORMAL",J131)))</formula>
    </cfRule>
    <cfRule type="expression" dxfId="68" priority="46">
      <formula>NOT(ISERROR(SEARCH("ADAPTADO",J131)))</formula>
    </cfRule>
  </conditionalFormatting>
  <conditionalFormatting sqref="J136:K145">
    <cfRule type="expression" dxfId="67" priority="43">
      <formula>NOT(ISERROR(SEARCH("NORMAL",J136)))</formula>
    </cfRule>
    <cfRule type="expression" dxfId="66" priority="44">
      <formula>NOT(ISERROR(SEARCH("ADAPTADO",J136)))</formula>
    </cfRule>
  </conditionalFormatting>
  <conditionalFormatting sqref="J141:K150">
    <cfRule type="expression" dxfId="65" priority="41">
      <formula>NOT(ISERROR(SEARCH("NORMAL",J141)))</formula>
    </cfRule>
    <cfRule type="expression" dxfId="64" priority="42">
      <formula>NOT(ISERROR(SEARCH("ADAPTADO",J141)))</formula>
    </cfRule>
  </conditionalFormatting>
  <conditionalFormatting sqref="J146:K155">
    <cfRule type="expression" dxfId="63" priority="39">
      <formula>NOT(ISERROR(SEARCH("NORMAL",J146)))</formula>
    </cfRule>
    <cfRule type="expression" dxfId="62" priority="40">
      <formula>NOT(ISERROR(SEARCH("ADAPTADO",J146)))</formula>
    </cfRule>
  </conditionalFormatting>
  <conditionalFormatting sqref="J151:K160">
    <cfRule type="expression" dxfId="61" priority="37">
      <formula>NOT(ISERROR(SEARCH("NORMAL",J151)))</formula>
    </cfRule>
    <cfRule type="expression" dxfId="60" priority="38">
      <formula>NOT(ISERROR(SEARCH("ADAPTADO",J151)))</formula>
    </cfRule>
  </conditionalFormatting>
  <conditionalFormatting sqref="J156:K165">
    <cfRule type="expression" dxfId="59" priority="35">
      <formula>NOT(ISERROR(SEARCH("NORMAL",J156)))</formula>
    </cfRule>
    <cfRule type="expression" dxfId="58" priority="36">
      <formula>NOT(ISERROR(SEARCH("ADAPTADO",J156)))</formula>
    </cfRule>
  </conditionalFormatting>
  <conditionalFormatting sqref="J161:K170">
    <cfRule type="expression" dxfId="57" priority="33">
      <formula>NOT(ISERROR(SEARCH("NORMAL",J161)))</formula>
    </cfRule>
    <cfRule type="expression" dxfId="56" priority="34">
      <formula>NOT(ISERROR(SEARCH("ADAPTADO",J161)))</formula>
    </cfRule>
  </conditionalFormatting>
  <conditionalFormatting sqref="J166:K175">
    <cfRule type="expression" dxfId="55" priority="31">
      <formula>NOT(ISERROR(SEARCH("NORMAL",J166)))</formula>
    </cfRule>
    <cfRule type="expression" dxfId="54" priority="32">
      <formula>NOT(ISERROR(SEARCH("ADAPTADO",J166)))</formula>
    </cfRule>
  </conditionalFormatting>
  <conditionalFormatting sqref="J171:K180">
    <cfRule type="expression" dxfId="53" priority="29">
      <formula>NOT(ISERROR(SEARCH("NORMAL",J171)))</formula>
    </cfRule>
    <cfRule type="expression" dxfId="52" priority="30">
      <formula>NOT(ISERROR(SEARCH("ADAPTADO",J171)))</formula>
    </cfRule>
  </conditionalFormatting>
  <conditionalFormatting sqref="J176:K185">
    <cfRule type="expression" dxfId="51" priority="27">
      <formula>NOT(ISERROR(SEARCH("NORMAL",J176)))</formula>
    </cfRule>
    <cfRule type="expression" dxfId="50" priority="28">
      <formula>NOT(ISERROR(SEARCH("ADAPTADO",J176)))</formula>
    </cfRule>
  </conditionalFormatting>
  <conditionalFormatting sqref="J181:K190">
    <cfRule type="expression" dxfId="49" priority="25">
      <formula>NOT(ISERROR(SEARCH("NORMAL",J181)))</formula>
    </cfRule>
    <cfRule type="expression" dxfId="48" priority="26">
      <formula>NOT(ISERROR(SEARCH("ADAPTADO",J181)))</formula>
    </cfRule>
  </conditionalFormatting>
  <conditionalFormatting sqref="J186:K195">
    <cfRule type="expression" dxfId="47" priority="23">
      <formula>NOT(ISERROR(SEARCH("NORMAL",J186)))</formula>
    </cfRule>
    <cfRule type="expression" dxfId="46" priority="24">
      <formula>NOT(ISERROR(SEARCH("ADAPTADO",J186)))</formula>
    </cfRule>
  </conditionalFormatting>
  <conditionalFormatting sqref="J191:K200">
    <cfRule type="expression" dxfId="45" priority="21">
      <formula>NOT(ISERROR(SEARCH("NORMAL",J191)))</formula>
    </cfRule>
    <cfRule type="expression" dxfId="44" priority="22">
      <formula>NOT(ISERROR(SEARCH("ADAPTADO",J191)))</formula>
    </cfRule>
  </conditionalFormatting>
  <conditionalFormatting sqref="J196:K205">
    <cfRule type="expression" dxfId="43" priority="19">
      <formula>NOT(ISERROR(SEARCH("NORMAL",J196)))</formula>
    </cfRule>
    <cfRule type="expression" dxfId="42" priority="20">
      <formula>NOT(ISERROR(SEARCH("ADAPTADO",J196)))</formula>
    </cfRule>
  </conditionalFormatting>
  <conditionalFormatting sqref="J201:K210">
    <cfRule type="expression" dxfId="41" priority="17">
      <formula>NOT(ISERROR(SEARCH("NORMAL",J201)))</formula>
    </cfRule>
    <cfRule type="expression" dxfId="40" priority="18">
      <formula>NOT(ISERROR(SEARCH("ADAPTADO",J201)))</formula>
    </cfRule>
  </conditionalFormatting>
  <conditionalFormatting sqref="J206:K215">
    <cfRule type="expression" dxfId="39" priority="15">
      <formula>NOT(ISERROR(SEARCH("NORMAL",J206)))</formula>
    </cfRule>
    <cfRule type="expression" dxfId="38" priority="16">
      <formula>NOT(ISERROR(SEARCH("ADAPTADO",J206)))</formula>
    </cfRule>
  </conditionalFormatting>
  <conditionalFormatting sqref="J211:K220">
    <cfRule type="expression" dxfId="37" priority="13">
      <formula>NOT(ISERROR(SEARCH("NORMAL",J211)))</formula>
    </cfRule>
    <cfRule type="expression" dxfId="36" priority="14">
      <formula>NOT(ISERROR(SEARCH("ADAPTADO",J211)))</formula>
    </cfRule>
  </conditionalFormatting>
  <conditionalFormatting sqref="J216:K225">
    <cfRule type="expression" dxfId="35" priority="11">
      <formula>NOT(ISERROR(SEARCH("NORMAL",J216)))</formula>
    </cfRule>
    <cfRule type="expression" dxfId="34" priority="12">
      <formula>NOT(ISERROR(SEARCH("ADAPTADO",J216)))</formula>
    </cfRule>
  </conditionalFormatting>
  <conditionalFormatting sqref="J221:K230">
    <cfRule type="expression" dxfId="33" priority="9">
      <formula>NOT(ISERROR(SEARCH("NORMAL",J221)))</formula>
    </cfRule>
    <cfRule type="expression" dxfId="32" priority="10">
      <formula>NOT(ISERROR(SEARCH("ADAPTADO",J221)))</formula>
    </cfRule>
  </conditionalFormatting>
  <conditionalFormatting sqref="J226:K235">
    <cfRule type="expression" dxfId="31" priority="7">
      <formula>NOT(ISERROR(SEARCH("NORMAL",J226)))</formula>
    </cfRule>
    <cfRule type="expression" dxfId="30" priority="8">
      <formula>NOT(ISERROR(SEARCH("ADAPTADO",J226)))</formula>
    </cfRule>
  </conditionalFormatting>
  <conditionalFormatting sqref="J231:K240">
    <cfRule type="expression" dxfId="29" priority="5">
      <formula>NOT(ISERROR(SEARCH("NORMAL",J231)))</formula>
    </cfRule>
    <cfRule type="expression" dxfId="28" priority="6">
      <formula>NOT(ISERROR(SEARCH("ADAPTADO",J231)))</formula>
    </cfRule>
  </conditionalFormatting>
  <conditionalFormatting sqref="J236:K245">
    <cfRule type="expression" dxfId="27" priority="3">
      <formula>NOT(ISERROR(SEARCH("NORMAL",J236)))</formula>
    </cfRule>
    <cfRule type="expression" dxfId="26" priority="4">
      <formula>NOT(ISERROR(SEARCH("ADAPTADO",J236)))</formula>
    </cfRule>
  </conditionalFormatting>
  <conditionalFormatting sqref="J241:K245">
    <cfRule type="expression" dxfId="25" priority="1">
      <formula>NOT(ISERROR(SEARCH("NORMAL",J241)))</formula>
    </cfRule>
    <cfRule type="expression" dxfId="24" priority="2">
      <formula>NOT(ISERROR(SEARCH("ADAPTADO",J241)))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2" sqref="D12:N12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FRANCISCO MARCILIO OLIVEIRA BARROS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JT</v>
      </c>
      <c r="D2" s="682" t="str">
        <f>UPPER('APONTAMENTO CREDENCIAMENTO'!A1)</f>
        <v>JAÇANÃ / TREMEMBÉ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3264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FRANCISCO MARCILIO OLIVEIRA BARROS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3262</v>
      </c>
      <c r="D10" s="299" t="str">
        <f>VLOOKUP($C10,'APONTAMENTO CREDENCIAMENTO'!$A:$J,8,0)</f>
        <v>FRANCISCO MARCILIO OLIVEIRA BARROS</v>
      </c>
      <c r="E10" s="299" t="str">
        <f>VLOOKUP($C10,'APONTAMENTO CREDENCIAMENTO'!$A:$J,9,0)</f>
        <v>FRANCISCO MARCILIO OLIVEIRA BARROS</v>
      </c>
      <c r="F10" s="300" t="str">
        <f>VLOOKUP($C10,'APONTAMENTO CREDENCIAMENTO'!$A:$P,15,0)</f>
        <v>6020.2023/0026034-7</v>
      </c>
      <c r="G10" s="301" t="str">
        <f>VLOOKUP($C10,'APONTAMENTO CREDENCIAMENTO'!$A:$P,4,0)</f>
        <v>2023/0026034</v>
      </c>
      <c r="H10" s="301" t="str">
        <f>VLOOKUP($C10,'APONTAMENTO CREDENCIAMENTO'!$A:$P,5,0)</f>
        <v>GBI8449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FRA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2023/0026034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11</v>
      </c>
      <c r="H11" s="185" t="str">
        <f>'BASE C'!E4</f>
        <v>ABRIL</v>
      </c>
      <c r="I11" s="186" t="str">
        <f>'BASE C'!D2</f>
        <v>JAÇANÃ / TREMEMBÉ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FRANCISCO MARCILIO OLIVEIRA BARROS</v>
      </c>
      <c r="B13" s="748"/>
      <c r="C13" s="748"/>
      <c r="D13" s="748"/>
      <c r="E13" s="749"/>
      <c r="F13" s="756" t="str">
        <f>VLOOKUP(A11,ProcRel1!E2:G5000,3,FALSE)</f>
        <v>151.350.318-98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CREDENCIAMENTO'!D1:EL4127,12,FALSE)</f>
        <v>6020.2023/0026034-7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15934.850000000002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15934.850000000002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15934.850000000002</v>
      </c>
      <c r="I34" s="729"/>
    </row>
    <row r="35" spans="1:12" s="12" customFormat="1" x14ac:dyDescent="0.2">
      <c r="A35" s="716" t="s">
        <v>106</v>
      </c>
      <c r="B35" s="717">
        <f>VLOOKUP(A11,'APONTAMENTO CREDENCIAMENTO'!D1:EL4127,138,FALSE)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CREDENCIAMENTO'!D1:EL4127,139,FALSE)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51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3186</v>
      </c>
      <c r="B4" s="413" t="s">
        <v>3388</v>
      </c>
      <c r="C4" s="432" t="s">
        <v>3436</v>
      </c>
      <c r="D4" s="430">
        <f>SUMIF('APONTAMENTO CREDENCIAMENTO'!$D$5:$D$4129,$A4,'APONTAMENTO CREDENCIAMENTO'!$FE$5:$FE$4129)</f>
        <v>16031.785000000002</v>
      </c>
      <c r="E4" s="431">
        <f>IF(D4=0,0,IF(D4*0.2*0.11&gt;607.2,607.2,IF(D4&lt;42377.92,D4*0.2*0.11,IF(D4*0.2*0.11&gt;932.31,932.31))))</f>
        <v>352.69927000000007</v>
      </c>
      <c r="F4" s="431">
        <f>$D4*'VALORES TABELA'!$B$45*'VALORES TABELA'!$B$46</f>
        <v>80.158925000000011</v>
      </c>
      <c r="G4" s="431">
        <f t="shared" ref="G4" si="0">D4*60%</f>
        <v>9619.0709999999999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1736.51</v>
      </c>
      <c r="I4" s="431">
        <f>IF($C4=$C3,($D4+$D3)*'VALORES TABELA'!$B$50-$E3,$D4*'VALORES TABELA'!$B$50)</f>
        <v>9619.0709999999999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1639.52222575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1639.52222575</v>
      </c>
    </row>
    <row r="5" spans="1:16" ht="20.25" customHeight="1" x14ac:dyDescent="0.2">
      <c r="A5" t="s">
        <v>3196</v>
      </c>
      <c r="B5" t="s">
        <v>3389</v>
      </c>
      <c r="C5" t="s">
        <v>3437</v>
      </c>
      <c r="D5" s="430">
        <f>SUMIF('APONTAMENTO CREDENCIAMENTO'!$D$5:$D$4129,$A5,'APONTAMENTO CREDENCIAMENTO'!$FE$5:$FE$4129)</f>
        <v>18114.63</v>
      </c>
      <c r="E5" s="431">
        <f t="shared" ref="E5:E51" si="1">IF(D5=0,0,IF(D5*0.2*0.11&gt;607.2,607.2,IF(D5&lt;42377.92,D5*0.2*0.11,IF(D5*0.2*0.11&gt;932.31,932.31))))</f>
        <v>398.52186000000006</v>
      </c>
      <c r="F5" s="431">
        <f>$D5*'VALORES TABELA'!$B$45*'VALORES TABELA'!$B$46</f>
        <v>90.573150000000012</v>
      </c>
      <c r="G5" s="431">
        <f t="shared" ref="G5:G51" si="2">D5*60%</f>
        <v>10868.778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2080.1799999999998</v>
      </c>
      <c r="I5" s="431">
        <f>IF($C5=$C4,($D5+$D4)*'VALORES TABELA'!$B$50-$E4,$D5*'VALORES TABELA'!$B$50)</f>
        <v>10868.778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1970.5904384999999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331.06821274999993</v>
      </c>
    </row>
    <row r="6" spans="1:16" ht="20.25" customHeight="1" x14ac:dyDescent="0.2">
      <c r="A6" t="s">
        <v>3202</v>
      </c>
      <c r="B6" t="s">
        <v>3390</v>
      </c>
      <c r="C6" t="s">
        <v>3438</v>
      </c>
      <c r="D6" s="430">
        <f>SUMIF('APONTAMENTO CREDENCIAMENTO'!$D$5:$D$4129,$A6,'APONTAMENTO CREDENCIAMENTO'!$FE$5:$FE$4129)</f>
        <v>10625.872000000001</v>
      </c>
      <c r="E6" s="431">
        <f t="shared" si="1"/>
        <v>233.76918400000002</v>
      </c>
      <c r="F6" s="431">
        <f>$D6*'VALORES TABELA'!$B$45*'VALORES TABELA'!$B$46</f>
        <v>53.129360000000013</v>
      </c>
      <c r="G6" s="431">
        <f t="shared" si="2"/>
        <v>6375.5232000000005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745.91</v>
      </c>
      <c r="I6" s="431">
        <f>IF($C6=$C5,($D6+$D5)*'VALORES TABELA'!$B$50-$E5,$D6*'VALORES TABELA'!$B$50)</f>
        <v>6375.5232000000005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780.25235440000029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-1190.3380840999996</v>
      </c>
    </row>
    <row r="7" spans="1:16" ht="20.25" customHeight="1" x14ac:dyDescent="0.2">
      <c r="A7" t="s">
        <v>3206</v>
      </c>
      <c r="B7" t="s">
        <v>3391</v>
      </c>
      <c r="C7" t="s">
        <v>3439</v>
      </c>
      <c r="D7" s="430">
        <f>SUMIF('APONTAMENTO CREDENCIAMENTO'!$D$5:$D$4129,$A7,'APONTAMENTO CREDENCIAMENTO'!$FE$5:$FE$4129)</f>
        <v>22400.921000000002</v>
      </c>
      <c r="E7" s="431">
        <f t="shared" si="1"/>
        <v>492.82026200000007</v>
      </c>
      <c r="F7" s="431">
        <f>$D7*'VALORES TABELA'!$B$45*'VALORES TABELA'!$B$46</f>
        <v>112.00460500000003</v>
      </c>
      <c r="G7" s="431">
        <f t="shared" si="2"/>
        <v>13440.552600000001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2787.42</v>
      </c>
      <c r="I7" s="431">
        <f>IF($C7=$C6,($D7+$D6)*'VALORES TABELA'!$B$50-$E6,$D7*'VALORES TABELA'!$B$50)</f>
        <v>13440.552600000001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2651.8963929500005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1871.6440385500002</v>
      </c>
    </row>
    <row r="8" spans="1:16" ht="20.25" customHeight="1" x14ac:dyDescent="0.2">
      <c r="A8" t="s">
        <v>3210</v>
      </c>
      <c r="B8" t="s">
        <v>3392</v>
      </c>
      <c r="C8" t="s">
        <v>3440</v>
      </c>
      <c r="D8" s="430">
        <f>SUMIF('APONTAMENTO CREDENCIAMENTO'!$D$5:$D$4129,$A8,'APONTAMENTO CREDENCIAMENTO'!$FE$5:$FE$4129)</f>
        <v>24853.589</v>
      </c>
      <c r="E8" s="431">
        <f t="shared" si="1"/>
        <v>546.77895799999999</v>
      </c>
      <c r="F8" s="431">
        <f>$D8*'VALORES TABELA'!$B$45*'VALORES TABELA'!$B$46</f>
        <v>124.26794500000001</v>
      </c>
      <c r="G8" s="431">
        <f t="shared" si="2"/>
        <v>14912.153399999999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3192.11</v>
      </c>
      <c r="I8" s="431">
        <f>IF($C8=$C7,($D8+$D7)*'VALORES TABELA'!$B$50-$E7,$D8*'VALORES TABELA'!$B$50)</f>
        <v>14912.153399999999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3041.7479715499999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389.85157859999936</v>
      </c>
    </row>
    <row r="9" spans="1:16" ht="20.25" customHeight="1" x14ac:dyDescent="0.2">
      <c r="A9" t="s">
        <v>3214</v>
      </c>
      <c r="B9" t="s">
        <v>3393</v>
      </c>
      <c r="C9" t="s">
        <v>3441</v>
      </c>
      <c r="D9" s="430">
        <f>SUMIF('APONTAMENTO CREDENCIAMENTO'!$D$5:$D$4129,$A9,'APONTAMENTO CREDENCIAMENTO'!$FE$5:$FE$4129)</f>
        <v>18176.231999999996</v>
      </c>
      <c r="E9" s="431">
        <f t="shared" si="1"/>
        <v>399.87710399999997</v>
      </c>
      <c r="F9" s="431">
        <f>$D9*'VALORES TABELA'!$B$45*'VALORES TABELA'!$B$46</f>
        <v>90.881159999999994</v>
      </c>
      <c r="G9" s="431">
        <f t="shared" si="2"/>
        <v>10905.739199999998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2090.34</v>
      </c>
      <c r="I9" s="431">
        <f>IF($C9=$C8,($D9+$D8)*'VALORES TABELA'!$B$50-$E8,$D9*'VALORES TABELA'!$B$50)</f>
        <v>10905.739199999998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1980.3820763999997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-1061.3658951500001</v>
      </c>
    </row>
    <row r="10" spans="1:16" ht="20.25" customHeight="1" x14ac:dyDescent="0.2">
      <c r="A10" t="s">
        <v>3218</v>
      </c>
      <c r="B10" t="s">
        <v>3394</v>
      </c>
      <c r="C10" t="s">
        <v>3442</v>
      </c>
      <c r="D10" s="430">
        <f>SUMIF('APONTAMENTO CREDENCIAMENTO'!$D$5:$D$4129,$A10,'APONTAMENTO CREDENCIAMENTO'!$FE$5:$FE$4129)</f>
        <v>15600.431999999999</v>
      </c>
      <c r="E10" s="431">
        <f t="shared" si="1"/>
        <v>343.20950400000004</v>
      </c>
      <c r="F10" s="431">
        <f>$D10*'VALORES TABELA'!$B$45*'VALORES TABELA'!$B$46</f>
        <v>78.002160000000003</v>
      </c>
      <c r="G10" s="431">
        <f t="shared" si="2"/>
        <v>9360.2591999999986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1665.34</v>
      </c>
      <c r="I10" s="431">
        <f>IF($C10=$C9,($D10+$D9)*'VALORES TABELA'!$B$50-$E9,$D10*'VALORES TABELA'!$B$50)</f>
        <v>9360.2591999999986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1570.9586663999999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-409.42340999999988</v>
      </c>
    </row>
    <row r="11" spans="1:16" ht="20.25" customHeight="1" x14ac:dyDescent="0.2">
      <c r="A11" t="s">
        <v>3223</v>
      </c>
      <c r="B11" t="s">
        <v>3395</v>
      </c>
      <c r="C11" t="s">
        <v>3443</v>
      </c>
      <c r="D11" s="430">
        <f>SUMIF('APONTAMENTO CREDENCIAMENTO'!$D$5:$D$4129,$A11,'APONTAMENTO CREDENCIAMENTO'!$FE$5:$FE$4129)</f>
        <v>29091.082000000002</v>
      </c>
      <c r="E11" s="431">
        <f t="shared" si="1"/>
        <v>607.20000000000005</v>
      </c>
      <c r="F11" s="431">
        <f>$D11*'VALORES TABELA'!$B$45*'VALORES TABELA'!$B$46</f>
        <v>145.45541000000003</v>
      </c>
      <c r="G11" s="431">
        <f t="shared" si="2"/>
        <v>17454.6492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3891.29</v>
      </c>
      <c r="I11" s="431">
        <f>IF($C11=$C10,($D11+$D10)*'VALORES TABELA'!$B$50-$E10,$D11*'VALORES TABELA'!$B$50)</f>
        <v>17454.6492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3724.31853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2153.3598636000002</v>
      </c>
    </row>
    <row r="12" spans="1:16" ht="20.25" customHeight="1" x14ac:dyDescent="0.2">
      <c r="A12" t="s">
        <v>3227</v>
      </c>
      <c r="B12" t="s">
        <v>3396</v>
      </c>
      <c r="C12" t="s">
        <v>3444</v>
      </c>
      <c r="D12" s="430">
        <f>SUMIF('APONTAMENTO CREDENCIAMENTO'!$D$5:$D$4129,$A12,'APONTAMENTO CREDENCIAMENTO'!$FE$5:$FE$4129)</f>
        <v>14598.83</v>
      </c>
      <c r="E12" s="431">
        <f t="shared" si="1"/>
        <v>321.17426</v>
      </c>
      <c r="F12" s="431">
        <f>$D12*'VALORES TABELA'!$B$45*'VALORES TABELA'!$B$46</f>
        <v>72.994150000000005</v>
      </c>
      <c r="G12" s="431">
        <f t="shared" si="2"/>
        <v>8759.2979999999989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1500.07</v>
      </c>
      <c r="I12" s="431">
        <f>IF($C12=$C11,($D12+$D11)*'VALORES TABELA'!$B$50-$E11,$D12*'VALORES TABELA'!$B$50)</f>
        <v>8759.2979999999989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1411.7540285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-2312.5645015</v>
      </c>
    </row>
    <row r="13" spans="1:16" ht="20.25" customHeight="1" x14ac:dyDescent="0.2">
      <c r="A13" t="s">
        <v>3231</v>
      </c>
      <c r="B13" t="s">
        <v>3397</v>
      </c>
      <c r="C13" t="s">
        <v>3445</v>
      </c>
      <c r="D13" s="430">
        <f>SUMIF('APONTAMENTO CREDENCIAMENTO'!$D$5:$D$4129,$A13,'APONTAMENTO CREDENCIAMENTO'!$FE$5:$FE$4129)</f>
        <v>28140.922000000002</v>
      </c>
      <c r="E13" s="431">
        <f t="shared" si="1"/>
        <v>607.20000000000005</v>
      </c>
      <c r="F13" s="431">
        <f>$D13*'VALORES TABELA'!$B$45*'VALORES TABELA'!$B$46</f>
        <v>140.70461000000003</v>
      </c>
      <c r="G13" s="431">
        <f t="shared" si="2"/>
        <v>16884.553200000002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3734.52</v>
      </c>
      <c r="I13" s="431">
        <f>IF($C13=$C12,($D13+$D12)*'VALORES TABELA'!$B$50-$E12,$D13*'VALORES TABELA'!$B$50)</f>
        <v>16884.553200000002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3567.5421300000003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2155.7881015000003</v>
      </c>
    </row>
    <row r="14" spans="1:16" ht="20.25" customHeight="1" x14ac:dyDescent="0.2">
      <c r="A14" t="s">
        <v>3235</v>
      </c>
      <c r="B14" t="s">
        <v>3398</v>
      </c>
      <c r="C14" t="s">
        <v>3446</v>
      </c>
      <c r="D14" s="430">
        <f>SUMIF('APONTAMENTO CREDENCIAMENTO'!$D$5:$D$4129,$A14,'APONTAMENTO CREDENCIAMENTO'!$FE$5:$FE$4129)</f>
        <v>3852.2999999999997</v>
      </c>
      <c r="E14" s="431">
        <f t="shared" si="1"/>
        <v>84.750600000000006</v>
      </c>
      <c r="F14" s="431">
        <f>$D14*'VALORES TABELA'!$B$45*'VALORES TABELA'!$B$46</f>
        <v>19.261500000000002</v>
      </c>
      <c r="G14" s="431">
        <f t="shared" si="2"/>
        <v>2311.3799999999997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2311.3799999999997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-3567.5421300000003</v>
      </c>
    </row>
    <row r="15" spans="1:16" ht="20.25" customHeight="1" x14ac:dyDescent="0.2">
      <c r="A15" t="s">
        <v>3239</v>
      </c>
      <c r="B15" t="s">
        <v>3399</v>
      </c>
      <c r="C15" t="s">
        <v>3447</v>
      </c>
      <c r="D15" s="430">
        <f>SUMIF('APONTAMENTO CREDENCIAMENTO'!$D$5:$D$4129,$A15,'APONTAMENTO CREDENCIAMENTO'!$FE$5:$FE$4129)</f>
        <v>20139.650000000001</v>
      </c>
      <c r="E15" s="431">
        <f t="shared" si="1"/>
        <v>443.07230000000004</v>
      </c>
      <c r="F15" s="431">
        <f>$D15*'VALORES TABELA'!$B$45*'VALORES TABELA'!$B$46</f>
        <v>100.69825000000002</v>
      </c>
      <c r="G15" s="431">
        <f t="shared" si="2"/>
        <v>12083.79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2414.31</v>
      </c>
      <c r="I15" s="431">
        <f>IF($C15=$C14,($D15+$D14)*'VALORES TABELA'!$B$50-$E14,$D15*'VALORES TABELA'!$B$50)</f>
        <v>12083.79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2292.4673675000004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2292.4673675000004</v>
      </c>
    </row>
    <row r="16" spans="1:16" ht="20.25" customHeight="1" x14ac:dyDescent="0.2">
      <c r="A16" t="s">
        <v>3244</v>
      </c>
      <c r="B16" t="s">
        <v>3400</v>
      </c>
      <c r="C16" t="s">
        <v>3448</v>
      </c>
      <c r="D16" s="430">
        <f>SUMIF('APONTAMENTO CREDENCIAMENTO'!$D$5:$D$4129,$A16,'APONTAMENTO CREDENCIAMENTO'!$FE$5:$FE$4129)</f>
        <v>10831.18</v>
      </c>
      <c r="E16" s="431">
        <f t="shared" si="1"/>
        <v>238.28596000000005</v>
      </c>
      <c r="F16" s="431">
        <f>$D16*'VALORES TABELA'!$B$45*'VALORES TABELA'!$B$46</f>
        <v>54.15590000000001</v>
      </c>
      <c r="G16" s="431">
        <f t="shared" si="2"/>
        <v>6498.7079999999996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796.79</v>
      </c>
      <c r="I16" s="431">
        <f>IF($C16=$C15,($D16+$D15)*'VALORES TABELA'!$B$50-$E15,$D16*'VALORES TABELA'!$B$50)</f>
        <v>6498.7079999999996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812.88606099999993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-1479.5813065000004</v>
      </c>
    </row>
    <row r="17" spans="1:11" ht="20.25" customHeight="1" x14ac:dyDescent="0.2">
      <c r="A17" t="s">
        <v>3248</v>
      </c>
      <c r="B17" t="s">
        <v>3401</v>
      </c>
      <c r="C17" t="s">
        <v>3449</v>
      </c>
      <c r="D17" s="430">
        <f>SUMIF('APONTAMENTO CREDENCIAMENTO'!$D$5:$D$4129,$A17,'APONTAMENTO CREDENCIAMENTO'!$FE$5:$FE$4129)</f>
        <v>15787.806</v>
      </c>
      <c r="E17" s="431">
        <f t="shared" si="1"/>
        <v>347.33173199999999</v>
      </c>
      <c r="F17" s="431">
        <f>$D17*'VALORES TABELA'!$B$45*'VALORES TABELA'!$B$46</f>
        <v>78.939030000000002</v>
      </c>
      <c r="G17" s="431">
        <f t="shared" si="2"/>
        <v>9472.6836000000003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1696.25</v>
      </c>
      <c r="I17" s="431">
        <f>IF($C17=$C16,($D17+$D16)*'VALORES TABELA'!$B$50-$E16,$D17*'VALORES TABELA'!$B$50)</f>
        <v>9472.6836000000003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1600.7417637000003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787.85570270000039</v>
      </c>
    </row>
    <row r="18" spans="1:11" ht="20.25" customHeight="1" x14ac:dyDescent="0.2">
      <c r="A18" t="s">
        <v>3252</v>
      </c>
      <c r="B18" t="s">
        <v>3402</v>
      </c>
      <c r="C18" t="s">
        <v>3450</v>
      </c>
      <c r="D18" s="430">
        <f>SUMIF('APONTAMENTO CREDENCIAMENTO'!$D$5:$D$4129,$A18,'APONTAMENTO CREDENCIAMENTO'!$FE$5:$FE$4129)</f>
        <v>22811.833000000002</v>
      </c>
      <c r="E18" s="431">
        <f t="shared" si="1"/>
        <v>501.86032600000004</v>
      </c>
      <c r="F18" s="431">
        <f>$D18*'VALORES TABELA'!$B$45*'VALORES TABELA'!$B$46</f>
        <v>114.05916500000001</v>
      </c>
      <c r="G18" s="431">
        <f t="shared" si="2"/>
        <v>13687.099800000002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2855.22</v>
      </c>
      <c r="I18" s="431">
        <f>IF($C18=$C17,($D18+$D17)*'VALORES TABELA'!$B$50-$E17,$D18*'VALORES TABELA'!$B$50)</f>
        <v>13687.099800000002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2717.2108553500007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1116.4690916500003</v>
      </c>
    </row>
    <row r="19" spans="1:11" ht="20.25" customHeight="1" x14ac:dyDescent="0.2">
      <c r="A19" t="s">
        <v>3256</v>
      </c>
      <c r="B19" t="s">
        <v>3403</v>
      </c>
      <c r="C19" t="s">
        <v>3451</v>
      </c>
      <c r="D19" s="430">
        <f>SUMIF('APONTAMENTO CREDENCIAMENTO'!$D$5:$D$4129,$A19,'APONTAMENTO CREDENCIAMENTO'!$FE$5:$FE$4129)</f>
        <v>18548.620999999999</v>
      </c>
      <c r="E19" s="431">
        <f t="shared" si="1"/>
        <v>408.06966199999999</v>
      </c>
      <c r="F19" s="431">
        <f>$D19*'VALORES TABELA'!$B$45*'VALORES TABELA'!$B$46</f>
        <v>92.743105000000014</v>
      </c>
      <c r="G19" s="431">
        <f t="shared" si="2"/>
        <v>11129.1726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2151.79</v>
      </c>
      <c r="I19" s="431">
        <f>IF($C19=$C18,($D19+$D18)*'VALORES TABELA'!$B$50-$E18,$D19*'VALORES TABELA'!$B$50)</f>
        <v>11129.1726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2039.5733079500001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-677.63754740000059</v>
      </c>
    </row>
    <row r="20" spans="1:11" ht="20.25" customHeight="1" x14ac:dyDescent="0.2">
      <c r="A20" t="s">
        <v>3260</v>
      </c>
      <c r="B20" t="s">
        <v>3404</v>
      </c>
      <c r="C20" t="s">
        <v>3452</v>
      </c>
      <c r="D20" s="430">
        <f>SUMIF('APONTAMENTO CREDENCIAMENTO'!$D$5:$D$4129,$A20,'APONTAMENTO CREDENCIAMENTO'!$FE$5:$FE$4129)</f>
        <v>17047.658760000002</v>
      </c>
      <c r="E20" s="431">
        <f t="shared" si="1"/>
        <v>375.04849272000007</v>
      </c>
      <c r="F20" s="431">
        <f>$D20*'VALORES TABELA'!$B$45*'VALORES TABELA'!$B$46</f>
        <v>85.238293800000022</v>
      </c>
      <c r="G20" s="431">
        <f t="shared" si="2"/>
        <v>10228.595256000001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1904.13</v>
      </c>
      <c r="I20" s="431">
        <f>IF($C20=$C19,($D20+$D19)*'VALORES TABELA'!$B$50-$E19,$D20*'VALORES TABELA'!$B$50)</f>
        <v>10228.595256000001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1800.9953599020005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-238.5779480479996</v>
      </c>
    </row>
    <row r="21" spans="1:11" ht="20.25" customHeight="1" x14ac:dyDescent="0.2">
      <c r="A21" t="s">
        <v>3264</v>
      </c>
      <c r="B21" t="s">
        <v>3405</v>
      </c>
      <c r="C21" t="s">
        <v>3453</v>
      </c>
      <c r="D21" s="430">
        <f>SUMIF('APONTAMENTO CREDENCIAMENTO'!$D$5:$D$4129,$A21,'APONTAMENTO CREDENCIAMENTO'!$FE$5:$FE$4129)</f>
        <v>15934.850000000002</v>
      </c>
      <c r="E21" s="431">
        <f t="shared" si="1"/>
        <v>350.56670000000008</v>
      </c>
      <c r="F21" s="431">
        <f>$D21*'VALORES TABELA'!$B$45*'VALORES TABELA'!$B$46</f>
        <v>79.674250000000029</v>
      </c>
      <c r="G21" s="431">
        <f t="shared" si="2"/>
        <v>9560.9100000000017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1720.52</v>
      </c>
      <c r="I21" s="431">
        <f>IF($C21=$C20,($D21+$D20)*'VALORES TABELA'!$B$50-$E20,$D21*'VALORES TABELA'!$B$50)</f>
        <v>9560.9100000000017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1624.1144075000007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-176.88095240199982</v>
      </c>
    </row>
    <row r="22" spans="1:11" ht="20.25" customHeight="1" x14ac:dyDescent="0.2">
      <c r="A22" t="s">
        <v>3268</v>
      </c>
      <c r="B22" t="s">
        <v>3406</v>
      </c>
      <c r="C22" t="s">
        <v>3454</v>
      </c>
      <c r="D22" s="430">
        <f>SUMIF('APONTAMENTO CREDENCIAMENTO'!$D$5:$D$4129,$A22,'APONTAMENTO CREDENCIAMENTO'!$FE$5:$FE$4129)</f>
        <v>22222.407599999999</v>
      </c>
      <c r="E22" s="431">
        <f t="shared" si="1"/>
        <v>488.89296720000004</v>
      </c>
      <c r="F22" s="431">
        <f>$D22*'VALORES TABELA'!$B$45*'VALORES TABELA'!$B$46</f>
        <v>111.11203800000001</v>
      </c>
      <c r="G22" s="431">
        <f t="shared" si="2"/>
        <v>13333.444559999998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2757.96</v>
      </c>
      <c r="I22" s="431">
        <f>IF($C22=$C21,($D22+$D21)*'VALORES TABELA'!$B$50-$E21,$D22*'VALORES TABELA'!$B$50)</f>
        <v>13333.444559999998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2623.5216880200001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999.4072805199994</v>
      </c>
    </row>
    <row r="23" spans="1:11" ht="20.25" customHeight="1" x14ac:dyDescent="0.2">
      <c r="A23" t="s">
        <v>3272</v>
      </c>
      <c r="B23" t="s">
        <v>3407</v>
      </c>
      <c r="C23" t="s">
        <v>3455</v>
      </c>
      <c r="D23" s="430">
        <f>SUMIF('APONTAMENTO CREDENCIAMENTO'!$D$5:$D$4129,$A23,'APONTAMENTO CREDENCIAMENTO'!$FE$5:$FE$4129)</f>
        <v>20205.11</v>
      </c>
      <c r="E23" s="431">
        <f t="shared" si="1"/>
        <v>444.51242000000002</v>
      </c>
      <c r="F23" s="431">
        <f>$D23*'VALORES TABELA'!$B$45*'VALORES TABELA'!$B$46</f>
        <v>101.02555000000001</v>
      </c>
      <c r="G23" s="431">
        <f t="shared" si="2"/>
        <v>12123.066000000001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2425.11</v>
      </c>
      <c r="I23" s="431">
        <f>IF($C23=$C22,($D23+$D22)*'VALORES TABELA'!$B$50-$E22,$D23*'VALORES TABELA'!$B$50)</f>
        <v>12123.066000000001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2302.8722345000001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-320.64945351999995</v>
      </c>
    </row>
    <row r="24" spans="1:11" ht="20.25" customHeight="1" x14ac:dyDescent="0.2">
      <c r="A24" t="s">
        <v>3276</v>
      </c>
      <c r="B24" t="s">
        <v>3408</v>
      </c>
      <c r="C24" t="s">
        <v>3456</v>
      </c>
      <c r="D24" s="430">
        <f>SUMIF('APONTAMENTO CREDENCIAMENTO'!$D$5:$D$4129,$A24,'APONTAMENTO CREDENCIAMENTO'!$FE$5:$FE$4129)</f>
        <v>17508.5</v>
      </c>
      <c r="E24" s="431">
        <f t="shared" si="1"/>
        <v>385.18700000000001</v>
      </c>
      <c r="F24" s="431">
        <f>$D24*'VALORES TABELA'!$B$45*'VALORES TABELA'!$B$46</f>
        <v>87.542500000000018</v>
      </c>
      <c r="G24" s="431">
        <f t="shared" si="2"/>
        <v>10505.1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1980.17</v>
      </c>
      <c r="I24" s="431">
        <f>IF($C24=$C23,($D24+$D23)*'VALORES TABELA'!$B$50-$E23,$D24*'VALORES TABELA'!$B$50)</f>
        <v>10505.1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1874.2460750000005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-428.62615949999963</v>
      </c>
    </row>
    <row r="25" spans="1:11" ht="20.25" customHeight="1" x14ac:dyDescent="0.2">
      <c r="A25" t="s">
        <v>3280</v>
      </c>
      <c r="B25" t="s">
        <v>3409</v>
      </c>
      <c r="C25" t="s">
        <v>3457</v>
      </c>
      <c r="D25" s="430">
        <f>SUMIF('APONTAMENTO CREDENCIAMENTO'!$D$5:$D$4129,$A25,'APONTAMENTO CREDENCIAMENTO'!$FE$5:$FE$4129)</f>
        <v>18278.96</v>
      </c>
      <c r="E25" s="431">
        <f t="shared" si="1"/>
        <v>402.13711999999998</v>
      </c>
      <c r="F25" s="431">
        <f>$D25*'VALORES TABELA'!$B$45*'VALORES TABELA'!$B$46</f>
        <v>91.394800000000004</v>
      </c>
      <c r="G25" s="431">
        <f t="shared" si="2"/>
        <v>10967.375999999998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2107.29</v>
      </c>
      <c r="I25" s="431">
        <f>IF($C25=$C24,($D25+$D24)*'VALORES TABELA'!$B$50-$E24,$D25*'VALORES TABELA'!$B$50)</f>
        <v>10967.375999999998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1996.7106920000001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122.46461699999963</v>
      </c>
    </row>
    <row r="26" spans="1:11" ht="20.25" customHeight="1" x14ac:dyDescent="0.2">
      <c r="A26" t="s">
        <v>3284</v>
      </c>
      <c r="B26" t="s">
        <v>3410</v>
      </c>
      <c r="C26" t="s">
        <v>3458</v>
      </c>
      <c r="D26" s="430">
        <f>SUMIF('APONTAMENTO CREDENCIAMENTO'!$D$5:$D$4129,$A26,'APONTAMENTO CREDENCIAMENTO'!$FE$5:$FE$4129)</f>
        <v>7492.52</v>
      </c>
      <c r="E26" s="431">
        <f t="shared" si="1"/>
        <v>164.83544000000001</v>
      </c>
      <c r="F26" s="431">
        <f>$D26*'VALORES TABELA'!$B$45*'VALORES TABELA'!$B$46</f>
        <v>37.462600000000002</v>
      </c>
      <c r="G26" s="431">
        <f t="shared" si="2"/>
        <v>4495.5119999999997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26" s="431">
        <f>IF($C26=$C25,($D26+$D25)*'VALORES TABELA'!$B$50-$E25,$D26*'VALORES TABELA'!$B$50)</f>
        <v>4495.5119999999997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298.91222600000003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-1697.7984660000002</v>
      </c>
    </row>
    <row r="27" spans="1:11" ht="20.25" customHeight="1" x14ac:dyDescent="0.2">
      <c r="A27" t="s">
        <v>3288</v>
      </c>
      <c r="B27" t="s">
        <v>3411</v>
      </c>
      <c r="C27" t="s">
        <v>3459</v>
      </c>
      <c r="D27" s="430">
        <f>SUMIF('APONTAMENTO CREDENCIAMENTO'!$D$5:$D$4129,$A27,'APONTAMENTO CREDENCIAMENTO'!$FE$5:$FE$4129)</f>
        <v>24588.68</v>
      </c>
      <c r="E27" s="431">
        <f t="shared" si="1"/>
        <v>540.95096000000012</v>
      </c>
      <c r="F27" s="431">
        <f>$D27*'VALORES TABELA'!$B$45*'VALORES TABELA'!$B$46</f>
        <v>122.94340000000003</v>
      </c>
      <c r="G27" s="431">
        <f t="shared" si="2"/>
        <v>14753.207999999999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3148.4</v>
      </c>
      <c r="I27" s="431">
        <f>IF($C27=$C26,($D27+$D26)*'VALORES TABELA'!$B$50-$E26,$D27*'VALORES TABELA'!$B$50)</f>
        <v>14753.207999999999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2999.6406859999997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2700.7284599999998</v>
      </c>
    </row>
    <row r="28" spans="1:11" ht="20.25" customHeight="1" x14ac:dyDescent="0.2">
      <c r="A28" t="s">
        <v>3292</v>
      </c>
      <c r="B28" t="s">
        <v>3412</v>
      </c>
      <c r="C28" t="s">
        <v>3460</v>
      </c>
      <c r="D28" s="430">
        <f>SUMIF('APONTAMENTO CREDENCIAMENTO'!$D$5:$D$4129,$A28,'APONTAMENTO CREDENCIAMENTO'!$FE$5:$FE$4129)</f>
        <v>11730.050000000001</v>
      </c>
      <c r="E28" s="431">
        <f t="shared" si="1"/>
        <v>258.06110000000001</v>
      </c>
      <c r="F28" s="431">
        <f>$D28*'VALORES TABELA'!$B$45*'VALORES TABELA'!$B$46</f>
        <v>58.650250000000007</v>
      </c>
      <c r="G28" s="431">
        <f t="shared" si="2"/>
        <v>7038.0300000000007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1019.54</v>
      </c>
      <c r="I28" s="431">
        <f>IF($C28=$C27,($D28+$D27)*'VALORES TABELA'!$B$50-$E27,$D28*'VALORES TABELA'!$B$50)</f>
        <v>7038.0300000000007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955.76144750000026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-2043.8792384999995</v>
      </c>
    </row>
    <row r="29" spans="1:11" ht="20.25" customHeight="1" x14ac:dyDescent="0.2">
      <c r="A29" t="s">
        <v>3296</v>
      </c>
      <c r="B29" t="s">
        <v>3413</v>
      </c>
      <c r="C29" t="s">
        <v>3461</v>
      </c>
      <c r="D29" s="430">
        <f>SUMIF('APONTAMENTO CREDENCIAMENTO'!$D$5:$D$4129,$A29,'APONTAMENTO CREDENCIAMENTO'!$FE$5:$FE$4129)</f>
        <v>17629.309999999998</v>
      </c>
      <c r="E29" s="431">
        <f t="shared" si="1"/>
        <v>387.84481999999997</v>
      </c>
      <c r="F29" s="431">
        <f>$D29*'VALORES TABELA'!$B$45*'VALORES TABELA'!$B$46</f>
        <v>88.146549999999991</v>
      </c>
      <c r="G29" s="431">
        <f t="shared" si="2"/>
        <v>10577.585999999998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2000.1</v>
      </c>
      <c r="I29" s="431">
        <f>IF($C29=$C28,($D29+$D28)*'VALORES TABELA'!$B$50-$E28,$D29*'VALORES TABELA'!$B$50)</f>
        <v>10577.585999999998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1893.4488244999993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937.68737699999906</v>
      </c>
    </row>
    <row r="30" spans="1:11" ht="20.25" customHeight="1" x14ac:dyDescent="0.2">
      <c r="A30" t="s">
        <v>3300</v>
      </c>
      <c r="B30" t="s">
        <v>3414</v>
      </c>
      <c r="C30" t="s">
        <v>3462</v>
      </c>
      <c r="D30" s="430">
        <f>SUMIF('APONTAMENTO CREDENCIAMENTO'!$D$5:$D$4129,$A30,'APONTAMENTO CREDENCIAMENTO'!$FE$5:$FE$4129)</f>
        <v>13579.154</v>
      </c>
      <c r="E30" s="431">
        <f t="shared" si="1"/>
        <v>298.74138800000003</v>
      </c>
      <c r="F30" s="431">
        <f>$D30*'VALORES TABELA'!$B$45*'VALORES TABELA'!$B$46</f>
        <v>67.895770000000013</v>
      </c>
      <c r="G30" s="431">
        <f t="shared" si="2"/>
        <v>8147.4924000000001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1331.83</v>
      </c>
      <c r="I30" s="431">
        <f>IF($C30=$C29,($D30+$D29)*'VALORES TABELA'!$B$50-$E29,$D30*'VALORES TABELA'!$B$50)</f>
        <v>8147.4924000000001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1249.6765283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-643.77229619999935</v>
      </c>
    </row>
    <row r="31" spans="1:11" ht="20.25" customHeight="1" x14ac:dyDescent="0.2">
      <c r="A31" t="s">
        <v>3304</v>
      </c>
      <c r="B31" t="s">
        <v>3415</v>
      </c>
      <c r="C31" t="s">
        <v>3463</v>
      </c>
      <c r="D31" s="430">
        <f>SUMIF('APONTAMENTO CREDENCIAMENTO'!$D$5:$D$4129,$A31,'APONTAMENTO CREDENCIAMENTO'!$FE$5:$FE$4129)</f>
        <v>13887.338000000002</v>
      </c>
      <c r="E31" s="431">
        <f t="shared" si="1"/>
        <v>305.52143600000005</v>
      </c>
      <c r="F31" s="431">
        <f>$D31*'VALORES TABELA'!$B$45*'VALORES TABELA'!$B$46</f>
        <v>69.436690000000013</v>
      </c>
      <c r="G31" s="431">
        <f t="shared" si="2"/>
        <v>8332.4027999999998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1382.68</v>
      </c>
      <c r="I31" s="431">
        <f>IF($C31=$C30,($D31+$D30)*'VALORES TABELA'!$B$50-$E30,$D31*'VALORES TABELA'!$B$50)</f>
        <v>8332.4027999999998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1298.6623751000002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48.985846800000218</v>
      </c>
    </row>
    <row r="32" spans="1:11" ht="20.25" customHeight="1" x14ac:dyDescent="0.2">
      <c r="A32" t="s">
        <v>3308</v>
      </c>
      <c r="B32" t="s">
        <v>3416</v>
      </c>
      <c r="C32" t="s">
        <v>3464</v>
      </c>
      <c r="D32" s="430">
        <f>SUMIF('APONTAMENTO CREDENCIAMENTO'!$D$5:$D$4129,$A32,'APONTAMENTO CREDENCIAMENTO'!$FE$5:$FE$4129)</f>
        <v>20898.524000000001</v>
      </c>
      <c r="E32" s="431">
        <f t="shared" si="1"/>
        <v>459.76752800000003</v>
      </c>
      <c r="F32" s="431">
        <f>$D32*'VALORES TABELA'!$B$45*'VALORES TABELA'!$B$46</f>
        <v>104.49262000000002</v>
      </c>
      <c r="G32" s="431">
        <f t="shared" si="2"/>
        <v>12539.1144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2539.52</v>
      </c>
      <c r="I32" s="431">
        <f>IF($C32=$C31,($D32+$D31)*'VALORES TABELA'!$B$50-$E31,$D32*'VALORES TABELA'!$B$50)</f>
        <v>12539.1144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2413.0903898000001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1114.4280146999999</v>
      </c>
    </row>
    <row r="33" spans="1:11" ht="20.25" customHeight="1" x14ac:dyDescent="0.2">
      <c r="A33" t="s">
        <v>3312</v>
      </c>
      <c r="B33" t="s">
        <v>3417</v>
      </c>
      <c r="C33" t="s">
        <v>3465</v>
      </c>
      <c r="D33" s="430">
        <f>SUMIF('APONTAMENTO CREDENCIAMENTO'!$D$5:$D$4129,$A33,'APONTAMENTO CREDENCIAMENTO'!$FE$5:$FE$4129)</f>
        <v>17123.27</v>
      </c>
      <c r="E33" s="431">
        <f t="shared" si="1"/>
        <v>376.71194000000003</v>
      </c>
      <c r="F33" s="431">
        <f>$D33*'VALORES TABELA'!$B$45*'VALORES TABELA'!$B$46</f>
        <v>85.616350000000011</v>
      </c>
      <c r="G33" s="431">
        <f t="shared" si="2"/>
        <v>10273.962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1916.6</v>
      </c>
      <c r="I33" s="431">
        <f>IF($C33=$C32,($D33+$D32)*'VALORES TABELA'!$B$50-$E32,$D33*'VALORES TABELA'!$B$50)</f>
        <v>10273.962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1813.0137665000002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-600.07662329999994</v>
      </c>
    </row>
    <row r="34" spans="1:11" ht="20.25" customHeight="1" x14ac:dyDescent="0.2">
      <c r="A34" t="s">
        <v>3316</v>
      </c>
      <c r="B34" t="s">
        <v>3418</v>
      </c>
      <c r="C34" t="s">
        <v>3466</v>
      </c>
      <c r="D34" s="430">
        <f>SUMIF('APONTAMENTO CREDENCIAMENTO'!$D$5:$D$4129,$A34,'APONTAMENTO CREDENCIAMENTO'!$FE$5:$FE$4129)</f>
        <v>14469.992666666669</v>
      </c>
      <c r="E34" s="431">
        <f t="shared" si="1"/>
        <v>318.33983866666671</v>
      </c>
      <c r="F34" s="431">
        <f>$D34*'VALORES TABELA'!$B$45*'VALORES TABELA'!$B$46</f>
        <v>72.349963333333349</v>
      </c>
      <c r="G34" s="431">
        <f t="shared" si="2"/>
        <v>8681.9956000000002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1478.81</v>
      </c>
      <c r="I34" s="431">
        <f>IF($C34=$C33,($D34+$D33)*'VALORES TABELA'!$B$50-$E33,$D34*'VALORES TABELA'!$B$50)</f>
        <v>8681.9956000000002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1391.2753343666668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-421.73843213333339</v>
      </c>
    </row>
    <row r="35" spans="1:11" ht="20.25" customHeight="1" x14ac:dyDescent="0.2">
      <c r="A35" t="s">
        <v>3320</v>
      </c>
      <c r="B35" t="s">
        <v>3419</v>
      </c>
      <c r="C35" t="s">
        <v>3467</v>
      </c>
      <c r="D35" s="430">
        <f>SUMIF('APONTAMENTO CREDENCIAMENTO'!$D$5:$D$4129,$A35,'APONTAMENTO CREDENCIAMENTO'!$FE$5:$FE$4129)</f>
        <v>7492.52</v>
      </c>
      <c r="E35" s="431">
        <f t="shared" si="1"/>
        <v>164.83544000000001</v>
      </c>
      <c r="F35" s="431">
        <f>$D35*'VALORES TABELA'!$B$45*'VALORES TABELA'!$B$46</f>
        <v>37.462600000000002</v>
      </c>
      <c r="G35" s="431">
        <f t="shared" si="2"/>
        <v>4495.5119999999997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35" s="431">
        <f>IF($C35=$C34,($D35+$D34)*'VALORES TABELA'!$B$50-$E34,$D35*'VALORES TABELA'!$B$50)</f>
        <v>4495.5119999999997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298.91222600000003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-1092.3631083666669</v>
      </c>
    </row>
    <row r="36" spans="1:11" ht="20.25" customHeight="1" x14ac:dyDescent="0.2">
      <c r="A36" t="s">
        <v>3324</v>
      </c>
      <c r="B36" t="s">
        <v>3420</v>
      </c>
      <c r="C36" t="s">
        <v>3468</v>
      </c>
      <c r="D36" s="430">
        <f>SUMIF('APONTAMENTO CREDENCIAMENTO'!$D$5:$D$4129,$A36,'APONTAMENTO CREDENCIAMENTO'!$FE$5:$FE$4129)</f>
        <v>3081.84</v>
      </c>
      <c r="E36" s="431">
        <f t="shared" si="1"/>
        <v>67.800480000000007</v>
      </c>
      <c r="F36" s="431">
        <f>$D36*'VALORES TABELA'!$B$45*'VALORES TABELA'!$B$46</f>
        <v>15.409200000000002</v>
      </c>
      <c r="G36" s="431">
        <f t="shared" si="2"/>
        <v>1849.104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36" s="431">
        <f>IF($C36=$C35,($D36+$D35)*'VALORES TABELA'!$B$50-$E35,$D36*'VALORES TABELA'!$B$50)</f>
        <v>1849.104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0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-298.91222600000003</v>
      </c>
    </row>
    <row r="37" spans="1:11" ht="20.25" customHeight="1" x14ac:dyDescent="0.2">
      <c r="A37" t="s">
        <v>3328</v>
      </c>
      <c r="B37" t="s">
        <v>3421</v>
      </c>
      <c r="C37" t="s">
        <v>3469</v>
      </c>
      <c r="D37" s="430">
        <f>SUMIF('APONTAMENTO CREDENCIAMENTO'!$D$5:$D$4129,$A37,'APONTAMENTO CREDENCIAMENTO'!$FE$5:$FE$4129)</f>
        <v>19704.311000000002</v>
      </c>
      <c r="E37" s="431">
        <f t="shared" si="1"/>
        <v>433.49484200000006</v>
      </c>
      <c r="F37" s="431">
        <f>$D37*'VALORES TABELA'!$B$45*'VALORES TABELA'!$B$46</f>
        <v>98.521555000000021</v>
      </c>
      <c r="G37" s="431">
        <f t="shared" si="2"/>
        <v>11822.586600000001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2342.48</v>
      </c>
      <c r="I37" s="431">
        <f>IF($C37=$C36,($D37+$D36)*'VALORES TABELA'!$B$50-$E36,$D37*'VALORES TABELA'!$B$50)</f>
        <v>11822.586600000001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2223.2702334500004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2223.2702334500004</v>
      </c>
    </row>
    <row r="38" spans="1:11" ht="20.25" customHeight="1" x14ac:dyDescent="0.2">
      <c r="A38" t="s">
        <v>3332</v>
      </c>
      <c r="B38" t="s">
        <v>3422</v>
      </c>
      <c r="C38" t="s">
        <v>3470</v>
      </c>
      <c r="D38" s="430">
        <f>SUMIF('APONTAMENTO CREDENCIAMENTO'!$D$5:$D$4129,$A38,'APONTAMENTO CREDENCIAMENTO'!$FE$5:$FE$4129)</f>
        <v>18754.076999999997</v>
      </c>
      <c r="E38" s="431">
        <f t="shared" si="1"/>
        <v>412.58969399999995</v>
      </c>
      <c r="F38" s="431">
        <f>$D38*'VALORES TABELA'!$B$45*'VALORES TABELA'!$B$46</f>
        <v>93.77038499999999</v>
      </c>
      <c r="G38" s="431">
        <f t="shared" si="2"/>
        <v>11252.446199999998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2185.69</v>
      </c>
      <c r="I38" s="431">
        <f>IF($C38=$C37,($D38+$D37)*'VALORES TABELA'!$B$50-$E37,$D38*'VALORES TABELA'!$B$50)</f>
        <v>11252.446199999998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2072.2305391499999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-151.03969430000052</v>
      </c>
    </row>
    <row r="39" spans="1:11" ht="20.25" customHeight="1" x14ac:dyDescent="0.2">
      <c r="A39" t="s">
        <v>3336</v>
      </c>
      <c r="B39" t="s">
        <v>3423</v>
      </c>
      <c r="C39" t="s">
        <v>3471</v>
      </c>
      <c r="D39" s="430">
        <f>SUMIF('APONTAMENTO CREDENCIAMENTO'!$D$5:$D$4129,$A39,'APONTAMENTO CREDENCIAMENTO'!$FE$5:$FE$4129)</f>
        <v>15954.739</v>
      </c>
      <c r="E39" s="431">
        <f t="shared" si="1"/>
        <v>351.00425799999999</v>
      </c>
      <c r="F39" s="431">
        <f>$D39*'VALORES TABELA'!$B$45*'VALORES TABELA'!$B$46</f>
        <v>79.773695000000004</v>
      </c>
      <c r="G39" s="431">
        <f t="shared" si="2"/>
        <v>9572.8433999999997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1723.8</v>
      </c>
      <c r="I39" s="431">
        <f>IF($C39=$C38,($D39+$D38)*'VALORES TABELA'!$B$50-$E38,$D39*'VALORES TABELA'!$B$50)</f>
        <v>9572.8433999999997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1627.2757640499999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-444.95477510000001</v>
      </c>
    </row>
    <row r="40" spans="1:11" ht="20.25" customHeight="1" x14ac:dyDescent="0.2">
      <c r="A40" t="s">
        <v>3340</v>
      </c>
      <c r="B40" t="s">
        <v>3424</v>
      </c>
      <c r="C40" t="s">
        <v>3472</v>
      </c>
      <c r="D40" s="430">
        <f>SUMIF('APONTAMENTO CREDENCIAMENTO'!$D$5:$D$4129,$A40,'APONTAMENTO CREDENCIAMENTO'!$FE$5:$FE$4129)</f>
        <v>12911.422000000002</v>
      </c>
      <c r="E40" s="431">
        <f t="shared" si="1"/>
        <v>284.05128400000007</v>
      </c>
      <c r="F40" s="431">
        <f>$D40*'VALORES TABELA'!$B$45*'VALORES TABELA'!$B$46</f>
        <v>64.557110000000009</v>
      </c>
      <c r="G40" s="431">
        <f t="shared" si="2"/>
        <v>7746.8532000000014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1221.6500000000001</v>
      </c>
      <c r="I40" s="431">
        <f>IF($C40=$C39,($D40+$D39)*'VALORES TABELA'!$B$50-$E39,$D40*'VALORES TABELA'!$B$50)</f>
        <v>7746.8532000000014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1143.5405269000007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-483.73523714999919</v>
      </c>
    </row>
    <row r="41" spans="1:11" ht="20.25" customHeight="1" x14ac:dyDescent="0.2">
      <c r="A41" t="s">
        <v>3344</v>
      </c>
      <c r="B41" t="s">
        <v>3425</v>
      </c>
      <c r="C41" t="s">
        <v>3473</v>
      </c>
      <c r="D41" s="430">
        <f>SUMIF('APONTAMENTO CREDENCIAMENTO'!$D$5:$D$4129,$A41,'APONTAMENTO CREDENCIAMENTO'!$FE$5:$FE$4129)</f>
        <v>20140.905000000002</v>
      </c>
      <c r="E41" s="431">
        <f t="shared" si="1"/>
        <v>443.09991000000008</v>
      </c>
      <c r="F41" s="431">
        <f>$D41*'VALORES TABELA'!$B$45*'VALORES TABELA'!$B$46</f>
        <v>100.70452500000002</v>
      </c>
      <c r="G41" s="431">
        <f t="shared" si="2"/>
        <v>12084.543000000001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2414.5100000000002</v>
      </c>
      <c r="I41" s="431">
        <f>IF($C41=$C40,($D41+$D40)*'VALORES TABELA'!$B$50-$E40,$D41*'VALORES TABELA'!$B$50)</f>
        <v>12084.543000000001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2292.6668497500004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1149.1263228499997</v>
      </c>
    </row>
    <row r="42" spans="1:11" ht="20.25" customHeight="1" x14ac:dyDescent="0.2">
      <c r="A42" t="s">
        <v>3348</v>
      </c>
      <c r="B42" t="s">
        <v>3426</v>
      </c>
      <c r="C42" t="s">
        <v>3474</v>
      </c>
      <c r="D42" s="430">
        <f>SUMIF('APONTAMENTO CREDENCIAMENTO'!$D$5:$D$4129,$A42,'APONTAMENTO CREDENCIAMENTO'!$FE$5:$FE$4129)</f>
        <v>17123.27</v>
      </c>
      <c r="E42" s="431">
        <f t="shared" si="1"/>
        <v>376.71194000000003</v>
      </c>
      <c r="F42" s="431">
        <f>$D42*'VALORES TABELA'!$B$45*'VALORES TABELA'!$B$46</f>
        <v>85.616350000000011</v>
      </c>
      <c r="G42" s="431">
        <f t="shared" si="2"/>
        <v>10273.962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1916.6</v>
      </c>
      <c r="I42" s="431">
        <f>IF($C42=$C41,($D42+$D41)*'VALORES TABELA'!$B$50-$E41,$D42*'VALORES TABELA'!$B$50)</f>
        <v>10273.962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1813.0137665000002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-479.65308325000024</v>
      </c>
    </row>
    <row r="43" spans="1:11" ht="20.25" customHeight="1" x14ac:dyDescent="0.2">
      <c r="A43" t="s">
        <v>3352</v>
      </c>
      <c r="B43" t="s">
        <v>3427</v>
      </c>
      <c r="C43" t="s">
        <v>3475</v>
      </c>
      <c r="D43" s="430">
        <f>SUMIF('APONTAMENTO CREDENCIAMENTO'!$D$5:$D$4129,$A43,'APONTAMENTO CREDENCIAMENTO'!$FE$5:$FE$4129)</f>
        <v>16188.48</v>
      </c>
      <c r="E43" s="431">
        <f t="shared" si="1"/>
        <v>356.14655999999997</v>
      </c>
      <c r="F43" s="431">
        <f>$D43*'VALORES TABELA'!$B$45*'VALORES TABELA'!$B$46</f>
        <v>80.942400000000006</v>
      </c>
      <c r="G43" s="431">
        <f t="shared" si="2"/>
        <v>9713.0879999999997</v>
      </c>
      <c r="H43" s="431">
        <f>_xlfn.LET(_xlpm.base,G43,_xlpm.bruto,E43+G43,_xlpm.ir_normal,IF(_xlpm.base&lt;='VALORES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43" s="431">
        <f>IF($C43=$C42,($D43+$D42)*'VALORES TABELA'!$B$50-$E42,$D43*'VALORES TABELA'!$B$50)</f>
        <v>9713.0879999999997</v>
      </c>
      <c r="J43" s="431">
        <f>IF(($G43-E43)&lt;='VALORES TABELA'!$A$56,0,IF(($G43-$E43)&lt;='VALORES TABELA'!$A$57,($G43-$E43)*'VALORES TABELA'!$B$57-'VALORES TABELA'!$C$57,IF(($G43-$E43)&lt;='VALORES TABELA'!$A$58,($G43-$E43)*'VALORES TABELA'!$B$58-'VALORES TABELA'!$C$58,IF(($G43-$E43)&lt;='VALORES TABELA'!$A$59,($G43-$E43)*'VALORES TABELA'!$B$59-'VALORES TABELA'!$C$59,($G43-$E43)*'VALORES TABELA'!$B$60-'VALORES TABELA'!$C$60))))</f>
        <v>1664.4288960000003</v>
      </c>
      <c r="K43" s="431">
        <f>IF(($I43-$E43)&lt;='VALORES TABELA'!$A$56,0,IF(($I43-$E43)&lt;='VALORES TABELA'!$A$57,($I43-$E43)*'VALORES TABELA'!$B$57-'VALORES TABELA'!$C$57,IF(($I43-$E43)&lt;='VALORES TABELA'!$A$58,($I43-$E43)*'VALORES TABELA'!$B$58-'VALORES TABELA'!$C$58,IF(($I43-$E43)&lt;='VALORES TABELA'!$A$59,($I43-$E43)*'VALORES TABELA'!$B$59-'VALORES TABELA'!$C$59,($I43-$E43)*'VALORES TABELA'!$B$60-'VALORES TABELA'!$C$60))))-J42</f>
        <v>-148.58487049999985</v>
      </c>
    </row>
    <row r="44" spans="1:11" ht="20.25" customHeight="1" x14ac:dyDescent="0.2">
      <c r="A44" t="s">
        <v>3356</v>
      </c>
      <c r="B44" t="s">
        <v>3428</v>
      </c>
      <c r="C44" t="s">
        <v>3476</v>
      </c>
      <c r="D44" s="430">
        <f>SUMIF('APONTAMENTO CREDENCIAMENTO'!$D$5:$D$4129,$A44,'APONTAMENTO CREDENCIAMENTO'!$FE$5:$FE$4129)</f>
        <v>3595.4799999999996</v>
      </c>
      <c r="E44" s="431">
        <f t="shared" si="1"/>
        <v>79.100560000000002</v>
      </c>
      <c r="F44" s="431">
        <f>$D44*'VALORES TABELA'!$B$45*'VALORES TABELA'!$B$46</f>
        <v>17.977399999999999</v>
      </c>
      <c r="G44" s="431">
        <f t="shared" si="2"/>
        <v>2157.2879999999996</v>
      </c>
      <c r="H44" s="431">
        <f>_xlfn.LET(_xlpm.base,G44,_xlpm.bruto,E44+G44,_xlpm.ir_normal,IF(_xlpm.base&lt;='VALORES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4" s="431">
        <f>IF($C44=$C43,($D44+$D43)*'VALORES TABELA'!$B$50-$E43,$D44*'VALORES TABELA'!$B$50)</f>
        <v>2157.2879999999996</v>
      </c>
      <c r="J44" s="431">
        <f>IF(($G44-E44)&lt;='VALORES TABELA'!$A$56,0,IF(($G44-$E44)&lt;='VALORES TABELA'!$A$57,($G44-$E44)*'VALORES TABELA'!$B$57-'VALORES TABELA'!$C$57,IF(($G44-$E44)&lt;='VALORES TABELA'!$A$58,($G44-$E44)*'VALORES TABELA'!$B$58-'VALORES TABELA'!$C$58,IF(($G44-$E44)&lt;='VALORES TABELA'!$A$59,($G44-$E44)*'VALORES TABELA'!$B$59-'VALORES TABELA'!$C$59,($G44-$E44)*'VALORES TABELA'!$B$60-'VALORES TABELA'!$C$60))))</f>
        <v>0</v>
      </c>
      <c r="K44" s="431">
        <f>IF(($I44-$E44)&lt;='VALORES TABELA'!$A$56,0,IF(($I44-$E44)&lt;='VALORES TABELA'!$A$57,($I44-$E44)*'VALORES TABELA'!$B$57-'VALORES TABELA'!$C$57,IF(($I44-$E44)&lt;='VALORES TABELA'!$A$58,($I44-$E44)*'VALORES TABELA'!$B$58-'VALORES TABELA'!$C$58,IF(($I44-$E44)&lt;='VALORES TABELA'!$A$59,($I44-$E44)*'VALORES TABELA'!$B$59-'VALORES TABELA'!$C$59,($I44-$E44)*'VALORES TABELA'!$B$60-'VALORES TABELA'!$C$60))))-J43</f>
        <v>-1664.4288960000003</v>
      </c>
    </row>
    <row r="45" spans="1:11" ht="20.25" customHeight="1" x14ac:dyDescent="0.2">
      <c r="A45" t="s">
        <v>3360</v>
      </c>
      <c r="B45" t="s">
        <v>3429</v>
      </c>
      <c r="C45" t="s">
        <v>3477</v>
      </c>
      <c r="D45" s="430">
        <f>SUMIF('APONTAMENTO CREDENCIAMENTO'!$D$5:$D$4129,$A45,'APONTAMENTO CREDENCIAMENTO'!$FE$5:$FE$4129)</f>
        <v>8840.8249999999989</v>
      </c>
      <c r="E45" s="431">
        <f t="shared" si="1"/>
        <v>194.49815000000001</v>
      </c>
      <c r="F45" s="431">
        <f>$D45*'VALORES TABELA'!$B$45*'VALORES TABELA'!$B$46</f>
        <v>44.204125000000005</v>
      </c>
      <c r="G45" s="431">
        <f t="shared" si="2"/>
        <v>5304.494999999999</v>
      </c>
      <c r="H45" s="431">
        <f>_xlfn.LET(_xlpm.base,G45,_xlpm.bruto,E45+G45,_xlpm.ir_normal,IF(_xlpm.base&lt;='VALORES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303.54000000000002</v>
      </c>
      <c r="I45" s="431">
        <f>IF($C45=$C44,($D45+$D44)*'VALORES TABELA'!$B$50-$E44,$D45*'VALORES TABELA'!$B$50)</f>
        <v>5304.494999999999</v>
      </c>
      <c r="J45" s="431">
        <f>IF(($G45-E45)&lt;='VALORES TABELA'!$A$56,0,IF(($G45-$E45)&lt;='VALORES TABELA'!$A$57,($G45-$E45)*'VALORES TABELA'!$B$57-'VALORES TABELA'!$C$57,IF(($G45-$E45)&lt;='VALORES TABELA'!$A$58,($G45-$E45)*'VALORES TABELA'!$B$58-'VALORES TABELA'!$C$58,IF(($G45-$E45)&lt;='VALORES TABELA'!$A$59,($G45-$E45)*'VALORES TABELA'!$B$59-'VALORES TABELA'!$C$59,($G45-$E45)*'VALORES TABELA'!$B$60-'VALORES TABELA'!$C$60))))</f>
        <v>496.51913374999981</v>
      </c>
      <c r="K45" s="431">
        <f>IF(($I45-$E45)&lt;='VALORES TABELA'!$A$56,0,IF(($I45-$E45)&lt;='VALORES TABELA'!$A$57,($I45-$E45)*'VALORES TABELA'!$B$57-'VALORES TABELA'!$C$57,IF(($I45-$E45)&lt;='VALORES TABELA'!$A$58,($I45-$E45)*'VALORES TABELA'!$B$58-'VALORES TABELA'!$C$58,IF(($I45-$E45)&lt;='VALORES TABELA'!$A$59,($I45-$E45)*'VALORES TABELA'!$B$59-'VALORES TABELA'!$C$59,($I45-$E45)*'VALORES TABELA'!$B$60-'VALORES TABELA'!$C$60))))-J44</f>
        <v>496.51913374999981</v>
      </c>
    </row>
    <row r="46" spans="1:11" ht="20.25" customHeight="1" x14ac:dyDescent="0.2">
      <c r="A46" t="s">
        <v>3364</v>
      </c>
      <c r="B46" t="s">
        <v>3430</v>
      </c>
      <c r="C46" t="s">
        <v>3478</v>
      </c>
      <c r="D46" s="430">
        <f>SUMIF('APONTAMENTO CREDENCIAMENTO'!$D$5:$D$4129,$A46,'APONTAMENTO CREDENCIAMENTO'!$FE$5:$FE$4129)</f>
        <v>16669.074666666664</v>
      </c>
      <c r="E46" s="431">
        <f t="shared" si="1"/>
        <v>366.71964266666663</v>
      </c>
      <c r="F46" s="431">
        <f>$D46*'VALORES TABELA'!$B$45*'VALORES TABELA'!$B$46</f>
        <v>83.345373333333328</v>
      </c>
      <c r="G46" s="431">
        <f t="shared" si="2"/>
        <v>10001.444799999997</v>
      </c>
      <c r="H46" s="431">
        <f>_xlfn.LET(_xlpm.base,G46,_xlpm.bruto,E46+G46,_xlpm.ir_normal,IF(_xlpm.base&lt;='VALORES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1841.66</v>
      </c>
      <c r="I46" s="431">
        <f>IF($C46=$C45,($D46+$D45)*'VALORES TABELA'!$B$50-$E45,$D46*'VALORES TABELA'!$B$50)</f>
        <v>10001.444799999997</v>
      </c>
      <c r="J46" s="431">
        <f>IF(($G46-E46)&lt;='VALORES TABELA'!$A$56,0,IF(($G46-$E46)&lt;='VALORES TABELA'!$A$57,($G46-$E46)*'VALORES TABELA'!$B$57-'VALORES TABELA'!$C$57,IF(($G46-$E46)&lt;='VALORES TABELA'!$A$58,($G46-$E46)*'VALORES TABELA'!$B$58-'VALORES TABELA'!$C$58,IF(($G46-$E46)&lt;='VALORES TABELA'!$A$59,($G46-$E46)*'VALORES TABELA'!$B$59-'VALORES TABELA'!$C$59,($G46-$E46)*'VALORES TABELA'!$B$60-'VALORES TABELA'!$C$60))))</f>
        <v>1740.8194182666662</v>
      </c>
      <c r="K46" s="431">
        <f>IF(($I46-$E46)&lt;='VALORES TABELA'!$A$56,0,IF(($I46-$E46)&lt;='VALORES TABELA'!$A$57,($I46-$E46)*'VALORES TABELA'!$B$57-'VALORES TABELA'!$C$57,IF(($I46-$E46)&lt;='VALORES TABELA'!$A$58,($I46-$E46)*'VALORES TABELA'!$B$58-'VALORES TABELA'!$C$58,IF(($I46-$E46)&lt;='VALORES TABELA'!$A$59,($I46-$E46)*'VALORES TABELA'!$B$59-'VALORES TABELA'!$C$59,($I46-$E46)*'VALORES TABELA'!$B$60-'VALORES TABELA'!$C$60))))-J45</f>
        <v>1244.3002845166664</v>
      </c>
    </row>
    <row r="47" spans="1:11" ht="20.25" customHeight="1" x14ac:dyDescent="0.2">
      <c r="A47" t="s">
        <v>3368</v>
      </c>
      <c r="B47" t="s">
        <v>3431</v>
      </c>
      <c r="C47" t="s">
        <v>3479</v>
      </c>
      <c r="D47" s="430">
        <f>SUMIF('APONTAMENTO CREDENCIAMENTO'!$D$5:$D$4129,$A47,'APONTAMENTO CREDENCIAMENTO'!$FE$5:$FE$4129)</f>
        <v>10317.540000000001</v>
      </c>
      <c r="E47" s="431">
        <f t="shared" si="1"/>
        <v>226.98588000000004</v>
      </c>
      <c r="F47" s="431">
        <f>$D47*'VALORES TABELA'!$B$45*'VALORES TABELA'!$B$46</f>
        <v>51.587700000000012</v>
      </c>
      <c r="G47" s="431">
        <f t="shared" si="2"/>
        <v>6190.5240000000003</v>
      </c>
      <c r="H47" s="431">
        <f>_xlfn.LET(_xlpm.base,G47,_xlpm.bruto,E47+G47,_xlpm.ir_normal,IF(_xlpm.base&lt;='VALORES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669.5</v>
      </c>
      <c r="I47" s="431">
        <f>IF($C47=$C46,($D47+$D46)*'VALORES TABELA'!$B$50-$E46,$D47*'VALORES TABELA'!$B$50)</f>
        <v>6190.5240000000003</v>
      </c>
      <c r="J47" s="431">
        <f>IF(($G47-E47)&lt;='VALORES TABELA'!$A$56,0,IF(($G47-$E47)&lt;='VALORES TABELA'!$A$57,($G47-$E47)*'VALORES TABELA'!$B$57-'VALORES TABELA'!$C$57,IF(($G47-$E47)&lt;='VALORES TABELA'!$A$58,($G47-$E47)*'VALORES TABELA'!$B$58-'VALORES TABELA'!$C$58,IF(($G47-$E47)&lt;='VALORES TABELA'!$A$59,($G47-$E47)*'VALORES TABELA'!$B$59-'VALORES TABELA'!$C$59,($G47-$E47)*'VALORES TABELA'!$B$60-'VALORES TABELA'!$C$60))))</f>
        <v>731.24298300000009</v>
      </c>
      <c r="K47" s="431">
        <f>IF(($I47-$E47)&lt;='VALORES TABELA'!$A$56,0,IF(($I47-$E47)&lt;='VALORES TABELA'!$A$57,($I47-$E47)*'VALORES TABELA'!$B$57-'VALORES TABELA'!$C$57,IF(($I47-$E47)&lt;='VALORES TABELA'!$A$58,($I47-$E47)*'VALORES TABELA'!$B$58-'VALORES TABELA'!$C$58,IF(($I47-$E47)&lt;='VALORES TABELA'!$A$59,($I47-$E47)*'VALORES TABELA'!$B$59-'VALORES TABELA'!$C$59,($I47-$E47)*'VALORES TABELA'!$B$60-'VALORES TABELA'!$C$60))))-J46</f>
        <v>-1009.5764352666661</v>
      </c>
    </row>
    <row r="48" spans="1:11" ht="20.25" customHeight="1" x14ac:dyDescent="0.2">
      <c r="A48" t="s">
        <v>3372</v>
      </c>
      <c r="B48" t="s">
        <v>3432</v>
      </c>
      <c r="C48" t="s">
        <v>3480</v>
      </c>
      <c r="D48" s="430">
        <f>SUMIF('APONTAMENTO CREDENCIAMENTO'!$D$5:$D$4129,$A48,'APONTAMENTO CREDENCIAMENTO'!$FE$5:$FE$4129)</f>
        <v>15940.023999999999</v>
      </c>
      <c r="E48" s="431">
        <f t="shared" si="1"/>
        <v>350.68052800000004</v>
      </c>
      <c r="F48" s="431">
        <f>$D48*'VALORES TABELA'!$B$45*'VALORES TABELA'!$B$46</f>
        <v>79.700120000000013</v>
      </c>
      <c r="G48" s="431">
        <f t="shared" si="2"/>
        <v>9564.0144</v>
      </c>
      <c r="H48" s="431">
        <f>_xlfn.LET(_xlpm.base,G48,_xlpm.bruto,E48+G48,_xlpm.ir_normal,IF(_xlpm.base&lt;='VALORES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1721.37</v>
      </c>
      <c r="I48" s="431">
        <f>IF($C48=$C47,($D48+$D47)*'VALORES TABELA'!$B$50-$E47,$D48*'VALORES TABELA'!$B$50)</f>
        <v>9564.0144</v>
      </c>
      <c r="J48" s="431">
        <f>IF(($G48-E48)&lt;='VALORES TABELA'!$A$56,0,IF(($G48-$E48)&lt;='VALORES TABELA'!$A$57,($G48-$E48)*'VALORES TABELA'!$B$57-'VALORES TABELA'!$C$57,IF(($G48-$E48)&lt;='VALORES TABELA'!$A$58,($G48-$E48)*'VALORES TABELA'!$B$58-'VALORES TABELA'!$C$58,IF(($G48-$E48)&lt;='VALORES TABELA'!$A$59,($G48-$E48)*'VALORES TABELA'!$B$59-'VALORES TABELA'!$C$59,($G48-$E48)*'VALORES TABELA'!$B$60-'VALORES TABELA'!$C$60))))</f>
        <v>1624.9368147999999</v>
      </c>
      <c r="K48" s="431">
        <f>IF(($I48-$E48)&lt;='VALORES TABELA'!$A$56,0,IF(($I48-$E48)&lt;='VALORES TABELA'!$A$57,($I48-$E48)*'VALORES TABELA'!$B$57-'VALORES TABELA'!$C$57,IF(($I48-$E48)&lt;='VALORES TABELA'!$A$58,($I48-$E48)*'VALORES TABELA'!$B$58-'VALORES TABELA'!$C$58,IF(($I48-$E48)&lt;='VALORES TABELA'!$A$59,($I48-$E48)*'VALORES TABELA'!$B$59-'VALORES TABELA'!$C$59,($I48-$E48)*'VALORES TABELA'!$B$60-'VALORES TABELA'!$C$60))))-J47</f>
        <v>893.69383179999977</v>
      </c>
    </row>
    <row r="49" spans="1:11" ht="20.25" customHeight="1" x14ac:dyDescent="0.2">
      <c r="A49" t="s">
        <v>3376</v>
      </c>
      <c r="B49" t="s">
        <v>3433</v>
      </c>
      <c r="C49" t="s">
        <v>3481</v>
      </c>
      <c r="D49" s="430">
        <f>SUMIF('APONTAMENTO CREDENCIAMENTO'!$D$5:$D$4129,$A49,'APONTAMENTO CREDENCIAMENTO'!$FE$5:$FE$4129)</f>
        <v>16188.48</v>
      </c>
      <c r="E49" s="431">
        <f t="shared" si="1"/>
        <v>356.14655999999997</v>
      </c>
      <c r="F49" s="431">
        <f>$D49*'VALORES TABELA'!$B$45*'VALORES TABELA'!$B$46</f>
        <v>80.942400000000006</v>
      </c>
      <c r="G49" s="431">
        <f t="shared" si="2"/>
        <v>9713.0879999999997</v>
      </c>
      <c r="H49" s="431">
        <f>_xlfn.LET(_xlpm.base,G49,_xlpm.bruto,E49+G49,_xlpm.ir_normal,IF(_xlpm.base&lt;='VALORES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49" s="431">
        <f>IF($C49=$C48,($D49+$D48)*'VALORES TABELA'!$B$50-$E48,$D49*'VALORES TABELA'!$B$50)</f>
        <v>9713.0879999999997</v>
      </c>
      <c r="J49" s="431">
        <f>IF(($G49-E49)&lt;='VALORES TABELA'!$A$56,0,IF(($G49-$E49)&lt;='VALORES TABELA'!$A$57,($G49-$E49)*'VALORES TABELA'!$B$57-'VALORES TABELA'!$C$57,IF(($G49-$E49)&lt;='VALORES TABELA'!$A$58,($G49-$E49)*'VALORES TABELA'!$B$58-'VALORES TABELA'!$C$58,IF(($G49-$E49)&lt;='VALORES TABELA'!$A$59,($G49-$E49)*'VALORES TABELA'!$B$59-'VALORES TABELA'!$C$59,($G49-$E49)*'VALORES TABELA'!$B$60-'VALORES TABELA'!$C$60))))</f>
        <v>1664.4288960000003</v>
      </c>
      <c r="K49" s="431">
        <f>IF(($I49-$E49)&lt;='VALORES TABELA'!$A$56,0,IF(($I49-$E49)&lt;='VALORES TABELA'!$A$57,($I49-$E49)*'VALORES TABELA'!$B$57-'VALORES TABELA'!$C$57,IF(($I49-$E49)&lt;='VALORES TABELA'!$A$58,($I49-$E49)*'VALORES TABELA'!$B$58-'VALORES TABELA'!$C$58,IF(($I49-$E49)&lt;='VALORES TABELA'!$A$59,($I49-$E49)*'VALORES TABELA'!$B$59-'VALORES TABELA'!$C$59,($I49-$E49)*'VALORES TABELA'!$B$60-'VALORES TABELA'!$C$60))))-J48</f>
        <v>39.492081200000484</v>
      </c>
    </row>
    <row r="50" spans="1:11" ht="20.25" customHeight="1" x14ac:dyDescent="0.2">
      <c r="A50" t="s">
        <v>3380</v>
      </c>
      <c r="B50" t="s">
        <v>3434</v>
      </c>
      <c r="C50" t="s">
        <v>3482</v>
      </c>
      <c r="D50" s="430">
        <f>SUMIF('APONTAMENTO CREDENCIAMENTO'!$D$5:$D$4129,$A50,'APONTAMENTO CREDENCIAMENTO'!$FE$5:$FE$4129)</f>
        <v>14656.334666666668</v>
      </c>
      <c r="E50" s="431">
        <f t="shared" si="1"/>
        <v>322.43936266666674</v>
      </c>
      <c r="F50" s="431">
        <f>$D50*'VALORES TABELA'!$B$45*'VALORES TABELA'!$B$46</f>
        <v>73.281673333333345</v>
      </c>
      <c r="G50" s="431">
        <f t="shared" si="2"/>
        <v>8793.8008000000009</v>
      </c>
      <c r="H50" s="431">
        <f>_xlfn.LET(_xlpm.base,G50,_xlpm.bruto,E50+G50,_xlpm.ir_normal,IF(_xlpm.base&lt;='VALORES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1509.56</v>
      </c>
      <c r="I50" s="431">
        <f>IF($C50=$C49,($D50+$D49)*'VALORES TABELA'!$B$50-$E49,$D50*'VALORES TABELA'!$B$50)</f>
        <v>8793.8008000000009</v>
      </c>
      <c r="J50" s="431">
        <f>IF(($G50-E50)&lt;='VALORES TABELA'!$A$56,0,IF(($G50-$E50)&lt;='VALORES TABELA'!$A$57,($G50-$E50)*'VALORES TABELA'!$B$57-'VALORES TABELA'!$C$57,IF(($G50-$E50)&lt;='VALORES TABELA'!$A$58,($G50-$E50)*'VALORES TABELA'!$B$58-'VALORES TABELA'!$C$58,IF(($G50-$E50)&lt;='VALORES TABELA'!$A$59,($G50-$E50)*'VALORES TABELA'!$B$59-'VALORES TABELA'!$C$59,($G50-$E50)*'VALORES TABELA'!$B$60-'VALORES TABELA'!$C$60))))</f>
        <v>1420.8943952666673</v>
      </c>
      <c r="K50" s="431">
        <f>IF(($I50-$E50)&lt;='VALORES TABELA'!$A$56,0,IF(($I50-$E50)&lt;='VALORES TABELA'!$A$57,($I50-$E50)*'VALORES TABELA'!$B$57-'VALORES TABELA'!$C$57,IF(($I50-$E50)&lt;='VALORES TABELA'!$A$58,($I50-$E50)*'VALORES TABELA'!$B$58-'VALORES TABELA'!$C$58,IF(($I50-$E50)&lt;='VALORES TABELA'!$A$59,($I50-$E50)*'VALORES TABELA'!$B$59-'VALORES TABELA'!$C$59,($I50-$E50)*'VALORES TABELA'!$B$60-'VALORES TABELA'!$C$60))))-J49</f>
        <v>-243.53450073333306</v>
      </c>
    </row>
    <row r="51" spans="1:11" ht="20.25" customHeight="1" x14ac:dyDescent="0.2">
      <c r="A51" t="s">
        <v>3384</v>
      </c>
      <c r="B51" t="s">
        <v>3435</v>
      </c>
      <c r="C51" t="s">
        <v>3483</v>
      </c>
      <c r="D51" s="430">
        <f>SUMIF('APONTAMENTO CREDENCIAMENTO'!$D$5:$D$4129,$A51,'APONTAMENTO CREDENCIAMENTO'!$FE$5:$FE$4129)</f>
        <v>19447.491000000002</v>
      </c>
      <c r="E51" s="431">
        <f t="shared" si="1"/>
        <v>427.84480200000007</v>
      </c>
      <c r="F51" s="431">
        <f>$D51*'VALORES TABELA'!$B$45*'VALORES TABELA'!$B$46</f>
        <v>97.237455000000011</v>
      </c>
      <c r="G51" s="431">
        <f t="shared" si="2"/>
        <v>11668.4946</v>
      </c>
      <c r="H51" s="431">
        <f>_xlfn.LET(_xlpm.base,G51,_xlpm.bruto,E51+G51,_xlpm.ir_normal,IF(_xlpm.base&lt;='VALORES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2300.1</v>
      </c>
      <c r="I51" s="431">
        <f>IF($C51=$C50,($D51+$D50)*'VALORES TABELA'!$B$50-$E50,$D51*'VALORES TABELA'!$B$50)</f>
        <v>11668.4946</v>
      </c>
      <c r="J51" s="431">
        <f>IF(($G51-E51)&lt;='VALORES TABELA'!$A$56,0,IF(($G51-$E51)&lt;='VALORES TABELA'!$A$57,($G51-$E51)*'VALORES TABELA'!$B$57-'VALORES TABELA'!$C$57,IF(($G51-$E51)&lt;='VALORES TABELA'!$A$58,($G51-$E51)*'VALORES TABELA'!$B$58-'VALORES TABELA'!$C$58,IF(($G51-$E51)&lt;='VALORES TABELA'!$A$59,($G51-$E51)*'VALORES TABELA'!$B$59-'VALORES TABELA'!$C$59,($G51-$E51)*'VALORES TABELA'!$B$60-'VALORES TABELA'!$C$60))))</f>
        <v>2182.4486944500004</v>
      </c>
      <c r="K51" s="431">
        <f>IF(($I51-$E51)&lt;='VALORES TABELA'!$A$56,0,IF(($I51-$E51)&lt;='VALORES TABELA'!$A$57,($I51-$E51)*'VALORES TABELA'!$B$57-'VALORES TABELA'!$C$57,IF(($I51-$E51)&lt;='VALORES TABELA'!$A$58,($I51-$E51)*'VALORES TABELA'!$B$58-'VALORES TABELA'!$C$58,IF(($I51-$E51)&lt;='VALORES TABELA'!$A$59,($I51-$E51)*'VALORES TABELA'!$B$59-'VALORES TABELA'!$C$59,($I51-$E51)*'VALORES TABELA'!$B$60-'VALORES TABELA'!$C$60))))-J50</f>
        <v>761.55429918333311</v>
      </c>
    </row>
    <row r="52" spans="1:11" ht="20.25" customHeight="1" x14ac:dyDescent="0.2">
      <c r="A52"/>
      <c r="B52"/>
      <c r="C52"/>
    </row>
    <row r="53" spans="1:11" ht="20.25" customHeight="1" x14ac:dyDescent="0.2">
      <c r="A53"/>
      <c r="B53"/>
      <c r="C53"/>
    </row>
    <row r="54" spans="1:11" ht="20.25" customHeight="1" x14ac:dyDescent="0.2">
      <c r="A54"/>
      <c r="B54"/>
      <c r="C54"/>
    </row>
    <row r="55" spans="1:11" ht="20.25" customHeight="1" x14ac:dyDescent="0.2">
      <c r="A55"/>
      <c r="B55"/>
      <c r="C55"/>
    </row>
    <row r="56" spans="1:11" ht="20.25" customHeight="1" x14ac:dyDescent="0.2">
      <c r="A56"/>
      <c r="B56"/>
      <c r="C56"/>
    </row>
    <row r="57" spans="1:11" ht="20.25" customHeight="1" x14ac:dyDescent="0.2">
      <c r="A57"/>
      <c r="B57"/>
      <c r="C57"/>
    </row>
    <row r="58" spans="1:11" ht="20.25" customHeight="1" x14ac:dyDescent="0.2">
      <c r="A58"/>
      <c r="B58"/>
      <c r="C58"/>
    </row>
    <row r="59" spans="1:11" ht="20.25" customHeight="1" x14ac:dyDescent="0.2">
      <c r="A59"/>
      <c r="B59"/>
      <c r="C59"/>
    </row>
    <row r="60" spans="1:11" ht="20.25" customHeight="1" x14ac:dyDescent="0.2">
      <c r="A60"/>
      <c r="B60"/>
      <c r="C60"/>
    </row>
    <row r="61" spans="1:11" ht="20.25" customHeight="1" x14ac:dyDescent="0.2">
      <c r="A61"/>
      <c r="B61"/>
      <c r="C61"/>
    </row>
    <row r="62" spans="1:11" ht="20.25" customHeight="1" x14ac:dyDescent="0.2">
      <c r="A62"/>
      <c r="B62"/>
      <c r="C62"/>
    </row>
    <row r="63" spans="1:11" ht="20.25" customHeight="1" x14ac:dyDescent="0.2">
      <c r="A63"/>
      <c r="B63"/>
      <c r="C63"/>
    </row>
    <row r="64" spans="1:11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2023/0026034</v>
      </c>
      <c r="B11" s="459"/>
      <c r="C11" s="460" t="str">
        <f>VLOOKUP(A11,ProcRel!A1:C5000,3,0)</f>
        <v>019.309-00</v>
      </c>
      <c r="D11" s="768" t="str">
        <f>VLOOKUP(A11,'APONTAMENTO CREDENCIAMENTO'!$D$6:$D$4129,1,FALSE)</f>
        <v>2023/0026034</v>
      </c>
      <c r="E11" s="768"/>
      <c r="F11" s="461">
        <f>SUMIF('APONTAMENTO CREDENCIAMENTO'!D$5:D$5232,A11,'APONTAMENTO CREDENCIAMENTO'!N$5:N$5232)</f>
        <v>0</v>
      </c>
      <c r="G11" s="462">
        <f>'EMPRESA C'!H16+'EMPRESA C'!I16+'EMPRESA C'!J16+'EMPRESA C'!K16+'EMPRESA C'!L16+'EMPRESA C'!M16</f>
        <v>11</v>
      </c>
      <c r="H11" s="463" t="str">
        <f>'BASE C'!E4</f>
        <v>ABRIL</v>
      </c>
      <c r="I11" s="464" t="str">
        <f>'BASE C'!D2</f>
        <v>JAÇANÃ / TREMEMBÉ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CREDENCIAMENTO'!D1:J5232,6,FALSE)</f>
        <v>FRANCISCO MARCILIO OLIVEIRA BARROS</v>
      </c>
      <c r="B13" s="774"/>
      <c r="C13" s="774"/>
      <c r="D13" s="774"/>
      <c r="E13" s="775"/>
      <c r="F13" s="781" t="str">
        <f>VLOOKUP(A11,ProcRel1!E2:G5000,3,FALSE)</f>
        <v>151.350.318-98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CREDENCIAMENTO'!D1:O4127,12,FALSE)</f>
        <v>6020.2023/0026034-7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CREDENCIAMENTO'!$D$6:$EW$4129,150,FALSE)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CREDENCIAMENTO'!D$5:D$5232,A11,'APONTAMENTO CREDENCIAMENTO'!EX$5:EX$5232)</f>
        <v>15934.850000000002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CREDENCIAMENTO'!D5:D5232,A11,'APONTAMENTO CREDENCIAMENTO'!FB5:FB5232)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CREDENCIAMENTO'!D5:D5232,A11,'APONTAMENTO CREDENCIAMENTO'!EZ5:EZ5232)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CREDENCIAMENTO'!D5:D5232,A11,'APONTAMENTO CREDENCIAMENTO'!FA5:FA5232)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CREDENCIAMENTO'!D5:D5232,A11,'APONTAMENTO CREDENCIAMENTO'!FC5:FC5232)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CREDENCIAMENTO'!D5:IA5232,230,0)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CREDENCIAMENTO'!D5:IA5232,231,0)*-1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CREDENCIAMENTO'!D5:IA5232,232,0)*-1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CREDENCIAMENTO'!D5:D5232,A11,'APONTAMENTO CREDENCIAMENTO'!L5:L5232)</f>
        <v>0</v>
      </c>
      <c r="F29" s="506" t="s">
        <v>318</v>
      </c>
      <c r="G29" s="507">
        <f>SUMIF('APONTAMENTO CREDENCIAMENTO'!D5:D5232,A11,'APONTAMENTO CREDENCIAMENTO'!M5:M5232)</f>
        <v>0</v>
      </c>
      <c r="H29" s="504" t="s">
        <v>150</v>
      </c>
      <c r="I29" s="495">
        <f>SUMIF('APONTAMENTO CREDENCIAMENTO'!D5:D5232,A11,'APONTAMENTO CREDENCIAMENTO'!EY5:EY5232)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CREDENCIAMENTO'!D5:D5232,A11,'APONTAMENTO CREDENCIAMENTO'!FD5:FD5232)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15934.850000000002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-350.56670000000008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-79.674250000000029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-1553.54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13951.069050000002</v>
      </c>
    </row>
    <row r="37" spans="1:12" s="12" customFormat="1" x14ac:dyDescent="0.2">
      <c r="A37" s="793" t="s">
        <v>106</v>
      </c>
      <c r="B37" s="794">
        <f>VLOOKUP(A11,'APONTAMENTO CREDENCIAMENTO'!D1:EL4127,138,FALSE)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CREDENCIAMENTO'!D1:EL4127,139,FALSE)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CREDENCIAMENTO'!D5:D5232,A11,'APONTAMENTO CREDENCIAMENTO'!EP5:EP5232)</f>
        <v>6</v>
      </c>
      <c r="B45" s="483"/>
      <c r="C45" s="484">
        <f>SUMIF('APONTAMENTO CREDENCIAMENTO'!D5:D5232,A11,'APONTAMENTO CREDENCIAMENTO'!ER5:ER5232)</f>
        <v>0</v>
      </c>
      <c r="D45" s="484"/>
      <c r="E45" s="484">
        <f>SUMIF('APONTAMENTO CREDENCIAMENTO'!D5:D5232,A11,'APONTAMENTO CREDENCIAMENTO'!ES5:ES5232)</f>
        <v>5</v>
      </c>
      <c r="F45" s="484"/>
      <c r="G45" s="484">
        <f>SUMIF('APONTAMENTO CREDENCIAMENTO'!D5:D5232,A11,'APONTAMENTO CREDENCIAMENTO'!EU5:EU5232)</f>
        <v>0</v>
      </c>
      <c r="H45" s="484"/>
      <c r="I45" s="485">
        <f>SUM(A45:H45)</f>
        <v>11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A14" sqref="A14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FRANCISCO MARCILIO OLIVEIRA BARROS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2023/0026034</v>
      </c>
      <c r="G9" s="30" t="s">
        <v>122</v>
      </c>
      <c r="H9" s="30" t="str">
        <f>'APONTAMENTO CREDENCIAMENTO'!A1</f>
        <v>Jaçanã / Tremembé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FRANCISCO MARCILIO OLIVEIRA BARROS</v>
      </c>
      <c r="B14" s="207" t="str">
        <f>VLOOKUP(D14,'APONTAMENTO CREDENCIAMENTO'!$A$6:$F$4130,6,0)</f>
        <v>01/04/2026</v>
      </c>
      <c r="C14" s="207" t="str">
        <f>VLOOKUP(D14,'APONTAMENTO CREDENCIAMENTO'!$A$6:$G$4130,7,0)</f>
        <v>30/04/2026</v>
      </c>
      <c r="D14" s="208" t="str">
        <f>'BASE C'!C10</f>
        <v>019.309-00</v>
      </c>
      <c r="E14" s="809" t="str">
        <f>'BASE C'!H10</f>
        <v>GBI8449</v>
      </c>
      <c r="F14" s="810"/>
      <c r="G14" s="208">
        <f>SUMIF('APONTAMENTO CREDENCIAMENTO'!$A$6:$A$4130,'EMPRESA C'!D14,'APONTAMENTO CREDENCIAMENTO'!$N$6:$N$4130)</f>
        <v>0</v>
      </c>
      <c r="H14" s="208">
        <f>SUMIF('APONTAMENTO CREDENCIAMENTO'!$A$6:$A$4130,'EMPRESA C'!D14,'APONTAMENTO CREDENCIAMENTO'!$EP$6:$EP$4130)</f>
        <v>6</v>
      </c>
      <c r="I14" s="208">
        <f>SUMIF('APONTAMENTO CREDENCIAMENTO'!$A$6:$A$4130,'EMPRESA C'!D14,'APONTAMENTO CREDENCIAMENTO'!$EQ$6:$EQ$4130)</f>
        <v>0</v>
      </c>
      <c r="J14" s="208">
        <f>SUMIF('APONTAMENTO CREDENCIAMENTO'!$A$6:$A$4130,'EMPRESA C'!D14,'APONTAMENTO CREDENCIAMENTO'!$ER$6:$ER$4130)</f>
        <v>0</v>
      </c>
      <c r="K14" s="208">
        <f>SUMIF('APONTAMENTO CREDENCIAMENTO'!$A$6:$A$4130,'EMPRESA C'!D14,'APONTAMENTO CREDENCIAMENTO'!$ES$6:$ES$4130)</f>
        <v>5</v>
      </c>
      <c r="L14" s="208">
        <f>SUMIF('APONTAMENTO CREDENCIAMENTO'!$A$6:$A$4130,'EMPRESA C'!D14,'APONTAMENTO CREDENCIAMENTO'!$ET$6:$ET$4130)</f>
        <v>0</v>
      </c>
      <c r="M14" s="208">
        <f>SUMIF('APONTAMENTO CREDENCIAMENTO'!$A$6:$A$4130,'EMPRESA C'!D14,'APONTAMENTO CREDENCIAMENTO'!$EU$6:$EU$4130)</f>
        <v>0</v>
      </c>
      <c r="N14" s="209">
        <f>SUMIF('APONTAMENTO CREDENCIAMENTO'!$A$6:$A$4130,'EMPRESA C'!D14,'APONTAMENTO CREDENCIAMENTO'!$EW$6:$EW$4130)</f>
        <v>0</v>
      </c>
      <c r="O14" s="209">
        <f>SUMIF('APONTAMENTO CREDENCIAMENTO'!$A$6:$A$4130,'EMPRESA C'!D14,'APONTAMENTO CREDENCIAMENTO'!$EX$6:$EX$4130)</f>
        <v>15934.850000000002</v>
      </c>
      <c r="P14" s="209">
        <f>SUMIF('APONTAMENTO CREDENCIAMENTO'!$A$5:$A$4130,'EMPRESA C'!D14,'APONTAMENTO CREDENCIAMENTO'!$EY$5:$EY$4130)</f>
        <v>0</v>
      </c>
      <c r="Q14" s="209">
        <f>SUMIF('APONTAMENTO CREDENCIAMENTO'!$A$5:$A$4130,'EMPRESA C'!D14,'APONTAMENTO CREDENCIAMENTO'!$EZ$5:$EZ$4130)</f>
        <v>0</v>
      </c>
      <c r="R14" s="209">
        <f>SUMIF('APONTAMENTO CREDENCIAMENTO'!$A$5:$A$4130,'EMPRESA C'!D14,'APONTAMENTO CREDENCIAMENTO'!$FA$5:$FA$4130)</f>
        <v>0</v>
      </c>
      <c r="S14" s="209">
        <f>SUMIF('APONTAMENTO CREDENCIAMENTO'!$A$5:$A$4130,'EMPRESA C'!D14,'APONTAMENTO CREDENCIAMENTO'!$FB$5:$FB$4130)</f>
        <v>0</v>
      </c>
      <c r="T14" s="209">
        <f>SUMIF('APONTAMENTO CREDENCIAMENTO'!$A$5:$A$4130,'EMPRESA C'!D14,'APONTAMENTO CREDENCIAMENTO'!$FC$5:$FC$4130)</f>
        <v>0</v>
      </c>
      <c r="U14" s="209">
        <f>SUMIF('APONTAMENTO CREDENCIAMENTO'!$A$5:$A$4130,'EMPRESA C'!D14,'APONTAMENTO CREDENCIAMENTO'!$HY$5:$HY$4130)</f>
        <v>0</v>
      </c>
      <c r="V14" s="209">
        <f>SUMIF('APONTAMENTO CREDENCIAMENTO'!$A$5:$A$4130,'EMPRESA C'!D14,'APONTAMENTO CREDENCIAMENTO'!$HZ$5:$HZ$4130)*-1</f>
        <v>0</v>
      </c>
      <c r="W14" s="209">
        <f>SUMIF('APONTAMENTO CREDENCIAMENTO'!$A$5:$A$4130,'EMPRESA C'!D14,'APONTAMENTO CREDENCIAMENTO'!$IA$5:$IA$4130)*-1</f>
        <v>0</v>
      </c>
      <c r="X14" s="209">
        <f>SUMIF('APONTAMENTO CREDENCIAMENTO'!$A$5:$A$4130,'EMPRESA C'!D14,'APONTAMENTO CREDENCIAMENTO'!$FD$5:$FD$4130)</f>
        <v>0</v>
      </c>
      <c r="Y14" s="209">
        <f>SUMIF('APONTAMENTO CREDENCIAMENTO'!$A$5:$A$4130,'EMPRESA C'!D14,'APONTAMENTO CREDENCIAMENTO'!$GK$5:$GK$4130)*-1</f>
        <v>0</v>
      </c>
      <c r="Z14" s="209">
        <f>(N14+O14+P14+Q14+R14+S14+T14+U14+V14+W14+X14+Y14)</f>
        <v>15934.850000000002</v>
      </c>
      <c r="AA14" s="209">
        <f t="shared" ref="AA14" si="0">Z14</f>
        <v>15934.850000000002</v>
      </c>
      <c r="AB14" s="209">
        <f>AA14*'BASE C'!B$7</f>
        <v>0</v>
      </c>
      <c r="AC14" s="209">
        <f t="shared" ref="AC14" si="1">AA14-AB14</f>
        <v>15934.850000000002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6</v>
      </c>
      <c r="I16" s="100">
        <f>SUM(I14:I15)</f>
        <v>0</v>
      </c>
      <c r="J16" s="100">
        <f>SUM(J14:J15)</f>
        <v>0</v>
      </c>
      <c r="K16" s="100">
        <f>SUM(K14:K15)</f>
        <v>5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15934.850000000002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15934.850000000002</v>
      </c>
      <c r="AA16" s="326">
        <f>SUM(AA14:AA15)</f>
        <v>15934.850000000002</v>
      </c>
      <c r="AB16" s="326">
        <f>SUM(AB14:AB15)</f>
        <v>0</v>
      </c>
      <c r="AC16" s="326">
        <f>SUM(AC14:AC15)</f>
        <v>15934.850000000002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A20" sqref="A20:M20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2023/0026034</v>
      </c>
      <c r="B14" s="217" t="str">
        <f>'BASE C'!D4</f>
        <v>FRANCISCO MARCILIO OLIVEIRA BARROS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JT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FRANCISCO MARCILIO OLIVEIRA BARROS</v>
      </c>
      <c r="B18" s="231" t="str">
        <f>'BASE C'!C10</f>
        <v>019.309-00</v>
      </c>
      <c r="C18" s="231" t="str">
        <f>'BASE C'!H10</f>
        <v>GBI8449</v>
      </c>
      <c r="D18" s="208">
        <f>SUMIF('APONTAMENTO CREDENCIAMENTO'!$A$6:$A$4130,'ATESTADO C'!B18,'APONTAMENTO CREDENCIAMENTO'!$N$6:$N$4130)</f>
        <v>0</v>
      </c>
      <c r="E18" s="208">
        <f>SUMIF('APONTAMENTO CREDENCIAMENTO'!$A$6:$A$4130,'ATESTADO C'!B18,'APONTAMENTO CREDENCIAMENTO'!$EP$6:$EP$4130)</f>
        <v>6</v>
      </c>
      <c r="F18" s="208">
        <f>SUMIF('APONTAMENTO CREDENCIAMENTO'!$A$6:$A$4130,'ATESTADO C'!B18,'APONTAMENTO CREDENCIAMENTO'!$EQ$6:$EQ$4130)</f>
        <v>0</v>
      </c>
      <c r="G18" s="208">
        <f>SUMIF('APONTAMENTO CREDENCIAMENTO'!$A$6:$A$4130,'ATESTADO C'!B18,'APONTAMENTO CREDENCIAMENTO'!$ER$6:$ER$4130)</f>
        <v>0</v>
      </c>
      <c r="H18" s="208">
        <f>SUMIF('APONTAMENTO CREDENCIAMENTO'!$A$6:$A$4130,'ATESTADO C'!B18,'APONTAMENTO CREDENCIAMENTO'!$ES$6:$ES$4130)</f>
        <v>5</v>
      </c>
      <c r="I18" s="208">
        <f>SUMIF('APONTAMENTO CREDENCIAMENTO'!$A$6:$A$4130,'ATESTADO C'!B18,'APONTAMENTO CREDENCIAMENTO'!$ET$6:$ET$4130)</f>
        <v>0</v>
      </c>
      <c r="J18" s="208">
        <f>SUMIF('APONTAMENTO CREDENCIAMENTO'!$A$6:$A$4130,'ATESTADO C'!B18,'APONTAMENTO CREDENCIAMENTO'!$EU$6:$EU$4130)</f>
        <v>0</v>
      </c>
      <c r="K18" s="232">
        <f t="shared" ref="K18" si="0">E18+F18+H18+I18+G18+J18</f>
        <v>11</v>
      </c>
      <c r="L18" s="827" t="str">
        <f>CONCATENATE(VLOOKUP(B18,'APONTAMENTO CREDENCIAMENTO'!$A$6:$EK$4130,141,0)," - ",VLOOKUP(B18,'APONTAMENTO CREDENCIAMENTO'!$A$6:$EL$4130,142,0))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48"/>
  <sheetViews>
    <sheetView topLeftCell="A243" workbookViewId="0">
      <selection activeCell="A2" sqref="A2:C24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3186</v>
      </c>
      <c r="B1" t="s">
        <v>1850</v>
      </c>
      <c r="C1" t="s">
        <v>3184</v>
      </c>
    </row>
    <row r="2" spans="1:3" x14ac:dyDescent="0.2">
      <c r="A2" t="s">
        <v>3296</v>
      </c>
      <c r="B2" t="s">
        <v>1906</v>
      </c>
      <c r="C2" t="s">
        <v>3294</v>
      </c>
    </row>
    <row r="3" spans="1:3" x14ac:dyDescent="0.2">
      <c r="A3" t="s">
        <v>3368</v>
      </c>
      <c r="B3" t="s">
        <v>1936</v>
      </c>
      <c r="C3" t="s">
        <v>3366</v>
      </c>
    </row>
    <row r="4" spans="1:3" x14ac:dyDescent="0.2">
      <c r="A4" t="s">
        <v>3292</v>
      </c>
      <c r="B4" t="s">
        <v>1904</v>
      </c>
      <c r="C4" t="s">
        <v>3290</v>
      </c>
    </row>
    <row r="5" spans="1:3" x14ac:dyDescent="0.2">
      <c r="A5" t="s">
        <v>3244</v>
      </c>
      <c r="B5" t="s">
        <v>1875</v>
      </c>
      <c r="C5" t="s">
        <v>3242</v>
      </c>
    </row>
    <row r="6" spans="1:3" x14ac:dyDescent="0.2">
      <c r="A6" t="s">
        <v>3324</v>
      </c>
      <c r="B6" t="s">
        <v>1913</v>
      </c>
      <c r="C6" t="s">
        <v>3322</v>
      </c>
    </row>
    <row r="7" spans="1:3" x14ac:dyDescent="0.2">
      <c r="A7" t="s">
        <v>3316</v>
      </c>
      <c r="B7" t="s">
        <v>1911</v>
      </c>
      <c r="C7" t="s">
        <v>3314</v>
      </c>
    </row>
    <row r="8" spans="1:3" x14ac:dyDescent="0.2">
      <c r="A8" t="s">
        <v>3256</v>
      </c>
      <c r="B8" t="s">
        <v>1885</v>
      </c>
      <c r="C8" t="s">
        <v>3254</v>
      </c>
    </row>
    <row r="9" spans="1:3" x14ac:dyDescent="0.2">
      <c r="A9" t="s">
        <v>3227</v>
      </c>
      <c r="B9" t="s">
        <v>1870</v>
      </c>
      <c r="C9" t="s">
        <v>3225</v>
      </c>
    </row>
    <row r="10" spans="1:3" x14ac:dyDescent="0.2">
      <c r="A10" t="s">
        <v>3352</v>
      </c>
      <c r="B10" t="s">
        <v>1928</v>
      </c>
      <c r="C10" t="s">
        <v>3350</v>
      </c>
    </row>
    <row r="11" spans="1:3" x14ac:dyDescent="0.2">
      <c r="A11" t="s">
        <v>3384</v>
      </c>
      <c r="B11" t="s">
        <v>1951</v>
      </c>
      <c r="C11" t="s">
        <v>3382</v>
      </c>
    </row>
    <row r="12" spans="1:3" x14ac:dyDescent="0.2">
      <c r="A12" t="s">
        <v>3218</v>
      </c>
      <c r="B12" t="s">
        <v>1862</v>
      </c>
      <c r="C12" t="s">
        <v>3216</v>
      </c>
    </row>
    <row r="13" spans="1:3" x14ac:dyDescent="0.2">
      <c r="A13" t="s">
        <v>3336</v>
      </c>
      <c r="B13" t="s">
        <v>1917</v>
      </c>
      <c r="C13" t="s">
        <v>3334</v>
      </c>
    </row>
    <row r="14" spans="1:3" x14ac:dyDescent="0.2">
      <c r="A14" t="s">
        <v>3288</v>
      </c>
      <c r="B14" t="s">
        <v>1900</v>
      </c>
      <c r="C14" t="s">
        <v>3286</v>
      </c>
    </row>
    <row r="15" spans="1:3" x14ac:dyDescent="0.2">
      <c r="A15" t="s">
        <v>3328</v>
      </c>
      <c r="B15" t="s">
        <v>1915</v>
      </c>
      <c r="C15" t="s">
        <v>3326</v>
      </c>
    </row>
    <row r="16" spans="1:3" x14ac:dyDescent="0.2">
      <c r="A16" t="s">
        <v>3280</v>
      </c>
      <c r="B16" t="s">
        <v>1896</v>
      </c>
      <c r="C16" t="s">
        <v>3278</v>
      </c>
    </row>
    <row r="17" spans="1:3" x14ac:dyDescent="0.2">
      <c r="A17" t="s">
        <v>3252</v>
      </c>
      <c r="B17" t="s">
        <v>1881</v>
      </c>
      <c r="C17" t="s">
        <v>3250</v>
      </c>
    </row>
    <row r="18" spans="1:3" x14ac:dyDescent="0.2">
      <c r="A18" t="s">
        <v>3196</v>
      </c>
      <c r="B18" t="s">
        <v>1851</v>
      </c>
      <c r="C18" t="s">
        <v>3194</v>
      </c>
    </row>
    <row r="19" spans="1:3" x14ac:dyDescent="0.2">
      <c r="A19" t="s">
        <v>3202</v>
      </c>
      <c r="B19" t="s">
        <v>1852</v>
      </c>
      <c r="C19" t="s">
        <v>3200</v>
      </c>
    </row>
    <row r="20" spans="1:3" x14ac:dyDescent="0.2">
      <c r="A20" t="s">
        <v>3300</v>
      </c>
      <c r="B20" t="s">
        <v>1907</v>
      </c>
      <c r="C20" t="s">
        <v>3298</v>
      </c>
    </row>
    <row r="21" spans="1:3" x14ac:dyDescent="0.2">
      <c r="A21" t="s">
        <v>3210</v>
      </c>
      <c r="B21" t="s">
        <v>1860</v>
      </c>
      <c r="C21" t="s">
        <v>3208</v>
      </c>
    </row>
    <row r="22" spans="1:3" x14ac:dyDescent="0.2">
      <c r="A22" t="s">
        <v>3312</v>
      </c>
      <c r="B22" t="s">
        <v>1910</v>
      </c>
      <c r="C22" t="s">
        <v>3310</v>
      </c>
    </row>
    <row r="23" spans="1:3" x14ac:dyDescent="0.2">
      <c r="A23" t="s">
        <v>3235</v>
      </c>
      <c r="B23" t="s">
        <v>1873</v>
      </c>
      <c r="C23" t="s">
        <v>3233</v>
      </c>
    </row>
    <row r="24" spans="1:3" x14ac:dyDescent="0.2">
      <c r="A24" t="s">
        <v>3239</v>
      </c>
      <c r="B24" t="s">
        <v>1874</v>
      </c>
      <c r="C24" t="s">
        <v>3237</v>
      </c>
    </row>
    <row r="25" spans="1:3" x14ac:dyDescent="0.2">
      <c r="A25" t="s">
        <v>3248</v>
      </c>
      <c r="B25" t="s">
        <v>1878</v>
      </c>
      <c r="C25" t="s">
        <v>3246</v>
      </c>
    </row>
    <row r="26" spans="1:3" x14ac:dyDescent="0.2">
      <c r="A26" t="s">
        <v>3308</v>
      </c>
      <c r="B26" t="s">
        <v>1909</v>
      </c>
      <c r="C26" t="s">
        <v>3306</v>
      </c>
    </row>
    <row r="27" spans="1:3" x14ac:dyDescent="0.2">
      <c r="A27" t="s">
        <v>3372</v>
      </c>
      <c r="B27" t="s">
        <v>1937</v>
      </c>
      <c r="C27" t="s">
        <v>3370</v>
      </c>
    </row>
    <row r="28" spans="1:3" x14ac:dyDescent="0.2">
      <c r="A28" t="s">
        <v>3304</v>
      </c>
      <c r="B28" t="s">
        <v>1908</v>
      </c>
      <c r="C28" t="s">
        <v>3302</v>
      </c>
    </row>
    <row r="29" spans="1:3" x14ac:dyDescent="0.2">
      <c r="A29" t="s">
        <v>3380</v>
      </c>
      <c r="B29" t="s">
        <v>1942</v>
      </c>
      <c r="C29" t="s">
        <v>3378</v>
      </c>
    </row>
    <row r="30" spans="1:3" x14ac:dyDescent="0.2">
      <c r="A30" t="s">
        <v>3260</v>
      </c>
      <c r="B30" t="s">
        <v>1886</v>
      </c>
      <c r="C30" t="s">
        <v>3258</v>
      </c>
    </row>
    <row r="31" spans="1:3" x14ac:dyDescent="0.2">
      <c r="A31" t="s">
        <v>3284</v>
      </c>
      <c r="B31" t="s">
        <v>1899</v>
      </c>
      <c r="C31" t="s">
        <v>3282</v>
      </c>
    </row>
    <row r="32" spans="1:3" x14ac:dyDescent="0.2">
      <c r="A32" t="s">
        <v>3360</v>
      </c>
      <c r="B32" t="s">
        <v>1933</v>
      </c>
      <c r="C32" t="s">
        <v>3358</v>
      </c>
    </row>
    <row r="33" spans="1:3" x14ac:dyDescent="0.2">
      <c r="A33" t="s">
        <v>3214</v>
      </c>
      <c r="B33" t="s">
        <v>1861</v>
      </c>
      <c r="C33" t="s">
        <v>3212</v>
      </c>
    </row>
    <row r="34" spans="1:3" x14ac:dyDescent="0.2">
      <c r="A34" t="s">
        <v>3344</v>
      </c>
      <c r="B34" t="s">
        <v>1923</v>
      </c>
      <c r="C34" t="s">
        <v>3342</v>
      </c>
    </row>
    <row r="35" spans="1:3" x14ac:dyDescent="0.2">
      <c r="A35" t="s">
        <v>3223</v>
      </c>
      <c r="B35" t="s">
        <v>1866</v>
      </c>
      <c r="C35" t="s">
        <v>3221</v>
      </c>
    </row>
    <row r="36" spans="1:3" x14ac:dyDescent="0.2">
      <c r="A36" t="s">
        <v>3356</v>
      </c>
      <c r="B36" t="s">
        <v>1931</v>
      </c>
      <c r="C36" t="s">
        <v>3354</v>
      </c>
    </row>
    <row r="37" spans="1:3" x14ac:dyDescent="0.2">
      <c r="A37" t="s">
        <v>3376</v>
      </c>
      <c r="B37" t="s">
        <v>1941</v>
      </c>
      <c r="C37" t="s">
        <v>3374</v>
      </c>
    </row>
    <row r="38" spans="1:3" x14ac:dyDescent="0.2">
      <c r="A38" t="s">
        <v>3364</v>
      </c>
      <c r="B38" t="s">
        <v>1934</v>
      </c>
      <c r="C38" t="s">
        <v>3362</v>
      </c>
    </row>
    <row r="39" spans="1:3" x14ac:dyDescent="0.2">
      <c r="A39" t="s">
        <v>3272</v>
      </c>
      <c r="B39" t="s">
        <v>1889</v>
      </c>
      <c r="C39" t="s">
        <v>3270</v>
      </c>
    </row>
    <row r="40" spans="1:3" x14ac:dyDescent="0.2">
      <c r="A40" t="s">
        <v>3231</v>
      </c>
      <c r="B40" t="s">
        <v>1872</v>
      </c>
      <c r="C40" t="s">
        <v>3229</v>
      </c>
    </row>
    <row r="41" spans="1:3" x14ac:dyDescent="0.2">
      <c r="A41" t="s">
        <v>3348</v>
      </c>
      <c r="B41" t="s">
        <v>1924</v>
      </c>
      <c r="C41" t="s">
        <v>3346</v>
      </c>
    </row>
    <row r="42" spans="1:3" x14ac:dyDescent="0.2">
      <c r="A42" t="s">
        <v>3206</v>
      </c>
      <c r="B42" t="s">
        <v>1855</v>
      </c>
      <c r="C42" t="s">
        <v>3204</v>
      </c>
    </row>
    <row r="43" spans="1:3" x14ac:dyDescent="0.2">
      <c r="A43" t="s">
        <v>3340</v>
      </c>
      <c r="B43" t="s">
        <v>1921</v>
      </c>
      <c r="C43" t="s">
        <v>3338</v>
      </c>
    </row>
    <row r="44" spans="1:3" x14ac:dyDescent="0.2">
      <c r="A44" t="s">
        <v>3332</v>
      </c>
      <c r="B44" t="s">
        <v>1916</v>
      </c>
      <c r="C44" t="s">
        <v>3330</v>
      </c>
    </row>
    <row r="45" spans="1:3" x14ac:dyDescent="0.2">
      <c r="A45" t="s">
        <v>3320</v>
      </c>
      <c r="B45" t="s">
        <v>1912</v>
      </c>
      <c r="C45" t="s">
        <v>3318</v>
      </c>
    </row>
    <row r="46" spans="1:3" x14ac:dyDescent="0.2">
      <c r="A46" t="s">
        <v>3268</v>
      </c>
      <c r="B46" t="s">
        <v>1888</v>
      </c>
      <c r="C46" t="s">
        <v>3266</v>
      </c>
    </row>
    <row r="47" spans="1:3" x14ac:dyDescent="0.2">
      <c r="A47" t="s">
        <v>3276</v>
      </c>
      <c r="B47" t="s">
        <v>1894</v>
      </c>
      <c r="C47" t="s">
        <v>3274</v>
      </c>
    </row>
    <row r="48" spans="1:3" x14ac:dyDescent="0.2">
      <c r="A48" t="s">
        <v>3264</v>
      </c>
      <c r="B48" t="s">
        <v>1887</v>
      </c>
      <c r="C48" t="s">
        <v>3262</v>
      </c>
    </row>
  </sheetData>
  <sortState xmlns:xlrd2="http://schemas.microsoft.com/office/spreadsheetml/2017/richdata2" ref="A2:C240">
    <sortCondition ref="A1:A240"/>
    <sortCondition ref="B1:B240"/>
    <sortCondition ref="C1:C24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49"/>
  <sheetViews>
    <sheetView workbookViewId="0">
      <selection activeCell="G1" sqref="G1:G4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3186</v>
      </c>
      <c r="F2" t="s">
        <v>3388</v>
      </c>
      <c r="G2" t="s">
        <v>3436</v>
      </c>
    </row>
    <row r="3" spans="5:7" x14ac:dyDescent="0.2">
      <c r="E3" t="s">
        <v>3196</v>
      </c>
      <c r="F3" t="s">
        <v>3389</v>
      </c>
      <c r="G3" t="s">
        <v>3437</v>
      </c>
    </row>
    <row r="4" spans="5:7" x14ac:dyDescent="0.2">
      <c r="E4" t="s">
        <v>3202</v>
      </c>
      <c r="F4" t="s">
        <v>3390</v>
      </c>
      <c r="G4" t="s">
        <v>3438</v>
      </c>
    </row>
    <row r="5" spans="5:7" x14ac:dyDescent="0.2">
      <c r="E5" t="s">
        <v>3206</v>
      </c>
      <c r="F5" t="s">
        <v>3391</v>
      </c>
      <c r="G5" t="s">
        <v>3439</v>
      </c>
    </row>
    <row r="6" spans="5:7" x14ac:dyDescent="0.2">
      <c r="E6" t="s">
        <v>3210</v>
      </c>
      <c r="F6" t="s">
        <v>3392</v>
      </c>
      <c r="G6" t="s">
        <v>3440</v>
      </c>
    </row>
    <row r="7" spans="5:7" x14ac:dyDescent="0.2">
      <c r="E7" t="s">
        <v>3214</v>
      </c>
      <c r="F7" t="s">
        <v>3393</v>
      </c>
      <c r="G7" t="s">
        <v>3441</v>
      </c>
    </row>
    <row r="8" spans="5:7" x14ac:dyDescent="0.2">
      <c r="E8" t="s">
        <v>3218</v>
      </c>
      <c r="F8" t="s">
        <v>3394</v>
      </c>
      <c r="G8" t="s">
        <v>3442</v>
      </c>
    </row>
    <row r="9" spans="5:7" x14ac:dyDescent="0.2">
      <c r="E9" t="s">
        <v>3223</v>
      </c>
      <c r="F9" t="s">
        <v>3395</v>
      </c>
      <c r="G9" t="s">
        <v>3443</v>
      </c>
    </row>
    <row r="10" spans="5:7" x14ac:dyDescent="0.2">
      <c r="E10" t="s">
        <v>3227</v>
      </c>
      <c r="F10" t="s">
        <v>3396</v>
      </c>
      <c r="G10" t="s">
        <v>3444</v>
      </c>
    </row>
    <row r="11" spans="5:7" x14ac:dyDescent="0.2">
      <c r="E11" t="s">
        <v>3231</v>
      </c>
      <c r="F11" t="s">
        <v>3397</v>
      </c>
      <c r="G11" t="s">
        <v>3445</v>
      </c>
    </row>
    <row r="12" spans="5:7" x14ac:dyDescent="0.2">
      <c r="E12" t="s">
        <v>3235</v>
      </c>
      <c r="F12" t="s">
        <v>3398</v>
      </c>
      <c r="G12" t="s">
        <v>3446</v>
      </c>
    </row>
    <row r="13" spans="5:7" x14ac:dyDescent="0.2">
      <c r="E13" t="s">
        <v>3239</v>
      </c>
      <c r="F13" t="s">
        <v>3399</v>
      </c>
      <c r="G13" t="s">
        <v>3447</v>
      </c>
    </row>
    <row r="14" spans="5:7" x14ac:dyDescent="0.2">
      <c r="E14" t="s">
        <v>3244</v>
      </c>
      <c r="F14" t="s">
        <v>3400</v>
      </c>
      <c r="G14" t="s">
        <v>3448</v>
      </c>
    </row>
    <row r="15" spans="5:7" x14ac:dyDescent="0.2">
      <c r="E15" t="s">
        <v>3248</v>
      </c>
      <c r="F15" t="s">
        <v>3401</v>
      </c>
      <c r="G15" t="s">
        <v>3449</v>
      </c>
    </row>
    <row r="16" spans="5:7" x14ac:dyDescent="0.2">
      <c r="E16" t="s">
        <v>3252</v>
      </c>
      <c r="F16" t="s">
        <v>3402</v>
      </c>
      <c r="G16" t="s">
        <v>3450</v>
      </c>
    </row>
    <row r="17" spans="5:7" x14ac:dyDescent="0.2">
      <c r="E17" t="s">
        <v>3256</v>
      </c>
      <c r="F17" t="s">
        <v>3403</v>
      </c>
      <c r="G17" t="s">
        <v>3451</v>
      </c>
    </row>
    <row r="18" spans="5:7" x14ac:dyDescent="0.2">
      <c r="E18" t="s">
        <v>3260</v>
      </c>
      <c r="F18" t="s">
        <v>3404</v>
      </c>
      <c r="G18" t="s">
        <v>3452</v>
      </c>
    </row>
    <row r="19" spans="5:7" x14ac:dyDescent="0.2">
      <c r="E19" t="s">
        <v>3264</v>
      </c>
      <c r="F19" t="s">
        <v>3405</v>
      </c>
      <c r="G19" t="s">
        <v>3453</v>
      </c>
    </row>
    <row r="20" spans="5:7" x14ac:dyDescent="0.2">
      <c r="E20" t="s">
        <v>3268</v>
      </c>
      <c r="F20" t="s">
        <v>3406</v>
      </c>
      <c r="G20" t="s">
        <v>3454</v>
      </c>
    </row>
    <row r="21" spans="5:7" x14ac:dyDescent="0.2">
      <c r="E21" t="s">
        <v>3272</v>
      </c>
      <c r="F21" t="s">
        <v>3407</v>
      </c>
      <c r="G21" t="s">
        <v>3455</v>
      </c>
    </row>
    <row r="22" spans="5:7" x14ac:dyDescent="0.2">
      <c r="E22" t="s">
        <v>3276</v>
      </c>
      <c r="F22" t="s">
        <v>3408</v>
      </c>
      <c r="G22" t="s">
        <v>3456</v>
      </c>
    </row>
    <row r="23" spans="5:7" x14ac:dyDescent="0.2">
      <c r="E23" t="s">
        <v>3280</v>
      </c>
      <c r="F23" t="s">
        <v>3409</v>
      </c>
      <c r="G23" t="s">
        <v>3457</v>
      </c>
    </row>
    <row r="24" spans="5:7" x14ac:dyDescent="0.2">
      <c r="E24" t="s">
        <v>3284</v>
      </c>
      <c r="F24" t="s">
        <v>3410</v>
      </c>
      <c r="G24" t="s">
        <v>3458</v>
      </c>
    </row>
    <row r="25" spans="5:7" x14ac:dyDescent="0.2">
      <c r="E25" t="s">
        <v>3288</v>
      </c>
      <c r="F25" t="s">
        <v>3411</v>
      </c>
      <c r="G25" t="s">
        <v>3459</v>
      </c>
    </row>
    <row r="26" spans="5:7" x14ac:dyDescent="0.2">
      <c r="E26" t="s">
        <v>3292</v>
      </c>
      <c r="F26" t="s">
        <v>3412</v>
      </c>
      <c r="G26" t="s">
        <v>3460</v>
      </c>
    </row>
    <row r="27" spans="5:7" x14ac:dyDescent="0.2">
      <c r="E27" t="s">
        <v>3296</v>
      </c>
      <c r="F27" t="s">
        <v>3413</v>
      </c>
      <c r="G27" t="s">
        <v>3461</v>
      </c>
    </row>
    <row r="28" spans="5:7" x14ac:dyDescent="0.2">
      <c r="E28" t="s">
        <v>3300</v>
      </c>
      <c r="F28" t="s">
        <v>3414</v>
      </c>
      <c r="G28" t="s">
        <v>3462</v>
      </c>
    </row>
    <row r="29" spans="5:7" x14ac:dyDescent="0.2">
      <c r="E29" t="s">
        <v>3304</v>
      </c>
      <c r="F29" t="s">
        <v>3415</v>
      </c>
      <c r="G29" t="s">
        <v>3463</v>
      </c>
    </row>
    <row r="30" spans="5:7" x14ac:dyDescent="0.2">
      <c r="E30" t="s">
        <v>3308</v>
      </c>
      <c r="F30" t="s">
        <v>3416</v>
      </c>
      <c r="G30" t="s">
        <v>3464</v>
      </c>
    </row>
    <row r="31" spans="5:7" x14ac:dyDescent="0.2">
      <c r="E31" t="s">
        <v>3312</v>
      </c>
      <c r="F31" t="s">
        <v>3417</v>
      </c>
      <c r="G31" t="s">
        <v>3465</v>
      </c>
    </row>
    <row r="32" spans="5:7" x14ac:dyDescent="0.2">
      <c r="E32" t="s">
        <v>3316</v>
      </c>
      <c r="F32" t="s">
        <v>3418</v>
      </c>
      <c r="G32" t="s">
        <v>3466</v>
      </c>
    </row>
    <row r="33" spans="5:7" x14ac:dyDescent="0.2">
      <c r="E33" t="s">
        <v>3320</v>
      </c>
      <c r="F33" t="s">
        <v>3419</v>
      </c>
      <c r="G33" t="s">
        <v>3467</v>
      </c>
    </row>
    <row r="34" spans="5:7" x14ac:dyDescent="0.2">
      <c r="E34" t="s">
        <v>3324</v>
      </c>
      <c r="F34" t="s">
        <v>3420</v>
      </c>
      <c r="G34" t="s">
        <v>3468</v>
      </c>
    </row>
    <row r="35" spans="5:7" x14ac:dyDescent="0.2">
      <c r="E35" t="s">
        <v>3328</v>
      </c>
      <c r="F35" t="s">
        <v>3421</v>
      </c>
      <c r="G35" t="s">
        <v>3469</v>
      </c>
    </row>
    <row r="36" spans="5:7" x14ac:dyDescent="0.2">
      <c r="E36" t="s">
        <v>3332</v>
      </c>
      <c r="F36" t="s">
        <v>3422</v>
      </c>
      <c r="G36" t="s">
        <v>3470</v>
      </c>
    </row>
    <row r="37" spans="5:7" x14ac:dyDescent="0.2">
      <c r="E37" t="s">
        <v>3336</v>
      </c>
      <c r="F37" t="s">
        <v>3423</v>
      </c>
      <c r="G37" t="s">
        <v>3471</v>
      </c>
    </row>
    <row r="38" spans="5:7" x14ac:dyDescent="0.2">
      <c r="E38" t="s">
        <v>3340</v>
      </c>
      <c r="F38" t="s">
        <v>3424</v>
      </c>
      <c r="G38" t="s">
        <v>3472</v>
      </c>
    </row>
    <row r="39" spans="5:7" x14ac:dyDescent="0.2">
      <c r="E39" t="s">
        <v>3344</v>
      </c>
      <c r="F39" t="s">
        <v>3425</v>
      </c>
      <c r="G39" t="s">
        <v>3473</v>
      </c>
    </row>
    <row r="40" spans="5:7" x14ac:dyDescent="0.2">
      <c r="E40" t="s">
        <v>3348</v>
      </c>
      <c r="F40" t="s">
        <v>3426</v>
      </c>
      <c r="G40" t="s">
        <v>3474</v>
      </c>
    </row>
    <row r="41" spans="5:7" x14ac:dyDescent="0.2">
      <c r="E41" t="s">
        <v>3352</v>
      </c>
      <c r="F41" t="s">
        <v>3427</v>
      </c>
      <c r="G41" t="s">
        <v>3475</v>
      </c>
    </row>
    <row r="42" spans="5:7" x14ac:dyDescent="0.2">
      <c r="E42" t="s">
        <v>3356</v>
      </c>
      <c r="F42" t="s">
        <v>3428</v>
      </c>
      <c r="G42" t="s">
        <v>3476</v>
      </c>
    </row>
    <row r="43" spans="5:7" x14ac:dyDescent="0.2">
      <c r="E43" t="s">
        <v>3360</v>
      </c>
      <c r="F43" t="s">
        <v>3429</v>
      </c>
      <c r="G43" t="s">
        <v>3477</v>
      </c>
    </row>
    <row r="44" spans="5:7" x14ac:dyDescent="0.2">
      <c r="E44" t="s">
        <v>3364</v>
      </c>
      <c r="F44" t="s">
        <v>3430</v>
      </c>
      <c r="G44" t="s">
        <v>3478</v>
      </c>
    </row>
    <row r="45" spans="5:7" x14ac:dyDescent="0.2">
      <c r="E45" t="s">
        <v>3368</v>
      </c>
      <c r="F45" t="s">
        <v>3431</v>
      </c>
      <c r="G45" t="s">
        <v>3479</v>
      </c>
    </row>
    <row r="46" spans="5:7" x14ac:dyDescent="0.2">
      <c r="E46" t="s">
        <v>3372</v>
      </c>
      <c r="F46" t="s">
        <v>3432</v>
      </c>
      <c r="G46" t="s">
        <v>3480</v>
      </c>
    </row>
    <row r="47" spans="5:7" x14ac:dyDescent="0.2">
      <c r="E47" t="s">
        <v>3376</v>
      </c>
      <c r="F47" t="s">
        <v>3433</v>
      </c>
      <c r="G47" t="s">
        <v>3481</v>
      </c>
    </row>
    <row r="48" spans="5:7" x14ac:dyDescent="0.2">
      <c r="E48" t="s">
        <v>3380</v>
      </c>
      <c r="F48" t="s">
        <v>3434</v>
      </c>
      <c r="G48" t="s">
        <v>3482</v>
      </c>
    </row>
    <row r="49" spans="5:7" x14ac:dyDescent="0.2">
      <c r="E49" t="s">
        <v>3384</v>
      </c>
      <c r="F49" t="s">
        <v>3435</v>
      </c>
      <c r="G49" t="s">
        <v>3483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70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49" sqref="B49:AD49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3186</v>
      </c>
      <c r="B2" s="130"/>
      <c r="C2" s="131">
        <f t="shared" ref="C2" si="0">W2</f>
        <v>0</v>
      </c>
      <c r="D2" s="132" t="str">
        <f>VLOOKUP(A2,'APONTAMENTO CREDENCIAMENTO'!$D$6:$P$3103,12,0)</f>
        <v>6020.2022/0030089-4</v>
      </c>
      <c r="E2" s="133"/>
      <c r="F2" s="134">
        <f>SUMIF('APONTAMENTO CREDENCIAMENTO'!$D$6:$D$3103,'ATESTE-LIQ'!A2,'APONTAMENTO CREDENCIAMENTO'!$FE$6:$FE$3103)</f>
        <v>16031.785000000002</v>
      </c>
      <c r="G2" s="328" t="str">
        <f>VLOOKUP(A2,'APONTAMENTO CREDENCIAMENTO'!$D$6:$G$3103,3,0)</f>
        <v>01/04/2026</v>
      </c>
      <c r="H2" s="328" t="str">
        <f>VLOOKUP(A2,'APONTAMENTO CREDENCIAMENTO'!$D$6:$G$3103,4,0)</f>
        <v>30/04/2026</v>
      </c>
      <c r="I2" s="135" t="str">
        <f t="shared" ref="I2" si="1">CONCATENATE("PE - Pagto. Doc(s): ",E2," - Contrato nº ",A2)</f>
        <v>PE - Pagto. Doc(s):  - Contrato nº 2022/0030089</v>
      </c>
      <c r="J2" s="136">
        <f t="shared" ref="J2" si="2">F2</f>
        <v>16031.785000000002</v>
      </c>
      <c r="K2" s="136">
        <v>0</v>
      </c>
      <c r="L2" s="137" t="str">
        <f>VLOOKUP(A2,'APONTAMENTO CREDENCIAMENTO'!$D$6:$P$3103,5,0)</f>
        <v>ALCIDES GOMES PEREIRA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6020.2022/0030089-4</v>
      </c>
      <c r="U2" s="144">
        <f t="shared" ref="U2" si="4">F2</f>
        <v>16031.785000000002</v>
      </c>
      <c r="V2" s="145">
        <f t="shared" ref="V2" si="5">U2</f>
        <v>16031.785000000002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2022/0030089 - DRE - JT</v>
      </c>
      <c r="AB2" s="238" t="str">
        <f t="shared" ref="AB2" si="6">L2</f>
        <v>ALCIDES GOMES PEREIRA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3296</v>
      </c>
      <c r="B3" s="130"/>
      <c r="C3" s="131">
        <f t="shared" ref="C3:C49" si="7">W3</f>
        <v>0</v>
      </c>
      <c r="D3" s="132" t="str">
        <f>VLOOKUP(A3,'APONTAMENTO CREDENCIAMENTO'!$D$6:$P$3103,12,0)</f>
        <v>6020.2022/0027336-6</v>
      </c>
      <c r="E3" s="133"/>
      <c r="F3" s="134">
        <f>SUMIF('APONTAMENTO CREDENCIAMENTO'!$D$6:$D$3103,'ATESTE-LIQ'!A3,'APONTAMENTO CREDENCIAMENTO'!$FE$6:$FE$3103)</f>
        <v>17629.309999999998</v>
      </c>
      <c r="G3" s="328" t="str">
        <f>VLOOKUP(A3,'APONTAMENTO CREDENCIAMENTO'!$D$6:$G$3103,3,0)</f>
        <v>01/04/2026</v>
      </c>
      <c r="H3" s="328" t="str">
        <f>VLOOKUP(A3,'APONTAMENTO CREDENCIAMENTO'!$D$6:$G$3103,4,0)</f>
        <v>30/04/2026</v>
      </c>
      <c r="I3" s="135" t="str">
        <f t="shared" ref="I3:I49" si="8">CONCATENATE("PE - Pagto. Doc(s): ",E3," - Contrato nº ",A3)</f>
        <v>PE - Pagto. Doc(s):  - Contrato nº 2022/0027336</v>
      </c>
      <c r="J3" s="136">
        <f t="shared" ref="J3:J49" si="9">F3</f>
        <v>17629.309999999998</v>
      </c>
      <c r="K3" s="136">
        <v>0</v>
      </c>
      <c r="L3" s="137" t="str">
        <f>VLOOKUP(A3,'APONTAMENTO CREDENCIAMENTO'!$D$6:$P$3103,5,0)</f>
        <v>JUREMA APARECIDA NASCIMENTO ROMUALDO PAIXAO</v>
      </c>
      <c r="M3" s="138"/>
      <c r="N3" s="139"/>
      <c r="O3" s="140"/>
      <c r="P3" s="141"/>
      <c r="Q3" s="141"/>
      <c r="R3" s="141"/>
      <c r="S3" s="142"/>
      <c r="T3" s="143" t="str">
        <f t="shared" ref="T3:T49" si="10">D3</f>
        <v>6020.2022/0027336-6</v>
      </c>
      <c r="U3" s="144">
        <f t="shared" ref="U3:U49" si="11">F3</f>
        <v>17629.309999999998</v>
      </c>
      <c r="V3" s="145">
        <f t="shared" ref="V3:V49" si="12">U3</f>
        <v>17629.309999999998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2022/0027336 - DRE - JT</v>
      </c>
      <c r="AB3" s="238" t="str">
        <f t="shared" ref="AB3:AB49" si="13">L3</f>
        <v>JUREMA APARECIDA NASCIMENTO ROMUALDO PAIXAO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3368</v>
      </c>
      <c r="B4" s="130"/>
      <c r="C4" s="131">
        <f t="shared" si="7"/>
        <v>0</v>
      </c>
      <c r="D4" s="132" t="str">
        <f>VLOOKUP(A4,'APONTAMENTO CREDENCIAMENTO'!$D$6:$P$3103,12,0)</f>
        <v>6020.2022/0027456-7</v>
      </c>
      <c r="E4" s="133"/>
      <c r="F4" s="134">
        <f>SUMIF('APONTAMENTO CREDENCIAMENTO'!$D$6:$D$3103,'ATESTE-LIQ'!A4,'APONTAMENTO CREDENCIAMENTO'!$FE$6:$FE$3103)</f>
        <v>10317.540000000001</v>
      </c>
      <c r="G4" s="328" t="str">
        <f>VLOOKUP(A4,'APONTAMENTO CREDENCIAMENTO'!$D$6:$G$3103,3,0)</f>
        <v>01/04/2026</v>
      </c>
      <c r="H4" s="328" t="str">
        <f>VLOOKUP(A4,'APONTAMENTO CREDENCIAMENTO'!$D$6:$G$3103,4,0)</f>
        <v>30/04/2026</v>
      </c>
      <c r="I4" s="135" t="str">
        <f t="shared" si="8"/>
        <v>PE - Pagto. Doc(s):  - Contrato nº 2022/0027456</v>
      </c>
      <c r="J4" s="136">
        <f t="shared" si="9"/>
        <v>10317.540000000001</v>
      </c>
      <c r="K4" s="136">
        <v>0</v>
      </c>
      <c r="L4" s="137" t="str">
        <f>VLOOKUP(A4,'APONTAMENTO CREDENCIAMENTO'!$D$6:$P$3103,5,0)</f>
        <v>ROGERIO FRANCO DE SA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6020.2022/0027456-7</v>
      </c>
      <c r="U4" s="144">
        <f t="shared" si="11"/>
        <v>10317.540000000001</v>
      </c>
      <c r="V4" s="145">
        <f t="shared" si="12"/>
        <v>10317.540000000001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2022/0027456 - DRE - JT</v>
      </c>
      <c r="AB4" s="238" t="str">
        <f t="shared" si="13"/>
        <v>ROGERIO FRANCO DE SA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3292</v>
      </c>
      <c r="B5" s="130"/>
      <c r="C5" s="131">
        <f t="shared" si="7"/>
        <v>0</v>
      </c>
      <c r="D5" s="132" t="str">
        <f>VLOOKUP(A5,'APONTAMENTO CREDENCIAMENTO'!$D$6:$P$3103,12,0)</f>
        <v>6020.2022/0027795-7</v>
      </c>
      <c r="E5" s="133"/>
      <c r="F5" s="134">
        <f>SUMIF('APONTAMENTO CREDENCIAMENTO'!$D$6:$D$3103,'ATESTE-LIQ'!A5,'APONTAMENTO CREDENCIAMENTO'!$FE$6:$FE$3103)</f>
        <v>11730.050000000001</v>
      </c>
      <c r="G5" s="328" t="str">
        <f>VLOOKUP(A5,'APONTAMENTO CREDENCIAMENTO'!$D$6:$G$3103,3,0)</f>
        <v>01/04/2026</v>
      </c>
      <c r="H5" s="328" t="str">
        <f>VLOOKUP(A5,'APONTAMENTO CREDENCIAMENTO'!$D$6:$G$3103,4,0)</f>
        <v>30/04/2026</v>
      </c>
      <c r="I5" s="135" t="str">
        <f t="shared" si="8"/>
        <v>PE - Pagto. Doc(s):  - Contrato nº 2022/0027795</v>
      </c>
      <c r="J5" s="136">
        <f t="shared" si="9"/>
        <v>11730.050000000001</v>
      </c>
      <c r="K5" s="136">
        <v>0</v>
      </c>
      <c r="L5" s="137" t="str">
        <f>VLOOKUP(A5,'APONTAMENTO CREDENCIAMENTO'!$D$6:$P$3103,5,0)</f>
        <v>JOSE CARMO DE MENDONCA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6020.2022/0027795-7</v>
      </c>
      <c r="U5" s="144">
        <f t="shared" si="11"/>
        <v>11730.050000000001</v>
      </c>
      <c r="V5" s="145">
        <f t="shared" si="12"/>
        <v>11730.050000000001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2022/0027795 - DRE - JT</v>
      </c>
      <c r="AB5" s="238" t="str">
        <f t="shared" si="13"/>
        <v>JOSE CARMO DE MENDONCA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3244</v>
      </c>
      <c r="B6" s="130"/>
      <c r="C6" s="131">
        <f t="shared" si="7"/>
        <v>0</v>
      </c>
      <c r="D6" s="132" t="str">
        <f>VLOOKUP(A6,'APONTAMENTO CREDENCIAMENTO'!$D$6:$P$3103,12,0)</f>
        <v>6020.2022/0028787-1</v>
      </c>
      <c r="E6" s="133"/>
      <c r="F6" s="134">
        <f>SUMIF('APONTAMENTO CREDENCIAMENTO'!$D$6:$D$3103,'ATESTE-LIQ'!A6,'APONTAMENTO CREDENCIAMENTO'!$FE$6:$FE$3103)</f>
        <v>10831.18</v>
      </c>
      <c r="G6" s="328" t="str">
        <f>VLOOKUP(A6,'APONTAMENTO CREDENCIAMENTO'!$D$6:$G$3103,3,0)</f>
        <v>01/04/2026</v>
      </c>
      <c r="H6" s="328" t="str">
        <f>VLOOKUP(A6,'APONTAMENTO CREDENCIAMENTO'!$D$6:$G$3103,4,0)</f>
        <v>30/04/2026</v>
      </c>
      <c r="I6" s="135" t="str">
        <f t="shared" si="8"/>
        <v>PE - Pagto. Doc(s):  - Contrato nº 2022/0028787</v>
      </c>
      <c r="J6" s="136">
        <f t="shared" si="9"/>
        <v>10831.18</v>
      </c>
      <c r="K6" s="136">
        <v>0</v>
      </c>
      <c r="L6" s="137" t="str">
        <f>VLOOKUP(A6,'APONTAMENTO CREDENCIAMENTO'!$D$6:$P$3103,5,0)</f>
        <v>ELIVALDO PIRES SANTOS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6020.2022/0028787-1</v>
      </c>
      <c r="U6" s="144">
        <f t="shared" si="11"/>
        <v>10831.18</v>
      </c>
      <c r="V6" s="145">
        <f t="shared" si="12"/>
        <v>10831.18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2022/0028787 - DRE - JT</v>
      </c>
      <c r="AB6" s="238" t="str">
        <f t="shared" si="13"/>
        <v>ELIVALDO PIRES SANTOS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3324</v>
      </c>
      <c r="B7" s="130"/>
      <c r="C7" s="131">
        <f t="shared" si="7"/>
        <v>0</v>
      </c>
      <c r="D7" s="132" t="str">
        <f>VLOOKUP(A7,'APONTAMENTO CREDENCIAMENTO'!$D$6:$P$3103,12,0)</f>
        <v>6020.2022/0028893-2</v>
      </c>
      <c r="E7" s="133"/>
      <c r="F7" s="134">
        <f>SUMIF('APONTAMENTO CREDENCIAMENTO'!$D$6:$D$3103,'ATESTE-LIQ'!A7,'APONTAMENTO CREDENCIAMENTO'!$FE$6:$FE$3103)</f>
        <v>3081.84</v>
      </c>
      <c r="G7" s="328" t="str">
        <f>VLOOKUP(A7,'APONTAMENTO CREDENCIAMENTO'!$D$6:$G$3103,3,0)</f>
        <v>01/04/2026</v>
      </c>
      <c r="H7" s="328" t="str">
        <f>VLOOKUP(A7,'APONTAMENTO CREDENCIAMENTO'!$D$6:$G$3103,4,0)</f>
        <v>30/04/2026</v>
      </c>
      <c r="I7" s="135" t="str">
        <f t="shared" si="8"/>
        <v>PE - Pagto. Doc(s):  - Contrato nº 2022/0028893</v>
      </c>
      <c r="J7" s="136">
        <f t="shared" si="9"/>
        <v>3081.84</v>
      </c>
      <c r="K7" s="136">
        <v>0</v>
      </c>
      <c r="L7" s="137" t="str">
        <f>VLOOKUP(A7,'APONTAMENTO CREDENCIAMENTO'!$D$6:$P$3103,5,0)</f>
        <v>LUIZ ALBERTO BAPTISTA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6020.2022/0028893-2</v>
      </c>
      <c r="U7" s="144">
        <f t="shared" si="11"/>
        <v>3081.84</v>
      </c>
      <c r="V7" s="145">
        <f t="shared" si="12"/>
        <v>3081.84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2022/0028893 - DRE - JT</v>
      </c>
      <c r="AB7" s="238" t="str">
        <f t="shared" si="13"/>
        <v>LUIZ ALBERTO BAPTISTA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3316</v>
      </c>
      <c r="B8" s="130"/>
      <c r="C8" s="131">
        <f t="shared" si="7"/>
        <v>0</v>
      </c>
      <c r="D8" s="132" t="str">
        <f>VLOOKUP(A8,'APONTAMENTO CREDENCIAMENTO'!$D$6:$P$3103,12,0)</f>
        <v>6020.2022/0028930-0</v>
      </c>
      <c r="E8" s="133"/>
      <c r="F8" s="134">
        <f>SUMIF('APONTAMENTO CREDENCIAMENTO'!$D$6:$D$3103,'ATESTE-LIQ'!A8,'APONTAMENTO CREDENCIAMENTO'!$FE$6:$FE$3103)</f>
        <v>14469.992666666669</v>
      </c>
      <c r="G8" s="328" t="str">
        <f>VLOOKUP(A8,'APONTAMENTO CREDENCIAMENTO'!$D$6:$G$3103,3,0)</f>
        <v>01/04/2026</v>
      </c>
      <c r="H8" s="328" t="str">
        <f>VLOOKUP(A8,'APONTAMENTO CREDENCIAMENTO'!$D$6:$G$3103,4,0)</f>
        <v>30/04/2026</v>
      </c>
      <c r="I8" s="135" t="str">
        <f t="shared" si="8"/>
        <v>PE - Pagto. Doc(s):  - Contrato nº 2022/0028930</v>
      </c>
      <c r="J8" s="136">
        <f t="shared" si="9"/>
        <v>14469.992666666669</v>
      </c>
      <c r="K8" s="136">
        <v>0</v>
      </c>
      <c r="L8" s="137" t="str">
        <f>VLOOKUP(A8,'APONTAMENTO CREDENCIAMENTO'!$D$6:$P$3103,5,0)</f>
        <v>LEANDRO LEITE MENDES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6020.2022/0028930-0</v>
      </c>
      <c r="U8" s="144">
        <f t="shared" si="11"/>
        <v>14469.992666666669</v>
      </c>
      <c r="V8" s="145">
        <f t="shared" si="12"/>
        <v>14469.992666666669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2022/0028930 - DRE - JT</v>
      </c>
      <c r="AB8" s="238" t="str">
        <f t="shared" si="13"/>
        <v>LEANDRO LEITE MENDES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3256</v>
      </c>
      <c r="B9" s="130"/>
      <c r="C9" s="131">
        <f t="shared" si="7"/>
        <v>0</v>
      </c>
      <c r="D9" s="132" t="str">
        <f>VLOOKUP(A9,'APONTAMENTO CREDENCIAMENTO'!$D$6:$P$3103,12,0)</f>
        <v>6020.2022/0028971-8</v>
      </c>
      <c r="E9" s="133"/>
      <c r="F9" s="134">
        <f>SUMIF('APONTAMENTO CREDENCIAMENTO'!$D$6:$D$3103,'ATESTE-LIQ'!A9,'APONTAMENTO CREDENCIAMENTO'!$FE$6:$FE$3103)</f>
        <v>18548.620999999999</v>
      </c>
      <c r="G9" s="328" t="str">
        <f>VLOOKUP(A9,'APONTAMENTO CREDENCIAMENTO'!$D$6:$G$3103,3,0)</f>
        <v>01/04/2026</v>
      </c>
      <c r="H9" s="328" t="str">
        <f>VLOOKUP(A9,'APONTAMENTO CREDENCIAMENTO'!$D$6:$G$3103,4,0)</f>
        <v>30/04/2026</v>
      </c>
      <c r="I9" s="135" t="str">
        <f t="shared" si="8"/>
        <v>PE - Pagto. Doc(s):  - Contrato nº 2022/0028971</v>
      </c>
      <c r="J9" s="136">
        <f t="shared" si="9"/>
        <v>18548.620999999999</v>
      </c>
      <c r="K9" s="136">
        <v>0</v>
      </c>
      <c r="L9" s="137" t="str">
        <f>VLOOKUP(A9,'APONTAMENTO CREDENCIAMENTO'!$D$6:$P$3103,5,0)</f>
        <v>FRANCISCA NILDALIA ROLIM DE SOUZA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6020.2022/0028971-8</v>
      </c>
      <c r="U9" s="144">
        <f t="shared" si="11"/>
        <v>18548.620999999999</v>
      </c>
      <c r="V9" s="145">
        <f t="shared" si="12"/>
        <v>18548.620999999999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2022/0028971 - DRE - JT</v>
      </c>
      <c r="AB9" s="238" t="str">
        <f t="shared" si="13"/>
        <v>FRANCISCA NILDALIA ROLIM DE SOUZA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3227</v>
      </c>
      <c r="B10" s="130"/>
      <c r="C10" s="131">
        <f t="shared" si="7"/>
        <v>0</v>
      </c>
      <c r="D10" s="132" t="str">
        <f>VLOOKUP(A10,'APONTAMENTO CREDENCIAMENTO'!$D$6:$P$3103,12,0)</f>
        <v>6020.2022/0029567-0</v>
      </c>
      <c r="E10" s="133"/>
      <c r="F10" s="134">
        <f>SUMIF('APONTAMENTO CREDENCIAMENTO'!$D$6:$D$3103,'ATESTE-LIQ'!A10,'APONTAMENTO CREDENCIAMENTO'!$FE$6:$FE$3103)</f>
        <v>14598.83</v>
      </c>
      <c r="G10" s="328" t="str">
        <f>VLOOKUP(A10,'APONTAMENTO CREDENCIAMENTO'!$D$6:$G$3103,3,0)</f>
        <v>01/04/2026</v>
      </c>
      <c r="H10" s="328" t="str">
        <f>VLOOKUP(A10,'APONTAMENTO CREDENCIAMENTO'!$D$6:$G$3103,4,0)</f>
        <v>30/04/2026</v>
      </c>
      <c r="I10" s="135" t="str">
        <f t="shared" si="8"/>
        <v>PE - Pagto. Doc(s):  - Contrato nº 2022/0029567</v>
      </c>
      <c r="J10" s="136">
        <f t="shared" si="9"/>
        <v>14598.83</v>
      </c>
      <c r="K10" s="136">
        <v>0</v>
      </c>
      <c r="L10" s="137" t="str">
        <f>VLOOKUP(A10,'APONTAMENTO CREDENCIAMENTO'!$D$6:$P$3103,5,0)</f>
        <v>DOMINGOS FERRARI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6020.2022/0029567-0</v>
      </c>
      <c r="U10" s="144">
        <f t="shared" si="11"/>
        <v>14598.83</v>
      </c>
      <c r="V10" s="145">
        <f t="shared" si="12"/>
        <v>14598.83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2022/0029567 - DRE - JT</v>
      </c>
      <c r="AB10" s="238" t="str">
        <f t="shared" si="13"/>
        <v>DOMINGOS FERRARI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3352</v>
      </c>
      <c r="B11" s="130"/>
      <c r="C11" s="131">
        <f t="shared" si="7"/>
        <v>0</v>
      </c>
      <c r="D11" s="132" t="str">
        <f>VLOOKUP(A11,'APONTAMENTO CREDENCIAMENTO'!$D$6:$P$3103,12,0)</f>
        <v>6020.2022/0029669-2</v>
      </c>
      <c r="E11" s="133"/>
      <c r="F11" s="134">
        <f>SUMIF('APONTAMENTO CREDENCIAMENTO'!$D$6:$D$3103,'ATESTE-LIQ'!A11,'APONTAMENTO CREDENCIAMENTO'!$FE$6:$FE$3103)</f>
        <v>16188.48</v>
      </c>
      <c r="G11" s="328" t="str">
        <f>VLOOKUP(A11,'APONTAMENTO CREDENCIAMENTO'!$D$6:$G$3103,3,0)</f>
        <v>01/04/2026</v>
      </c>
      <c r="H11" s="328" t="str">
        <f>VLOOKUP(A11,'APONTAMENTO CREDENCIAMENTO'!$D$6:$G$3103,4,0)</f>
        <v>30/04/2026</v>
      </c>
      <c r="I11" s="135" t="str">
        <f t="shared" si="8"/>
        <v>PE - Pagto. Doc(s):  - Contrato nº 2022/0029669</v>
      </c>
      <c r="J11" s="136">
        <f t="shared" si="9"/>
        <v>16188.48</v>
      </c>
      <c r="K11" s="136">
        <v>0</v>
      </c>
      <c r="L11" s="137" t="str">
        <f>VLOOKUP(A11,'APONTAMENTO CREDENCIAMENTO'!$D$6:$P$3103,5,0)</f>
        <v>MARILENE BARROS DE OLIVEIRA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6020.2022/0029669-2</v>
      </c>
      <c r="U11" s="144">
        <f t="shared" si="11"/>
        <v>16188.48</v>
      </c>
      <c r="V11" s="145">
        <f t="shared" si="12"/>
        <v>16188.48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2022/0029669 - DRE - JT</v>
      </c>
      <c r="AB11" s="238" t="str">
        <f t="shared" si="13"/>
        <v>MARILENE BARROS DE OLIVEIRA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3384</v>
      </c>
      <c r="B12" s="130"/>
      <c r="C12" s="131">
        <f t="shared" si="7"/>
        <v>0</v>
      </c>
      <c r="D12" s="132" t="str">
        <f>VLOOKUP(A12,'APONTAMENTO CREDENCIAMENTO'!$D$6:$P$3103,12,0)</f>
        <v>6020.2022/0029688-9</v>
      </c>
      <c r="E12" s="133"/>
      <c r="F12" s="134">
        <f>SUMIF('APONTAMENTO CREDENCIAMENTO'!$D$6:$D$3103,'ATESTE-LIQ'!A12,'APONTAMENTO CREDENCIAMENTO'!$FE$6:$FE$3103)</f>
        <v>19447.491000000002</v>
      </c>
      <c r="G12" s="328" t="str">
        <f>VLOOKUP(A12,'APONTAMENTO CREDENCIAMENTO'!$D$6:$G$3103,3,0)</f>
        <v>01/04/2026</v>
      </c>
      <c r="H12" s="328" t="str">
        <f>VLOOKUP(A12,'APONTAMENTO CREDENCIAMENTO'!$D$6:$G$3103,4,0)</f>
        <v>30/04/2026</v>
      </c>
      <c r="I12" s="135" t="str">
        <f t="shared" si="8"/>
        <v>PE - Pagto. Doc(s):  - Contrato nº 2022/0029688</v>
      </c>
      <c r="J12" s="136">
        <f t="shared" si="9"/>
        <v>19447.491000000002</v>
      </c>
      <c r="K12" s="136">
        <v>0</v>
      </c>
      <c r="L12" s="137" t="str">
        <f>VLOOKUP(A12,'APONTAMENTO CREDENCIAMENTO'!$D$6:$P$3103,5,0)</f>
        <v>WILLIAMS ROBERTO LIMA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6020.2022/0029688-9</v>
      </c>
      <c r="U12" s="144">
        <f t="shared" si="11"/>
        <v>19447.491000000002</v>
      </c>
      <c r="V12" s="145">
        <f t="shared" si="12"/>
        <v>19447.491000000002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2022/0029688 - DRE - JT</v>
      </c>
      <c r="AB12" s="238" t="str">
        <f t="shared" si="13"/>
        <v>WILLIAMS ROBERTO LIMA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3218</v>
      </c>
      <c r="B13" s="130"/>
      <c r="C13" s="131">
        <f t="shared" si="7"/>
        <v>0</v>
      </c>
      <c r="D13" s="132" t="str">
        <f>VLOOKUP(A13,'APONTAMENTO CREDENCIAMENTO'!$D$6:$P$3103,12,0)</f>
        <v>6020.2022/0030176-9</v>
      </c>
      <c r="E13" s="133"/>
      <c r="F13" s="134">
        <f>SUMIF('APONTAMENTO CREDENCIAMENTO'!$D$6:$D$3103,'ATESTE-LIQ'!A13,'APONTAMENTO CREDENCIAMENTO'!$FE$6:$FE$3103)</f>
        <v>15600.431999999999</v>
      </c>
      <c r="G13" s="328" t="str">
        <f>VLOOKUP(A13,'APONTAMENTO CREDENCIAMENTO'!$D$6:$G$3103,3,0)</f>
        <v>01/04/2026</v>
      </c>
      <c r="H13" s="328" t="str">
        <f>VLOOKUP(A13,'APONTAMENTO CREDENCIAMENTO'!$D$6:$G$3103,4,0)</f>
        <v>30/04/2026</v>
      </c>
      <c r="I13" s="135" t="str">
        <f t="shared" si="8"/>
        <v>PE - Pagto. Doc(s):  - Contrato nº 2022/0030176</v>
      </c>
      <c r="J13" s="136">
        <f t="shared" si="9"/>
        <v>15600.431999999999</v>
      </c>
      <c r="K13" s="136">
        <v>0</v>
      </c>
      <c r="L13" s="137" t="str">
        <f>VLOOKUP(A13,'APONTAMENTO CREDENCIAMENTO'!$D$6:$P$3103,5,0)</f>
        <v>CELIO CECONI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6020.2022/0030176-9</v>
      </c>
      <c r="U13" s="144">
        <f t="shared" si="11"/>
        <v>15600.431999999999</v>
      </c>
      <c r="V13" s="145">
        <f t="shared" si="12"/>
        <v>15600.431999999999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2022/0030176 - DRE - JT</v>
      </c>
      <c r="AB13" s="238" t="str">
        <f t="shared" si="13"/>
        <v>CELIO CECONI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3336</v>
      </c>
      <c r="B14" s="130"/>
      <c r="C14" s="131">
        <f t="shared" si="7"/>
        <v>0</v>
      </c>
      <c r="D14" s="132" t="str">
        <f>VLOOKUP(A14,'APONTAMENTO CREDENCIAMENTO'!$D$6:$P$3103,12,0)</f>
        <v>6020.2022/0030240-4</v>
      </c>
      <c r="E14" s="133"/>
      <c r="F14" s="134">
        <f>SUMIF('APONTAMENTO CREDENCIAMENTO'!$D$6:$D$3103,'ATESTE-LIQ'!A14,'APONTAMENTO CREDENCIAMENTO'!$FE$6:$FE$3103)</f>
        <v>15954.739</v>
      </c>
      <c r="G14" s="328" t="str">
        <f>VLOOKUP(A14,'APONTAMENTO CREDENCIAMENTO'!$D$6:$G$3103,3,0)</f>
        <v>01/04/2026</v>
      </c>
      <c r="H14" s="328" t="str">
        <f>VLOOKUP(A14,'APONTAMENTO CREDENCIAMENTO'!$D$6:$G$3103,4,0)</f>
        <v>30/04/2026</v>
      </c>
      <c r="I14" s="135" t="str">
        <f t="shared" si="8"/>
        <v>PE - Pagto. Doc(s):  - Contrato nº 2022/0030240</v>
      </c>
      <c r="J14" s="136">
        <f t="shared" si="9"/>
        <v>15954.739</v>
      </c>
      <c r="K14" s="136">
        <v>0</v>
      </c>
      <c r="L14" s="137" t="str">
        <f>VLOOKUP(A14,'APONTAMENTO CREDENCIAMENTO'!$D$6:$P$3103,5,0)</f>
        <v>MANOEL FERNANDES DE MELO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6020.2022/0030240-4</v>
      </c>
      <c r="U14" s="144">
        <f t="shared" si="11"/>
        <v>15954.739</v>
      </c>
      <c r="V14" s="145">
        <f t="shared" si="12"/>
        <v>15954.739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2022/0030240 - DRE - JT</v>
      </c>
      <c r="AB14" s="238" t="str">
        <f t="shared" si="13"/>
        <v>MANOEL FERNANDES DE MELO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3288</v>
      </c>
      <c r="B15" s="130"/>
      <c r="C15" s="131">
        <f t="shared" si="7"/>
        <v>0</v>
      </c>
      <c r="D15" s="132" t="str">
        <f>VLOOKUP(A15,'APONTAMENTO CREDENCIAMENTO'!$D$6:$P$3103,12,0)</f>
        <v>6020.2022/0030756-2</v>
      </c>
      <c r="E15" s="133"/>
      <c r="F15" s="134">
        <f>SUMIF('APONTAMENTO CREDENCIAMENTO'!$D$6:$D$3103,'ATESTE-LIQ'!A15,'APONTAMENTO CREDENCIAMENTO'!$FE$6:$FE$3103)</f>
        <v>24588.68</v>
      </c>
      <c r="G15" s="328" t="str">
        <f>VLOOKUP(A15,'APONTAMENTO CREDENCIAMENTO'!$D$6:$G$3103,3,0)</f>
        <v>01/04/2026</v>
      </c>
      <c r="H15" s="328" t="str">
        <f>VLOOKUP(A15,'APONTAMENTO CREDENCIAMENTO'!$D$6:$G$3103,4,0)</f>
        <v>30/04/2026</v>
      </c>
      <c r="I15" s="135" t="str">
        <f t="shared" si="8"/>
        <v>PE - Pagto. Doc(s):  - Contrato nº 2022/0030756</v>
      </c>
      <c r="J15" s="136">
        <f t="shared" si="9"/>
        <v>24588.68</v>
      </c>
      <c r="K15" s="136">
        <v>0</v>
      </c>
      <c r="L15" s="137" t="str">
        <f>VLOOKUP(A15,'APONTAMENTO CREDENCIAMENTO'!$D$6:$P$3103,5,0)</f>
        <v>JACKSON DA SILVA PEDRO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6020.2022/0030756-2</v>
      </c>
      <c r="U15" s="144">
        <f t="shared" si="11"/>
        <v>24588.68</v>
      </c>
      <c r="V15" s="145">
        <f t="shared" si="12"/>
        <v>24588.68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2022/0030756 - DRE - JT</v>
      </c>
      <c r="AB15" s="238" t="str">
        <f t="shared" si="13"/>
        <v>JACKSON DA SILVA PEDRO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3328</v>
      </c>
      <c r="B16" s="130"/>
      <c r="C16" s="131">
        <f t="shared" si="7"/>
        <v>0</v>
      </c>
      <c r="D16" s="132" t="str">
        <f>VLOOKUP(A16,'APONTAMENTO CREDENCIAMENTO'!$D$6:$P$3103,12,0)</f>
        <v>6020.2022/0030916-6</v>
      </c>
      <c r="E16" s="133"/>
      <c r="F16" s="134">
        <f>SUMIF('APONTAMENTO CREDENCIAMENTO'!$D$6:$D$3103,'ATESTE-LIQ'!A16,'APONTAMENTO CREDENCIAMENTO'!$FE$6:$FE$3103)</f>
        <v>19704.311000000002</v>
      </c>
      <c r="G16" s="328" t="str">
        <f>VLOOKUP(A16,'APONTAMENTO CREDENCIAMENTO'!$D$6:$G$3103,3,0)</f>
        <v>01/04/2026</v>
      </c>
      <c r="H16" s="328" t="str">
        <f>VLOOKUP(A16,'APONTAMENTO CREDENCIAMENTO'!$D$6:$G$3103,4,0)</f>
        <v>30/04/2026</v>
      </c>
      <c r="I16" s="135" t="str">
        <f t="shared" si="8"/>
        <v>PE - Pagto. Doc(s):  - Contrato nº 2022/0030916</v>
      </c>
      <c r="J16" s="136">
        <f t="shared" si="9"/>
        <v>19704.311000000002</v>
      </c>
      <c r="K16" s="136">
        <v>0</v>
      </c>
      <c r="L16" s="137" t="str">
        <f>VLOOKUP(A16,'APONTAMENTO CREDENCIAMENTO'!$D$6:$P$3103,5,0)</f>
        <v>LUIZ NUNES PONTES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6020.2022/0030916-6</v>
      </c>
      <c r="U16" s="144">
        <f t="shared" si="11"/>
        <v>19704.311000000002</v>
      </c>
      <c r="V16" s="145">
        <f t="shared" si="12"/>
        <v>19704.311000000002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2022/0030916 - DRE - JT</v>
      </c>
      <c r="AB16" s="238" t="str">
        <f t="shared" si="13"/>
        <v>LUIZ NUNES PONTES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3280</v>
      </c>
      <c r="B17" s="130"/>
      <c r="C17" s="131">
        <f t="shared" si="7"/>
        <v>0</v>
      </c>
      <c r="D17" s="132" t="str">
        <f>VLOOKUP(A17,'APONTAMENTO CREDENCIAMENTO'!$D$6:$P$3103,12,0)</f>
        <v>6020.2022/0031234-5</v>
      </c>
      <c r="E17" s="133"/>
      <c r="F17" s="134">
        <f>SUMIF('APONTAMENTO CREDENCIAMENTO'!$D$6:$D$3103,'ATESTE-LIQ'!A17,'APONTAMENTO CREDENCIAMENTO'!$FE$6:$FE$3103)</f>
        <v>18278.96</v>
      </c>
      <c r="G17" s="328" t="str">
        <f>VLOOKUP(A17,'APONTAMENTO CREDENCIAMENTO'!$D$6:$G$3103,3,0)</f>
        <v>01/04/2026</v>
      </c>
      <c r="H17" s="328" t="str">
        <f>VLOOKUP(A17,'APONTAMENTO CREDENCIAMENTO'!$D$6:$G$3103,4,0)</f>
        <v>30/04/2026</v>
      </c>
      <c r="I17" s="135" t="str">
        <f t="shared" si="8"/>
        <v>PE - Pagto. Doc(s):  - Contrato nº 2022/0031234</v>
      </c>
      <c r="J17" s="136">
        <f t="shared" si="9"/>
        <v>18278.96</v>
      </c>
      <c r="K17" s="136">
        <v>0</v>
      </c>
      <c r="L17" s="137" t="str">
        <f>VLOOKUP(A17,'APONTAMENTO CREDENCIAMENTO'!$D$6:$P$3103,5,0)</f>
        <v>IVAN ROGERIO CUEVAS GUTIERREZ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6020.2022/0031234-5</v>
      </c>
      <c r="U17" s="144">
        <f t="shared" si="11"/>
        <v>18278.96</v>
      </c>
      <c r="V17" s="145">
        <f t="shared" si="12"/>
        <v>18278.96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2022/0031234 - DRE - JT</v>
      </c>
      <c r="AB17" s="238" t="str">
        <f t="shared" si="13"/>
        <v>IVAN ROGERIO CUEVAS GUTIERREZ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3252</v>
      </c>
      <c r="B18" s="130"/>
      <c r="C18" s="131">
        <f t="shared" si="7"/>
        <v>0</v>
      </c>
      <c r="D18" s="132" t="str">
        <f>VLOOKUP(A18,'APONTAMENTO CREDENCIAMENTO'!$D$6:$P$3103,12,0)</f>
        <v>6020.2022/0031269-8</v>
      </c>
      <c r="E18" s="133"/>
      <c r="F18" s="134">
        <f>SUMIF('APONTAMENTO CREDENCIAMENTO'!$D$6:$D$3103,'ATESTE-LIQ'!A18,'APONTAMENTO CREDENCIAMENTO'!$FE$6:$FE$3103)</f>
        <v>22811.833000000002</v>
      </c>
      <c r="G18" s="328" t="str">
        <f>VLOOKUP(A18,'APONTAMENTO CREDENCIAMENTO'!$D$6:$G$3103,3,0)</f>
        <v>01/04/2026</v>
      </c>
      <c r="H18" s="328" t="str">
        <f>VLOOKUP(A18,'APONTAMENTO CREDENCIAMENTO'!$D$6:$G$3103,4,0)</f>
        <v>30/04/2026</v>
      </c>
      <c r="I18" s="135" t="str">
        <f t="shared" si="8"/>
        <v>PE - Pagto. Doc(s):  - Contrato nº 2022/0031269</v>
      </c>
      <c r="J18" s="136">
        <f t="shared" si="9"/>
        <v>22811.833000000002</v>
      </c>
      <c r="K18" s="136">
        <v>0</v>
      </c>
      <c r="L18" s="137" t="str">
        <f>VLOOKUP(A18,'APONTAMENTO CREDENCIAMENTO'!$D$6:$P$3103,5,0)</f>
        <v>FABIO SHOGI ARAKAKI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6020.2022/0031269-8</v>
      </c>
      <c r="U18" s="144">
        <f t="shared" si="11"/>
        <v>22811.833000000002</v>
      </c>
      <c r="V18" s="145">
        <f t="shared" si="12"/>
        <v>22811.833000000002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2022/0031269 - DRE - JT</v>
      </c>
      <c r="AB18" s="238" t="str">
        <f t="shared" si="13"/>
        <v>FABIO SHOGI ARAKAKI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3196</v>
      </c>
      <c r="B19" s="130"/>
      <c r="C19" s="131">
        <f t="shared" si="7"/>
        <v>0</v>
      </c>
      <c r="D19" s="132" t="str">
        <f>VLOOKUP(A19,'APONTAMENTO CREDENCIAMENTO'!$D$6:$P$3103,12,0)</f>
        <v>6020.2022/0031284-1</v>
      </c>
      <c r="E19" s="133"/>
      <c r="F19" s="134">
        <f>SUMIF('APONTAMENTO CREDENCIAMENTO'!$D$6:$D$3103,'ATESTE-LIQ'!A19,'APONTAMENTO CREDENCIAMENTO'!$FE$6:$FE$3103)</f>
        <v>18114.63</v>
      </c>
      <c r="G19" s="328" t="str">
        <f>VLOOKUP(A19,'APONTAMENTO CREDENCIAMENTO'!$D$6:$G$3103,3,0)</f>
        <v>01/04/2026</v>
      </c>
      <c r="H19" s="328" t="str">
        <f>VLOOKUP(A19,'APONTAMENTO CREDENCIAMENTO'!$D$6:$G$3103,4,0)</f>
        <v>30/04/2026</v>
      </c>
      <c r="I19" s="135" t="str">
        <f t="shared" si="8"/>
        <v>PE - Pagto. Doc(s):  - Contrato nº 2022/0031284</v>
      </c>
      <c r="J19" s="136">
        <f t="shared" si="9"/>
        <v>18114.63</v>
      </c>
      <c r="K19" s="136">
        <v>0</v>
      </c>
      <c r="L19" s="137" t="str">
        <f>VLOOKUP(A19,'APONTAMENTO CREDENCIAMENTO'!$D$6:$P$3103,5,0)</f>
        <v>ALESSANDRA DE CARVALHO FERNANDES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6020.2022/0031284-1</v>
      </c>
      <c r="U19" s="144">
        <f t="shared" si="11"/>
        <v>18114.63</v>
      </c>
      <c r="V19" s="145">
        <f t="shared" si="12"/>
        <v>18114.63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2022/0031284 - DRE - JT</v>
      </c>
      <c r="AB19" s="238" t="str">
        <f t="shared" si="13"/>
        <v>ALESSANDRA DE CARVALHO FERNANDES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3202</v>
      </c>
      <c r="B20" s="130"/>
      <c r="C20" s="131">
        <f t="shared" si="7"/>
        <v>0</v>
      </c>
      <c r="D20" s="132" t="str">
        <f>VLOOKUP(A20,'APONTAMENTO CREDENCIAMENTO'!$D$6:$P$3103,12,0)</f>
        <v>6020.2022/0031297-3</v>
      </c>
      <c r="E20" s="133"/>
      <c r="F20" s="134">
        <f>SUMIF('APONTAMENTO CREDENCIAMENTO'!$D$6:$D$3103,'ATESTE-LIQ'!A20,'APONTAMENTO CREDENCIAMENTO'!$FE$6:$FE$3103)</f>
        <v>10625.872000000001</v>
      </c>
      <c r="G20" s="328" t="str">
        <f>VLOOKUP(A20,'APONTAMENTO CREDENCIAMENTO'!$D$6:$G$3103,3,0)</f>
        <v>01/04/2026</v>
      </c>
      <c r="H20" s="328" t="str">
        <f>VLOOKUP(A20,'APONTAMENTO CREDENCIAMENTO'!$D$6:$G$3103,4,0)</f>
        <v>30/04/2026</v>
      </c>
      <c r="I20" s="135" t="str">
        <f t="shared" si="8"/>
        <v>PE - Pagto. Doc(s):  - Contrato nº 2022/0031297</v>
      </c>
      <c r="J20" s="136">
        <f t="shared" si="9"/>
        <v>10625.872000000001</v>
      </c>
      <c r="K20" s="136">
        <v>0</v>
      </c>
      <c r="L20" s="137" t="str">
        <f>VLOOKUP(A20,'APONTAMENTO CREDENCIAMENTO'!$D$6:$P$3103,5,0)</f>
        <v>AMAURI FURLANIS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6020.2022/0031297-3</v>
      </c>
      <c r="U20" s="144">
        <f t="shared" si="11"/>
        <v>10625.872000000001</v>
      </c>
      <c r="V20" s="145">
        <f t="shared" si="12"/>
        <v>10625.872000000001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2022/0031297 - DRE - JT</v>
      </c>
      <c r="AB20" s="238" t="str">
        <f t="shared" si="13"/>
        <v>AMAURI FURLANIS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3300</v>
      </c>
      <c r="B21" s="130"/>
      <c r="C21" s="131">
        <f t="shared" si="7"/>
        <v>0</v>
      </c>
      <c r="D21" s="132" t="str">
        <f>VLOOKUP(A21,'APONTAMENTO CREDENCIAMENTO'!$D$6:$P$3103,12,0)</f>
        <v>6020.2022/0031353-8</v>
      </c>
      <c r="E21" s="133"/>
      <c r="F21" s="134">
        <f>SUMIF('APONTAMENTO CREDENCIAMENTO'!$D$6:$D$3103,'ATESTE-LIQ'!A21,'APONTAMENTO CREDENCIAMENTO'!$FE$6:$FE$3103)</f>
        <v>13579.154</v>
      </c>
      <c r="G21" s="328" t="str">
        <f>VLOOKUP(A21,'APONTAMENTO CREDENCIAMENTO'!$D$6:$G$3103,3,0)</f>
        <v>01/04/2026</v>
      </c>
      <c r="H21" s="328" t="str">
        <f>VLOOKUP(A21,'APONTAMENTO CREDENCIAMENTO'!$D$6:$G$3103,4,0)</f>
        <v>30/04/2026</v>
      </c>
      <c r="I21" s="135" t="str">
        <f t="shared" si="8"/>
        <v>PE - Pagto. Doc(s):  - Contrato nº 2022/0031353</v>
      </c>
      <c r="J21" s="136">
        <f t="shared" si="9"/>
        <v>13579.154</v>
      </c>
      <c r="K21" s="136">
        <v>0</v>
      </c>
      <c r="L21" s="137" t="str">
        <f>VLOOKUP(A21,'APONTAMENTO CREDENCIAMENTO'!$D$6:$P$3103,5,0)</f>
        <v>KATIA CILENE PARREIRA DE SOUZA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6020.2022/0031353-8</v>
      </c>
      <c r="U21" s="144">
        <f t="shared" si="11"/>
        <v>13579.154</v>
      </c>
      <c r="V21" s="145">
        <f t="shared" si="12"/>
        <v>13579.154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2022/0031353 - DRE - JT</v>
      </c>
      <c r="AB21" s="238" t="str">
        <f t="shared" si="13"/>
        <v>KATIA CILENE PARREIRA DE SOUZA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3210</v>
      </c>
      <c r="B22" s="130"/>
      <c r="C22" s="131">
        <f t="shared" si="7"/>
        <v>0</v>
      </c>
      <c r="D22" s="132" t="str">
        <f>VLOOKUP(A22,'APONTAMENTO CREDENCIAMENTO'!$D$6:$P$3103,12,0)</f>
        <v>6020.2022/0033323-7</v>
      </c>
      <c r="E22" s="133"/>
      <c r="F22" s="134">
        <f>SUMIF('APONTAMENTO CREDENCIAMENTO'!$D$6:$D$3103,'ATESTE-LIQ'!A22,'APONTAMENTO CREDENCIAMENTO'!$FE$6:$FE$3103)</f>
        <v>24853.589</v>
      </c>
      <c r="G22" s="328" t="str">
        <f>VLOOKUP(A22,'APONTAMENTO CREDENCIAMENTO'!$D$6:$G$3103,3,0)</f>
        <v>01/04/2026</v>
      </c>
      <c r="H22" s="328" t="str">
        <f>VLOOKUP(A22,'APONTAMENTO CREDENCIAMENTO'!$D$6:$G$3103,4,0)</f>
        <v>30/04/2026</v>
      </c>
      <c r="I22" s="135" t="str">
        <f t="shared" si="8"/>
        <v>PE - Pagto. Doc(s):  - Contrato nº 2022/0033323</v>
      </c>
      <c r="J22" s="136">
        <f t="shared" si="9"/>
        <v>24853.589</v>
      </c>
      <c r="K22" s="136">
        <v>0</v>
      </c>
      <c r="L22" s="137" t="str">
        <f>VLOOKUP(A22,'APONTAMENTO CREDENCIAMENTO'!$D$6:$P$3103,5,0)</f>
        <v>BENEDITO JOSE TARGINO DO NASCIMENTO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6020.2022/0033323-7</v>
      </c>
      <c r="U22" s="144">
        <f t="shared" si="11"/>
        <v>24853.589</v>
      </c>
      <c r="V22" s="145">
        <f t="shared" si="12"/>
        <v>24853.589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2022/0033323 - DRE - JT</v>
      </c>
      <c r="AB22" s="238" t="str">
        <f t="shared" si="13"/>
        <v>BENEDITO JOSE TARGINO DO NASCIMENTO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3312</v>
      </c>
      <c r="B23" s="130"/>
      <c r="C23" s="131">
        <f t="shared" si="7"/>
        <v>0</v>
      </c>
      <c r="D23" s="132" t="str">
        <f>VLOOKUP(A23,'APONTAMENTO CREDENCIAMENTO'!$D$6:$P$3103,12,0)</f>
        <v>6020.2022/0033970-7</v>
      </c>
      <c r="E23" s="133"/>
      <c r="F23" s="134">
        <f>SUMIF('APONTAMENTO CREDENCIAMENTO'!$D$6:$D$3103,'ATESTE-LIQ'!A23,'APONTAMENTO CREDENCIAMENTO'!$FE$6:$FE$3103)</f>
        <v>17123.27</v>
      </c>
      <c r="G23" s="328" t="str">
        <f>VLOOKUP(A23,'APONTAMENTO CREDENCIAMENTO'!$D$6:$G$3103,3,0)</f>
        <v>01/04/2026</v>
      </c>
      <c r="H23" s="328" t="str">
        <f>VLOOKUP(A23,'APONTAMENTO CREDENCIAMENTO'!$D$6:$G$3103,4,0)</f>
        <v>30/04/2026</v>
      </c>
      <c r="I23" s="135" t="str">
        <f t="shared" si="8"/>
        <v>PE - Pagto. Doc(s):  - Contrato nº 2022/0033970</v>
      </c>
      <c r="J23" s="136">
        <f t="shared" si="9"/>
        <v>17123.27</v>
      </c>
      <c r="K23" s="136">
        <v>0</v>
      </c>
      <c r="L23" s="137" t="str">
        <f>VLOOKUP(A23,'APONTAMENTO CREDENCIAMENTO'!$D$6:$P$3103,5,0)</f>
        <v>LAUER FLAVIUS DOS ANJOS LOPES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6020.2022/0033970-7</v>
      </c>
      <c r="U23" s="144">
        <f t="shared" si="11"/>
        <v>17123.27</v>
      </c>
      <c r="V23" s="145">
        <f t="shared" si="12"/>
        <v>17123.27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2022/0033970 - DRE - JT</v>
      </c>
      <c r="AB23" s="238" t="str">
        <f t="shared" si="13"/>
        <v>LAUER FLAVIUS DOS ANJOS LOPES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3235</v>
      </c>
      <c r="B24" s="130"/>
      <c r="C24" s="131">
        <f t="shared" si="7"/>
        <v>0</v>
      </c>
      <c r="D24" s="132" t="str">
        <f>VLOOKUP(A24,'APONTAMENTO CREDENCIAMENTO'!$D$6:$P$3103,12,0)</f>
        <v>6020.2022/0034195-7</v>
      </c>
      <c r="E24" s="133"/>
      <c r="F24" s="134">
        <f>SUMIF('APONTAMENTO CREDENCIAMENTO'!$D$6:$D$3103,'ATESTE-LIQ'!A24,'APONTAMENTO CREDENCIAMENTO'!$FE$6:$FE$3103)</f>
        <v>3852.2999999999997</v>
      </c>
      <c r="G24" s="328" t="str">
        <f>VLOOKUP(A24,'APONTAMENTO CREDENCIAMENTO'!$D$6:$G$3103,3,0)</f>
        <v>01/04/2026</v>
      </c>
      <c r="H24" s="328" t="str">
        <f>VLOOKUP(A24,'APONTAMENTO CREDENCIAMENTO'!$D$6:$G$3103,4,0)</f>
        <v>30/04/2026</v>
      </c>
      <c r="I24" s="135" t="str">
        <f t="shared" si="8"/>
        <v>PE - Pagto. Doc(s):  - Contrato nº 2022/0034195</v>
      </c>
      <c r="J24" s="136">
        <f t="shared" si="9"/>
        <v>3852.2999999999997</v>
      </c>
      <c r="K24" s="136">
        <v>0</v>
      </c>
      <c r="L24" s="137" t="str">
        <f>VLOOKUP(A24,'APONTAMENTO CREDENCIAMENTO'!$D$6:$P$3103,5,0)</f>
        <v>EDUARDO RAFAEL ALVES ANDRADE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6020.2022/0034195-7</v>
      </c>
      <c r="U24" s="144">
        <f t="shared" si="11"/>
        <v>3852.2999999999997</v>
      </c>
      <c r="V24" s="145">
        <f t="shared" si="12"/>
        <v>3852.2999999999997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2022/0034195 - DRE - JT</v>
      </c>
      <c r="AB24" s="238" t="str">
        <f t="shared" si="13"/>
        <v>EDUARDO RAFAEL ALVES ANDRADE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3239</v>
      </c>
      <c r="B25" s="130"/>
      <c r="C25" s="131">
        <f t="shared" si="7"/>
        <v>0</v>
      </c>
      <c r="D25" s="132" t="str">
        <f>VLOOKUP(A25,'APONTAMENTO CREDENCIAMENTO'!$D$6:$P$3103,12,0)</f>
        <v>6020.2022/0038095-2</v>
      </c>
      <c r="E25" s="133"/>
      <c r="F25" s="134">
        <f>SUMIF('APONTAMENTO CREDENCIAMENTO'!$D$6:$D$3103,'ATESTE-LIQ'!A25,'APONTAMENTO CREDENCIAMENTO'!$FE$6:$FE$3103)</f>
        <v>20139.650000000001</v>
      </c>
      <c r="G25" s="328" t="str">
        <f>VLOOKUP(A25,'APONTAMENTO CREDENCIAMENTO'!$D$6:$G$3103,3,0)</f>
        <v>01/04/2026</v>
      </c>
      <c r="H25" s="328" t="str">
        <f>VLOOKUP(A25,'APONTAMENTO CREDENCIAMENTO'!$D$6:$G$3103,4,0)</f>
        <v>30/04/2026</v>
      </c>
      <c r="I25" s="135" t="str">
        <f t="shared" si="8"/>
        <v>PE - Pagto. Doc(s):  - Contrato nº 2022/0038095</v>
      </c>
      <c r="J25" s="136">
        <f t="shared" si="9"/>
        <v>20139.650000000001</v>
      </c>
      <c r="K25" s="136">
        <v>0</v>
      </c>
      <c r="L25" s="137" t="str">
        <f>VLOOKUP(A25,'APONTAMENTO CREDENCIAMENTO'!$D$6:$P$3103,5,0)</f>
        <v>ELAINE PORCINIA MACHADO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6020.2022/0038095-2</v>
      </c>
      <c r="U25" s="144">
        <f t="shared" si="11"/>
        <v>20139.650000000001</v>
      </c>
      <c r="V25" s="145">
        <f t="shared" si="12"/>
        <v>20139.650000000001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2022/0038095 - DRE - JT</v>
      </c>
      <c r="AB25" s="238" t="str">
        <f t="shared" si="13"/>
        <v>ELAINE PORCINIA MACHADO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3248</v>
      </c>
      <c r="B26" s="130"/>
      <c r="C26" s="131">
        <f t="shared" si="7"/>
        <v>0</v>
      </c>
      <c r="D26" s="132" t="str">
        <f>VLOOKUP(A26,'APONTAMENTO CREDENCIAMENTO'!$D$6:$P$3103,12,0)</f>
        <v>6020.2022/0038625-0</v>
      </c>
      <c r="E26" s="133"/>
      <c r="F26" s="134">
        <f>SUMIF('APONTAMENTO CREDENCIAMENTO'!$D$6:$D$3103,'ATESTE-LIQ'!A26,'APONTAMENTO CREDENCIAMENTO'!$FE$6:$FE$3103)</f>
        <v>15787.806</v>
      </c>
      <c r="G26" s="328" t="str">
        <f>VLOOKUP(A26,'APONTAMENTO CREDENCIAMENTO'!$D$6:$G$3103,3,0)</f>
        <v>01/04/2026</v>
      </c>
      <c r="H26" s="328" t="str">
        <f>VLOOKUP(A26,'APONTAMENTO CREDENCIAMENTO'!$D$6:$G$3103,4,0)</f>
        <v>30/04/2026</v>
      </c>
      <c r="I26" s="135" t="str">
        <f t="shared" si="8"/>
        <v>PE - Pagto. Doc(s):  - Contrato nº 2022/0038625</v>
      </c>
      <c r="J26" s="136">
        <f t="shared" si="9"/>
        <v>15787.806</v>
      </c>
      <c r="K26" s="136">
        <v>0</v>
      </c>
      <c r="L26" s="137" t="str">
        <f>VLOOKUP(A26,'APONTAMENTO CREDENCIAMENTO'!$D$6:$P$3103,5,0)</f>
        <v>EVANDRO CABRAL DANTAS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6020.2022/0038625-0</v>
      </c>
      <c r="U26" s="144">
        <f t="shared" si="11"/>
        <v>15787.806</v>
      </c>
      <c r="V26" s="145">
        <f t="shared" si="12"/>
        <v>15787.806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2022/0038625 - DRE - JT</v>
      </c>
      <c r="AB26" s="238" t="str">
        <f t="shared" si="13"/>
        <v>EVANDRO CABRAL DANTAS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3308</v>
      </c>
      <c r="B27" s="130"/>
      <c r="C27" s="131">
        <f t="shared" si="7"/>
        <v>0</v>
      </c>
      <c r="D27" s="132" t="str">
        <f>VLOOKUP(A27,'APONTAMENTO CREDENCIAMENTO'!$D$6:$P$3103,12,0)</f>
        <v>6020.2022/0041499-7</v>
      </c>
      <c r="E27" s="133"/>
      <c r="F27" s="134">
        <f>SUMIF('APONTAMENTO CREDENCIAMENTO'!$D$6:$D$3103,'ATESTE-LIQ'!A27,'APONTAMENTO CREDENCIAMENTO'!$FE$6:$FE$3103)</f>
        <v>20898.524000000001</v>
      </c>
      <c r="G27" s="328" t="str">
        <f>VLOOKUP(A27,'APONTAMENTO CREDENCIAMENTO'!$D$6:$G$3103,3,0)</f>
        <v>01/04/2026</v>
      </c>
      <c r="H27" s="328" t="str">
        <f>VLOOKUP(A27,'APONTAMENTO CREDENCIAMENTO'!$D$6:$G$3103,4,0)</f>
        <v>30/04/2026</v>
      </c>
      <c r="I27" s="135" t="str">
        <f t="shared" si="8"/>
        <v>PE - Pagto. Doc(s):  - Contrato nº 2022/0041499</v>
      </c>
      <c r="J27" s="136">
        <f t="shared" si="9"/>
        <v>20898.524000000001</v>
      </c>
      <c r="K27" s="136">
        <v>0</v>
      </c>
      <c r="L27" s="137" t="str">
        <f>VLOOKUP(A27,'APONTAMENTO CREDENCIAMENTO'!$D$6:$P$3103,5,0)</f>
        <v>LAERTE TADEU PACHECO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6020.2022/0041499-7</v>
      </c>
      <c r="U27" s="144">
        <f t="shared" si="11"/>
        <v>20898.524000000001</v>
      </c>
      <c r="V27" s="145">
        <f t="shared" si="12"/>
        <v>20898.524000000001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2022/0041499 - DRE - JT</v>
      </c>
      <c r="AB27" s="238" t="str">
        <f t="shared" si="13"/>
        <v>LAERTE TADEU PACHECO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3372</v>
      </c>
      <c r="B28" s="130"/>
      <c r="C28" s="131">
        <f t="shared" si="7"/>
        <v>0</v>
      </c>
      <c r="D28" s="132" t="str">
        <f>VLOOKUP(A28,'APONTAMENTO CREDENCIAMENTO'!$D$6:$P$3103,12,0)</f>
        <v>6020.2022/0041776-7</v>
      </c>
      <c r="E28" s="133"/>
      <c r="F28" s="134">
        <f>SUMIF('APONTAMENTO CREDENCIAMENTO'!$D$6:$D$3103,'ATESTE-LIQ'!A28,'APONTAMENTO CREDENCIAMENTO'!$FE$6:$FE$3103)</f>
        <v>15940.023999999999</v>
      </c>
      <c r="G28" s="328" t="str">
        <f>VLOOKUP(A28,'APONTAMENTO CREDENCIAMENTO'!$D$6:$G$3103,3,0)</f>
        <v>01/04/2026</v>
      </c>
      <c r="H28" s="328" t="str">
        <f>VLOOKUP(A28,'APONTAMENTO CREDENCIAMENTO'!$D$6:$G$3103,4,0)</f>
        <v>30/04/2026</v>
      </c>
      <c r="I28" s="135" t="str">
        <f t="shared" si="8"/>
        <v>PE - Pagto. Doc(s):  - Contrato nº 2022/0041776</v>
      </c>
      <c r="J28" s="136">
        <f t="shared" si="9"/>
        <v>15940.023999999999</v>
      </c>
      <c r="K28" s="136">
        <v>0</v>
      </c>
      <c r="L28" s="137" t="str">
        <f>VLOOKUP(A28,'APONTAMENTO CREDENCIAMENTO'!$D$6:$P$3103,5,0)</f>
        <v>RONIELY BENTO VILACIO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6020.2022/0041776-7</v>
      </c>
      <c r="U28" s="144">
        <f t="shared" si="11"/>
        <v>15940.023999999999</v>
      </c>
      <c r="V28" s="145">
        <f t="shared" si="12"/>
        <v>15940.023999999999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2022/0041776 - DRE - JT</v>
      </c>
      <c r="AB28" s="238" t="str">
        <f t="shared" si="13"/>
        <v>RONIELY BENTO VILACIO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3304</v>
      </c>
      <c r="B29" s="130"/>
      <c r="C29" s="131">
        <f t="shared" si="7"/>
        <v>0</v>
      </c>
      <c r="D29" s="132" t="str">
        <f>VLOOKUP(A29,'APONTAMENTO CREDENCIAMENTO'!$D$6:$P$3103,12,0)</f>
        <v>6020.2022/0042711-8</v>
      </c>
      <c r="E29" s="133"/>
      <c r="F29" s="134">
        <f>SUMIF('APONTAMENTO CREDENCIAMENTO'!$D$6:$D$3103,'ATESTE-LIQ'!A29,'APONTAMENTO CREDENCIAMENTO'!$FE$6:$FE$3103)</f>
        <v>13887.338000000002</v>
      </c>
      <c r="G29" s="328" t="str">
        <f>VLOOKUP(A29,'APONTAMENTO CREDENCIAMENTO'!$D$6:$G$3103,3,0)</f>
        <v>01/04/2026</v>
      </c>
      <c r="H29" s="328" t="str">
        <f>VLOOKUP(A29,'APONTAMENTO CREDENCIAMENTO'!$D$6:$G$3103,4,0)</f>
        <v>30/04/2026</v>
      </c>
      <c r="I29" s="135" t="str">
        <f t="shared" si="8"/>
        <v>PE - Pagto. Doc(s):  - Contrato nº 2022/0042711</v>
      </c>
      <c r="J29" s="136">
        <f t="shared" si="9"/>
        <v>13887.338000000002</v>
      </c>
      <c r="K29" s="136">
        <v>0</v>
      </c>
      <c r="L29" s="137" t="str">
        <f>VLOOKUP(A29,'APONTAMENTO CREDENCIAMENTO'!$D$6:$P$3103,5,0)</f>
        <v>KATIA FERNANDEZ VAZQUEZ MAMEDE DINIZ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6020.2022/0042711-8</v>
      </c>
      <c r="U29" s="144">
        <f t="shared" si="11"/>
        <v>13887.338000000002</v>
      </c>
      <c r="V29" s="145">
        <f t="shared" si="12"/>
        <v>13887.338000000002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2022/0042711 - DRE - JT</v>
      </c>
      <c r="AB29" s="238" t="str">
        <f t="shared" si="13"/>
        <v>KATIA FERNANDEZ VAZQUEZ MAMEDE DINIZ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3380</v>
      </c>
      <c r="B30" s="130"/>
      <c r="C30" s="131">
        <f t="shared" si="7"/>
        <v>0</v>
      </c>
      <c r="D30" s="132" t="str">
        <f>VLOOKUP(A30,'APONTAMENTO CREDENCIAMENTO'!$D$6:$P$3103,12,0)</f>
        <v>6020.2022/0043204-9</v>
      </c>
      <c r="E30" s="133"/>
      <c r="F30" s="134">
        <f>SUMIF('APONTAMENTO CREDENCIAMENTO'!$D$6:$D$3103,'ATESTE-LIQ'!A30,'APONTAMENTO CREDENCIAMENTO'!$FE$6:$FE$3103)</f>
        <v>14656.334666666668</v>
      </c>
      <c r="G30" s="328" t="str">
        <f>VLOOKUP(A30,'APONTAMENTO CREDENCIAMENTO'!$D$6:$G$3103,3,0)</f>
        <v>01/04/2026</v>
      </c>
      <c r="H30" s="328" t="str">
        <f>VLOOKUP(A30,'APONTAMENTO CREDENCIAMENTO'!$D$6:$G$3103,4,0)</f>
        <v>30/04/2026</v>
      </c>
      <c r="I30" s="135" t="str">
        <f t="shared" si="8"/>
        <v>PE - Pagto. Doc(s):  - Contrato nº 2022/0043204</v>
      </c>
      <c r="J30" s="136">
        <f t="shared" si="9"/>
        <v>14656.334666666668</v>
      </c>
      <c r="K30" s="136">
        <v>0</v>
      </c>
      <c r="L30" s="137" t="str">
        <f>VLOOKUP(A30,'APONTAMENTO CREDENCIAMENTO'!$D$6:$P$3103,5,0)</f>
        <v>SIDNEY DELFINO DE OLIVEIRA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6020.2022/0043204-9</v>
      </c>
      <c r="U30" s="144">
        <f t="shared" si="11"/>
        <v>14656.334666666668</v>
      </c>
      <c r="V30" s="145">
        <f t="shared" si="12"/>
        <v>14656.334666666668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2022/0043204 - DRE - JT</v>
      </c>
      <c r="AB30" s="238" t="str">
        <f t="shared" si="13"/>
        <v>SIDNEY DELFINO DE OLIVEIRA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3260</v>
      </c>
      <c r="B31" s="130"/>
      <c r="C31" s="131">
        <f t="shared" si="7"/>
        <v>0</v>
      </c>
      <c r="D31" s="132" t="str">
        <f>VLOOKUP(A31,'APONTAMENTO CREDENCIAMENTO'!$D$6:$P$3103,12,0)</f>
        <v>6020.2022/0049414-1</v>
      </c>
      <c r="E31" s="133"/>
      <c r="F31" s="134">
        <f>SUMIF('APONTAMENTO CREDENCIAMENTO'!$D$6:$D$3103,'ATESTE-LIQ'!A31,'APONTAMENTO CREDENCIAMENTO'!$FE$6:$FE$3103)</f>
        <v>17047.658760000002</v>
      </c>
      <c r="G31" s="328" t="str">
        <f>VLOOKUP(A31,'APONTAMENTO CREDENCIAMENTO'!$D$6:$G$3103,3,0)</f>
        <v>01/04/2026</v>
      </c>
      <c r="H31" s="328" t="str">
        <f>VLOOKUP(A31,'APONTAMENTO CREDENCIAMENTO'!$D$6:$G$3103,4,0)</f>
        <v>30/04/2026</v>
      </c>
      <c r="I31" s="135" t="str">
        <f t="shared" si="8"/>
        <v>PE - Pagto. Doc(s):  - Contrato nº 2022/0049414</v>
      </c>
      <c r="J31" s="136">
        <f t="shared" si="9"/>
        <v>17047.658760000002</v>
      </c>
      <c r="K31" s="136">
        <v>0</v>
      </c>
      <c r="L31" s="137" t="str">
        <f>VLOOKUP(A31,'APONTAMENTO CREDENCIAMENTO'!$D$6:$P$3103,5,0)</f>
        <v>FRANCISCO CARLOS DE OLIVEIRA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6020.2022/0049414-1</v>
      </c>
      <c r="U31" s="144">
        <f t="shared" si="11"/>
        <v>17047.658760000002</v>
      </c>
      <c r="V31" s="145">
        <f t="shared" si="12"/>
        <v>17047.658760000002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2022/0049414 - DRE - JT</v>
      </c>
      <c r="AB31" s="238" t="str">
        <f t="shared" si="13"/>
        <v>FRANCISCO CARLOS DE OLIVEIRA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3284</v>
      </c>
      <c r="B32" s="130"/>
      <c r="C32" s="131">
        <f t="shared" si="7"/>
        <v>0</v>
      </c>
      <c r="D32" s="132" t="str">
        <f>VLOOKUP(A32,'APONTAMENTO CREDENCIAMENTO'!$D$6:$P$3103,12,0)</f>
        <v>6020.2022/0049774-4</v>
      </c>
      <c r="E32" s="133"/>
      <c r="F32" s="134">
        <f>SUMIF('APONTAMENTO CREDENCIAMENTO'!$D$6:$D$3103,'ATESTE-LIQ'!A32,'APONTAMENTO CREDENCIAMENTO'!$FE$6:$FE$3103)</f>
        <v>7492.52</v>
      </c>
      <c r="G32" s="328" t="str">
        <f>VLOOKUP(A32,'APONTAMENTO CREDENCIAMENTO'!$D$6:$G$3103,3,0)</f>
        <v>01/04/2026</v>
      </c>
      <c r="H32" s="328" t="str">
        <f>VLOOKUP(A32,'APONTAMENTO CREDENCIAMENTO'!$D$6:$G$3103,4,0)</f>
        <v>30/04/2026</v>
      </c>
      <c r="I32" s="135" t="str">
        <f t="shared" si="8"/>
        <v>PE - Pagto. Doc(s):  - Contrato nº 2022/0049774</v>
      </c>
      <c r="J32" s="136">
        <f t="shared" si="9"/>
        <v>7492.52</v>
      </c>
      <c r="K32" s="136">
        <v>0</v>
      </c>
      <c r="L32" s="137" t="str">
        <f>VLOOKUP(A32,'APONTAMENTO CREDENCIAMENTO'!$D$6:$P$3103,5,0)</f>
        <v>IZABEL MARIZA CASONATO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6020.2022/0049774-4</v>
      </c>
      <c r="U32" s="144">
        <f t="shared" si="11"/>
        <v>7492.52</v>
      </c>
      <c r="V32" s="145">
        <f t="shared" si="12"/>
        <v>7492.52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2022/0049774 - DRE - JT</v>
      </c>
      <c r="AB32" s="238" t="str">
        <f t="shared" si="13"/>
        <v>IZABEL MARIZA CASONATO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3360</v>
      </c>
      <c r="B33" s="130"/>
      <c r="C33" s="131">
        <f t="shared" si="7"/>
        <v>0</v>
      </c>
      <c r="D33" s="132" t="str">
        <f>VLOOKUP(A33,'APONTAMENTO CREDENCIAMENTO'!$D$6:$P$3103,12,0)</f>
        <v>6020.2022/0050724-3</v>
      </c>
      <c r="E33" s="133"/>
      <c r="F33" s="134">
        <f>SUMIF('APONTAMENTO CREDENCIAMENTO'!$D$6:$D$3103,'ATESTE-LIQ'!A33,'APONTAMENTO CREDENCIAMENTO'!$FE$6:$FE$3103)</f>
        <v>8840.8249999999989</v>
      </c>
      <c r="G33" s="328" t="str">
        <f>VLOOKUP(A33,'APONTAMENTO CREDENCIAMENTO'!$D$6:$G$3103,3,0)</f>
        <v>01/04/2026</v>
      </c>
      <c r="H33" s="328" t="str">
        <f>VLOOKUP(A33,'APONTAMENTO CREDENCIAMENTO'!$D$6:$G$3103,4,0)</f>
        <v>30/04/2026</v>
      </c>
      <c r="I33" s="135" t="str">
        <f t="shared" si="8"/>
        <v>PE - Pagto. Doc(s):  - Contrato nº 2022/0050724</v>
      </c>
      <c r="J33" s="136">
        <f t="shared" si="9"/>
        <v>8840.8249999999989</v>
      </c>
      <c r="K33" s="136">
        <v>0</v>
      </c>
      <c r="L33" s="137" t="str">
        <f>VLOOKUP(A33,'APONTAMENTO CREDENCIAMENTO'!$D$6:$P$3103,5,0)</f>
        <v>RICARDO HOSSO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6020.2022/0050724-3</v>
      </c>
      <c r="U33" s="144">
        <f t="shared" si="11"/>
        <v>8840.8249999999989</v>
      </c>
      <c r="V33" s="145">
        <f t="shared" si="12"/>
        <v>8840.8249999999989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2022/0050724 - DRE - JT</v>
      </c>
      <c r="AB33" s="238" t="str">
        <f t="shared" si="13"/>
        <v>RICARDO HOSSO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3214</v>
      </c>
      <c r="B34" s="130"/>
      <c r="C34" s="131">
        <f t="shared" si="7"/>
        <v>0</v>
      </c>
      <c r="D34" s="132" t="str">
        <f>VLOOKUP(A34,'APONTAMENTO CREDENCIAMENTO'!$D$6:$P$3103,12,0)</f>
        <v>6020.2022/0051245-0</v>
      </c>
      <c r="E34" s="133"/>
      <c r="F34" s="134">
        <f>SUMIF('APONTAMENTO CREDENCIAMENTO'!$D$6:$D$3103,'ATESTE-LIQ'!A34,'APONTAMENTO CREDENCIAMENTO'!$FE$6:$FE$3103)</f>
        <v>18176.231999999996</v>
      </c>
      <c r="G34" s="328" t="str">
        <f>VLOOKUP(A34,'APONTAMENTO CREDENCIAMENTO'!$D$6:$G$3103,3,0)</f>
        <v>01/04/2026</v>
      </c>
      <c r="H34" s="328" t="str">
        <f>VLOOKUP(A34,'APONTAMENTO CREDENCIAMENTO'!$D$6:$G$3103,4,0)</f>
        <v>30/04/2026</v>
      </c>
      <c r="I34" s="135" t="str">
        <f t="shared" si="8"/>
        <v>PE - Pagto. Doc(s):  - Contrato nº 2022/0051245</v>
      </c>
      <c r="J34" s="136">
        <f t="shared" si="9"/>
        <v>18176.231999999996</v>
      </c>
      <c r="K34" s="136">
        <v>0</v>
      </c>
      <c r="L34" s="137" t="str">
        <f>VLOOKUP(A34,'APONTAMENTO CREDENCIAMENTO'!$D$6:$P$3103,5,0)</f>
        <v>CELINA RIBEIRO GHILARDI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6020.2022/0051245-0</v>
      </c>
      <c r="U34" s="144">
        <f t="shared" si="11"/>
        <v>18176.231999999996</v>
      </c>
      <c r="V34" s="145">
        <f t="shared" si="12"/>
        <v>18176.231999999996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2022/0051245 - DRE - JT</v>
      </c>
      <c r="AB34" s="238" t="str">
        <f t="shared" si="13"/>
        <v>CELINA RIBEIRO GHILARDI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3344</v>
      </c>
      <c r="B35" s="130"/>
      <c r="C35" s="131">
        <f t="shared" si="7"/>
        <v>0</v>
      </c>
      <c r="D35" s="132" t="str">
        <f>VLOOKUP(A35,'APONTAMENTO CREDENCIAMENTO'!$D$6:$P$3103,12,0)</f>
        <v>6020.2022/0051335-9</v>
      </c>
      <c r="E35" s="133"/>
      <c r="F35" s="134">
        <f>SUMIF('APONTAMENTO CREDENCIAMENTO'!$D$6:$D$3103,'ATESTE-LIQ'!A35,'APONTAMENTO CREDENCIAMENTO'!$FE$6:$FE$3103)</f>
        <v>20140.905000000002</v>
      </c>
      <c r="G35" s="328" t="str">
        <f>VLOOKUP(A35,'APONTAMENTO CREDENCIAMENTO'!$D$6:$G$3103,3,0)</f>
        <v>01/04/2026</v>
      </c>
      <c r="H35" s="328" t="str">
        <f>VLOOKUP(A35,'APONTAMENTO CREDENCIAMENTO'!$D$6:$G$3103,4,0)</f>
        <v>30/04/2026</v>
      </c>
      <c r="I35" s="135" t="str">
        <f t="shared" si="8"/>
        <v>PE - Pagto. Doc(s):  - Contrato nº 2022/0051335</v>
      </c>
      <c r="J35" s="136">
        <f t="shared" si="9"/>
        <v>20140.905000000002</v>
      </c>
      <c r="K35" s="136">
        <v>0</v>
      </c>
      <c r="L35" s="137" t="str">
        <f>VLOOKUP(A35,'APONTAMENTO CREDENCIAMENTO'!$D$6:$P$3103,5,0)</f>
        <v>MARIA DE JESUS GOMES DE MOURA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6020.2022/0051335-9</v>
      </c>
      <c r="U35" s="144">
        <f t="shared" si="11"/>
        <v>20140.905000000002</v>
      </c>
      <c r="V35" s="145">
        <f t="shared" si="12"/>
        <v>20140.905000000002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2022/0051335 - DRE - JT</v>
      </c>
      <c r="AB35" s="238" t="str">
        <f t="shared" si="13"/>
        <v>MARIA DE JESUS GOMES DE MOURA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3223</v>
      </c>
      <c r="B36" s="130"/>
      <c r="C36" s="131">
        <f t="shared" si="7"/>
        <v>0</v>
      </c>
      <c r="D36" s="132" t="str">
        <f>VLOOKUP(A36,'APONTAMENTO CREDENCIAMENTO'!$D$6:$P$3103,12,0)</f>
        <v>6020.2022/0051882-2</v>
      </c>
      <c r="E36" s="133"/>
      <c r="F36" s="134">
        <f>SUMIF('APONTAMENTO CREDENCIAMENTO'!$D$6:$D$3103,'ATESTE-LIQ'!A36,'APONTAMENTO CREDENCIAMENTO'!$FE$6:$FE$3103)</f>
        <v>29091.082000000002</v>
      </c>
      <c r="G36" s="328" t="str">
        <f>VLOOKUP(A36,'APONTAMENTO CREDENCIAMENTO'!$D$6:$G$3103,3,0)</f>
        <v>01/04/2026</v>
      </c>
      <c r="H36" s="328" t="str">
        <f>VLOOKUP(A36,'APONTAMENTO CREDENCIAMENTO'!$D$6:$G$3103,4,0)</f>
        <v>30/04/2026</v>
      </c>
      <c r="I36" s="135" t="str">
        <f t="shared" si="8"/>
        <v>PE - Pagto. Doc(s):  - Contrato nº 2022/0051882</v>
      </c>
      <c r="J36" s="136">
        <f t="shared" si="9"/>
        <v>29091.082000000002</v>
      </c>
      <c r="K36" s="136">
        <v>0</v>
      </c>
      <c r="L36" s="137" t="str">
        <f>VLOOKUP(A36,'APONTAMENTO CREDENCIAMENTO'!$D$6:$P$3103,5,0)</f>
        <v>CLECIA CABRAL DOS SANTOS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6020.2022/0051882-2</v>
      </c>
      <c r="U36" s="144">
        <f t="shared" si="11"/>
        <v>29091.082000000002</v>
      </c>
      <c r="V36" s="145">
        <f t="shared" si="12"/>
        <v>29091.082000000002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2022/0051882 - DRE - JT</v>
      </c>
      <c r="AB36" s="238" t="str">
        <f t="shared" si="13"/>
        <v>CLECIA CABRAL DOS SANTOS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3356</v>
      </c>
      <c r="B37" s="130"/>
      <c r="C37" s="131">
        <f t="shared" si="7"/>
        <v>0</v>
      </c>
      <c r="D37" s="132" t="str">
        <f>VLOOKUP(A37,'APONTAMENTO CREDENCIAMENTO'!$D$6:$P$3103,12,0)</f>
        <v>6020.2022/0052508-0</v>
      </c>
      <c r="E37" s="133"/>
      <c r="F37" s="134">
        <f>SUMIF('APONTAMENTO CREDENCIAMENTO'!$D$6:$D$3103,'ATESTE-LIQ'!A37,'APONTAMENTO CREDENCIAMENTO'!$FE$6:$FE$3103)</f>
        <v>3595.4799999999996</v>
      </c>
      <c r="G37" s="328" t="str">
        <f>VLOOKUP(A37,'APONTAMENTO CREDENCIAMENTO'!$D$6:$G$3103,3,0)</f>
        <v>01/04/2026</v>
      </c>
      <c r="H37" s="328">
        <f>VLOOKUP(A37,'APONTAMENTO CREDENCIAMENTO'!$D$6:$G$3103,4,0)</f>
        <v>46140</v>
      </c>
      <c r="I37" s="135" t="str">
        <f t="shared" si="8"/>
        <v>PE - Pagto. Doc(s):  - Contrato nº 2022/0052508</v>
      </c>
      <c r="J37" s="136">
        <f t="shared" si="9"/>
        <v>3595.4799999999996</v>
      </c>
      <c r="K37" s="136">
        <v>0</v>
      </c>
      <c r="L37" s="137" t="str">
        <f>VLOOKUP(A37,'APONTAMENTO CREDENCIAMENTO'!$D$6:$P$3103,5,0)</f>
        <v>MAURO DE MORAIS SANTIAGO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6020.2022/0052508-0</v>
      </c>
      <c r="U37" s="144">
        <f t="shared" si="11"/>
        <v>3595.4799999999996</v>
      </c>
      <c r="V37" s="145">
        <f t="shared" si="12"/>
        <v>3595.4799999999996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2022/0052508 - DRE - JT</v>
      </c>
      <c r="AB37" s="238" t="str">
        <f t="shared" si="13"/>
        <v>MAURO DE MORAIS SANTIAGO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3376</v>
      </c>
      <c r="B38" s="130"/>
      <c r="C38" s="131">
        <f t="shared" si="7"/>
        <v>0</v>
      </c>
      <c r="D38" s="132" t="str">
        <f>VLOOKUP(A38,'APONTAMENTO CREDENCIAMENTO'!$D$6:$P$3103,12,0)</f>
        <v>6020.2022/0052620-5</v>
      </c>
      <c r="E38" s="133"/>
      <c r="F38" s="134">
        <f>SUMIF('APONTAMENTO CREDENCIAMENTO'!$D$6:$D$3103,'ATESTE-LIQ'!A38,'APONTAMENTO CREDENCIAMENTO'!$FE$6:$FE$3103)</f>
        <v>16188.48</v>
      </c>
      <c r="G38" s="328" t="str">
        <f>VLOOKUP(A38,'APONTAMENTO CREDENCIAMENTO'!$D$6:$G$3103,3,0)</f>
        <v>01/04/2026</v>
      </c>
      <c r="H38" s="328" t="str">
        <f>VLOOKUP(A38,'APONTAMENTO CREDENCIAMENTO'!$D$6:$G$3103,4,0)</f>
        <v>30/04/2026</v>
      </c>
      <c r="I38" s="135" t="str">
        <f t="shared" si="8"/>
        <v>PE - Pagto. Doc(s):  - Contrato nº 2022/0052620</v>
      </c>
      <c r="J38" s="136">
        <f t="shared" si="9"/>
        <v>16188.48</v>
      </c>
      <c r="K38" s="136">
        <v>0</v>
      </c>
      <c r="L38" s="137" t="str">
        <f>VLOOKUP(A38,'APONTAMENTO CREDENCIAMENTO'!$D$6:$P$3103,5,0)</f>
        <v>ROSIETE DE MACEDO CARDOSO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6020.2022/0052620-5</v>
      </c>
      <c r="U38" s="144">
        <f t="shared" si="11"/>
        <v>16188.48</v>
      </c>
      <c r="V38" s="145">
        <f t="shared" si="12"/>
        <v>16188.48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2022/0052620 - DRE - JT</v>
      </c>
      <c r="AB38" s="238" t="str">
        <f t="shared" si="13"/>
        <v>ROSIETE DE MACEDO CARDOSO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3364</v>
      </c>
      <c r="B39" s="130"/>
      <c r="C39" s="131">
        <f t="shared" si="7"/>
        <v>0</v>
      </c>
      <c r="D39" s="132" t="str">
        <f>VLOOKUP(A39,'APONTAMENTO CREDENCIAMENTO'!$D$6:$P$3103,12,0)</f>
        <v>6020.2022/0053706-1</v>
      </c>
      <c r="E39" s="133"/>
      <c r="F39" s="134">
        <f>SUMIF('APONTAMENTO CREDENCIAMENTO'!$D$6:$D$3103,'ATESTE-LIQ'!A39,'APONTAMENTO CREDENCIAMENTO'!$FE$6:$FE$3103)</f>
        <v>16669.074666666664</v>
      </c>
      <c r="G39" s="328" t="str">
        <f>VLOOKUP(A39,'APONTAMENTO CREDENCIAMENTO'!$D$6:$G$3103,3,0)</f>
        <v>01/04/2026</v>
      </c>
      <c r="H39" s="328" t="str">
        <f>VLOOKUP(A39,'APONTAMENTO CREDENCIAMENTO'!$D$6:$G$3103,4,0)</f>
        <v>30/04/2026</v>
      </c>
      <c r="I39" s="135" t="str">
        <f t="shared" si="8"/>
        <v>PE - Pagto. Doc(s):  - Contrato nº 2022/0053706</v>
      </c>
      <c r="J39" s="136">
        <f t="shared" si="9"/>
        <v>16669.074666666664</v>
      </c>
      <c r="K39" s="136">
        <v>0</v>
      </c>
      <c r="L39" s="137" t="str">
        <f>VLOOKUP(A39,'APONTAMENTO CREDENCIAMENTO'!$D$6:$P$3103,5,0)</f>
        <v>RODRIGO RODRIGUES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6020.2022/0053706-1</v>
      </c>
      <c r="U39" s="144">
        <f t="shared" si="11"/>
        <v>16669.074666666664</v>
      </c>
      <c r="V39" s="145">
        <f t="shared" si="12"/>
        <v>16669.074666666664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2022/0053706 - DRE - JT</v>
      </c>
      <c r="AB39" s="238" t="str">
        <f t="shared" si="13"/>
        <v>RODRIGO RODRIGUES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3272</v>
      </c>
      <c r="B40" s="130"/>
      <c r="C40" s="131">
        <f t="shared" si="7"/>
        <v>0</v>
      </c>
      <c r="D40" s="132" t="str">
        <f>VLOOKUP(A40,'APONTAMENTO CREDENCIAMENTO'!$D$6:$P$3103,12,0)</f>
        <v>6020.2022/0053712-6</v>
      </c>
      <c r="E40" s="133"/>
      <c r="F40" s="134">
        <f>SUMIF('APONTAMENTO CREDENCIAMENTO'!$D$6:$D$3103,'ATESTE-LIQ'!A40,'APONTAMENTO CREDENCIAMENTO'!$FE$6:$FE$3103)</f>
        <v>20205.11</v>
      </c>
      <c r="G40" s="328" t="str">
        <f>VLOOKUP(A40,'APONTAMENTO CREDENCIAMENTO'!$D$6:$G$3103,3,0)</f>
        <v>01/04/2026</v>
      </c>
      <c r="H40" s="328" t="str">
        <f>VLOOKUP(A40,'APONTAMENTO CREDENCIAMENTO'!$D$6:$G$3103,4,0)</f>
        <v>30/04/2026</v>
      </c>
      <c r="I40" s="135" t="str">
        <f t="shared" si="8"/>
        <v>PE - Pagto. Doc(s):  - Contrato nº 2022/0053712</v>
      </c>
      <c r="J40" s="136">
        <f t="shared" si="9"/>
        <v>20205.11</v>
      </c>
      <c r="K40" s="136">
        <v>0</v>
      </c>
      <c r="L40" s="137" t="str">
        <f>VLOOKUP(A40,'APONTAMENTO CREDENCIAMENTO'!$D$6:$P$3103,5,0)</f>
        <v>GARDELMIR PARADA JUNIOR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6020.2022/0053712-6</v>
      </c>
      <c r="U40" s="144">
        <f t="shared" si="11"/>
        <v>20205.11</v>
      </c>
      <c r="V40" s="145">
        <f t="shared" si="12"/>
        <v>20205.11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2022/0053712 - DRE - JT</v>
      </c>
      <c r="AB40" s="238" t="str">
        <f t="shared" si="13"/>
        <v>GARDELMIR PARADA JUNIOR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3231</v>
      </c>
      <c r="B41" s="130"/>
      <c r="C41" s="131">
        <f t="shared" si="7"/>
        <v>0</v>
      </c>
      <c r="D41" s="132" t="str">
        <f>VLOOKUP(A41,'APONTAMENTO CREDENCIAMENTO'!$D$6:$P$3103,12,0)</f>
        <v>6020.2023/0011942-3</v>
      </c>
      <c r="E41" s="133"/>
      <c r="F41" s="134">
        <f>SUMIF('APONTAMENTO CREDENCIAMENTO'!$D$6:$D$3103,'ATESTE-LIQ'!A41,'APONTAMENTO CREDENCIAMENTO'!$FE$6:$FE$3103)</f>
        <v>28140.922000000002</v>
      </c>
      <c r="G41" s="328" t="str">
        <f>VLOOKUP(A41,'APONTAMENTO CREDENCIAMENTO'!$D$6:$G$3103,3,0)</f>
        <v>01/04/2026</v>
      </c>
      <c r="H41" s="328" t="str">
        <f>VLOOKUP(A41,'APONTAMENTO CREDENCIAMENTO'!$D$6:$G$3103,4,0)</f>
        <v>30/04/2026</v>
      </c>
      <c r="I41" s="135" t="str">
        <f t="shared" si="8"/>
        <v>PE - Pagto. Doc(s):  - Contrato nº 2023/0011942</v>
      </c>
      <c r="J41" s="136">
        <f t="shared" si="9"/>
        <v>28140.922000000002</v>
      </c>
      <c r="K41" s="136">
        <v>0</v>
      </c>
      <c r="L41" s="137" t="str">
        <f>VLOOKUP(A41,'APONTAMENTO CREDENCIAMENTO'!$D$6:$P$3103,5,0)</f>
        <v>EDUARDO MOREIRA DOS SANTOS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6020.2023/0011942-3</v>
      </c>
      <c r="U41" s="144">
        <f t="shared" si="11"/>
        <v>28140.922000000002</v>
      </c>
      <c r="V41" s="145">
        <f t="shared" si="12"/>
        <v>28140.922000000002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2023/0011942 - DRE - JT</v>
      </c>
      <c r="AB41" s="238" t="str">
        <f t="shared" si="13"/>
        <v>EDUARDO MOREIRA DOS SANTOS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3348</v>
      </c>
      <c r="B42" s="130"/>
      <c r="C42" s="131">
        <f t="shared" si="7"/>
        <v>0</v>
      </c>
      <c r="D42" s="132" t="str">
        <f>VLOOKUP(A42,'APONTAMENTO CREDENCIAMENTO'!$D$6:$P$3103,12,0)</f>
        <v>6020.2023/0012596-2</v>
      </c>
      <c r="E42" s="133"/>
      <c r="F42" s="134">
        <f>SUMIF('APONTAMENTO CREDENCIAMENTO'!$D$6:$D$3103,'ATESTE-LIQ'!A42,'APONTAMENTO CREDENCIAMENTO'!$FE$6:$FE$3103)</f>
        <v>17123.27</v>
      </c>
      <c r="G42" s="328" t="str">
        <f>VLOOKUP(A42,'APONTAMENTO CREDENCIAMENTO'!$D$6:$G$3103,3,0)</f>
        <v>01/04/2026</v>
      </c>
      <c r="H42" s="328" t="str">
        <f>VLOOKUP(A42,'APONTAMENTO CREDENCIAMENTO'!$D$6:$G$3103,4,0)</f>
        <v>30/04/2026</v>
      </c>
      <c r="I42" s="135" t="str">
        <f t="shared" si="8"/>
        <v>PE - Pagto. Doc(s):  - Contrato nº 2023/0012596</v>
      </c>
      <c r="J42" s="136">
        <f t="shared" si="9"/>
        <v>17123.27</v>
      </c>
      <c r="K42" s="136">
        <v>0</v>
      </c>
      <c r="L42" s="137" t="str">
        <f>VLOOKUP(A42,'APONTAMENTO CREDENCIAMENTO'!$D$6:$P$3103,5,0)</f>
        <v>MARIA DE LOURDES BARBOSA DE LIMA BONILLA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6020.2023/0012596-2</v>
      </c>
      <c r="U42" s="144">
        <f t="shared" si="11"/>
        <v>17123.27</v>
      </c>
      <c r="V42" s="145">
        <f t="shared" si="12"/>
        <v>17123.27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2023/0012596 - DRE - JT</v>
      </c>
      <c r="AB42" s="238" t="str">
        <f t="shared" si="13"/>
        <v>MARIA DE LOURDES BARBOSA DE LIMA BONILLA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3206</v>
      </c>
      <c r="B43" s="130"/>
      <c r="C43" s="131">
        <f t="shared" si="7"/>
        <v>0</v>
      </c>
      <c r="D43" s="132" t="str">
        <f>VLOOKUP(A43,'APONTAMENTO CREDENCIAMENTO'!$D$6:$P$3103,12,0)</f>
        <v>6020.2023/0014924-1</v>
      </c>
      <c r="E43" s="133"/>
      <c r="F43" s="134">
        <f>SUMIF('APONTAMENTO CREDENCIAMENTO'!$D$6:$D$3103,'ATESTE-LIQ'!A43,'APONTAMENTO CREDENCIAMENTO'!$FE$6:$FE$3103)</f>
        <v>22400.921000000002</v>
      </c>
      <c r="G43" s="328" t="str">
        <f>VLOOKUP(A43,'APONTAMENTO CREDENCIAMENTO'!$D$6:$G$3103,3,0)</f>
        <v>01/04/2026</v>
      </c>
      <c r="H43" s="328" t="str">
        <f>VLOOKUP(A43,'APONTAMENTO CREDENCIAMENTO'!$D$6:$G$3103,4,0)</f>
        <v>30/04/2026</v>
      </c>
      <c r="I43" s="135" t="str">
        <f t="shared" si="8"/>
        <v>PE - Pagto. Doc(s):  - Contrato nº 2023/0014924</v>
      </c>
      <c r="J43" s="136">
        <f t="shared" si="9"/>
        <v>22400.921000000002</v>
      </c>
      <c r="K43" s="136">
        <v>0</v>
      </c>
      <c r="L43" s="137" t="str">
        <f>VLOOKUP(A43,'APONTAMENTO CREDENCIAMENTO'!$D$6:$P$3103,5,0)</f>
        <v>ANTONIO MARCELO ARMANDO SAVERINO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6020.2023/0014924-1</v>
      </c>
      <c r="U43" s="144">
        <f t="shared" si="11"/>
        <v>22400.921000000002</v>
      </c>
      <c r="V43" s="145">
        <f t="shared" si="12"/>
        <v>22400.921000000002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2023/0014924 - DRE - JT</v>
      </c>
      <c r="AB43" s="238" t="str">
        <f t="shared" si="13"/>
        <v>ANTONIO MARCELO ARMANDO SAVERINO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3340</v>
      </c>
      <c r="B44" s="130"/>
      <c r="C44" s="131">
        <f t="shared" si="7"/>
        <v>0</v>
      </c>
      <c r="D44" s="132" t="str">
        <f>VLOOKUP(A44,'APONTAMENTO CREDENCIAMENTO'!$D$6:$P$3103,12,0)</f>
        <v>6020.2023/0016478-0</v>
      </c>
      <c r="E44" s="133"/>
      <c r="F44" s="134">
        <f>SUMIF('APONTAMENTO CREDENCIAMENTO'!$D$6:$D$3103,'ATESTE-LIQ'!A44,'APONTAMENTO CREDENCIAMENTO'!$FE$6:$FE$3103)</f>
        <v>12911.422000000002</v>
      </c>
      <c r="G44" s="328" t="str">
        <f>VLOOKUP(A44,'APONTAMENTO CREDENCIAMENTO'!$D$6:$G$3103,3,0)</f>
        <v>01/04/2026</v>
      </c>
      <c r="H44" s="328" t="str">
        <f>VLOOKUP(A44,'APONTAMENTO CREDENCIAMENTO'!$D$6:$G$3103,4,0)</f>
        <v>30/04/2026</v>
      </c>
      <c r="I44" s="135" t="str">
        <f t="shared" si="8"/>
        <v>PE - Pagto. Doc(s):  - Contrato nº 2023/0016478</v>
      </c>
      <c r="J44" s="136">
        <f t="shared" si="9"/>
        <v>12911.422000000002</v>
      </c>
      <c r="K44" s="136">
        <v>0</v>
      </c>
      <c r="L44" s="137" t="str">
        <f>VLOOKUP(A44,'APONTAMENTO CREDENCIAMENTO'!$D$6:$P$3103,5,0)</f>
        <v>MARCOS ANTONIO BRUNO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6020.2023/0016478-0</v>
      </c>
      <c r="U44" s="144">
        <f t="shared" si="11"/>
        <v>12911.422000000002</v>
      </c>
      <c r="V44" s="145">
        <f t="shared" si="12"/>
        <v>12911.422000000002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2023/0016478 - DRE - JT</v>
      </c>
      <c r="AB44" s="238" t="str">
        <f t="shared" si="13"/>
        <v>MARCOS ANTONIO BRUNO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3332</v>
      </c>
      <c r="B45" s="130"/>
      <c r="C45" s="131">
        <f t="shared" si="7"/>
        <v>0</v>
      </c>
      <c r="D45" s="132" t="str">
        <f>VLOOKUP(A45,'APONTAMENTO CREDENCIAMENTO'!$D$6:$P$3103,12,0)</f>
        <v>6020.2023/0017989-2</v>
      </c>
      <c r="E45" s="133"/>
      <c r="F45" s="134">
        <f>SUMIF('APONTAMENTO CREDENCIAMENTO'!$D$6:$D$3103,'ATESTE-LIQ'!A45,'APONTAMENTO CREDENCIAMENTO'!$FE$6:$FE$3103)</f>
        <v>18754.076999999997</v>
      </c>
      <c r="G45" s="328" t="str">
        <f>VLOOKUP(A45,'APONTAMENTO CREDENCIAMENTO'!$D$6:$G$3103,3,0)</f>
        <v>01/04/2026</v>
      </c>
      <c r="H45" s="328" t="str">
        <f>VLOOKUP(A45,'APONTAMENTO CREDENCIAMENTO'!$D$6:$G$3103,4,0)</f>
        <v>30/04/2026</v>
      </c>
      <c r="I45" s="135" t="str">
        <f t="shared" si="8"/>
        <v>PE - Pagto. Doc(s):  - Contrato nº 2023/0017989</v>
      </c>
      <c r="J45" s="136">
        <f t="shared" si="9"/>
        <v>18754.076999999997</v>
      </c>
      <c r="K45" s="136">
        <v>0</v>
      </c>
      <c r="L45" s="137" t="str">
        <f>VLOOKUP(A45,'APONTAMENTO CREDENCIAMENTO'!$D$6:$P$3103,5,0)</f>
        <v>MAGNO DA SILVA PEDRO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6020.2023/0017989-2</v>
      </c>
      <c r="U45" s="144">
        <f t="shared" si="11"/>
        <v>18754.076999999997</v>
      </c>
      <c r="V45" s="145">
        <f t="shared" si="12"/>
        <v>18754.076999999997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2023/0017989 - DRE - JT</v>
      </c>
      <c r="AB45" s="238" t="str">
        <f t="shared" si="13"/>
        <v>MAGNO DA SILVA PEDRO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3320</v>
      </c>
      <c r="B46" s="130"/>
      <c r="C46" s="131">
        <f t="shared" si="7"/>
        <v>0</v>
      </c>
      <c r="D46" s="132" t="str">
        <f>VLOOKUP(A46,'APONTAMENTO CREDENCIAMENTO'!$D$6:$P$3103,12,0)</f>
        <v>6020.2023/0018617-1</v>
      </c>
      <c r="E46" s="133"/>
      <c r="F46" s="134">
        <f>SUMIF('APONTAMENTO CREDENCIAMENTO'!$D$6:$D$3103,'ATESTE-LIQ'!A46,'APONTAMENTO CREDENCIAMENTO'!$FE$6:$FE$3103)</f>
        <v>7492.52</v>
      </c>
      <c r="G46" s="328" t="str">
        <f>VLOOKUP(A46,'APONTAMENTO CREDENCIAMENTO'!$D$6:$G$3103,3,0)</f>
        <v>01/04/2026</v>
      </c>
      <c r="H46" s="328" t="str">
        <f>VLOOKUP(A46,'APONTAMENTO CREDENCIAMENTO'!$D$6:$G$3103,4,0)</f>
        <v>30/04/2026</v>
      </c>
      <c r="I46" s="135" t="str">
        <f t="shared" si="8"/>
        <v>PE - Pagto. Doc(s):  - Contrato nº 2023/0018617</v>
      </c>
      <c r="J46" s="136">
        <f t="shared" si="9"/>
        <v>7492.52</v>
      </c>
      <c r="K46" s="136">
        <v>0</v>
      </c>
      <c r="L46" s="137" t="str">
        <f>VLOOKUP(A46,'APONTAMENTO CREDENCIAMENTO'!$D$6:$P$3103,5,0)</f>
        <v>LUCIO APARECIDO CARNEIRO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6020.2023/0018617-1</v>
      </c>
      <c r="U46" s="144">
        <f t="shared" si="11"/>
        <v>7492.52</v>
      </c>
      <c r="V46" s="145">
        <f t="shared" si="12"/>
        <v>7492.52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2023/0018617 - DRE - JT</v>
      </c>
      <c r="AB46" s="238" t="str">
        <f t="shared" si="13"/>
        <v>LUCIO APARECIDO CARNEIRO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3268</v>
      </c>
      <c r="B47" s="130"/>
      <c r="C47" s="131">
        <f t="shared" si="7"/>
        <v>0</v>
      </c>
      <c r="D47" s="132" t="str">
        <f>VLOOKUP(A47,'APONTAMENTO CREDENCIAMENTO'!$D$6:$P$3103,12,0)</f>
        <v>6020.2023/0021915-0</v>
      </c>
      <c r="E47" s="133"/>
      <c r="F47" s="134">
        <f>SUMIF('APONTAMENTO CREDENCIAMENTO'!$D$6:$D$3103,'ATESTE-LIQ'!A47,'APONTAMENTO CREDENCIAMENTO'!$FE$6:$FE$3103)</f>
        <v>22222.407599999999</v>
      </c>
      <c r="G47" s="328" t="str">
        <f>VLOOKUP(A47,'APONTAMENTO CREDENCIAMENTO'!$D$6:$G$3103,3,0)</f>
        <v>01/04/2026</v>
      </c>
      <c r="H47" s="328" t="str">
        <f>VLOOKUP(A47,'APONTAMENTO CREDENCIAMENTO'!$D$6:$G$3103,4,0)</f>
        <v>30/04/2026</v>
      </c>
      <c r="I47" s="135" t="str">
        <f t="shared" si="8"/>
        <v>PE - Pagto. Doc(s):  - Contrato nº 2023/0021915</v>
      </c>
      <c r="J47" s="136">
        <f t="shared" si="9"/>
        <v>22222.407599999999</v>
      </c>
      <c r="K47" s="136">
        <v>0</v>
      </c>
      <c r="L47" s="137" t="str">
        <f>VLOOKUP(A47,'APONTAMENTO CREDENCIAMENTO'!$D$6:$P$3103,5,0)</f>
        <v>GABRIEL EDUARDO DA SILVA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6020.2023/0021915-0</v>
      </c>
      <c r="U47" s="144">
        <f t="shared" si="11"/>
        <v>22222.407599999999</v>
      </c>
      <c r="V47" s="145">
        <f t="shared" si="12"/>
        <v>22222.407599999999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2023/0021915 - DRE - JT</v>
      </c>
      <c r="AB47" s="238" t="str">
        <f t="shared" si="13"/>
        <v>GABRIEL EDUARDO DA SILVA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3276</v>
      </c>
      <c r="B48" s="130"/>
      <c r="C48" s="131">
        <f t="shared" si="7"/>
        <v>0</v>
      </c>
      <c r="D48" s="132" t="str">
        <f>VLOOKUP(A48,'APONTAMENTO CREDENCIAMENTO'!$D$6:$P$3103,12,0)</f>
        <v>6020.2023/0024967-0</v>
      </c>
      <c r="E48" s="133"/>
      <c r="F48" s="134">
        <f>SUMIF('APONTAMENTO CREDENCIAMENTO'!$D$6:$D$3103,'ATESTE-LIQ'!A48,'APONTAMENTO CREDENCIAMENTO'!$FE$6:$FE$3103)</f>
        <v>17508.5</v>
      </c>
      <c r="G48" s="328" t="str">
        <f>VLOOKUP(A48,'APONTAMENTO CREDENCIAMENTO'!$D$6:$G$3103,3,0)</f>
        <v>01/04/2026</v>
      </c>
      <c r="H48" s="328" t="str">
        <f>VLOOKUP(A48,'APONTAMENTO CREDENCIAMENTO'!$D$6:$G$3103,4,0)</f>
        <v>30/04/2026</v>
      </c>
      <c r="I48" s="135" t="str">
        <f t="shared" si="8"/>
        <v>PE - Pagto. Doc(s):  - Contrato nº 2023/0024967</v>
      </c>
      <c r="J48" s="136">
        <f t="shared" si="9"/>
        <v>17508.5</v>
      </c>
      <c r="K48" s="136">
        <v>0</v>
      </c>
      <c r="L48" s="137" t="str">
        <f>VLOOKUP(A48,'APONTAMENTO CREDENCIAMENTO'!$D$6:$P$3103,5,0)</f>
        <v>IRETE DONIZETE RANGEL GARCIA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6020.2023/0024967-0</v>
      </c>
      <c r="U48" s="144">
        <f t="shared" si="11"/>
        <v>17508.5</v>
      </c>
      <c r="V48" s="145">
        <f t="shared" si="12"/>
        <v>17508.5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2023/0024967 - DRE - JT</v>
      </c>
      <c r="AB48" s="238" t="str">
        <f t="shared" si="13"/>
        <v>IRETE DONIZETE RANGEL GARCIA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3264</v>
      </c>
      <c r="B49" s="130"/>
      <c r="C49" s="131">
        <f t="shared" si="7"/>
        <v>0</v>
      </c>
      <c r="D49" s="132" t="str">
        <f>VLOOKUP(A49,'APONTAMENTO CREDENCIAMENTO'!$D$6:$P$3103,12,0)</f>
        <v>6020.2023/0026034-7</v>
      </c>
      <c r="E49" s="133"/>
      <c r="F49" s="134">
        <f>SUMIF('APONTAMENTO CREDENCIAMENTO'!$D$6:$D$3103,'ATESTE-LIQ'!A49,'APONTAMENTO CREDENCIAMENTO'!$FE$6:$FE$3103)</f>
        <v>15934.850000000002</v>
      </c>
      <c r="G49" s="328" t="str">
        <f>VLOOKUP(A49,'APONTAMENTO CREDENCIAMENTO'!$D$6:$G$3103,3,0)</f>
        <v>01/04/2026</v>
      </c>
      <c r="H49" s="328" t="str">
        <f>VLOOKUP(A49,'APONTAMENTO CREDENCIAMENTO'!$D$6:$G$3103,4,0)</f>
        <v>30/04/2026</v>
      </c>
      <c r="I49" s="135" t="str">
        <f t="shared" si="8"/>
        <v>PE - Pagto. Doc(s):  - Contrato nº 2023/0026034</v>
      </c>
      <c r="J49" s="136">
        <f t="shared" si="9"/>
        <v>15934.850000000002</v>
      </c>
      <c r="K49" s="136">
        <v>0</v>
      </c>
      <c r="L49" s="137" t="str">
        <f>VLOOKUP(A49,'APONTAMENTO CREDENCIAMENTO'!$D$6:$P$3103,5,0)</f>
        <v>FRANCISCO MARCILIO OLIVEIRA BARROS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6020.2023/0026034-7</v>
      </c>
      <c r="U49" s="144">
        <f t="shared" si="11"/>
        <v>15934.850000000002</v>
      </c>
      <c r="V49" s="145">
        <f t="shared" si="12"/>
        <v>15934.850000000002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2023/0026034 - DRE - JT</v>
      </c>
      <c r="AB49" s="238" t="str">
        <f t="shared" si="13"/>
        <v>FRANCISCO MARCILIO OLIVEIRA BARROS</v>
      </c>
      <c r="AC49" s="239"/>
      <c r="AD49" s="240"/>
      <c r="AE49" s="242"/>
      <c r="AF49" s="102"/>
    </row>
    <row r="51" spans="1:32" ht="20.25" customHeight="1" x14ac:dyDescent="0.2">
      <c r="A51" s="237"/>
      <c r="F51" s="60">
        <f>SUM(F2:F50)</f>
        <v>779208.82336000015</v>
      </c>
      <c r="J51" s="60">
        <f>SUM(J2:J50)</f>
        <v>779208.82336000015</v>
      </c>
    </row>
    <row r="52" spans="1:32" ht="20.25" customHeight="1" x14ac:dyDescent="0.2">
      <c r="A52" s="237"/>
    </row>
    <row r="53" spans="1:32" ht="20.25" customHeight="1" x14ac:dyDescent="0.2">
      <c r="A53" s="237"/>
    </row>
    <row r="54" spans="1:32" ht="20.25" customHeight="1" x14ac:dyDescent="0.2">
      <c r="A54" s="237"/>
    </row>
    <row r="55" spans="1:32" ht="20.25" customHeight="1" x14ac:dyDescent="0.2">
      <c r="A55" s="237"/>
    </row>
    <row r="56" spans="1:32" ht="20.25" customHeight="1" x14ac:dyDescent="0.2">
      <c r="A56" s="237"/>
    </row>
    <row r="57" spans="1:32" ht="20.25" customHeight="1" x14ac:dyDescent="0.2">
      <c r="A57" s="237"/>
    </row>
    <row r="58" spans="1:32" ht="20.25" customHeight="1" x14ac:dyDescent="0.2">
      <c r="A58" s="237"/>
    </row>
    <row r="59" spans="1:32" ht="20.25" customHeight="1" x14ac:dyDescent="0.2">
      <c r="A59" s="237"/>
    </row>
    <row r="60" spans="1:32" ht="20.25" customHeight="1" x14ac:dyDescent="0.2">
      <c r="A60" s="237"/>
    </row>
    <row r="61" spans="1:32" ht="20.25" customHeight="1" x14ac:dyDescent="0.2">
      <c r="A61" s="237"/>
    </row>
    <row r="62" spans="1:32" ht="20.25" customHeight="1" x14ac:dyDescent="0.2">
      <c r="A62" s="237"/>
    </row>
    <row r="63" spans="1:32" ht="20.25" customHeight="1" x14ac:dyDescent="0.2">
      <c r="A63" s="237"/>
    </row>
    <row r="64" spans="1:32" ht="20.25" customHeight="1" x14ac:dyDescent="0.2">
      <c r="A64" s="237"/>
    </row>
    <row r="65" spans="1:1" ht="20.25" customHeight="1" x14ac:dyDescent="0.2">
      <c r="A65" s="237"/>
    </row>
    <row r="66" spans="1:1" ht="20.25" customHeight="1" x14ac:dyDescent="0.2">
      <c r="A66" s="237"/>
    </row>
    <row r="67" spans="1:1" ht="20.25" customHeight="1" x14ac:dyDescent="0.2">
      <c r="A67" s="237"/>
    </row>
    <row r="68" spans="1:1" ht="20.25" customHeight="1" x14ac:dyDescent="0.2">
      <c r="A68" s="237"/>
    </row>
    <row r="69" spans="1:1" ht="20.25" customHeight="1" x14ac:dyDescent="0.2">
      <c r="A69" s="237"/>
    </row>
    <row r="70" spans="1:1" ht="20.25" customHeight="1" x14ac:dyDescent="0.2">
      <c r="A70" s="237"/>
    </row>
  </sheetData>
  <sheetProtection formatCells="0" formatColumns="0" formatRows="0" selectLockedCells="1"/>
  <sortState xmlns:xlrd2="http://schemas.microsoft.com/office/spreadsheetml/2017/richdata2" ref="B50:B82">
    <sortCondition ref="B50:B82"/>
  </sortState>
  <conditionalFormatting sqref="C1 E1:AE1">
    <cfRule type="duplicateValues" dxfId="16" priority="48"/>
  </conditionalFormatting>
  <conditionalFormatting sqref="D2:D49">
    <cfRule type="expression" dxfId="15" priority="143" stopIfTrue="1">
      <formula>AND(COUNTIF($D:$D,D2)&gt;1,NOT(ISBLANK(D2)))</formula>
    </cfRule>
  </conditionalFormatting>
  <conditionalFormatting sqref="S2:S49">
    <cfRule type="expression" dxfId="14" priority="2499" stopIfTrue="1">
      <formula>AND(COUNTIF($S$2:$S$2,S2)&gt;1,NOT(ISBLANK(S2)))</formula>
    </cfRule>
  </conditionalFormatting>
  <conditionalFormatting sqref="S51:S1048576 S2:S49">
    <cfRule type="duplicateValues" dxfId="13" priority="2503"/>
  </conditionalFormatting>
  <conditionalFormatting sqref="A1:A49">
    <cfRule type="duplicateValues" dxfId="12" priority="162402"/>
  </conditionalFormatting>
  <conditionalFormatting sqref="B2:B49">
    <cfRule type="duplicateValues" dxfId="11" priority="162403"/>
    <cfRule type="duplicateValues" dxfId="10" priority="162404"/>
    <cfRule type="duplicateValues" dxfId="9" priority="162405"/>
    <cfRule type="duplicateValues" dxfId="8" priority="162406"/>
    <cfRule type="duplicateValues" dxfId="7" priority="162407"/>
  </conditionalFormatting>
  <conditionalFormatting sqref="C2:C49">
    <cfRule type="duplicateValues" dxfId="6" priority="16240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2023/0026034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9560.9100000000017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9560.9100000000017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350.56670000000008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1624.11</v>
      </c>
      <c r="E32" s="572" t="s">
        <v>3120</v>
      </c>
      <c r="F32" s="573">
        <f>'IR Desc. Simplificado-Maio.2025'!F30</f>
        <v>1553.54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1624.11</v>
      </c>
      <c r="E33" s="572" t="s">
        <v>3121</v>
      </c>
      <c r="F33" s="573">
        <f>F32-D18</f>
        <v>1553.54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1553.54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1553.54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9560.9100000000017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350.56670000000008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350.56670000000008</v>
      </c>
    </row>
    <row r="16" spans="2:9" x14ac:dyDescent="0.25">
      <c r="B16" s="875" t="s">
        <v>3151</v>
      </c>
      <c r="C16" s="875"/>
      <c r="D16" s="875"/>
      <c r="E16" s="879">
        <f>B3-I17-I18-F10-(E14*E15)</f>
        <v>9210.3433000000023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1624.11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1624.11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1624.11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1624.11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1624.11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1624.11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1624.11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9560.9100000000017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350.56670000000008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9560.9100000000017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8953.7100000000009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1553.54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1553.54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1553.54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1553.54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1553.54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9560.9100000000017</v>
      </c>
      <c r="D39" s="622">
        <v>0.13314500000000001</v>
      </c>
      <c r="E39" s="655">
        <f>TRUNC($B$39-($C$39*$D$39),2)</f>
        <v>-294.36</v>
      </c>
    </row>
    <row r="42" spans="2:6" ht="30" x14ac:dyDescent="0.25">
      <c r="B42" s="641" t="s">
        <v>3170</v>
      </c>
      <c r="C42" s="642">
        <f>$F$24</f>
        <v>1553.54</v>
      </c>
    </row>
    <row r="43" spans="2:6" ht="30" x14ac:dyDescent="0.25">
      <c r="B43" s="641" t="s">
        <v>3171</v>
      </c>
      <c r="C43" s="643">
        <f>$E$39</f>
        <v>-294.36</v>
      </c>
    </row>
    <row r="44" spans="2:6" ht="60" x14ac:dyDescent="0.25">
      <c r="B44" s="644" t="s">
        <v>3172</v>
      </c>
      <c r="C44" s="645">
        <f>$C$42-$C$43</f>
        <v>1847.9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2026-05-13T13:01:25Z</cp:lastPrinted>
  <dcterms:created xsi:type="dcterms:W3CDTF">2019-02-08T16:49:11Z</dcterms:created>
  <dcterms:modified xsi:type="dcterms:W3CDTF">2026-05-13T13:01:43Z</dcterms:modified>
</cp:coreProperties>
</file>