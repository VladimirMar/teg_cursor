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CD2F6006-80F9-4578-BA23-DFD4C93BAAA7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CREDENCIAMENTO'!$A$5:$IC$167</definedName>
    <definedName name="_xlnm._FilterDatabase" localSheetId="8" hidden="1">'ATESTADO C'!$A$17:$Z$17</definedName>
    <definedName name="_xlnm._FilterDatabase" localSheetId="12" hidden="1">'ATESTE-LIQ'!$A$1:$AT$35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'ATESTE-LIQ-FIS'!$A$4:$K$3898</definedName>
    <definedName name="ApagaBaseC">'BASE C'!$A$11:$N$4950</definedName>
    <definedName name="ApagaDadosA">'APONTAMENTO CREDENCIAMENTO'!$Q$6:$EL$3024</definedName>
    <definedName name="ApagaDadosC">CONTINUA!$L$6:$BU$3042</definedName>
    <definedName name="ApagarDadosDigitados">#REF!</definedName>
    <definedName name="ApagaRegistroA">'APONTAMENTO CREDENCIAMENTO'!$A$6:$K$3024</definedName>
    <definedName name="ApagaRegistroC">CONTINUA!$A$6:$K$3042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CREDENCIAMENTO'!$M$166</definedName>
    <definedName name="CopiaSomaC" localSheetId="5">[1]CONTINUA!#REF!</definedName>
    <definedName name="CopiaSomaC">CONTINUA!$BV$167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CREDENCIAMENTO'!$DY$4:$EJ$3279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3" i="13" l="1"/>
  <c r="L33" i="13"/>
  <c r="AB33" i="13" s="1"/>
  <c r="I33" i="13"/>
  <c r="H33" i="13"/>
  <c r="G33" i="13"/>
  <c r="F33" i="13"/>
  <c r="J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U31" i="13" s="1"/>
  <c r="V31" i="13" s="1"/>
  <c r="D31" i="13"/>
  <c r="T31" i="13" s="1"/>
  <c r="C31" i="13"/>
  <c r="AA30" i="13"/>
  <c r="L30" i="13"/>
  <c r="AB30" i="13" s="1"/>
  <c r="I30" i="13"/>
  <c r="H30" i="13"/>
  <c r="G30" i="13"/>
  <c r="F30" i="13"/>
  <c r="J30" i="13" s="1"/>
  <c r="D30" i="13"/>
  <c r="T30" i="13" s="1"/>
  <c r="C30" i="13"/>
  <c r="AA29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U24" i="13" s="1"/>
  <c r="V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AA21" i="13"/>
  <c r="L21" i="13"/>
  <c r="AB21" i="13" s="1"/>
  <c r="I21" i="13"/>
  <c r="H21" i="13"/>
  <c r="G21" i="13"/>
  <c r="F21" i="13"/>
  <c r="U21" i="13" s="1"/>
  <c r="V21" i="13" s="1"/>
  <c r="D21" i="13"/>
  <c r="T21" i="13" s="1"/>
  <c r="C21" i="13"/>
  <c r="AA20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AA19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J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U8" i="13" s="1"/>
  <c r="V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D35" i="87"/>
  <c r="G35" i="87" s="1"/>
  <c r="D34" i="87"/>
  <c r="G34" i="87" s="1"/>
  <c r="D33" i="87"/>
  <c r="G33" i="87" s="1"/>
  <c r="D32" i="87"/>
  <c r="G32" i="87" s="1"/>
  <c r="D31" i="87"/>
  <c r="G31" i="87" s="1"/>
  <c r="D30" i="87"/>
  <c r="G30" i="87" s="1"/>
  <c r="D29" i="87"/>
  <c r="G29" i="87" s="1"/>
  <c r="D28" i="87"/>
  <c r="G28" i="87" s="1"/>
  <c r="D27" i="87"/>
  <c r="G27" i="87" s="1"/>
  <c r="D26" i="87"/>
  <c r="G26" i="87" s="1"/>
  <c r="D25" i="87"/>
  <c r="G25" i="87" s="1"/>
  <c r="D24" i="87"/>
  <c r="G24" i="87" s="1"/>
  <c r="D23" i="87"/>
  <c r="G23" i="87" s="1"/>
  <c r="D22" i="87"/>
  <c r="G22" i="87" s="1"/>
  <c r="D21" i="87"/>
  <c r="G21" i="87" s="1"/>
  <c r="D20" i="87"/>
  <c r="G20" i="87" s="1"/>
  <c r="D19" i="87"/>
  <c r="G19" i="87" s="1"/>
  <c r="D18" i="87"/>
  <c r="G18" i="87" s="1"/>
  <c r="D17" i="87"/>
  <c r="G17" i="87" s="1"/>
  <c r="D16" i="87"/>
  <c r="G16" i="87" s="1"/>
  <c r="D15" i="87"/>
  <c r="G15" i="87" s="1"/>
  <c r="D14" i="87"/>
  <c r="G14" i="87" s="1"/>
  <c r="D13" i="87"/>
  <c r="G13" i="87" s="1"/>
  <c r="D12" i="87"/>
  <c r="G12" i="87" s="1"/>
  <c r="D11" i="87"/>
  <c r="G11" i="87" s="1"/>
  <c r="D10" i="87"/>
  <c r="G10" i="87" s="1"/>
  <c r="D9" i="87"/>
  <c r="G9" i="87" s="1"/>
  <c r="D8" i="87"/>
  <c r="G8" i="87" s="1"/>
  <c r="D7" i="87"/>
  <c r="G7" i="87" s="1"/>
  <c r="D6" i="87"/>
  <c r="G6" i="87" s="1"/>
  <c r="D5" i="87"/>
  <c r="G5" i="87" s="1"/>
  <c r="U33" i="13" l="1"/>
  <c r="V33" i="13" s="1"/>
  <c r="U32" i="13"/>
  <c r="V32" i="13" s="1"/>
  <c r="J31" i="13"/>
  <c r="U30" i="13"/>
  <c r="V30" i="13" s="1"/>
  <c r="J29" i="13"/>
  <c r="J28" i="13"/>
  <c r="U27" i="13"/>
  <c r="V27" i="13" s="1"/>
  <c r="J26" i="13"/>
  <c r="U25" i="13"/>
  <c r="V25" i="13" s="1"/>
  <c r="J24" i="13"/>
  <c r="J23" i="13"/>
  <c r="J22" i="13"/>
  <c r="J21" i="13"/>
  <c r="J20" i="13"/>
  <c r="J19" i="13"/>
  <c r="J18" i="13"/>
  <c r="U17" i="13"/>
  <c r="V17" i="13" s="1"/>
  <c r="U16" i="13"/>
  <c r="V16" i="13" s="1"/>
  <c r="U15" i="13"/>
  <c r="V15" i="13" s="1"/>
  <c r="U14" i="13"/>
  <c r="V14" i="13" s="1"/>
  <c r="U13" i="13"/>
  <c r="V13" i="13" s="1"/>
  <c r="U12" i="13"/>
  <c r="V12" i="13" s="1"/>
  <c r="U11" i="13"/>
  <c r="V11" i="13" s="1"/>
  <c r="U10" i="13"/>
  <c r="V10" i="13" s="1"/>
  <c r="U9" i="13"/>
  <c r="V9" i="13" s="1"/>
  <c r="J8" i="13"/>
  <c r="U7" i="13"/>
  <c r="V7" i="13" s="1"/>
  <c r="U6" i="13"/>
  <c r="V6" i="13" s="1"/>
  <c r="U5" i="13"/>
  <c r="V5" i="13" s="1"/>
  <c r="U4" i="13"/>
  <c r="V4" i="13" s="1"/>
  <c r="U3" i="13"/>
  <c r="V3" i="13" s="1"/>
  <c r="J14" i="87"/>
  <c r="E5" i="87"/>
  <c r="H5" i="87" s="1"/>
  <c r="I5" i="87"/>
  <c r="E6" i="87"/>
  <c r="H6" i="87" s="1"/>
  <c r="I6" i="87"/>
  <c r="E7" i="87"/>
  <c r="H7" i="87" s="1"/>
  <c r="I7" i="87"/>
  <c r="E8" i="87"/>
  <c r="H8" i="87" s="1"/>
  <c r="I8" i="87"/>
  <c r="E9" i="87"/>
  <c r="H9" i="87" s="1"/>
  <c r="I9" i="87"/>
  <c r="E10" i="87"/>
  <c r="H10" i="87" s="1"/>
  <c r="I10" i="87"/>
  <c r="E11" i="87"/>
  <c r="H11" i="87" s="1"/>
  <c r="I11" i="87"/>
  <c r="E12" i="87"/>
  <c r="H12" i="87" s="1"/>
  <c r="I12" i="87"/>
  <c r="E13" i="87"/>
  <c r="H13" i="87" s="1"/>
  <c r="I13" i="87"/>
  <c r="E14" i="87"/>
  <c r="H14" i="87" s="1"/>
  <c r="I14" i="87"/>
  <c r="E15" i="87"/>
  <c r="H15" i="87" s="1"/>
  <c r="I15" i="87"/>
  <c r="E16" i="87"/>
  <c r="H16" i="87" s="1"/>
  <c r="I16" i="87"/>
  <c r="E17" i="87"/>
  <c r="H17" i="87" s="1"/>
  <c r="I17" i="87"/>
  <c r="E18" i="87"/>
  <c r="H18" i="87" s="1"/>
  <c r="I18" i="87"/>
  <c r="E19" i="87"/>
  <c r="H19" i="87" s="1"/>
  <c r="I19" i="87"/>
  <c r="E20" i="87"/>
  <c r="H20" i="87" s="1"/>
  <c r="I20" i="87"/>
  <c r="E21" i="87"/>
  <c r="H21" i="87" s="1"/>
  <c r="I21" i="87"/>
  <c r="E22" i="87"/>
  <c r="H22" i="87" s="1"/>
  <c r="I22" i="87"/>
  <c r="E23" i="87"/>
  <c r="H23" i="87" s="1"/>
  <c r="I23" i="87"/>
  <c r="E24" i="87"/>
  <c r="H24" i="87" s="1"/>
  <c r="I24" i="87"/>
  <c r="E25" i="87"/>
  <c r="H25" i="87" s="1"/>
  <c r="I25" i="87"/>
  <c r="E26" i="87"/>
  <c r="H26" i="87" s="1"/>
  <c r="I26" i="87"/>
  <c r="E27" i="87"/>
  <c r="H27" i="87" s="1"/>
  <c r="I27" i="87"/>
  <c r="E28" i="87"/>
  <c r="H28" i="87" s="1"/>
  <c r="I28" i="87"/>
  <c r="E29" i="87"/>
  <c r="H29" i="87" s="1"/>
  <c r="I29" i="87"/>
  <c r="E30" i="87"/>
  <c r="H30" i="87" s="1"/>
  <c r="I30" i="87"/>
  <c r="E31" i="87"/>
  <c r="H31" i="87" s="1"/>
  <c r="I31" i="87"/>
  <c r="E32" i="87"/>
  <c r="H32" i="87" s="1"/>
  <c r="I32" i="87"/>
  <c r="E33" i="87"/>
  <c r="H33" i="87" s="1"/>
  <c r="I33" i="87"/>
  <c r="E34" i="87"/>
  <c r="H34" i="87" s="1"/>
  <c r="I34" i="87"/>
  <c r="E35" i="87"/>
  <c r="H35" i="87" s="1"/>
  <c r="I35" i="87"/>
  <c r="F5" i="87"/>
  <c r="F6" i="87"/>
  <c r="F7" i="87"/>
  <c r="F8" i="87"/>
  <c r="F9" i="87"/>
  <c r="F10" i="87"/>
  <c r="F11" i="87"/>
  <c r="F12" i="87"/>
  <c r="F13" i="87"/>
  <c r="F14" i="87"/>
  <c r="F15" i="87"/>
  <c r="F16" i="87"/>
  <c r="F17" i="87"/>
  <c r="F18" i="87"/>
  <c r="F19" i="87"/>
  <c r="F20" i="87"/>
  <c r="F21" i="87"/>
  <c r="F22" i="87"/>
  <c r="F23" i="87"/>
  <c r="F24" i="87"/>
  <c r="F25" i="87"/>
  <c r="F26" i="87"/>
  <c r="F27" i="87"/>
  <c r="F28" i="87"/>
  <c r="F29" i="87"/>
  <c r="F30" i="87"/>
  <c r="F31" i="87"/>
  <c r="F32" i="87"/>
  <c r="F33" i="87"/>
  <c r="F34" i="87"/>
  <c r="F35" i="87"/>
  <c r="J23" i="87" l="1"/>
  <c r="J7" i="87"/>
  <c r="J30" i="87"/>
  <c r="J20" i="87"/>
  <c r="K21" i="87" s="1"/>
  <c r="J25" i="87"/>
  <c r="J9" i="87"/>
  <c r="K10" i="87" s="1"/>
  <c r="K32" i="87"/>
  <c r="K26" i="87"/>
  <c r="K24" i="87"/>
  <c r="K20" i="87"/>
  <c r="K16" i="87"/>
  <c r="K8" i="87"/>
  <c r="J35" i="87"/>
  <c r="J19" i="87"/>
  <c r="J32" i="87"/>
  <c r="K33" i="87" s="1"/>
  <c r="J26" i="87"/>
  <c r="J10" i="87"/>
  <c r="J8" i="87"/>
  <c r="J21" i="87"/>
  <c r="K22" i="87" s="1"/>
  <c r="J5" i="87"/>
  <c r="K6" i="87" s="1"/>
  <c r="J31" i="87"/>
  <c r="J15" i="87"/>
  <c r="J16" i="87"/>
  <c r="K17" i="87" s="1"/>
  <c r="J22" i="87"/>
  <c r="J6" i="87"/>
  <c r="J33" i="87"/>
  <c r="K34" i="87" s="1"/>
  <c r="J17" i="87"/>
  <c r="K18" i="87" s="1"/>
  <c r="J24" i="87"/>
  <c r="K31" i="87"/>
  <c r="K27" i="87"/>
  <c r="K25" i="87"/>
  <c r="K23" i="87"/>
  <c r="K19" i="87"/>
  <c r="K15" i="87"/>
  <c r="K11" i="87"/>
  <c r="K9" i="87"/>
  <c r="K7" i="87"/>
  <c r="K5" i="87"/>
  <c r="J27" i="87"/>
  <c r="K28" i="87" s="1"/>
  <c r="J11" i="87"/>
  <c r="K12" i="87" s="1"/>
  <c r="J34" i="87"/>
  <c r="K35" i="87" s="1"/>
  <c r="J18" i="87"/>
  <c r="J28" i="87"/>
  <c r="K29" i="87" s="1"/>
  <c r="J29" i="87"/>
  <c r="K30" i="87" s="1"/>
  <c r="J13" i="87"/>
  <c r="K14" i="87" s="1"/>
  <c r="J12" i="87"/>
  <c r="K13" i="87" s="1"/>
  <c r="BU167" i="59" l="1"/>
  <c r="BT167" i="59"/>
  <c r="BS167" i="59"/>
  <c r="BR167" i="59"/>
  <c r="BQ167" i="59"/>
  <c r="BP167" i="59"/>
  <c r="BO167" i="59"/>
  <c r="BN167" i="59"/>
  <c r="BM167" i="59"/>
  <c r="BL167" i="59"/>
  <c r="BK167" i="59"/>
  <c r="BJ167" i="59"/>
  <c r="BI167" i="59"/>
  <c r="BH167" i="59"/>
  <c r="BG167" i="59"/>
  <c r="BF167" i="59"/>
  <c r="BE167" i="59"/>
  <c r="BD167" i="59"/>
  <c r="BC167" i="59"/>
  <c r="BB167" i="59"/>
  <c r="BA167" i="59"/>
  <c r="AZ167" i="59"/>
  <c r="AY167" i="59"/>
  <c r="AX167" i="59"/>
  <c r="AW167" i="59"/>
  <c r="AV167" i="59"/>
  <c r="AU167" i="59"/>
  <c r="AT167" i="59"/>
  <c r="AS167" i="59"/>
  <c r="AR167" i="59"/>
  <c r="AQ167" i="59"/>
  <c r="AP167" i="59"/>
  <c r="AO167" i="59"/>
  <c r="AN167" i="59"/>
  <c r="AM167" i="59"/>
  <c r="AL167" i="59"/>
  <c r="AK167" i="59"/>
  <c r="AJ167" i="59"/>
  <c r="AI167" i="59"/>
  <c r="AH167" i="59"/>
  <c r="AG167" i="59"/>
  <c r="AF167" i="59"/>
  <c r="AE167" i="59"/>
  <c r="AD167" i="59"/>
  <c r="AC167" i="59"/>
  <c r="AB167" i="59"/>
  <c r="AA167" i="59"/>
  <c r="Z167" i="59"/>
  <c r="Y167" i="59"/>
  <c r="X167" i="59"/>
  <c r="W167" i="59"/>
  <c r="V167" i="59"/>
  <c r="U167" i="59"/>
  <c r="T167" i="59"/>
  <c r="S167" i="59"/>
  <c r="R167" i="59"/>
  <c r="Q167" i="59"/>
  <c r="P167" i="59"/>
  <c r="O167" i="59"/>
  <c r="N167" i="59"/>
  <c r="M167" i="59"/>
  <c r="L167" i="59"/>
  <c r="BW165" i="59"/>
  <c r="BV165" i="59"/>
  <c r="BW164" i="59"/>
  <c r="BV164" i="59"/>
  <c r="L164" i="64" s="1"/>
  <c r="EY164" i="64" s="1"/>
  <c r="BW163" i="59"/>
  <c r="BV163" i="59"/>
  <c r="BW162" i="59"/>
  <c r="BV162" i="59"/>
  <c r="L162" i="64" s="1"/>
  <c r="EY162" i="64" s="1"/>
  <c r="BW161" i="59"/>
  <c r="BV161" i="59"/>
  <c r="BW160" i="59"/>
  <c r="BV160" i="59"/>
  <c r="BW159" i="59"/>
  <c r="BV159" i="59"/>
  <c r="L159" i="64" s="1"/>
  <c r="BW158" i="59"/>
  <c r="BV158" i="59"/>
  <c r="BW157" i="59"/>
  <c r="BV157" i="59"/>
  <c r="L157" i="64" s="1"/>
  <c r="EY157" i="64" s="1"/>
  <c r="BW156" i="59"/>
  <c r="BV156" i="59"/>
  <c r="BW155" i="59"/>
  <c r="BV155" i="59"/>
  <c r="BW154" i="59"/>
  <c r="BV154" i="59"/>
  <c r="L154" i="64" s="1"/>
  <c r="EY154" i="64" s="1"/>
  <c r="BW153" i="59"/>
  <c r="BV153" i="59"/>
  <c r="BW152" i="59"/>
  <c r="BV152" i="59"/>
  <c r="L152" i="64" s="1"/>
  <c r="EY152" i="64" s="1"/>
  <c r="BW151" i="59"/>
  <c r="BV151" i="59"/>
  <c r="BW150" i="59"/>
  <c r="BV150" i="59"/>
  <c r="BW149" i="59"/>
  <c r="BV149" i="59"/>
  <c r="L149" i="64" s="1"/>
  <c r="BW148" i="59"/>
  <c r="BV148" i="59"/>
  <c r="BW147" i="59"/>
  <c r="BV147" i="59"/>
  <c r="L147" i="64" s="1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EY142" i="64" s="1"/>
  <c r="BW141" i="59"/>
  <c r="BV141" i="59"/>
  <c r="BW140" i="59"/>
  <c r="BV140" i="59"/>
  <c r="BW139" i="59"/>
  <c r="BV139" i="59"/>
  <c r="L139" i="64" s="1"/>
  <c r="EY139" i="64" s="1"/>
  <c r="BW138" i="59"/>
  <c r="BV138" i="59"/>
  <c r="BW137" i="59"/>
  <c r="BV137" i="59"/>
  <c r="L137" i="64" s="1"/>
  <c r="EY137" i="64" s="1"/>
  <c r="BW136" i="59"/>
  <c r="BV136" i="59"/>
  <c r="BW135" i="59"/>
  <c r="BV135" i="59"/>
  <c r="BW134" i="59"/>
  <c r="BV134" i="59"/>
  <c r="L134" i="64" s="1"/>
  <c r="BW133" i="59"/>
  <c r="BV133" i="59"/>
  <c r="BW132" i="59"/>
  <c r="BV132" i="59"/>
  <c r="L132" i="64" s="1"/>
  <c r="EY132" i="64" s="1"/>
  <c r="BW131" i="59"/>
  <c r="BV131" i="59"/>
  <c r="BW130" i="59"/>
  <c r="BV130" i="59"/>
  <c r="BW129" i="59"/>
  <c r="BV129" i="59"/>
  <c r="L129" i="64" s="1"/>
  <c r="BW128" i="59"/>
  <c r="BV128" i="59"/>
  <c r="BW127" i="59"/>
  <c r="BV127" i="59"/>
  <c r="L127" i="64" s="1"/>
  <c r="EY127" i="64" s="1"/>
  <c r="BW126" i="59"/>
  <c r="BV126" i="59"/>
  <c r="BW125" i="59"/>
  <c r="BV125" i="59"/>
  <c r="BW124" i="59"/>
  <c r="BV124" i="59"/>
  <c r="L124" i="64" s="1"/>
  <c r="BW123" i="59"/>
  <c r="BV123" i="59"/>
  <c r="BW122" i="59"/>
  <c r="BV122" i="59"/>
  <c r="L122" i="64" s="1"/>
  <c r="EY122" i="64" s="1"/>
  <c r="BW121" i="59"/>
  <c r="BV121" i="59"/>
  <c r="BW120" i="59"/>
  <c r="BV120" i="59"/>
  <c r="BW119" i="59"/>
  <c r="BV119" i="59"/>
  <c r="L119" i="64" s="1"/>
  <c r="EY119" i="64" s="1"/>
  <c r="BW118" i="59"/>
  <c r="BV118" i="59"/>
  <c r="BW117" i="59"/>
  <c r="BV117" i="59"/>
  <c r="L117" i="64" s="1"/>
  <c r="EY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EY112" i="64" s="1"/>
  <c r="BW111" i="59"/>
  <c r="BV111" i="59"/>
  <c r="BW110" i="59"/>
  <c r="BV110" i="59"/>
  <c r="BW109" i="59"/>
  <c r="BV109" i="59"/>
  <c r="L109" i="64" s="1"/>
  <c r="EY109" i="64" s="1"/>
  <c r="BW108" i="59"/>
  <c r="BV108" i="59"/>
  <c r="BW107" i="59"/>
  <c r="BV107" i="59"/>
  <c r="L107" i="64" s="1"/>
  <c r="EY107" i="64" s="1"/>
  <c r="BW106" i="59"/>
  <c r="BV106" i="59"/>
  <c r="BW105" i="59"/>
  <c r="BV105" i="59"/>
  <c r="BW104" i="59"/>
  <c r="BV104" i="59"/>
  <c r="L104" i="64" s="1"/>
  <c r="BW103" i="59"/>
  <c r="BV103" i="59"/>
  <c r="BW102" i="59"/>
  <c r="BV102" i="59"/>
  <c r="L102" i="64" s="1"/>
  <c r="EY102" i="64" s="1"/>
  <c r="BW101" i="59"/>
  <c r="BV101" i="59"/>
  <c r="BW100" i="59"/>
  <c r="BV100" i="59"/>
  <c r="BW99" i="59"/>
  <c r="BV99" i="59"/>
  <c r="L99" i="64" s="1"/>
  <c r="EY99" i="64" s="1"/>
  <c r="BW98" i="59"/>
  <c r="BV98" i="59"/>
  <c r="BW97" i="59"/>
  <c r="BV97" i="59"/>
  <c r="L97" i="64" s="1"/>
  <c r="EY97" i="64" s="1"/>
  <c r="BW96" i="59"/>
  <c r="BV96" i="59"/>
  <c r="BW95" i="59"/>
  <c r="BV95" i="59"/>
  <c r="L95" i="64" s="1"/>
  <c r="BW94" i="59"/>
  <c r="BV94" i="59"/>
  <c r="L94" i="64" s="1"/>
  <c r="EY94" i="64" s="1"/>
  <c r="BW93" i="59"/>
  <c r="BV93" i="59"/>
  <c r="L93" i="64" s="1"/>
  <c r="BW92" i="59"/>
  <c r="M92" i="64" s="1"/>
  <c r="BV92" i="59"/>
  <c r="L92" i="64" s="1"/>
  <c r="BW91" i="59"/>
  <c r="BV91" i="59"/>
  <c r="L91" i="64" s="1"/>
  <c r="BW90" i="59"/>
  <c r="BV90" i="59"/>
  <c r="BW89" i="59"/>
  <c r="BV89" i="59"/>
  <c r="L89" i="64" s="1"/>
  <c r="BW88" i="59"/>
  <c r="BV88" i="59"/>
  <c r="BW87" i="59"/>
  <c r="BV87" i="59"/>
  <c r="L87" i="64" s="1"/>
  <c r="EY87" i="64" s="1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EY82" i="64" s="1"/>
  <c r="BW81" i="59"/>
  <c r="BV81" i="59"/>
  <c r="BW80" i="59"/>
  <c r="BV80" i="59"/>
  <c r="BW79" i="59"/>
  <c r="BV79" i="59"/>
  <c r="L79" i="64" s="1"/>
  <c r="EY79" i="64" s="1"/>
  <c r="BW78" i="59"/>
  <c r="BV78" i="59"/>
  <c r="BW77" i="59"/>
  <c r="BV77" i="59"/>
  <c r="L77" i="64" s="1"/>
  <c r="EY77" i="64" s="1"/>
  <c r="BW76" i="59"/>
  <c r="BV76" i="59"/>
  <c r="BW75" i="59"/>
  <c r="BV75" i="59"/>
  <c r="BW74" i="59"/>
  <c r="BV74" i="59"/>
  <c r="L74" i="64" s="1"/>
  <c r="BW73" i="59"/>
  <c r="BV73" i="59"/>
  <c r="BW72" i="59"/>
  <c r="BV72" i="59"/>
  <c r="L72" i="64" s="1"/>
  <c r="EY72" i="64" s="1"/>
  <c r="BW71" i="59"/>
  <c r="BV71" i="59"/>
  <c r="BW70" i="59"/>
  <c r="BV70" i="59"/>
  <c r="BW69" i="59"/>
  <c r="BV69" i="59"/>
  <c r="L69" i="64" s="1"/>
  <c r="EY69" i="64" s="1"/>
  <c r="BW68" i="59"/>
  <c r="BV68" i="59"/>
  <c r="BW67" i="59"/>
  <c r="BV67" i="59"/>
  <c r="L67" i="64" s="1"/>
  <c r="EY67" i="64" s="1"/>
  <c r="BW66" i="59"/>
  <c r="BV66" i="59"/>
  <c r="BW65" i="59"/>
  <c r="BV65" i="59"/>
  <c r="BW64" i="59"/>
  <c r="BV64" i="59"/>
  <c r="BW63" i="59"/>
  <c r="BV63" i="59"/>
  <c r="BW62" i="59"/>
  <c r="BV62" i="59"/>
  <c r="BW61" i="59"/>
  <c r="BV61" i="59"/>
  <c r="BW60" i="59"/>
  <c r="BV60" i="59"/>
  <c r="BW59" i="59"/>
  <c r="BV59" i="59"/>
  <c r="L59" i="64" s="1"/>
  <c r="EY59" i="64" s="1"/>
  <c r="BW58" i="59"/>
  <c r="BV58" i="59"/>
  <c r="BW57" i="59"/>
  <c r="BV57" i="59"/>
  <c r="L57" i="64" s="1"/>
  <c r="BW56" i="59"/>
  <c r="BV56" i="59"/>
  <c r="BW55" i="59"/>
  <c r="BV55" i="59"/>
  <c r="BW54" i="59"/>
  <c r="BV54" i="59"/>
  <c r="BW53" i="59"/>
  <c r="BV53" i="59"/>
  <c r="BW52" i="59"/>
  <c r="BV52" i="59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EY47" i="64" s="1"/>
  <c r="BW46" i="59"/>
  <c r="BV46" i="59"/>
  <c r="BW45" i="59"/>
  <c r="BV45" i="59"/>
  <c r="BW44" i="59"/>
  <c r="BV44" i="59"/>
  <c r="BW43" i="59"/>
  <c r="BV43" i="59"/>
  <c r="BW42" i="59"/>
  <c r="BV42" i="59"/>
  <c r="BW41" i="59"/>
  <c r="BV41" i="59"/>
  <c r="BW40" i="59"/>
  <c r="BV40" i="59"/>
  <c r="BW39" i="59"/>
  <c r="BV39" i="59"/>
  <c r="L39" i="64" s="1"/>
  <c r="EY39" i="64" s="1"/>
  <c r="BW38" i="59"/>
  <c r="BV38" i="59"/>
  <c r="BW37" i="59"/>
  <c r="BV37" i="59"/>
  <c r="L37" i="64" s="1"/>
  <c r="BW36" i="59"/>
  <c r="BV36" i="59"/>
  <c r="BW35" i="59"/>
  <c r="BV35" i="59"/>
  <c r="BW34" i="59"/>
  <c r="BV34" i="59"/>
  <c r="BW33" i="59"/>
  <c r="BV33" i="59"/>
  <c r="BW32" i="59"/>
  <c r="BV32" i="59"/>
  <c r="BW31" i="59"/>
  <c r="BV31" i="59"/>
  <c r="BW30" i="59"/>
  <c r="BV30" i="59"/>
  <c r="BW29" i="59"/>
  <c r="BV29" i="59"/>
  <c r="L29" i="64" s="1"/>
  <c r="EY29" i="64" s="1"/>
  <c r="BW28" i="59"/>
  <c r="BV28" i="59"/>
  <c r="BW27" i="59"/>
  <c r="BV27" i="59"/>
  <c r="L27" i="64" s="1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L19" i="64" s="1"/>
  <c r="EY19" i="64" s="1"/>
  <c r="BW18" i="59"/>
  <c r="BV18" i="59"/>
  <c r="BW17" i="59"/>
  <c r="BV17" i="59"/>
  <c r="L17" i="64" s="1"/>
  <c r="BW16" i="59"/>
  <c r="BV16" i="59"/>
  <c r="BW15" i="59"/>
  <c r="BV15" i="59"/>
  <c r="L15" i="64" s="1"/>
  <c r="BW14" i="59"/>
  <c r="BV14" i="59"/>
  <c r="L14" i="64" s="1"/>
  <c r="BW13" i="59"/>
  <c r="BV13" i="59"/>
  <c r="L13" i="64" s="1"/>
  <c r="BW12" i="59"/>
  <c r="BV12" i="59"/>
  <c r="L12" i="64" s="1"/>
  <c r="BW11" i="59"/>
  <c r="BV11" i="59"/>
  <c r="L11" i="64" s="1"/>
  <c r="Q167" i="64"/>
  <c r="R167" i="64" s="1"/>
  <c r="S167" i="64" s="1"/>
  <c r="T167" i="64" s="1"/>
  <c r="U167" i="64" s="1"/>
  <c r="V167" i="64" s="1"/>
  <c r="W167" i="64" s="1"/>
  <c r="X167" i="64" s="1"/>
  <c r="Y167" i="64" s="1"/>
  <c r="Z167" i="64" s="1"/>
  <c r="AA167" i="64" s="1"/>
  <c r="AB167" i="64" s="1"/>
  <c r="AC167" i="64" s="1"/>
  <c r="AD167" i="64" s="1"/>
  <c r="AE167" i="64" s="1"/>
  <c r="AF167" i="64" s="1"/>
  <c r="AG167" i="64" s="1"/>
  <c r="AH167" i="64" s="1"/>
  <c r="AI167" i="64" s="1"/>
  <c r="AJ167" i="64" s="1"/>
  <c r="AK167" i="64" s="1"/>
  <c r="AL167" i="64" s="1"/>
  <c r="AM167" i="64" s="1"/>
  <c r="AN167" i="64" s="1"/>
  <c r="AO167" i="64" s="1"/>
  <c r="AP167" i="64" s="1"/>
  <c r="AQ167" i="64" s="1"/>
  <c r="AR167" i="64" s="1"/>
  <c r="AS167" i="64" s="1"/>
  <c r="AT167" i="64" s="1"/>
  <c r="AU167" i="64" s="1"/>
  <c r="AV167" i="64" s="1"/>
  <c r="AW167" i="64" s="1"/>
  <c r="AX167" i="64" s="1"/>
  <c r="AY167" i="64" s="1"/>
  <c r="AZ167" i="64" s="1"/>
  <c r="BA167" i="64" s="1"/>
  <c r="BB167" i="64" s="1"/>
  <c r="BC167" i="64" s="1"/>
  <c r="BD167" i="64" s="1"/>
  <c r="BE167" i="64" s="1"/>
  <c r="BF167" i="64" s="1"/>
  <c r="BG167" i="64" s="1"/>
  <c r="BH167" i="64" s="1"/>
  <c r="BI167" i="64" s="1"/>
  <c r="BJ167" i="64" s="1"/>
  <c r="BK167" i="64" s="1"/>
  <c r="BL167" i="64" s="1"/>
  <c r="BM167" i="64" s="1"/>
  <c r="BN167" i="64" s="1"/>
  <c r="BO167" i="64" s="1"/>
  <c r="BP167" i="64" s="1"/>
  <c r="BQ167" i="64" s="1"/>
  <c r="BR167" i="64" s="1"/>
  <c r="BS167" i="64" s="1"/>
  <c r="BT167" i="64" s="1"/>
  <c r="BU167" i="64" s="1"/>
  <c r="BV167" i="64" s="1"/>
  <c r="BW167" i="64" s="1"/>
  <c r="BX167" i="64" s="1"/>
  <c r="BY167" i="64" s="1"/>
  <c r="BZ167" i="64" s="1"/>
  <c r="CA167" i="64" s="1"/>
  <c r="CB167" i="64" s="1"/>
  <c r="CC167" i="64" s="1"/>
  <c r="CD167" i="64" s="1"/>
  <c r="CE167" i="64" s="1"/>
  <c r="CF167" i="64" s="1"/>
  <c r="CG167" i="64" s="1"/>
  <c r="CH167" i="64" s="1"/>
  <c r="CI167" i="64" s="1"/>
  <c r="CJ167" i="64" s="1"/>
  <c r="CK167" i="64" s="1"/>
  <c r="CL167" i="64" s="1"/>
  <c r="CM167" i="64" s="1"/>
  <c r="CN167" i="64" s="1"/>
  <c r="CO167" i="64" s="1"/>
  <c r="CP167" i="64" s="1"/>
  <c r="CQ167" i="64" s="1"/>
  <c r="CR167" i="64" s="1"/>
  <c r="CS167" i="64" s="1"/>
  <c r="CT167" i="64" s="1"/>
  <c r="CU167" i="64" s="1"/>
  <c r="CV167" i="64" s="1"/>
  <c r="CW167" i="64" s="1"/>
  <c r="CX167" i="64" s="1"/>
  <c r="CY167" i="64" s="1"/>
  <c r="CZ167" i="64" s="1"/>
  <c r="DA167" i="64" s="1"/>
  <c r="DB167" i="64" s="1"/>
  <c r="DC167" i="64" s="1"/>
  <c r="DD167" i="64" s="1"/>
  <c r="DE167" i="64" s="1"/>
  <c r="DF167" i="64" s="1"/>
  <c r="DG167" i="64" s="1"/>
  <c r="DH167" i="64" s="1"/>
  <c r="DI167" i="64" s="1"/>
  <c r="DJ167" i="64" s="1"/>
  <c r="DK167" i="64" s="1"/>
  <c r="DL167" i="64" s="1"/>
  <c r="DM167" i="64" s="1"/>
  <c r="DN167" i="64" s="1"/>
  <c r="DO167" i="64" s="1"/>
  <c r="DP167" i="64" s="1"/>
  <c r="DQ167" i="64" s="1"/>
  <c r="DR167" i="64" s="1"/>
  <c r="DS167" i="64" s="1"/>
  <c r="DT167" i="64" s="1"/>
  <c r="DU167" i="64" s="1"/>
  <c r="DV167" i="64" s="1"/>
  <c r="DW167" i="64" s="1"/>
  <c r="DX167" i="64" s="1"/>
  <c r="DY167" i="64" s="1"/>
  <c r="DZ167" i="64" s="1"/>
  <c r="EA167" i="64" s="1"/>
  <c r="EB167" i="64" s="1"/>
  <c r="EC167" i="64" s="1"/>
  <c r="ED167" i="64" s="1"/>
  <c r="EE167" i="64" s="1"/>
  <c r="EF167" i="64" s="1"/>
  <c r="EG167" i="64" s="1"/>
  <c r="EH167" i="64" s="1"/>
  <c r="EI167" i="64" s="1"/>
  <c r="EJ167" i="64" s="1"/>
  <c r="EK167" i="64" s="1"/>
  <c r="EL167" i="64" s="1"/>
  <c r="EM167" i="64" s="1"/>
  <c r="EN167" i="64" s="1"/>
  <c r="EO167" i="64" s="1"/>
  <c r="EP167" i="64" s="1"/>
  <c r="EQ167" i="64" s="1"/>
  <c r="M165" i="64"/>
  <c r="L165" i="64"/>
  <c r="M164" i="64"/>
  <c r="M163" i="64"/>
  <c r="L163" i="64"/>
  <c r="M162" i="64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 s="1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F161" i="64"/>
  <c r="FD161" i="64"/>
  <c r="FC161" i="64"/>
  <c r="EX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M157" i="64"/>
  <c r="M156" i="64"/>
  <c r="EY156" i="64" s="1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Y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 s="1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FD156" i="64"/>
  <c r="FC156" i="64"/>
  <c r="EX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M152" i="64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F151" i="64"/>
  <c r="FD151" i="64"/>
  <c r="FC151" i="64"/>
  <c r="EX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EY148" i="64" s="1"/>
  <c r="M147" i="64"/>
  <c r="M146" i="64"/>
  <c r="EY146" i="64" s="1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FB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FD146" i="64" s="1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A146" i="64" s="1"/>
  <c r="FF146" i="64"/>
  <c r="EX146" i="64" s="1"/>
  <c r="FC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M142" i="64"/>
  <c r="M141" i="64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FD141" i="64"/>
  <c r="FC141" i="64"/>
  <c r="EX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L138" i="64"/>
  <c r="M137" i="64"/>
  <c r="M136" i="64"/>
  <c r="EY136" i="64" s="1"/>
  <c r="L136" i="64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F136" i="64"/>
  <c r="FD136" i="64"/>
  <c r="FC136" i="64"/>
  <c r="EX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L133" i="64"/>
  <c r="M132" i="64"/>
  <c r="M131" i="64"/>
  <c r="EY131" i="64" s="1"/>
  <c r="L131" i="64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Y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 s="1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F131" i="64"/>
  <c r="FD131" i="64"/>
  <c r="FC131" i="64"/>
  <c r="EX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M127" i="64"/>
  <c r="M126" i="64"/>
  <c r="EY126" i="64" s="1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F126" i="64"/>
  <c r="FD126" i="64"/>
  <c r="FC126" i="64"/>
  <c r="EX126" i="64"/>
  <c r="EW126" i="64"/>
  <c r="EU126" i="64"/>
  <c r="ET126" i="64"/>
  <c r="ES126" i="64"/>
  <c r="ER126" i="64"/>
  <c r="EQ126" i="64"/>
  <c r="EP126" i="64"/>
  <c r="M125" i="64"/>
  <c r="L125" i="64"/>
  <c r="M124" i="64"/>
  <c r="M123" i="64"/>
  <c r="EY123" i="64" s="1"/>
  <c r="L123" i="64"/>
  <c r="M122" i="64"/>
  <c r="M121" i="64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FD121" i="64"/>
  <c r="FC121" i="64"/>
  <c r="EX121" i="64"/>
  <c r="EW121" i="64"/>
  <c r="EU121" i="64"/>
  <c r="ET121" i="64"/>
  <c r="ES121" i="64"/>
  <c r="ER121" i="64"/>
  <c r="EQ121" i="64"/>
  <c r="EP121" i="64"/>
  <c r="M120" i="64"/>
  <c r="L120" i="64"/>
  <c r="M119" i="64"/>
  <c r="M118" i="64"/>
  <c r="L118" i="64"/>
  <c r="M117" i="64"/>
  <c r="M116" i="64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FD116" i="64"/>
  <c r="FC116" i="64"/>
  <c r="EX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EY113" i="64" s="1"/>
  <c r="L113" i="64"/>
  <c r="M112" i="64"/>
  <c r="M111" i="64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FD111" i="64"/>
  <c r="FC111" i="64"/>
  <c r="EX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M107" i="64"/>
  <c r="M106" i="64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F106" i="64"/>
  <c r="FD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EY103" i="64" s="1"/>
  <c r="L103" i="64"/>
  <c r="M102" i="64"/>
  <c r="M101" i="64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A101" i="64" s="1"/>
  <c r="FF101" i="64"/>
  <c r="FD101" i="64"/>
  <c r="FC101" i="64"/>
  <c r="EX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L98" i="64"/>
  <c r="M97" i="64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FD96" i="64"/>
  <c r="FC96" i="64"/>
  <c r="EX96" i="64"/>
  <c r="EW96" i="64"/>
  <c r="EU96" i="64"/>
  <c r="ET96" i="64"/>
  <c r="ES96" i="64"/>
  <c r="ER96" i="64"/>
  <c r="EQ96" i="64"/>
  <c r="EP96" i="64"/>
  <c r="M95" i="64"/>
  <c r="M94" i="64"/>
  <c r="M93" i="64"/>
  <c r="M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X86" i="64"/>
  <c r="EW86" i="64"/>
  <c r="EU86" i="64"/>
  <c r="ET86" i="64"/>
  <c r="ES86" i="64"/>
  <c r="ER86" i="64"/>
  <c r="EQ86" i="64"/>
  <c r="EP86" i="64"/>
  <c r="M85" i="64"/>
  <c r="L85" i="64"/>
  <c r="M84" i="64"/>
  <c r="M83" i="64"/>
  <c r="EY83" i="64" s="1"/>
  <c r="L83" i="64"/>
  <c r="M82" i="64"/>
  <c r="M81" i="64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EY78" i="64" s="1"/>
  <c r="M77" i="64"/>
  <c r="M76" i="64"/>
  <c r="L76" i="64"/>
  <c r="EY76" i="64" s="1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V78" i="64" s="1"/>
  <c r="ER78" i="64"/>
  <c r="EQ78" i="64"/>
  <c r="EP78" i="64"/>
  <c r="IA77" i="64"/>
  <c r="HZ77" i="64"/>
  <c r="HY77" i="64"/>
  <c r="GL77" i="64"/>
  <c r="FD77" i="64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M72" i="64"/>
  <c r="M71" i="64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M67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FD66" i="64" s="1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L64" i="64"/>
  <c r="EY64" i="64" s="1"/>
  <c r="M63" i="64"/>
  <c r="L63" i="64"/>
  <c r="M62" i="64"/>
  <c r="L62" i="64"/>
  <c r="EY62" i="64" s="1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Y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A61" i="64" s="1"/>
  <c r="FF61" i="64"/>
  <c r="FD61" i="64"/>
  <c r="FC61" i="64"/>
  <c r="EY61" i="64"/>
  <c r="EX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EY58" i="64" s="1"/>
  <c r="M57" i="64"/>
  <c r="M56" i="64"/>
  <c r="L56" i="64"/>
  <c r="EY56" i="64" s="1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V58" i="64" s="1"/>
  <c r="ER58" i="64"/>
  <c r="EQ58" i="64"/>
  <c r="EP58" i="64"/>
  <c r="IA57" i="64"/>
  <c r="HZ57" i="64"/>
  <c r="HY57" i="64"/>
  <c r="GL57" i="64"/>
  <c r="FD57" i="64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D56" i="64"/>
  <c r="FC56" i="64"/>
  <c r="EX56" i="64"/>
  <c r="EW56" i="64"/>
  <c r="EU56" i="64"/>
  <c r="ET56" i="64"/>
  <c r="ES56" i="64"/>
  <c r="ER56" i="64"/>
  <c r="EQ56" i="64"/>
  <c r="EP56" i="64"/>
  <c r="M55" i="64"/>
  <c r="L55" i="64"/>
  <c r="M54" i="64"/>
  <c r="L54" i="64"/>
  <c r="EY54" i="64" s="1"/>
  <c r="M53" i="64"/>
  <c r="L53" i="64"/>
  <c r="M52" i="64"/>
  <c r="L52" i="64"/>
  <c r="EY52" i="64" s="1"/>
  <c r="M51" i="64"/>
  <c r="EY51" i="64" s="1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Y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FD51" i="64" s="1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M48" i="64"/>
  <c r="L48" i="64"/>
  <c r="M47" i="64"/>
  <c r="M46" i="64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V50" i="64" s="1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/>
  <c r="FC48" i="64"/>
  <c r="FA48" i="64"/>
  <c r="EZ48" i="64"/>
  <c r="EY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FD46" i="64"/>
  <c r="FC46" i="64"/>
  <c r="EY46" i="64"/>
  <c r="EX46" i="64"/>
  <c r="EW46" i="64"/>
  <c r="EU46" i="64"/>
  <c r="ET46" i="64"/>
  <c r="ES46" i="64"/>
  <c r="ER46" i="64"/>
  <c r="EQ46" i="64"/>
  <c r="EP46" i="64"/>
  <c r="M45" i="64"/>
  <c r="L45" i="64"/>
  <c r="M44" i="64"/>
  <c r="L44" i="64"/>
  <c r="EY44" i="64" s="1"/>
  <c r="M43" i="64"/>
  <c r="L43" i="64"/>
  <c r="M42" i="64"/>
  <c r="L42" i="64"/>
  <c r="EY42" i="64" s="1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Y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A41" i="64" s="1"/>
  <c r="FF41" i="64"/>
  <c r="FD41" i="64"/>
  <c r="FC41" i="64"/>
  <c r="EY41" i="64"/>
  <c r="EX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EY38" i="64" s="1"/>
  <c r="M37" i="64"/>
  <c r="M36" i="64"/>
  <c r="L36" i="64"/>
  <c r="EY36" i="64" s="1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V38" i="64" s="1"/>
  <c r="ER38" i="64"/>
  <c r="EQ38" i="64"/>
  <c r="EP38" i="64"/>
  <c r="IA37" i="64"/>
  <c r="HZ37" i="64"/>
  <c r="HY37" i="64"/>
  <c r="GL37" i="64"/>
  <c r="FD37" i="64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4" i="64"/>
  <c r="L34" i="64"/>
  <c r="EY34" i="64" s="1"/>
  <c r="M33" i="64"/>
  <c r="EY33" i="64" s="1"/>
  <c r="L33" i="64"/>
  <c r="M32" i="64"/>
  <c r="L32" i="64"/>
  <c r="EY32" i="64" s="1"/>
  <c r="M31" i="64"/>
  <c r="EY31" i="64" s="1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A31" i="64" s="1"/>
  <c r="FF31" i="64"/>
  <c r="FD31" i="64"/>
  <c r="FC31" i="64"/>
  <c r="EX31" i="64"/>
  <c r="EW31" i="64"/>
  <c r="EU31" i="64"/>
  <c r="ET31" i="64"/>
  <c r="ES31" i="64"/>
  <c r="ER31" i="64"/>
  <c r="EQ31" i="64"/>
  <c r="EP31" i="64"/>
  <c r="M30" i="64"/>
  <c r="L30" i="64"/>
  <c r="M29" i="64"/>
  <c r="M28" i="64"/>
  <c r="L28" i="64"/>
  <c r="EY28" i="64" s="1"/>
  <c r="M27" i="64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L24" i="64"/>
  <c r="EY24" i="64" s="1"/>
  <c r="M23" i="64"/>
  <c r="L23" i="64"/>
  <c r="EY23" i="64" s="1"/>
  <c r="M22" i="64"/>
  <c r="L22" i="64"/>
  <c r="EY22" i="64" s="1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D21" i="64"/>
  <c r="FC21" i="64"/>
  <c r="EY21" i="64"/>
  <c r="EX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EY18" i="64" s="1"/>
  <c r="M17" i="64"/>
  <c r="M16" i="64"/>
  <c r="L16" i="64"/>
  <c r="EY16" i="64" s="1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EX16" i="64" s="1"/>
  <c r="FC16" i="64"/>
  <c r="EW16" i="64"/>
  <c r="EU16" i="64"/>
  <c r="ET16" i="64"/>
  <c r="ES16" i="64"/>
  <c r="ER16" i="64"/>
  <c r="EQ16" i="64"/>
  <c r="EP16" i="64"/>
  <c r="M15" i="64"/>
  <c r="M14" i="64"/>
  <c r="M13" i="64"/>
  <c r="M12" i="64"/>
  <c r="M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FB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V12" i="64" s="1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FD11" i="64" s="1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EZ11" i="64" s="1"/>
  <c r="FG11" i="64"/>
  <c r="FF11" i="64"/>
  <c r="EX11" i="64" s="1"/>
  <c r="FC11" i="64"/>
  <c r="EW11" i="64"/>
  <c r="EU11" i="64"/>
  <c r="ET11" i="64"/>
  <c r="ES11" i="64"/>
  <c r="ER11" i="64"/>
  <c r="EQ11" i="64"/>
  <c r="EP11" i="64"/>
  <c r="EY163" i="64" l="1"/>
  <c r="EY161" i="64"/>
  <c r="EY159" i="64"/>
  <c r="EY153" i="64"/>
  <c r="EY151" i="64"/>
  <c r="EY147" i="64"/>
  <c r="EY149" i="64"/>
  <c r="EY141" i="64"/>
  <c r="EY143" i="64"/>
  <c r="EY144" i="64"/>
  <c r="EY138" i="64"/>
  <c r="EY134" i="64"/>
  <c r="EY129" i="64"/>
  <c r="EY128" i="64"/>
  <c r="EY121" i="64"/>
  <c r="EY124" i="64"/>
  <c r="EY118" i="64"/>
  <c r="EY116" i="64"/>
  <c r="EY111" i="64"/>
  <c r="EY114" i="64"/>
  <c r="EY108" i="64"/>
  <c r="EY106" i="64"/>
  <c r="EY101" i="64"/>
  <c r="EY104" i="64"/>
  <c r="EY98" i="64"/>
  <c r="EY96" i="64"/>
  <c r="EY92" i="64"/>
  <c r="EY91" i="64"/>
  <c r="EY93" i="64"/>
  <c r="EY88" i="64"/>
  <c r="EY89" i="64"/>
  <c r="EY86" i="64"/>
  <c r="EY81" i="64"/>
  <c r="EY84" i="64"/>
  <c r="EY71" i="64"/>
  <c r="EY73" i="64"/>
  <c r="EY74" i="64"/>
  <c r="EY68" i="64"/>
  <c r="EY66" i="64"/>
  <c r="EY57" i="64"/>
  <c r="EY49" i="64"/>
  <c r="EY37" i="64"/>
  <c r="EY27" i="64"/>
  <c r="EY26" i="64"/>
  <c r="EY17" i="64"/>
  <c r="EY12" i="64"/>
  <c r="EY14" i="64"/>
  <c r="EY11" i="64"/>
  <c r="EY13" i="64"/>
  <c r="EV163" i="64"/>
  <c r="EV162" i="64"/>
  <c r="FB165" i="64"/>
  <c r="EV161" i="64"/>
  <c r="FA161" i="64"/>
  <c r="EV164" i="64"/>
  <c r="EV165" i="64"/>
  <c r="EZ161" i="64"/>
  <c r="FE161" i="64" s="1"/>
  <c r="IB161" i="64" s="1"/>
  <c r="EV158" i="64"/>
  <c r="EV157" i="64"/>
  <c r="FB160" i="64"/>
  <c r="EV156" i="64"/>
  <c r="FA156" i="64"/>
  <c r="EV159" i="64"/>
  <c r="EV160" i="64"/>
  <c r="EZ156" i="64"/>
  <c r="FE156" i="64" s="1"/>
  <c r="IB156" i="64" s="1"/>
  <c r="EV153" i="64"/>
  <c r="EV152" i="64"/>
  <c r="FB155" i="64"/>
  <c r="EV151" i="64"/>
  <c r="FA151" i="64"/>
  <c r="EV154" i="64"/>
  <c r="EV155" i="64"/>
  <c r="EZ151" i="64"/>
  <c r="FE151" i="64" s="1"/>
  <c r="IB151" i="64" s="1"/>
  <c r="EV146" i="64"/>
  <c r="EV149" i="64"/>
  <c r="EV150" i="64"/>
  <c r="EZ146" i="64"/>
  <c r="FE146" i="64" s="1"/>
  <c r="IB146" i="64" s="1"/>
  <c r="EV147" i="64"/>
  <c r="EV148" i="64"/>
  <c r="EV143" i="64"/>
  <c r="EV142" i="64"/>
  <c r="FB145" i="64"/>
  <c r="EV141" i="64"/>
  <c r="FA141" i="64"/>
  <c r="EV144" i="64"/>
  <c r="EV145" i="64"/>
  <c r="EZ141" i="64"/>
  <c r="FE141" i="64" s="1"/>
  <c r="IB141" i="64" s="1"/>
  <c r="EV138" i="64"/>
  <c r="EV137" i="64"/>
  <c r="FB140" i="64"/>
  <c r="EV136" i="64"/>
  <c r="FA136" i="64"/>
  <c r="EV139" i="64"/>
  <c r="EV140" i="64"/>
  <c r="EZ136" i="64"/>
  <c r="FE136" i="64" s="1"/>
  <c r="IB136" i="64" s="1"/>
  <c r="EV133" i="64"/>
  <c r="EV132" i="64"/>
  <c r="FB135" i="64"/>
  <c r="EV131" i="64"/>
  <c r="FA131" i="64"/>
  <c r="EV134" i="64"/>
  <c r="EV135" i="64"/>
  <c r="EZ131" i="64"/>
  <c r="FE131" i="64" s="1"/>
  <c r="IB131" i="64" s="1"/>
  <c r="EV128" i="64"/>
  <c r="EV127" i="64"/>
  <c r="FB130" i="64"/>
  <c r="EV126" i="64"/>
  <c r="FA126" i="64"/>
  <c r="EV129" i="64"/>
  <c r="EV130" i="64"/>
  <c r="EZ126" i="64"/>
  <c r="FE126" i="64" s="1"/>
  <c r="IB126" i="64" s="1"/>
  <c r="EV123" i="64"/>
  <c r="EV122" i="64"/>
  <c r="FB125" i="64"/>
  <c r="EV121" i="64"/>
  <c r="FA121" i="64"/>
  <c r="EV124" i="64"/>
  <c r="EV125" i="64"/>
  <c r="EZ121" i="64"/>
  <c r="EV118" i="64"/>
  <c r="EV117" i="64"/>
  <c r="FB120" i="64"/>
  <c r="EV116" i="64"/>
  <c r="FA116" i="64"/>
  <c r="EV119" i="64"/>
  <c r="EV120" i="64"/>
  <c r="EZ116" i="64"/>
  <c r="FE116" i="64" s="1"/>
  <c r="IB116" i="64" s="1"/>
  <c r="EV113" i="64"/>
  <c r="EV112" i="64"/>
  <c r="FB115" i="64"/>
  <c r="EV111" i="64"/>
  <c r="FA111" i="64"/>
  <c r="EV114" i="64"/>
  <c r="EV115" i="64"/>
  <c r="EZ111" i="64"/>
  <c r="FE111" i="64" s="1"/>
  <c r="IB111" i="64" s="1"/>
  <c r="EV108" i="64"/>
  <c r="EV107" i="64"/>
  <c r="FB110" i="64"/>
  <c r="EV106" i="64"/>
  <c r="FA106" i="64"/>
  <c r="EV109" i="64"/>
  <c r="EV110" i="64"/>
  <c r="EZ106" i="64"/>
  <c r="FE106" i="64" s="1"/>
  <c r="IB106" i="64" s="1"/>
  <c r="EV103" i="64"/>
  <c r="EV101" i="64"/>
  <c r="FB105" i="64"/>
  <c r="EV102" i="64"/>
  <c r="EV104" i="64"/>
  <c r="EV105" i="64"/>
  <c r="EZ101" i="64"/>
  <c r="FE101" i="64" s="1"/>
  <c r="IB101" i="64" s="1"/>
  <c r="EV98" i="64"/>
  <c r="EV97" i="64"/>
  <c r="FB100" i="64"/>
  <c r="EV96" i="64"/>
  <c r="FA96" i="64"/>
  <c r="EV99" i="64"/>
  <c r="EV100" i="64"/>
  <c r="EZ96" i="64"/>
  <c r="FE96" i="64" s="1"/>
  <c r="IB96" i="64" s="1"/>
  <c r="EV93" i="64"/>
  <c r="EV92" i="64"/>
  <c r="FB95" i="64"/>
  <c r="EV91" i="64"/>
  <c r="FA91" i="64"/>
  <c r="EV94" i="64"/>
  <c r="EV95" i="64"/>
  <c r="EZ91" i="64"/>
  <c r="FE91" i="64" s="1"/>
  <c r="IB91" i="64" s="1"/>
  <c r="EV88" i="64"/>
  <c r="EV87" i="64"/>
  <c r="FB90" i="64"/>
  <c r="EV86" i="64"/>
  <c r="FA86" i="64"/>
  <c r="EV89" i="64"/>
  <c r="EV90" i="64"/>
  <c r="EZ86" i="64"/>
  <c r="FE86" i="64" s="1"/>
  <c r="IB86" i="64" s="1"/>
  <c r="EV83" i="64"/>
  <c r="EV82" i="64"/>
  <c r="FB85" i="64"/>
  <c r="EV81" i="64"/>
  <c r="FA81" i="64"/>
  <c r="EV84" i="64"/>
  <c r="EV85" i="64"/>
  <c r="EZ81" i="64"/>
  <c r="FE81" i="64" s="1"/>
  <c r="IB81" i="64" s="1"/>
  <c r="EV77" i="64"/>
  <c r="EV79" i="64"/>
  <c r="FB80" i="64"/>
  <c r="EV76" i="64"/>
  <c r="FA76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EV68" i="64"/>
  <c r="EV66" i="64"/>
  <c r="EV67" i="64"/>
  <c r="FB70" i="64"/>
  <c r="FA66" i="64"/>
  <c r="EV69" i="64"/>
  <c r="EV70" i="64"/>
  <c r="EZ66" i="64"/>
  <c r="FE66" i="64" s="1"/>
  <c r="IB66" i="64" s="1"/>
  <c r="EV61" i="64"/>
  <c r="EV63" i="64"/>
  <c r="FB65" i="64"/>
  <c r="EV62" i="64"/>
  <c r="EV64" i="64"/>
  <c r="EV65" i="64"/>
  <c r="EZ61" i="64"/>
  <c r="FE61" i="64" s="1"/>
  <c r="IB61" i="64" s="1"/>
  <c r="EV57" i="64"/>
  <c r="EV59" i="64"/>
  <c r="FB60" i="64"/>
  <c r="EV56" i="64"/>
  <c r="FA56" i="64"/>
  <c r="EV60" i="64"/>
  <c r="EZ56" i="64"/>
  <c r="FE56" i="64" s="1"/>
  <c r="IB56" i="64" s="1"/>
  <c r="EV51" i="64"/>
  <c r="EV53" i="64"/>
  <c r="EV52" i="64"/>
  <c r="FB55" i="64"/>
  <c r="FA51" i="64"/>
  <c r="EV54" i="64"/>
  <c r="EV55" i="64"/>
  <c r="EZ51" i="64"/>
  <c r="FE51" i="64" s="1"/>
  <c r="IB51" i="64" s="1"/>
  <c r="EV48" i="64"/>
  <c r="EV47" i="64"/>
  <c r="EV46" i="64"/>
  <c r="FA46" i="64"/>
  <c r="EV49" i="64"/>
  <c r="FB50" i="64"/>
  <c r="EZ46" i="64"/>
  <c r="EV43" i="64"/>
  <c r="FB45" i="64"/>
  <c r="EV41" i="64"/>
  <c r="EV42" i="64"/>
  <c r="EV44" i="64"/>
  <c r="EV45" i="64"/>
  <c r="EZ41" i="64"/>
  <c r="EV37" i="64"/>
  <c r="EV39" i="64"/>
  <c r="FB40" i="64"/>
  <c r="EV36" i="64"/>
  <c r="FA36" i="64"/>
  <c r="EV40" i="64"/>
  <c r="EZ36" i="64"/>
  <c r="FE36" i="64" s="1"/>
  <c r="IB36" i="64" s="1"/>
  <c r="EV31" i="64"/>
  <c r="EV33" i="64"/>
  <c r="FB35" i="64"/>
  <c r="EV32" i="64"/>
  <c r="EV34" i="64"/>
  <c r="EV35" i="64"/>
  <c r="EZ31" i="64"/>
  <c r="FE31" i="64" s="1"/>
  <c r="IB31" i="64" s="1"/>
  <c r="EV28" i="64"/>
  <c r="EV27" i="64"/>
  <c r="FB30" i="64"/>
  <c r="EV26" i="64"/>
  <c r="FA26" i="64"/>
  <c r="EV29" i="64"/>
  <c r="EV30" i="64"/>
  <c r="EZ26" i="64"/>
  <c r="FE26" i="64" s="1"/>
  <c r="IB26" i="64" s="1"/>
  <c r="EV23" i="64"/>
  <c r="EV22" i="64"/>
  <c r="FB25" i="64"/>
  <c r="EV21" i="64"/>
  <c r="FA21" i="64"/>
  <c r="EV24" i="64"/>
  <c r="EV25" i="64"/>
  <c r="EZ21" i="64"/>
  <c r="FE21" i="64" s="1"/>
  <c r="IB21" i="64" s="1"/>
  <c r="EV17" i="64"/>
  <c r="FA16" i="64"/>
  <c r="EV18" i="64"/>
  <c r="EV19" i="64"/>
  <c r="FB20" i="64"/>
  <c r="EV16" i="64"/>
  <c r="EV20" i="64"/>
  <c r="EZ16" i="64"/>
  <c r="FE16" i="64" s="1"/>
  <c r="IB16" i="64" s="1"/>
  <c r="FA11" i="64"/>
  <c r="EV15" i="64"/>
  <c r="EV14" i="64"/>
  <c r="EV11" i="64"/>
  <c r="EV13" i="64"/>
  <c r="FE121" i="64" l="1"/>
  <c r="IB121" i="64" s="1"/>
  <c r="FE71" i="64"/>
  <c r="IB71" i="64" s="1"/>
  <c r="FE11" i="64"/>
  <c r="IB11" i="64" s="1"/>
  <c r="FE46" i="64"/>
  <c r="IB46" i="64" s="1"/>
  <c r="FE41" i="64"/>
  <c r="IB41" i="64" s="1"/>
  <c r="GN6" i="64"/>
  <c r="H8" i="89"/>
  <c r="D11" i="89" s="1"/>
  <c r="I18" i="90"/>
  <c r="I17" i="90"/>
  <c r="E14" i="90"/>
  <c r="D25" i="89"/>
  <c r="D23" i="89" l="1"/>
  <c r="F10" i="91" s="1"/>
  <c r="D13" i="89"/>
  <c r="E16" i="91" s="1"/>
  <c r="F10" i="90" l="1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8" i="91" l="1"/>
  <c r="F26" i="91"/>
  <c r="F21" i="90"/>
  <c r="F22" i="90"/>
  <c r="F23" i="90"/>
  <c r="C44" i="91"/>
  <c r="F24" i="90" l="1"/>
  <c r="F26" i="90" s="1"/>
  <c r="F30" i="91"/>
  <c r="F32" i="89" s="1"/>
  <c r="F33" i="89" s="1"/>
  <c r="F28" i="90" l="1"/>
  <c r="F30" i="90" s="1"/>
  <c r="D32" i="89" s="1"/>
  <c r="C42" i="90"/>
  <c r="C44" i="90" s="1"/>
  <c r="D33" i="89" l="1"/>
  <c r="I34" i="86" s="1"/>
  <c r="D37" i="89"/>
  <c r="C36" i="89"/>
  <c r="D36" i="89"/>
  <c r="D4" i="87"/>
  <c r="G4" i="87" s="1"/>
  <c r="I4" i="87" l="1"/>
  <c r="E4" i="87"/>
  <c r="J4" i="87" l="1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167" i="64"/>
  <c r="M167" i="64" s="1"/>
  <c r="N167" i="64" s="1"/>
  <c r="O167" i="64" s="1"/>
  <c r="P167" i="64" s="1"/>
  <c r="I26" i="86" l="1"/>
  <c r="I28" i="86"/>
  <c r="I27" i="86"/>
  <c r="B37" i="86"/>
  <c r="B39" i="86"/>
  <c r="D11" i="86"/>
  <c r="ER167" i="64"/>
  <c r="ES167" i="64" s="1"/>
  <c r="ET167" i="64" s="1"/>
  <c r="EU167" i="64" s="1"/>
  <c r="EV167" i="64" s="1"/>
  <c r="EW167" i="64" s="1"/>
  <c r="EX167" i="64" s="1"/>
  <c r="EY167" i="64" s="1"/>
  <c r="EZ167" i="64" s="1"/>
  <c r="FA167" i="64" s="1"/>
  <c r="FB167" i="64" s="1"/>
  <c r="FC167" i="64" s="1"/>
  <c r="FD167" i="64" s="1"/>
  <c r="FE167" i="64" s="1"/>
  <c r="FF167" i="64" s="1"/>
  <c r="FG167" i="64" s="1"/>
  <c r="FH167" i="64" s="1"/>
  <c r="FI167" i="64" s="1"/>
  <c r="FJ167" i="64" s="1"/>
  <c r="FK167" i="64" s="1"/>
  <c r="FL167" i="64" s="1"/>
  <c r="FM167" i="64" s="1"/>
  <c r="FN167" i="64" s="1"/>
  <c r="FO167" i="64" s="1"/>
  <c r="FP167" i="64" s="1"/>
  <c r="FQ167" i="64" s="1"/>
  <c r="FR167" i="64" s="1"/>
  <c r="FS167" i="64" s="1"/>
  <c r="FT167" i="64" s="1"/>
  <c r="FU167" i="64" s="1"/>
  <c r="FV167" i="64" s="1"/>
  <c r="FW167" i="64" s="1"/>
  <c r="FX167" i="64" s="1"/>
  <c r="FY167" i="64" s="1"/>
  <c r="F11" i="86"/>
  <c r="I20" i="86"/>
  <c r="C11" i="86"/>
  <c r="A11" i="68"/>
  <c r="F15" i="68" l="1"/>
  <c r="B35" i="68"/>
  <c r="B37" i="68"/>
  <c r="J3" i="87"/>
  <c r="K4" i="87" s="1"/>
  <c r="I3" i="87" l="1"/>
  <c r="K3" i="87" s="1"/>
  <c r="L166" i="64" l="1"/>
  <c r="M166" i="64" s="1"/>
  <c r="N166" i="64" s="1"/>
  <c r="O166" i="64" s="1"/>
  <c r="P166" i="64" s="1"/>
  <c r="EM166" i="64" s="1"/>
  <c r="EN166" i="64" s="1"/>
  <c r="EO166" i="64" s="1"/>
  <c r="EP166" i="64" s="1"/>
  <c r="EQ166" i="64" s="1"/>
  <c r="ER166" i="64" l="1"/>
  <c r="ES166" i="64" s="1"/>
  <c r="ET166" i="64" s="1"/>
  <c r="EU166" i="64" s="1"/>
  <c r="EV166" i="64" s="1"/>
  <c r="EW166" i="64" s="1"/>
  <c r="EX166" i="64" s="1"/>
  <c r="EY166" i="64" s="1"/>
  <c r="EZ166" i="64" s="1"/>
  <c r="FA166" i="64" s="1"/>
  <c r="FB166" i="64" s="1"/>
  <c r="FC166" i="64" s="1"/>
  <c r="FD166" i="64" s="1"/>
  <c r="FE166" i="64" s="1"/>
  <c r="FF166" i="64" s="1"/>
  <c r="FG166" i="64" s="1"/>
  <c r="FH166" i="64" s="1"/>
  <c r="FI166" i="64" s="1"/>
  <c r="FJ166" i="64" s="1"/>
  <c r="FK166" i="64" s="1"/>
  <c r="FL166" i="64" s="1"/>
  <c r="FM166" i="64" s="1"/>
  <c r="FN166" i="64" s="1"/>
  <c r="FO166" i="64" s="1"/>
  <c r="FP166" i="64" s="1"/>
  <c r="FQ166" i="64" s="1"/>
  <c r="FR166" i="64" s="1"/>
  <c r="FS166" i="64" s="1"/>
  <c r="FT166" i="64" s="1"/>
  <c r="FU166" i="64" s="1"/>
  <c r="FV166" i="64" s="1"/>
  <c r="FW166" i="64" s="1"/>
  <c r="FX166" i="64" s="1"/>
  <c r="FY166" i="64" s="1"/>
  <c r="FZ166" i="64" s="1"/>
  <c r="GA166" i="64" s="1"/>
  <c r="GB166" i="64" s="1"/>
  <c r="GC166" i="64" s="1"/>
  <c r="GD166" i="64" s="1"/>
  <c r="GE166" i="64" s="1"/>
  <c r="GF166" i="64" s="1"/>
  <c r="GG166" i="64" s="1"/>
  <c r="GH166" i="64" s="1"/>
  <c r="GI166" i="64" s="1"/>
  <c r="GJ166" i="64" s="1"/>
  <c r="GK166" i="64" s="1"/>
  <c r="GL166" i="64" s="1"/>
  <c r="GM166" i="64" s="1"/>
  <c r="GN166" i="64" s="1"/>
  <c r="GO166" i="64" s="1"/>
  <c r="GP166" i="64" s="1"/>
  <c r="GQ166" i="64" s="1"/>
  <c r="GR166" i="64" s="1"/>
  <c r="GS166" i="64" s="1"/>
  <c r="GT166" i="64" s="1"/>
  <c r="GU166" i="64" s="1"/>
  <c r="GV166" i="64" s="1"/>
  <c r="GW166" i="64" s="1"/>
  <c r="GX166" i="64" s="1"/>
  <c r="GY166" i="64" s="1"/>
  <c r="GZ166" i="64" s="1"/>
  <c r="HA166" i="64" s="1"/>
  <c r="HB166" i="64" s="1"/>
  <c r="HC166" i="64" s="1"/>
  <c r="HD166" i="64" s="1"/>
  <c r="HE166" i="64" s="1"/>
  <c r="HF166" i="64" s="1"/>
  <c r="HG166" i="64" s="1"/>
  <c r="HH166" i="64" s="1"/>
  <c r="HI166" i="64" s="1"/>
  <c r="HJ166" i="64" s="1"/>
  <c r="HK166" i="64" s="1"/>
  <c r="HL166" i="64" s="1"/>
  <c r="HM166" i="64" s="1"/>
  <c r="HN166" i="64" s="1"/>
  <c r="HO166" i="64" s="1"/>
  <c r="HP166" i="64" s="1"/>
  <c r="HQ166" i="64" s="1"/>
  <c r="HR166" i="64" s="1"/>
  <c r="HS166" i="64" s="1"/>
  <c r="HT166" i="64" s="1"/>
  <c r="HU166" i="64" s="1"/>
  <c r="HV166" i="64" s="1"/>
  <c r="HW166" i="64" s="1"/>
  <c r="HX166" i="64" s="1"/>
  <c r="HY166" i="64" s="1"/>
  <c r="HZ166" i="64" s="1"/>
  <c r="IA166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167" i="59"/>
  <c r="L6" i="64"/>
  <c r="E29" i="86" s="1"/>
  <c r="BV167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T16" i="66"/>
  <c r="V16" i="66"/>
  <c r="U16" i="66"/>
  <c r="X16" i="66"/>
  <c r="I31" i="86" l="1"/>
  <c r="I16" i="66"/>
  <c r="M16" i="66"/>
  <c r="J16" i="66"/>
  <c r="L16" i="66"/>
  <c r="H16" i="66"/>
  <c r="K16" i="66"/>
  <c r="H30" i="68"/>
  <c r="H26" i="68"/>
  <c r="H27" i="68"/>
  <c r="H28" i="68"/>
  <c r="G11" i="86" l="1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35" i="13"/>
  <c r="J2" i="13"/>
  <c r="J35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<sst xmlns="http://schemas.openxmlformats.org/spreadsheetml/2006/main" count="12374" uniqueCount="3385">
  <si>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</si>
  <si>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</si>
  <si>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</si>
  <si>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</si>
  <si>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</si>
  <si>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</si>
  <si>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</si>
  <si>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</si>
  <si>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</si>
  <si>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</si>
  <si>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</si>
  <si>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</si>
  <si>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</si>
  <si>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</si>
  <si>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</si>
  <si>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</si>
  <si>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</si>
  <si>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</si>
  <si>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</si>
  <si>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</si>
  <si>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</si>
  <si>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</si>
  <si>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</si>
  <si>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</si>
  <si>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</si>
  <si>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</si>
  <si>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</si>
  <si>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</si>
  <si>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</si>
  <si>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</si>
  <si>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</si>
  <si>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</si>
  <si>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</si>
  <si>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</si>
  <si>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</si>
  <si>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</si>
  <si>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</si>
  <si>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</si>
  <si>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</si>
  <si>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</si>
  <si>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</si>
  <si>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</si>
  <si>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</si>
  <si>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</si>
  <si>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</si>
  <si>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</si>
  <si>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</si>
  <si>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</si>
  <si>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</si>
  <si>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</si>
  <si>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</si>
  <si>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</si>
  <si>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</si>
  <si>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</si>
  <si>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</si>
  <si>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</si>
  <si>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</si>
  <si>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</si>
  <si>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</si>
  <si>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</si>
  <si>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</si>
  <si>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</si>
  <si>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</si>
  <si>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</si>
  <si>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</si>
  <si>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</si>
  <si>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</si>
  <si>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</si>
  <si>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</si>
  <si>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</si>
  <si>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</si>
  <si>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</si>
  <si>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</si>
  <si>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</si>
  <si>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</si>
  <si>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</si>
  <si>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</si>
  <si>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</si>
  <si>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</si>
  <si>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</si>
  <si>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</si>
  <si>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</si>
  <si>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</si>
  <si>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</si>
  <si>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</si>
  <si>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</si>
  <si>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</si>
  <si>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</si>
  <si>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</si>
  <si>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</si>
  <si>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</si>
  <si>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</si>
  <si>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</si>
  <si>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</si>
  <si>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</si>
  <si>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</si>
  <si>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</si>
  <si>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</si>
  <si>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</si>
  <si>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</si>
  <si>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</si>
  <si>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</si>
  <si>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</si>
  <si>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</si>
  <si>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</si>
  <si>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</si>
  <si>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</si>
  <si>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</si>
  <si>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</si>
  <si>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</si>
  <si>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</si>
  <si>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</si>
  <si>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</si>
  <si>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</si>
  <si>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</si>
  <si>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</si>
  <si>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</si>
  <si>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</si>
  <si>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</si>
  <si>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</si>
  <si>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</si>
  <si>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</si>
  <si>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</si>
  <si>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</si>
  <si>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</si>
  <si>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</si>
  <si>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</si>
  <si>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</si>
  <si>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</si>
  <si>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</si>
  <si>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</si>
  <si>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</si>
  <si>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</si>
  <si>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</si>
  <si>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</si>
  <si>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</si>
  <si>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</si>
  <si>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</si>
  <si>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</si>
  <si>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</si>
  <si>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</si>
  <si>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</si>
  <si>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</si>
  <si>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</si>
  <si>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</si>
  <si>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</si>
  <si>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</si>
  <si>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</si>
  <si>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</si>
  <si>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</si>
  <si>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</si>
  <si>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</si>
  <si>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</si>
  <si>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</si>
  <si>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</si>
  <si>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</si>
  <si>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</si>
  <si>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</si>
  <si>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</si>
  <si>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</si>
  <si>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</si>
  <si>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</si>
  <si>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</si>
  <si>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</si>
  <si>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</si>
  <si>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</si>
  <si>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</si>
  <si>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</si>
  <si>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</si>
  <si>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</si>
  <si>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</si>
  <si>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</si>
  <si>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</si>
  <si>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</si>
  <si>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</si>
  <si>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</si>
  <si>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</si>
  <si>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</si>
  <si>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</si>
  <si>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</si>
  <si>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</si>
  <si>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</si>
  <si>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</si>
  <si>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</si>
  <si>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</si>
  <si>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</si>
  <si>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</si>
  <si>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</si>
  <si>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</si>
  <si>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</si>
  <si>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</si>
  <si>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</si>
  <si>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</si>
  <si>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</si>
  <si>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</si>
  <si>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</si>
  <si>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</si>
  <si>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</si>
  <si>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</si>
  <si>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</si>
  <si>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</si>
  <si>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</si>
  <si>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</si>
  <si>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</si>
  <si>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</si>
  <si>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</si>
  <si>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</si>
  <si>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</si>
  <si>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</si>
  <si>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</si>
  <si>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</si>
  <si>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</si>
  <si>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</si>
  <si>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</si>
  <si>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</si>
  <si>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</si>
  <si>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</si>
  <si>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</si>
  <si>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</si>
  <si>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</si>
  <si>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</si>
  <si>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</si>
  <si>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</si>
  <si>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</si>
  <si>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</si>
  <si>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</si>
  <si>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</si>
  <si>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</si>
  <si>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</si>
  <si>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</si>
  <si>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</si>
  <si>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</si>
  <si>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</si>
  <si>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</si>
  <si>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</si>
  <si>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</si>
  <si>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</si>
  <si>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</si>
  <si>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</si>
  <si>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</si>
  <si>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</si>
  <si>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</si>
  <si>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</si>
  <si>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</si>
  <si>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</si>
  <si>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</si>
  <si>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</si>
  <si>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</si>
  <si>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</si>
  <si>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</si>
  <si>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</si>
  <si>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</si>
  <si>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</si>
  <si>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</si>
  <si>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</si>
  <si>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</si>
  <si>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</si>
  <si>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</si>
  <si>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</si>
  <si>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</si>
  <si>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</si>
  <si>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</si>
  <si>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</si>
  <si>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</si>
  <si>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</si>
  <si>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</si>
  <si>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</si>
  <si>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</si>
  <si>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</si>
  <si>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</si>
  <si>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</si>
  <si>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</si>
  <si>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</si>
  <si>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</si>
  <si>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</si>
  <si>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</si>
  <si>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</si>
  <si>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</si>
  <si>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</si>
  <si>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</si>
  <si>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</si>
  <si>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</si>
  <si>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</si>
  <si>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</si>
  <si>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</si>
  <si>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</si>
  <si>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</si>
  <si>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</si>
  <si>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</si>
  <si>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</si>
  <si>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</si>
  <si>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</si>
  <si>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</si>
  <si>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</si>
  <si>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</si>
  <si>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</si>
  <si>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</si>
  <si>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</si>
  <si>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</si>
  <si>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</si>
  <si>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</si>
  <si>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</si>
  <si>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</si>
  <si>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</si>
  <si>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</si>
  <si>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</si>
  <si>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</si>
  <si>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</si>
  <si>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</si>
  <si>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</si>
  <si>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</si>
  <si>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</si>
  <si>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</si>
  <si>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</si>
  <si>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</si>
  <si>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</si>
  <si>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</si>
  <si>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</si>
  <si>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</si>
  <si>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</si>
  <si>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</si>
  <si>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</si>
  <si>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</si>
  <si>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</si>
  <si>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</si>
  <si>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</si>
  <si>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</si>
  <si>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</si>
  <si>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</si>
  <si>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</si>
  <si>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</si>
  <si>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</si>
  <si>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</si>
  <si>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</si>
  <si>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</si>
  <si>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</si>
  <si>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</si>
  <si>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</si>
  <si>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</si>
  <si>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</si>
  <si>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</si>
  <si>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</si>
  <si>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</si>
  <si>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</si>
  <si>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</si>
  <si>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</si>
  <si>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</si>
  <si>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</si>
  <si>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</si>
  <si>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</si>
  <si>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</si>
  <si>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</si>
  <si>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</si>
  <si>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</si>
  <si>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</si>
  <si>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</si>
  <si>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</si>
  <si>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</si>
  <si>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</si>
  <si>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</si>
  <si>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</si>
  <si>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</si>
  <si>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</si>
  <si>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</si>
  <si>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</si>
  <si>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</si>
  <si>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</si>
  <si>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</si>
  <si>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</si>
  <si>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</si>
  <si>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</si>
  <si>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</si>
  <si>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</si>
  <si>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</si>
  <si>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</si>
  <si>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</si>
  <si>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</si>
  <si>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</si>
  <si>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</si>
  <si>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</si>
  <si>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</si>
  <si>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</si>
  <si>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</si>
  <si>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</si>
  <si>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</si>
  <si>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</si>
  <si>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</si>
  <si>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</si>
  <si>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</si>
  <si>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</si>
  <si>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</si>
  <si>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</si>
  <si>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</si>
  <si>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</si>
  <si>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</si>
  <si>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</si>
  <si>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</si>
  <si>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</si>
  <si>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</si>
  <si>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</si>
  <si>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</si>
  <si>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</si>
  <si>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</si>
  <si>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</si>
  <si>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</si>
  <si>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</si>
  <si>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</si>
  <si>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</si>
  <si>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</si>
  <si>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</si>
  <si>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</si>
  <si>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</si>
  <si>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</si>
  <si>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</si>
  <si>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</si>
  <si>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</si>
  <si>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</si>
  <si>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</si>
  <si>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</si>
  <si>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</si>
  <si>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</si>
  <si>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</si>
  <si>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</si>
  <si>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</si>
  <si>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</si>
  <si>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</si>
  <si>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</si>
  <si>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</si>
  <si>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</si>
  <si>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</si>
  <si>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</si>
  <si>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</si>
  <si>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</si>
  <si>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</si>
  <si>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</si>
  <si>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</si>
  <si>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</si>
  <si>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</si>
  <si>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</si>
  <si>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</si>
  <si>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</si>
  <si>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</si>
  <si>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</si>
  <si>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</si>
  <si>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</si>
  <si>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</si>
  <si>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</si>
  <si>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</si>
  <si>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</si>
  <si>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</si>
  <si>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</si>
  <si>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</si>
  <si>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</si>
  <si>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</si>
  <si>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</si>
  <si>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</si>
  <si>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</si>
  <si>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</si>
  <si>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</si>
  <si>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</si>
  <si>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</si>
  <si>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</si>
  <si>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</si>
  <si>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</si>
  <si>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</si>
  <si>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</si>
  <si>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</si>
  <si>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</si>
  <si>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</si>
  <si>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</si>
  <si>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</si>
  <si>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</si>
  <si>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</si>
  <si>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</si>
  <si>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</si>
  <si>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</si>
  <si>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</si>
  <si>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</si>
  <si>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</si>
  <si>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</si>
  <si>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</si>
  <si>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</si>
  <si>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</si>
  <si>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</si>
  <si>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</si>
  <si>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</si>
  <si>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</si>
  <si>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</si>
  <si>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</si>
  <si>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</si>
  <si>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</si>
  <si>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</si>
  <si>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</si>
  <si>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</si>
  <si>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</si>
  <si>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</si>
  <si>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</si>
  <si>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</si>
  <si>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</si>
  <si>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</si>
  <si>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</si>
  <si>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</si>
  <si>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</si>
  <si>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</si>
  <si>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</si>
  <si>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</si>
  <si>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</si>
  <si>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</si>
  <si>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</si>
  <si>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</si>
  <si>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</si>
  <si>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</si>
  <si>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</si>
  <si>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</si>
  <si>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</si>
  <si>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</si>
  <si>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</si>
  <si>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</si>
  <si>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</si>
  <si>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</si>
  <si>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</si>
  <si>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</si>
  <si>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</si>
  <si>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</si>
  <si>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</si>
  <si>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</si>
  <si>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</si>
  <si>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</si>
  <si>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</si>
  <si>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</si>
  <si>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</si>
  <si>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</si>
  <si>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</si>
  <si>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</si>
  <si>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</si>
  <si>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</si>
  <si>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</si>
  <si>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</si>
  <si>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</si>
  <si>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</si>
  <si>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</si>
  <si>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</si>
  <si>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</si>
  <si>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</si>
  <si>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</si>
  <si>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</si>
  <si>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</si>
  <si>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</si>
  <si>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</si>
  <si>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</si>
  <si>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</si>
  <si>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</si>
  <si>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</si>
  <si>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</si>
  <si>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</si>
  <si>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</si>
  <si>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</si>
  <si>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</si>
  <si>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</si>
  <si>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</si>
  <si>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</si>
  <si>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</si>
  <si>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</si>
  <si>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</si>
  <si>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</si>
  <si>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</si>
  <si>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</si>
  <si>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</si>
  <si>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</si>
  <si>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</si>
  <si>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</si>
  <si>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</si>
  <si>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</si>
  <si>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</si>
  <si>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</si>
  <si>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</si>
  <si>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</si>
  <si>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</si>
  <si>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</si>
  <si>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</si>
  <si>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</si>
  <si>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</si>
  <si>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</si>
  <si>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</si>
  <si>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</si>
  <si>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</si>
  <si>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</si>
  <si>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</si>
  <si>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</si>
  <si>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</si>
  <si>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</si>
  <si>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</si>
  <si>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</si>
  <si>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</si>
  <si>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</si>
  <si>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</si>
  <si>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</si>
  <si>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</si>
  <si>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</si>
  <si>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</si>
  <si>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</si>
  <si>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</si>
  <si>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</si>
  <si>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</si>
  <si>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</si>
  <si>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</si>
  <si>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</si>
  <si>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</si>
  <si>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</si>
  <si>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</si>
  <si>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</si>
  <si>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</si>
  <si>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</si>
  <si>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</si>
  <si>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</si>
  <si>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</si>
  <si>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</si>
  <si>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</si>
  <si>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</si>
  <si>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</si>
  <si>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</si>
  <si>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</si>
  <si>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</si>
  <si>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</si>
  <si>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</si>
  <si>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</si>
  <si>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</si>
  <si>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</si>
  <si>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</si>
  <si>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</si>
  <si>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</si>
  <si>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</si>
  <si>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</si>
  <si>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</si>
  <si>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</si>
  <si>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</si>
  <si>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</si>
  <si>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</si>
  <si>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</si>
  <si>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</si>
  <si>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</si>
  <si>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</si>
  <si>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</si>
  <si>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</si>
  <si>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</si>
  <si>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</si>
  <si>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</si>
  <si>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</si>
  <si>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</si>
  <si>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</si>
  <si>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</si>
  <si>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</si>
  <si>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</si>
  <si>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</si>
  <si>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</si>
  <si>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</si>
  <si>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</si>
  <si>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</si>
  <si>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</si>
  <si>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</si>
  <si>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</si>
  <si>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</si>
  <si>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</si>
  <si>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</si>
  <si>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</si>
  <si>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</si>
  <si>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</si>
  <si>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</si>
  <si>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</si>
  <si>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</si>
  <si>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</si>
  <si>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</si>
  <si>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</si>
  <si>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</si>
  <si>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</si>
  <si>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</si>
  <si>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</si>
  <si>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</si>
  <si>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</si>
  <si>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</si>
  <si>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</si>
  <si>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</si>
  <si>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</si>
  <si>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</si>
  <si>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</si>
  <si>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</si>
  <si>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</si>
  <si>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</si>
  <si>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</si>
  <si>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</si>
  <si>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</si>
  <si>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</si>
  <si>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</si>
  <si>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</si>
  <si>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</si>
  <si>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</si>
  <si>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</si>
  <si>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</si>
  <si>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</si>
  <si>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</si>
  <si>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</si>
  <si>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</si>
  <si>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</si>
  <si>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</si>
  <si>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</si>
  <si>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</si>
  <si>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</si>
  <si>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</si>
  <si>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</si>
  <si>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</si>
  <si>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</si>
  <si>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</si>
  <si>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</si>
  <si>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</si>
  <si>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</si>
  <si>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</si>
  <si>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</si>
  <si>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</si>
  <si>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</si>
  <si>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</si>
  <si>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</si>
  <si>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</si>
  <si>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</si>
  <si>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</si>
  <si>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</si>
  <si>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</si>
  <si>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</si>
  <si>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</si>
  <si>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</si>
  <si>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</si>
  <si>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</si>
  <si>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</si>
  <si>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</si>
  <si>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</si>
  <si>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</si>
  <si>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</si>
  <si>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</si>
  <si>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</si>
  <si>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</si>
  <si>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</si>
  <si>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</si>
  <si>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</si>
  <si>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</si>
  <si>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</si>
  <si>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</si>
  <si>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</si>
  <si>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</si>
  <si>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</si>
  <si>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</si>
  <si>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</si>
  <si>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</si>
  <si>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</si>
  <si>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</si>
  <si>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</si>
  <si>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</si>
  <si>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</si>
  <si>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</si>
  <si>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</si>
  <si>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</si>
  <si>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</si>
  <si>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</si>
  <si>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</si>
  <si>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</si>
  <si>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</si>
  <si>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</si>
  <si>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</si>
  <si>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</si>
  <si>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</si>
  <si>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</si>
  <si>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</si>
  <si>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</si>
  <si>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</si>
  <si>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</si>
  <si>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</si>
  <si>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</si>
  <si>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</si>
  <si>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</si>
  <si>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</si>
  <si>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</si>
  <si>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</si>
  <si>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</si>
  <si>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</si>
  <si>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</si>
  <si>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</si>
  <si>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</si>
  <si>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</si>
  <si>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</si>
  <si>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</si>
  <si>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</si>
  <si>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</si>
  <si>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</si>
  <si>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</si>
  <si>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</si>
  <si>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</si>
  <si>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</si>
  <si>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</si>
  <si>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</si>
  <si>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</si>
  <si>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</si>
  <si>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</si>
  <si>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</si>
  <si>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</si>
  <si>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</si>
  <si>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</si>
  <si>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</si>
  <si>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</si>
  <si>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</si>
  <si>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</si>
  <si>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</si>
  <si>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</si>
  <si>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</si>
  <si>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</si>
  <si>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</si>
  <si>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</si>
  <si>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</si>
  <si>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</si>
  <si>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</si>
  <si>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</si>
  <si>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</si>
  <si>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</si>
  <si>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</si>
  <si>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</si>
  <si>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</si>
  <si>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</si>
  <si>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</si>
  <si>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</si>
  <si>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</si>
  <si>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</si>
  <si>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</si>
  <si>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</si>
  <si>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</si>
  <si>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</si>
  <si>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</si>
  <si>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</si>
  <si>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</si>
  <si>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</si>
  <si>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</si>
  <si>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</si>
  <si>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</si>
  <si>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</si>
  <si>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</si>
  <si>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</si>
  <si>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</si>
  <si>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</si>
  <si>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</si>
  <si>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</si>
  <si>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</si>
  <si>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</si>
  <si>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</si>
  <si>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</si>
  <si>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</si>
  <si>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</si>
  <si>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</si>
  <si>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</si>
  <si>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</si>
  <si>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</si>
  <si>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</si>
  <si>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</si>
  <si>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</si>
  <si>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</si>
  <si>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</si>
  <si>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</si>
  <si>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</si>
  <si>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</si>
  <si>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</si>
  <si>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</si>
  <si>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</si>
  <si>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</si>
  <si>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</si>
  <si>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</si>
  <si>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</si>
  <si>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</si>
  <si>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</si>
  <si>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</si>
  <si>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</si>
  <si>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</si>
  <si>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</si>
  <si>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</si>
  <si>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</si>
  <si>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</si>
  <si>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</si>
  <si>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</si>
  <si>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</si>
  <si>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</si>
  <si>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</si>
  <si>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</si>
  <si>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</si>
  <si>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</si>
  <si>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</si>
  <si>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</si>
  <si>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</si>
  <si>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</si>
  <si>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</si>
  <si>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</si>
  <si>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</si>
  <si>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</si>
  <si>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</si>
  <si>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</si>
  <si>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</si>
  <si>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</si>
  <si>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</si>
  <si>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</si>
  <si>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</si>
  <si>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</si>
  <si>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</si>
  <si>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</si>
  <si>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</si>
  <si>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</si>
  <si>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</si>
  <si>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</si>
  <si>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</si>
  <si>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</si>
  <si>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</si>
  <si>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</si>
  <si>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</si>
  <si>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</si>
  <si>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</si>
  <si>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</si>
  <si>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</si>
  <si>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</si>
  <si>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</si>
  <si>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</si>
  <si>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</si>
  <si>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</si>
  <si>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</si>
  <si>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</si>
  <si>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</si>
  <si>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</si>
  <si>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</si>
  <si>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</si>
  <si>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</si>
  <si>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</si>
  <si>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</si>
  <si>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</si>
  <si>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</si>
  <si>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</si>
  <si>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</si>
  <si>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</si>
  <si>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</si>
  <si>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</si>
  <si>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</si>
  <si>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</si>
  <si>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</si>
  <si>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</si>
  <si>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</si>
  <si>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</si>
  <si>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</si>
  <si>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</si>
  <si>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</si>
  <si>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</si>
  <si>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</si>
  <si>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</si>
  <si>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</si>
  <si>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</si>
  <si>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</si>
  <si>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</si>
  <si>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</si>
  <si>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</si>
  <si>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</si>
  <si>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</si>
  <si>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</si>
  <si>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</si>
  <si>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</si>
  <si>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</si>
  <si>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</si>
  <si>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</si>
  <si>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</si>
  <si>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</si>
  <si>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</si>
  <si>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</si>
  <si>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</si>
  <si>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</si>
  <si>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</si>
  <si>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</si>
  <si>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</si>
  <si>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</si>
  <si>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</si>
  <si>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</si>
  <si>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</si>
  <si>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</si>
  <si>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</si>
  <si>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</si>
  <si>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</si>
  <si>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</si>
  <si>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</si>
  <si>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</si>
  <si>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</si>
  <si>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</si>
  <si>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</si>
  <si>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</si>
  <si>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</si>
  <si>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</si>
  <si>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</si>
  <si>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</si>
  <si>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</si>
  <si>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</si>
  <si>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</si>
  <si>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</si>
  <si>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</si>
  <si>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</si>
  <si>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</si>
  <si>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</si>
  <si>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</si>
  <si>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</si>
  <si>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</si>
  <si>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</si>
  <si>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</si>
  <si>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</si>
  <si>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</si>
  <si>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</si>
  <si>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</si>
  <si>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</si>
  <si>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</si>
  <si>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</si>
  <si>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</si>
  <si>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</si>
  <si>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</si>
  <si>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</si>
  <si>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</si>
  <si>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</si>
  <si>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</si>
  <si>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</si>
  <si>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</si>
  <si>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</si>
  <si>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</si>
  <si>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</si>
  <si>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</si>
  <si>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</si>
  <si>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</si>
  <si>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</si>
  <si>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</si>
  <si>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</si>
  <si>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</si>
  <si>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</si>
  <si>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</si>
  <si>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</si>
  <si>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</si>
  <si>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</si>
  <si>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</si>
  <si>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</si>
  <si>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</si>
  <si>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</si>
  <si>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</si>
  <si>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</si>
  <si>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</si>
  <si>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</si>
  <si>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</si>
  <si>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</si>
  <si>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</si>
  <si>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</si>
  <si>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</si>
  <si>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</si>
  <si>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</si>
  <si>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</si>
  <si>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</si>
  <si>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</si>
  <si>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</si>
  <si>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</si>
  <si>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</si>
  <si>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</si>
  <si>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</si>
  <si>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</si>
  <si>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</si>
  <si>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</si>
  <si>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</si>
  <si>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</si>
  <si>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</si>
  <si>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</si>
  <si>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</si>
  <si>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</si>
  <si>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</si>
  <si>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</si>
  <si>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</si>
  <si>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</si>
  <si>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</si>
  <si>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</si>
  <si>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</si>
  <si>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</si>
  <si>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</si>
  <si>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</si>
  <si>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</si>
  <si>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</si>
  <si>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</si>
  <si>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</si>
  <si>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</si>
  <si>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</si>
  <si>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</si>
  <si>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</si>
  <si>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</si>
  <si>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</si>
  <si>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</si>
  <si>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</si>
  <si>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</si>
  <si>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</si>
  <si>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</si>
  <si>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</si>
  <si>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</si>
  <si>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</si>
  <si>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</si>
  <si>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</si>
  <si>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</si>
  <si>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</si>
  <si>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</si>
  <si>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</si>
  <si>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</si>
  <si>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</si>
  <si>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</si>
  <si>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</si>
  <si>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</si>
  <si>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</si>
  <si>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</si>
  <si>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</si>
  <si>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</si>
  <si>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</si>
  <si>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</si>
  <si>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</si>
  <si>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</si>
  <si>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</si>
  <si>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</si>
  <si>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</si>
  <si>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</si>
  <si>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</si>
  <si>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</si>
  <si>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</si>
  <si>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</si>
  <si>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</si>
  <si>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</si>
  <si>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</si>
  <si>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</si>
  <si>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</si>
  <si>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</si>
  <si>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</si>
  <si>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</si>
  <si>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</si>
  <si>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</si>
  <si>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</si>
  <si>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</si>
  <si>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</si>
  <si>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</si>
  <si>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</si>
  <si>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</si>
  <si>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</si>
  <si>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</si>
  <si>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</si>
  <si>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</si>
  <si>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</si>
  <si>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</si>
  <si>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</si>
  <si>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</si>
  <si>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</si>
  <si>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</si>
  <si>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</si>
  <si>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</si>
  <si>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</si>
  <si>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</si>
  <si>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</si>
  <si>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</si>
  <si>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</si>
  <si>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</si>
  <si>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</si>
  <si>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</si>
  <si>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</si>
  <si>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</si>
  <si>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</si>
  <si>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</si>
  <si>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</si>
  <si>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</si>
  <si>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</si>
  <si>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</si>
  <si>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</si>
  <si>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</si>
  <si>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</si>
  <si>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</si>
  <si>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</si>
  <si>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</si>
  <si>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</si>
  <si>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</si>
  <si>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</si>
  <si>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</si>
  <si>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</si>
  <si>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</si>
  <si>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</si>
  <si>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</si>
  <si>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</si>
  <si>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</si>
  <si>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</si>
  <si>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</si>
  <si>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</si>
  <si>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</si>
  <si>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</si>
  <si>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</si>
  <si>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</si>
  <si>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</si>
  <si>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</si>
  <si>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</si>
  <si>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</si>
  <si>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</si>
  <si>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</si>
  <si>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</si>
  <si>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</si>
  <si>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</si>
  <si>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</si>
  <si>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</si>
  <si>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</si>
  <si>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</si>
  <si>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</si>
  <si>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</si>
  <si>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</si>
  <si>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</si>
  <si>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</si>
  <si>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</si>
  <si>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</si>
  <si>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</si>
  <si>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</si>
  <si>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</si>
  <si>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</si>
  <si>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</si>
  <si>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</si>
  <si>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</si>
  <si>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</si>
  <si>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</si>
  <si>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</si>
  <si>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</si>
  <si>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</si>
  <si>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</si>
  <si>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</si>
  <si>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</si>
  <si>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</si>
  <si>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</si>
  <si>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</si>
  <si>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</si>
  <si>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</si>
  <si>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</si>
  <si>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</si>
  <si>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</si>
  <si>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</si>
  <si>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</si>
  <si>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</si>
  <si>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</si>
  <si>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</si>
  <si>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</si>
  <si>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</si>
  <si>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</si>
  <si>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</si>
  <si>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</si>
  <si>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</si>
  <si>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</si>
  <si>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</si>
  <si>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</si>
  <si>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</si>
  <si>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</si>
  <si>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</si>
  <si>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</si>
  <si>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</si>
  <si>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</si>
  <si>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</si>
  <si>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</si>
  <si>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</si>
  <si>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</si>
  <si>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</si>
  <si>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</si>
  <si>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</si>
  <si>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</si>
  <si>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</si>
  <si>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</si>
  <si>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</si>
  <si>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</si>
  <si>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</si>
  <si>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</si>
  <si>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</si>
  <si>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</si>
  <si>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</si>
  <si>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</si>
  <si>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</si>
  <si>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</si>
  <si>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</si>
  <si>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</si>
  <si>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</si>
  <si>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</si>
  <si>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</si>
  <si>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</si>
  <si>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</si>
  <si>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</si>
  <si>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</si>
  <si>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</si>
  <si>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</si>
  <si>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</si>
  <si>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</si>
  <si>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</si>
  <si>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</si>
  <si>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</si>
  <si>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</si>
  <si>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</si>
  <si>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</si>
  <si>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</si>
  <si>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</si>
  <si>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</si>
  <si>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</si>
  <si>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</si>
  <si>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</si>
  <si>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</si>
  <si>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</si>
  <si>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</si>
  <si>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</si>
  <si>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</si>
  <si>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</si>
  <si>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</si>
  <si>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</si>
  <si>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</si>
  <si>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</si>
  <si>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</si>
  <si>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</si>
  <si>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</si>
  <si>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</si>
  <si>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</si>
  <si>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</si>
  <si>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</si>
  <si>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</si>
  <si>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</si>
  <si>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</si>
  <si>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</si>
  <si>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</si>
  <si>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</si>
  <si>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</si>
  <si>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</si>
  <si>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</si>
  <si>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</si>
  <si>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</si>
  <si>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</si>
  <si>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</si>
  <si>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</si>
  <si>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</si>
  <si>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</si>
  <si>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</si>
  <si>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</si>
  <si>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</si>
  <si>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</si>
  <si>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</si>
  <si>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</si>
  <si>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</si>
  <si>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</si>
  <si>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</si>
  <si>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</si>
  <si>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</si>
  <si>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</si>
  <si>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</si>
  <si>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</si>
  <si>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</si>
  <si>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</si>
  <si>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</si>
  <si>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</si>
  <si>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</si>
  <si>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</si>
  <si>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</si>
  <si>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</si>
  <si>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</si>
  <si>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</si>
  <si>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</si>
  <si>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</si>
  <si>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</si>
  <si>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</si>
  <si>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</si>
  <si>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</si>
  <si>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</si>
  <si>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</si>
  <si>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</si>
  <si>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</si>
  <si>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</si>
  <si>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</si>
  <si>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</si>
  <si>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</si>
  <si>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</si>
  <si>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</si>
  <si>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</si>
  <si>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</si>
  <si>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</si>
  <si>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</si>
  <si>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</si>
  <si>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</si>
  <si>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</si>
  <si>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</si>
  <si>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</si>
  <si>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</si>
  <si>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</si>
  <si>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</si>
  <si>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</si>
  <si>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</si>
  <si>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</si>
  <si>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</si>
  <si>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</si>
  <si>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</si>
  <si>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</si>
  <si>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</si>
  <si>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</si>
  <si>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</si>
  <si>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</si>
  <si>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</si>
  <si>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</si>
  <si>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</si>
  <si>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</si>
  <si>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</si>
  <si>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</si>
  <si>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</si>
  <si>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</si>
  <si>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</si>
  <si>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</si>
  <si>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</si>
  <si>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</si>
  <si>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</si>
  <si>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</si>
  <si>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</si>
  <si>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</si>
  <si>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</si>
  <si>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</si>
  <si>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</si>
  <si>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</si>
  <si>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</si>
  <si>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</si>
  <si>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</si>
  <si>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</si>
  <si>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</si>
  <si>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</si>
  <si>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</si>
  <si>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</si>
  <si>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</si>
  <si>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</si>
  <si>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</si>
  <si>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</si>
  <si>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</si>
  <si>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</si>
  <si>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</si>
  <si>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</si>
  <si>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</si>
  <si>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</si>
  <si>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</si>
  <si>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</si>
  <si>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</si>
  <si>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</si>
  <si>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</si>
  <si>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</si>
  <si>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</si>
  <si>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</si>
  <si>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</si>
  <si>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</si>
  <si>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</si>
  <si>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</si>
  <si>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</si>
  <si>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</si>
  <si>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</si>
  <si>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</si>
  <si>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</si>
  <si>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</si>
  <si>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</si>
  <si>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</si>
  <si>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</si>
  <si>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</si>
  <si>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</si>
  <si>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</si>
  <si>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</si>
  <si>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</si>
  <si>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</si>
  <si>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</si>
  <si>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</si>
  <si>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</si>
  <si>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</si>
  <si>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</si>
  <si>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</si>
  <si>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</si>
  <si>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</si>
  <si>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</si>
  <si>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</si>
  <si>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</si>
  <si>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</si>
  <si>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</si>
  <si>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</si>
  <si>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</si>
  <si>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</si>
  <si>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</si>
  <si>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</si>
  <si>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</si>
  <si>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</si>
  <si>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</si>
  <si>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</si>
  <si>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</si>
  <si>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</si>
  <si>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</si>
  <si>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</si>
  <si>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</si>
  <si>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</si>
  <si>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</si>
  <si>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</si>
  <si>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</si>
  <si>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</si>
  <si>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</si>
  <si>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</si>
  <si>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</si>
  <si>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</si>
  <si>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</si>
  <si>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</si>
  <si>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</si>
  <si>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</si>
  <si>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</si>
  <si>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</si>
  <si>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</si>
  <si>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</si>
  <si>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</si>
  <si>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</si>
  <si>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</si>
  <si>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</si>
  <si>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</si>
  <si>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</si>
  <si>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</si>
  <si>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</si>
  <si>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</si>
  <si>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</si>
  <si>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</si>
  <si>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</si>
  <si>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</si>
  <si>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</si>
  <si>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</si>
  <si>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</si>
  <si>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</si>
  <si>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</si>
  <si>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</si>
  <si>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</si>
  <si>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</si>
  <si>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</si>
  <si>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</si>
  <si>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</si>
  <si>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</si>
  <si>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</si>
  <si>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</si>
  <si>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</si>
  <si>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</si>
  <si>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</si>
  <si>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</si>
  <si>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</si>
  <si>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</si>
  <si>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</si>
  <si>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</si>
  <si>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</si>
  <si>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</si>
  <si>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</si>
  <si>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</si>
  <si>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</si>
  <si>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</si>
  <si>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</si>
  <si>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</si>
  <si>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</si>
  <si>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</si>
  <si>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</si>
  <si>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</si>
  <si>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</si>
  <si>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</si>
  <si>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</si>
  <si>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</si>
  <si>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</si>
  <si>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</si>
  <si>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</si>
  <si>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</si>
  <si>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</si>
  <si>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</si>
  <si>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</si>
  <si>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</si>
  <si>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</si>
  <si>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</si>
  <si>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</si>
  <si>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</si>
  <si>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</si>
  <si>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</si>
  <si>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</si>
  <si>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</si>
  <si>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</si>
  <si>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</si>
  <si>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</si>
  <si>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</si>
  <si>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</si>
  <si>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</si>
  <si>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</si>
  <si>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</si>
  <si>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</si>
  <si>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</si>
  <si>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</si>
  <si>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</si>
  <si>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</si>
  <si>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</si>
  <si>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</si>
  <si>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</si>
  <si>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</si>
  <si>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</si>
  <si>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</si>
  <si>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</si>
  <si>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</si>
  <si>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</si>
  <si>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</si>
  <si>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</si>
  <si>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</si>
  <si>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</si>
  <si>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</si>
  <si>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</si>
  <si>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</si>
  <si>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</si>
  <si>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</si>
  <si>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</si>
  <si>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</si>
  <si>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</si>
  <si>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</si>
  <si>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</si>
  <si>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</si>
  <si>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</si>
  <si>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</si>
  <si>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</si>
  <si>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</si>
  <si>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</si>
  <si>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</si>
  <si>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</si>
  <si>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</si>
  <si>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</si>
  <si>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</si>
  <si>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</si>
  <si>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</si>
  <si>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</si>
  <si>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</si>
  <si>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</si>
  <si>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</si>
  <si>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</si>
  <si>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</si>
  <si>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</si>
  <si>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</si>
  <si>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</si>
  <si>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</si>
  <si>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</si>
  <si>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</si>
  <si>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</si>
  <si>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</si>
  <si>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</si>
  <si>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</si>
  <si>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</si>
  <si>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</si>
  <si>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</si>
  <si>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</si>
  <si>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</si>
  <si>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</si>
  <si>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</si>
  <si>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</si>
  <si>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</si>
  <si>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</si>
  <si>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</si>
  <si>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</si>
  <si>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</si>
  <si>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</si>
  <si>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</si>
  <si>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</si>
  <si>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</si>
  <si>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</si>
  <si>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</si>
  <si>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</si>
  <si>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</si>
  <si>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</si>
  <si>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</si>
  <si>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</si>
  <si>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</si>
  <si>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</si>
  <si>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</si>
  <si>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</si>
  <si>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</si>
  <si>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</si>
  <si>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</si>
  <si>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</si>
  <si>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</si>
  <si>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</si>
  <si>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</si>
  <si>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</si>
  <si>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</si>
  <si>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</si>
  <si>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</si>
  <si>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</si>
  <si>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</si>
  <si>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</si>
  <si>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</si>
  <si>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</si>
  <si>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</si>
  <si>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</si>
  <si>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</si>
  <si>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</si>
  <si>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</si>
  <si>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</si>
  <si>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</si>
  <si>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</si>
  <si>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</si>
  <si>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</si>
  <si>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</si>
  <si>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</si>
  <si>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</si>
  <si>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</si>
  <si>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</si>
  <si>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</si>
  <si>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</si>
  <si>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</si>
  <si>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</si>
  <si>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</si>
  <si>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</si>
  <si>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</si>
  <si>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</si>
  <si>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</si>
  <si>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</si>
  <si>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</si>
  <si>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</si>
  <si>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</si>
  <si>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</si>
  <si>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</si>
  <si>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</si>
  <si>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</si>
  <si>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</si>
  <si>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</si>
  <si>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</si>
  <si>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</si>
  <si>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</si>
  <si>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</si>
  <si>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</si>
  <si>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</si>
  <si>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</si>
  <si>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</si>
  <si>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</si>
  <si>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</si>
  <si>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</si>
  <si>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</si>
  <si>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</si>
  <si>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</si>
  <si>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</si>
  <si>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</si>
  <si>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</si>
  <si>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</si>
  <si>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</si>
  <si>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</si>
  <si>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</si>
  <si>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</si>
  <si>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</si>
  <si>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</si>
  <si>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</si>
  <si>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</si>
  <si>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</si>
  <si>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</si>
  <si>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</si>
  <si>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</si>
  <si>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</si>
  <si>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</si>
  <si>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</si>
  <si>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</si>
  <si>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</si>
  <si>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</si>
  <si>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</si>
  <si>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</si>
  <si>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</si>
  <si>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</si>
  <si>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</si>
  <si>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</si>
  <si>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</si>
  <si>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</si>
  <si>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</si>
  <si>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</si>
  <si>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</si>
  <si>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</si>
  <si>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</si>
  <si>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</si>
  <si>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</si>
  <si>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</si>
  <si>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</si>
  <si>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</si>
  <si>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</si>
  <si>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</si>
  <si>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</si>
  <si>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</si>
  <si>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</si>
  <si>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</si>
  <si>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</si>
  <si>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</si>
  <si>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</si>
  <si>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</si>
  <si>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</si>
  <si>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</si>
  <si>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</si>
  <si>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</si>
  <si>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</si>
  <si>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</si>
  <si>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</si>
  <si>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</si>
  <si>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</si>
  <si>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</si>
  <si>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</si>
  <si>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</si>
  <si>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</si>
  <si>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</si>
  <si>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</si>
  <si>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</si>
  <si>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</si>
  <si>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</si>
  <si>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</si>
  <si>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</si>
  <si>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</si>
  <si>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</si>
  <si>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</si>
  <si>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</si>
  <si>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</si>
  <si>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</si>
  <si>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</si>
  <si>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</si>
  <si>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</si>
  <si>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</si>
  <si>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</si>
  <si>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</si>
  <si>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</si>
  <si>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</si>
  <si>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</si>
  <si>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</si>
  <si>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</si>
  <si>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</si>
  <si>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</si>
  <si>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</si>
  <si>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</si>
  <si>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</si>
  <si>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</si>
  <si>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</si>
  <si>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</si>
  <si>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</si>
  <si>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</si>
  <si>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</si>
  <si>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</si>
  <si>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</si>
  <si>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</si>
  <si>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</si>
  <si>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</si>
  <si>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</si>
  <si>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</si>
  <si>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</si>
  <si>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</si>
  <si>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</si>
  <si>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</si>
  <si>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</si>
  <si>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</si>
  <si>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</si>
  <si>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</si>
  <si>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</si>
  <si>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</si>
  <si>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</si>
  <si>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</si>
  <si>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</si>
  <si>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</si>
  <si>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</si>
  <si>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</si>
  <si>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</si>
  <si>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</si>
  <si>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</si>
  <si>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</si>
  <si>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</si>
  <si>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</si>
  <si>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</si>
  <si>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</si>
  <si>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</si>
  <si>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</si>
  <si>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</si>
  <si>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</si>
  <si>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</si>
  <si>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</si>
  <si>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</si>
  <si>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</si>
  <si>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</si>
  <si>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</si>
  <si>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</si>
  <si>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</si>
  <si>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</si>
  <si>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</si>
  <si>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</si>
  <si>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</si>
  <si>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</si>
  <si>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</si>
  <si>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</si>
  <si>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</si>
  <si>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</si>
  <si>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</si>
  <si>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</si>
  <si>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</si>
  <si>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</si>
  <si>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</si>
  <si>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</si>
  <si>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</si>
  <si>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</si>
  <si>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</si>
  <si>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</si>
  <si>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</si>
  <si>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</si>
  <si>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</si>
  <si>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</si>
  <si>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</si>
  <si>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</si>
  <si>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</si>
  <si>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</si>
  <si>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</si>
  <si>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</si>
  <si>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</si>
  <si>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</si>
  <si>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</si>
  <si>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</si>
  <si>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</si>
  <si>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</si>
  <si>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</si>
  <si>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</si>
  <si>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</si>
  <si>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</si>
  <si>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</si>
  <si>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</si>
  <si>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</si>
  <si>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</si>
  <si>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</si>
  <si>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</si>
  <si>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</si>
  <si>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</si>
  <si>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</si>
  <si>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</si>
  <si>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</si>
  <si>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</si>
  <si>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</si>
  <si>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</si>
  <si>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</si>
  <si>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</si>
  <si>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</si>
  <si>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</si>
  <si>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</si>
  <si>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</si>
  <si>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</si>
  <si>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</si>
  <si>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</si>
  <si>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</si>
  <si>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</si>
  <si>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</si>
  <si>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</si>
  <si>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</si>
  <si>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</si>
  <si>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</si>
  <si>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</si>
  <si>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</si>
  <si>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</si>
  <si>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</si>
  <si>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</si>
  <si>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</si>
  <si>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</si>
  <si>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</si>
  <si>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</si>
  <si>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</si>
  <si>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</si>
  <si>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</si>
  <si>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</si>
  <si>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</si>
  <si>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</si>
  <si>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</si>
  <si>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</si>
  <si>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</si>
  <si>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</si>
  <si>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</si>
  <si>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</si>
  <si>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</si>
  <si>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</si>
  <si>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</si>
  <si>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</si>
  <si>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</si>
  <si>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</si>
  <si>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</si>
  <si>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</si>
  <si>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</si>
  <si>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</si>
  <si>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</si>
  <si>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</si>
  <si>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</si>
  <si>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</si>
  <si>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</si>
  <si>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</si>
  <si>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</si>
  <si>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</si>
  <si>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</si>
  <si>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</si>
  <si>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</si>
  <si>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</si>
  <si>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</si>
  <si>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</si>
  <si>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</si>
  <si>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</si>
  <si>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</si>
  <si>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</si>
  <si>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</si>
  <si>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</si>
  <si>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</si>
  <si>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</si>
  <si>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</si>
  <si>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</si>
  <si>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</si>
  <si>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</si>
  <si>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</si>
  <si>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</si>
  <si>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</si>
  <si>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</si>
  <si>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</si>
  <si>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</si>
  <si>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</si>
  <si>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</si>
  <si>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</si>
  <si>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</si>
  <si>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</si>
  <si>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</si>
  <si>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</si>
  <si>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</si>
  <si>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</si>
  <si>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</si>
  <si>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</si>
  <si>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</si>
  <si>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</si>
  <si>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</si>
  <si>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</si>
  <si>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</si>
  <si>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</si>
  <si>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</si>
  <si>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</si>
  <si>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</si>
  <si>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</si>
  <si>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</si>
  <si>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</si>
  <si>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</si>
  <si>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</si>
  <si>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</si>
  <si>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</si>
  <si>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</si>
  <si>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</si>
  <si>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</si>
  <si>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</si>
  <si>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</si>
  <si>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</si>
  <si>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</si>
  <si>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</si>
  <si>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</si>
  <si>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</si>
  <si>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</si>
  <si>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</si>
  <si>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</si>
  <si>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</si>
  <si>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</si>
  <si>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</si>
  <si>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</si>
  <si>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</si>
  <si>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</si>
  <si>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</si>
  <si>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</si>
  <si>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</si>
  <si>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</si>
  <si>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</si>
  <si>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</si>
  <si>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</si>
  <si>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</si>
  <si>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</si>
  <si>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</si>
  <si>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</si>
  <si>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</si>
  <si>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</si>
  <si>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</si>
  <si>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</si>
  <si>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</si>
  <si>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</si>
  <si>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</si>
  <si>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</si>
  <si>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</si>
  <si>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</si>
  <si>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</si>
  <si>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</si>
  <si>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</si>
  <si>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</si>
  <si>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</si>
  <si>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</si>
  <si>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</si>
  <si>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</si>
  <si>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</si>
  <si>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</si>
  <si>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</si>
  <si>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</si>
  <si>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</si>
  <si>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</si>
  <si>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</si>
  <si>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</si>
  <si>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</si>
  <si>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</si>
  <si>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</si>
  <si>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</si>
  <si>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</si>
  <si>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</si>
  <si>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</si>
  <si>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</si>
  <si>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</si>
  <si>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</si>
  <si>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</si>
  <si>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</si>
  <si>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</si>
  <si>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</si>
  <si>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</si>
  <si>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</si>
  <si>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</si>
  <si>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</si>
  <si>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</si>
  <si>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</si>
  <si>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</si>
  <si>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</si>
  <si>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</si>
  <si>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</si>
  <si>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</si>
  <si>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</si>
  <si>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</si>
  <si>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</si>
  <si>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</si>
  <si>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</si>
  <si>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</si>
  <si>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</si>
  <si>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</si>
  <si>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</si>
  <si>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</si>
  <si>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</si>
  <si>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</si>
  <si>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</si>
  <si>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</si>
  <si>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</si>
  <si>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</si>
  <si>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</si>
  <si>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</si>
  <si>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</si>
  <si>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</si>
  <si>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</si>
  <si>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</si>
  <si>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</si>
  <si>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</si>
  <si>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</si>
  <si>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</si>
  <si>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</si>
  <si>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</si>
  <si>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</si>
  <si>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</si>
  <si>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</si>
  <si>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</si>
  <si>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</si>
  <si>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</si>
  <si>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</si>
  <si>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</si>
  <si>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</si>
  <si>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</si>
  <si>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</si>
  <si>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</si>
  <si>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</si>
  <si>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</si>
  <si>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</si>
  <si>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</si>
  <si>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</si>
  <si>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</si>
  <si>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</si>
  <si>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</si>
  <si>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</si>
  <si>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</si>
  <si>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</si>
  <si>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</si>
  <si>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</si>
  <si>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</si>
  <si>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</si>
  <si>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</si>
  <si>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</si>
  <si>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</si>
  <si>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</si>
  <si>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</si>
  <si>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</si>
  <si>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</si>
  <si>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</si>
  <si>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</si>
  <si>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</si>
  <si>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</si>
  <si>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</si>
  <si>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</si>
  <si>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</si>
  <si>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</si>
  <si>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</si>
  <si>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</si>
  <si>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</si>
  <si>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</si>
  <si>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</si>
  <si>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</si>
  <si>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</si>
  <si>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</si>
  <si>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</si>
  <si>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</si>
  <si>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</si>
  <si>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</si>
  <si>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</si>
  <si>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</si>
  <si>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</si>
  <si>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</si>
  <si>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</si>
  <si>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</si>
  <si>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</si>
  <si>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</si>
  <si>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</si>
  <si>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</si>
  <si>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</si>
  <si>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</si>
  <si>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</si>
  <si>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</si>
  <si>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</si>
  <si>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</si>
  <si>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</si>
  <si>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</si>
  <si>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</si>
  <si>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</si>
  <si>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</si>
  <si>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</si>
  <si>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</si>
  <si>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</si>
  <si>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</si>
  <si>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</si>
  <si>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</si>
  <si>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</si>
  <si>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</si>
  <si>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</si>
  <si>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</si>
  <si>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</si>
  <si>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</si>
  <si>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</si>
  <si>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</si>
  <si>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</si>
  <si>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</si>
  <si>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</si>
  <si>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</si>
  <si>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</si>
  <si>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</si>
  <si>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</si>
  <si>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</si>
  <si>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</si>
  <si>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</si>
  <si>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</si>
  <si>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</si>
  <si>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</si>
  <si>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</si>
  <si>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</si>
  <si>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</si>
  <si>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</si>
  <si>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</si>
  <si>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</si>
  <si>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</si>
  <si>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</si>
  <si>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</si>
  <si>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</si>
  <si>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</si>
  <si>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</si>
  <si>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</si>
  <si>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</si>
  <si>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</si>
  <si>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</si>
  <si>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</si>
  <si>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</si>
  <si>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</si>
  <si>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</si>
  <si>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</si>
  <si>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</si>
  <si>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</si>
  <si>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</si>
  <si>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</si>
  <si>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</si>
  <si>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</si>
  <si>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</si>
  <si>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</si>
  <si>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</si>
  <si>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</si>
  <si>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</si>
  <si>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</si>
  <si>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</si>
  <si>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</si>
  <si>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</si>
  <si>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</si>
  <si>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</si>
  <si>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</si>
  <si>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</si>
  <si>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</si>
  <si>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</si>
  <si>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</si>
  <si>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</si>
  <si>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</si>
  <si>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</si>
  <si>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</si>
  <si>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</si>
  <si>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</si>
  <si>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</si>
  <si>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</si>
  <si>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</si>
  <si>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</si>
  <si>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</si>
  <si>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</si>
  <si>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</si>
  <si>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</si>
  <si>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</si>
  <si>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</si>
  <si>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</si>
  <si>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</si>
  <si>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</si>
  <si>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</si>
  <si>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</si>
  <si>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</si>
  <si>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</si>
  <si>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</si>
  <si>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</si>
  <si>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</si>
  <si>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</si>
  <si>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</si>
  <si>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</si>
  <si>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</si>
  <si>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</si>
  <si>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</si>
  <si>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</si>
  <si>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</si>
  <si>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</si>
  <si>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</si>
  <si>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</si>
  <si>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</si>
  <si>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</si>
  <si>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</si>
  <si>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</si>
  <si>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</si>
  <si>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</si>
  <si>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</si>
  <si>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</si>
  <si>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</si>
  <si>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</si>
  <si>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</si>
  <si>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</si>
  <si>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</si>
  <si>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</si>
  <si>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</si>
  <si>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</si>
  <si>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</si>
  <si>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</si>
  <si>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</si>
  <si>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</si>
  <si>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</si>
  <si>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</si>
  <si>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</si>
  <si>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</si>
  <si>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</si>
  <si>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</si>
  <si>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</si>
  <si>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</si>
  <si>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</si>
  <si>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</si>
  <si>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</si>
  <si>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</si>
  <si>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</si>
  <si>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</si>
  <si>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</si>
  <si>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</si>
  <si>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</si>
  <si>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</si>
  <si>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</si>
  <si>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</si>
  <si>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</si>
  <si>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</si>
  <si>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</si>
  <si>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</si>
  <si>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</si>
  <si>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</si>
  <si>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</si>
  <si>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</si>
  <si>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</si>
  <si>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</si>
  <si>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</si>
  <si>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</si>
  <si>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</si>
  <si>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</si>
  <si>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</si>
  <si>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</si>
  <si>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</si>
  <si>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</si>
  <si>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</si>
  <si>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</si>
  <si>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</si>
  <si>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</si>
  <si>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</si>
  <si>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</si>
  <si>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</si>
  <si>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</si>
  <si>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</si>
  <si>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</si>
  <si>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</si>
  <si>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</si>
  <si>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</si>
  <si>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</si>
  <si>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</si>
  <si>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</si>
  <si>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</si>
  <si>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</si>
  <si>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</si>
  <si>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</si>
  <si>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</si>
  <si>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</si>
  <si>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</si>
  <si>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</si>
  <si>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</si>
  <si>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</si>
  <si>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</si>
  <si>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</si>
  <si>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</si>
  <si>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</si>
  <si>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</si>
  <si>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</si>
  <si>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</si>
  <si>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</si>
  <si>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</si>
  <si>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</si>
  <si>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</si>
  <si>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</si>
  <si>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</si>
  <si>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</si>
  <si>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</si>
  <si>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</si>
  <si>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</si>
  <si>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</si>
  <si>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</si>
  <si>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</si>
  <si>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</si>
  <si>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</si>
  <si>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</si>
  <si>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</si>
  <si>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</si>
  <si>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</si>
  <si>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</si>
  <si>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</si>
  <si>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</si>
  <si>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</si>
  <si>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</si>
  <si>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</si>
  <si>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</si>
  <si>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</si>
  <si>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</si>
  <si>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</si>
  <si>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</si>
  <si>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</si>
  <si>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</si>
  <si>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</si>
  <si>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</si>
  <si>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</si>
  <si>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</si>
  <si>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</si>
  <si>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</si>
  <si>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</si>
  <si>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</si>
  <si>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</si>
  <si>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</si>
  <si>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</si>
  <si>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</si>
  <si>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</si>
  <si>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</si>
  <si>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</si>
  <si>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</si>
  <si>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</si>
  <si>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</si>
  <si>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</si>
  <si>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</si>
  <si>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</si>
  <si>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</si>
  <si>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</si>
  <si>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</si>
  <si>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</si>
  <si>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</si>
  <si>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</si>
  <si>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</si>
  <si>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</si>
  <si>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</si>
  <si>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</si>
  <si>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</si>
  <si>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</si>
  <si>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</si>
  <si>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</si>
  <si>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</si>
  <si>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</si>
  <si>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</si>
  <si>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</si>
  <si>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</si>
  <si>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</si>
  <si>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</si>
  <si>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</si>
  <si>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</si>
  <si>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</si>
  <si>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</si>
  <si>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</si>
  <si>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</si>
  <si>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</si>
  <si>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</si>
  <si>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</si>
  <si>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</si>
  <si>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</si>
  <si>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</si>
  <si>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</si>
  <si>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</si>
  <si>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</si>
  <si>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</si>
  <si>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</si>
  <si>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</si>
  <si>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</si>
  <si>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</si>
  <si>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</si>
  <si>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</si>
  <si>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</si>
  <si>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</si>
  <si>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</si>
  <si>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</si>
  <si>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</si>
  <si>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</si>
  <si>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</si>
  <si>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</si>
  <si>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</si>
  <si>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</si>
  <si>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</si>
  <si>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</si>
  <si>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</si>
  <si>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</si>
  <si>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</si>
  <si>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</si>
  <si>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</si>
  <si>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</si>
  <si>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</si>
  <si>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</si>
  <si>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</si>
  <si>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</si>
  <si>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</si>
  <si>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</si>
  <si>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</si>
  <si>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</si>
  <si>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</si>
  <si>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</si>
  <si>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</si>
  <si>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</si>
  <si>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</si>
  <si>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</si>
  <si>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</si>
  <si>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</si>
  <si>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</si>
  <si>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</si>
  <si>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</si>
  <si>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</si>
  <si>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</si>
  <si>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</si>
  <si>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</si>
  <si>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</si>
  <si>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</si>
  <si>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</si>
  <si>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</si>
  <si>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</si>
  <si>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</si>
  <si>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</si>
  <si>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</si>
  <si>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</si>
  <si>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</si>
  <si>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</si>
  <si>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</si>
  <si>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</si>
  <si>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</si>
  <si>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</si>
  <si>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</si>
  <si>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</si>
  <si>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</si>
  <si>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</si>
  <si>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</si>
  <si>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</si>
  <si>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</si>
  <si>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</si>
  <si>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</si>
  <si>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</si>
  <si>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</si>
  <si>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</si>
  <si>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</si>
  <si>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</si>
  <si>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</si>
  <si>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</si>
  <si>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</si>
  <si>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</si>
  <si>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</si>
  <si>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</si>
  <si>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</si>
  <si>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</si>
  <si>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</si>
  <si>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</si>
  <si>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</si>
  <si>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</si>
  <si>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</si>
  <si>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</si>
  <si>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</si>
  <si>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</si>
  <si>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</si>
  <si>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</si>
  <si>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</si>
  <si>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</si>
  <si>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</si>
  <si>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</si>
  <si>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</si>
  <si>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</si>
  <si>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</si>
  <si>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</si>
  <si>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</si>
  <si>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</si>
  <si>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</si>
  <si>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</si>
  <si>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</si>
  <si>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</si>
  <si>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</si>
  <si>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</si>
  <si>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</si>
  <si>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</si>
  <si>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</si>
  <si>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</si>
  <si>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</si>
  <si>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</si>
  <si>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</si>
  <si>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</si>
  <si>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</si>
  <si>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</si>
  <si>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</si>
  <si>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</si>
  <si>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</si>
  <si>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</si>
  <si>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</si>
  <si>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</si>
  <si>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</si>
  <si>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</si>
  <si>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</si>
  <si>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</si>
  <si>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</si>
  <si>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</si>
  <si>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</si>
  <si>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</si>
  <si>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</si>
  <si>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</si>
  <si>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</si>
  <si>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</si>
  <si>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</si>
  <si>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</si>
  <si>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</si>
  <si>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</si>
  <si>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</si>
  <si>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</si>
  <si>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</si>
  <si>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</si>
  <si>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</si>
  <si>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</si>
  <si>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</si>
  <si>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</si>
  <si>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</si>
  <si>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</si>
  <si>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</si>
  <si>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</si>
  <si>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</si>
  <si>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</si>
  <si>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</si>
  <si>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</si>
  <si>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</si>
  <si>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</si>
  <si>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</si>
  <si>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</si>
  <si>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</si>
  <si>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</si>
  <si>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</si>
  <si>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</si>
  <si>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</si>
  <si>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</si>
  <si>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</si>
  <si>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</si>
  <si>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</si>
  <si>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</si>
  <si>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</si>
  <si>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</si>
  <si>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</si>
  <si>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</si>
  <si>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</si>
  <si>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</si>
  <si>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</si>
  <si>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</si>
  <si>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</si>
  <si>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</si>
  <si>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</si>
  <si>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</si>
  <si>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</si>
  <si>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</si>
  <si>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</si>
  <si>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</si>
  <si>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</si>
  <si>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</si>
  <si>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</si>
  <si>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</si>
  <si>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</si>
  <si>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</si>
  <si>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</si>
  <si>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</si>
  <si>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</si>
  <si>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</si>
  <si>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</si>
  <si>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</si>
  <si>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</si>
  <si>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</si>
  <si>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</si>
  <si>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</si>
  <si>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</si>
  <si>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</si>
  <si>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</si>
  <si>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</si>
  <si>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</si>
  <si>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</si>
  <si>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</si>
  <si>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</si>
  <si>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</si>
  <si>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</si>
  <si>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</si>
  <si>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</si>
  <si>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</si>
  <si>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</si>
  <si>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</si>
  <si>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</si>
  <si>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</si>
  <si>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</si>
  <si>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</si>
  <si>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</si>
  <si>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</si>
  <si>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</si>
  <si>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</si>
  <si>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</si>
  <si>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</si>
  <si>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</si>
  <si>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</si>
  <si>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</si>
  <si>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</si>
  <si>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</si>
  <si>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</si>
  <si>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</si>
  <si>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</si>
  <si>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</si>
  <si>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</si>
  <si>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</si>
  <si>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</si>
  <si>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</si>
  <si>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</si>
  <si>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</si>
  <si>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</si>
  <si>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</si>
  <si>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</si>
  <si>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</si>
  <si>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</si>
  <si>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</si>
  <si>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</si>
  <si>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</si>
  <si>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</si>
  <si>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</si>
  <si>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</si>
  <si>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</si>
  <si>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</si>
  <si>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</si>
  <si>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</si>
  <si>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</si>
  <si>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</si>
  <si>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</si>
  <si>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</si>
  <si>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</si>
  <si>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</si>
  <si>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</si>
  <si>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</si>
  <si>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</si>
  <si>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</si>
  <si>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</si>
  <si>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</si>
  <si>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</si>
  <si>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</si>
  <si>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</si>
  <si>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</si>
  <si>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</si>
  <si>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</si>
  <si>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</si>
  <si>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</si>
  <si>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</si>
  <si>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</si>
  <si>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</si>
  <si>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</si>
  <si>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</si>
  <si>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</si>
  <si>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</si>
  <si>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</si>
  <si>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</si>
  <si>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</si>
  <si>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</si>
  <si>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</si>
  <si>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</si>
  <si>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</si>
  <si>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</si>
  <si>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</si>
  <si>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</si>
  <si>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</si>
  <si>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</si>
  <si>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</si>
  <si>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</si>
  <si>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</si>
  <si>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</si>
  <si>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</si>
  <si>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</si>
  <si>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</si>
  <si>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</si>
  <si>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</si>
  <si>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</si>
  <si>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</si>
  <si>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</si>
  <si>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</si>
  <si>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</si>
  <si>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</si>
  <si>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</si>
  <si>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</si>
  <si>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</si>
  <si>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</si>
  <si>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</si>
  <si>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</si>
  <si>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</si>
  <si>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</si>
  <si>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</si>
  <si>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</si>
  <si>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</si>
  <si>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</si>
  <si>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</si>
  <si>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</si>
  <si>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</si>
  <si>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</si>
  <si>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</si>
  <si>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</si>
  <si>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</si>
  <si>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</si>
  <si>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</si>
  <si>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</si>
  <si>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</si>
  <si>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</si>
  <si>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</si>
  <si>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</si>
  <si>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</si>
  <si>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</si>
  <si>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</si>
  <si>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</si>
  <si>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</si>
  <si>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</si>
  <si>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</si>
  <si>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</si>
  <si>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</si>
  <si>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</si>
  <si>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</si>
  <si>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</si>
  <si>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</si>
  <si>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</si>
  <si>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</si>
  <si>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</si>
  <si>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</si>
  <si>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</si>
  <si>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</si>
  <si>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</si>
  <si>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</si>
  <si>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</si>
  <si>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</si>
  <si>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</si>
  <si>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</si>
  <si>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</si>
  <si>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</si>
  <si>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</si>
  <si>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</si>
  <si>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</si>
  <si>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</si>
  <si>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</si>
  <si>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</si>
  <si>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</si>
  <si>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</si>
  <si>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</si>
  <si>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</si>
  <si>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</si>
  <si>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</si>
  <si>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</si>
  <si>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</si>
  <si>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</si>
  <si>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</si>
  <si>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</si>
  <si>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</si>
  <si>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</si>
  <si>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</si>
  <si>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</si>
  <si>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</si>
  <si>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</si>
  <si>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</si>
  <si>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</si>
  <si>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</si>
  <si>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</si>
  <si>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</si>
  <si>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</si>
  <si>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</si>
  <si>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</si>
  <si>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</si>
  <si>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</si>
  <si>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</si>
  <si>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</si>
  <si>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</si>
  <si>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</si>
  <si>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</si>
  <si>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</si>
  <si>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</si>
  <si>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</si>
  <si>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</si>
  <si>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</si>
  <si>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</si>
  <si>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</si>
  <si>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</si>
  <si>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</si>
  <si>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</si>
  <si>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</si>
  <si>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</si>
  <si>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</si>
  <si>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</si>
  <si>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</si>
  <si>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</si>
  <si>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</si>
  <si>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</si>
  <si>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</si>
  <si>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</si>
  <si>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</si>
  <si>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</si>
  <si>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</si>
  <si>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</si>
  <si>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</si>
  <si>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</si>
  <si>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</si>
  <si>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</si>
  <si>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</si>
  <si>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</si>
  <si>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</si>
  <si>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</si>
  <si>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</si>
  <si>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</si>
  <si>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</si>
  <si>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</si>
  <si>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</si>
  <si>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</si>
  <si>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</si>
  <si>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</si>
  <si>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</si>
  <si>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</si>
  <si>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</si>
  <si>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</si>
  <si>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</si>
  <si>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</si>
  <si>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</si>
  <si>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</si>
  <si>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</si>
  <si>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</si>
  <si>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</si>
  <si>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</si>
  <si>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</si>
  <si>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</si>
  <si>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</si>
  <si>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</si>
  <si>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</si>
  <si>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</si>
  <si>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</si>
  <si>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</si>
  <si>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</si>
  <si>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</si>
  <si>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</si>
  <si>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</si>
  <si>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</si>
  <si>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</si>
  <si>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</si>
  <si>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</si>
  <si>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</si>
  <si>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</si>
  <si>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</si>
  <si>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</si>
  <si>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</si>
  <si>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</si>
  <si>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</si>
  <si>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</si>
  <si>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</si>
  <si>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</si>
  <si>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</si>
  <si>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</si>
  <si>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</si>
  <si>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</si>
  <si>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</si>
  <si>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</si>
  <si>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</si>
  <si>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</si>
  <si>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</si>
  <si>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</si>
  <si>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</si>
  <si>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</si>
  <si>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</si>
  <si>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</si>
  <si>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</si>
  <si>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</si>
  <si>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</si>
  <si>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</si>
  <si>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</si>
  <si>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</si>
  <si>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</si>
  <si>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</si>
  <si>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</si>
  <si>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</si>
  <si>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</si>
  <si>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</si>
  <si>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</si>
  <si>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</si>
  <si>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</si>
  <si>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</si>
  <si>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</si>
  <si>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</si>
  <si>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</si>
  <si>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</si>
  <si>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</si>
  <si>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</si>
  <si>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</si>
  <si>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</si>
  <si>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</si>
  <si>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</si>
  <si>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</si>
  <si>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</si>
  <si>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</si>
  <si>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</si>
  <si>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</si>
  <si>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</si>
  <si>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</si>
  <si>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</si>
  <si>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</si>
  <si>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</si>
  <si>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</si>
  <si>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</si>
  <si>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</si>
  <si>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</si>
  <si>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</si>
  <si>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</si>
  <si>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</si>
  <si>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</si>
  <si>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</si>
  <si>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</si>
  <si>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</si>
  <si>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</si>
  <si>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</si>
  <si>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</si>
  <si>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</si>
  <si>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</si>
  <si>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</si>
  <si>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</si>
  <si>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</si>
  <si>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</si>
  <si>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</si>
  <si>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</si>
  <si>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</si>
  <si>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</si>
  <si>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</si>
  <si>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</si>
  <si>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</si>
  <si>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</si>
  <si>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</si>
  <si>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</si>
  <si>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</si>
  <si>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</si>
  <si>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</si>
  <si>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</si>
  <si>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</si>
  <si>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</si>
  <si>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</si>
  <si>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</si>
  <si>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</si>
  <si>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</si>
  <si>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</si>
  <si>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</si>
  <si>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</si>
  <si>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</si>
  <si>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</si>
  <si>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</si>
  <si>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</si>
  <si>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</si>
  <si>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</si>
  <si>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</si>
  <si>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</si>
  <si>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</si>
  <si>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</si>
  <si>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</si>
  <si>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</si>
  <si>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</si>
  <si>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</si>
  <si>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</si>
  <si>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</si>
  <si>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</si>
  <si>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</si>
  <si>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</si>
  <si>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</si>
  <si>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</si>
  <si>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</si>
  <si>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</si>
  <si>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</si>
  <si>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</si>
  <si>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</si>
  <si>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</si>
  <si>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</si>
  <si>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</si>
  <si>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</si>
  <si>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</si>
  <si>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</si>
  <si>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</si>
  <si>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</si>
  <si>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</si>
  <si>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</si>
  <si>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</si>
  <si>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</si>
  <si>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</si>
  <si>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</si>
  <si>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</si>
  <si>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</si>
  <si>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</si>
  <si>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</si>
  <si>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</si>
  <si>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</si>
  <si>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</si>
  <si>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</si>
  <si>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</si>
  <si>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</si>
  <si>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</si>
  <si>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</si>
  <si>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</si>
  <si>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</si>
  <si>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</si>
  <si>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</si>
  <si>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</si>
  <si>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</si>
  <si>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</si>
  <si>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</si>
  <si>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</si>
  <si>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</si>
  <si>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</si>
  <si>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</si>
  <si>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</si>
  <si>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</si>
  <si>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</si>
  <si>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</si>
  <si>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</si>
  <si>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</si>
  <si>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</si>
  <si>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</si>
  <si>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</si>
  <si>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</si>
  <si>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</si>
  <si>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</si>
  <si>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</si>
  <si>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</si>
  <si>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</si>
  <si>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</si>
  <si>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</si>
  <si>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</si>
  <si>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</si>
  <si>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</si>
  <si>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</si>
  <si>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</si>
  <si>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</si>
  <si>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</si>
  <si>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</si>
  <si>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</si>
  <si>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</si>
  <si>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</si>
  <si>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</si>
  <si>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</si>
  <si>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</si>
  <si>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</si>
  <si>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</si>
  <si>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</si>
  <si>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</si>
  <si>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</si>
  <si>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</si>
  <si>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</si>
  <si>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</si>
  <si>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</si>
  <si>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</si>
  <si>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Itaquera</t>
  </si>
  <si>
    <t>01/04/2026</t>
  </si>
  <si>
    <t>30/04/2026</t>
  </si>
  <si>
    <t>NORMAL</t>
  </si>
  <si>
    <t>EMEI</t>
  </si>
  <si>
    <t>IQ</t>
  </si>
  <si>
    <t>EMEF</t>
  </si>
  <si>
    <t>EMEE</t>
  </si>
  <si>
    <t>CEI</t>
  </si>
  <si>
    <t>IQE</t>
  </si>
  <si>
    <t>ADAPTADO</t>
  </si>
  <si>
    <t>Ajuste positivo referente a desconto indevido de recesso do mês de MARÇO/2026</t>
  </si>
  <si>
    <t>019.969-00</t>
  </si>
  <si>
    <t>2023/0012029-001</t>
  </si>
  <si>
    <t>2023/0012029</t>
  </si>
  <si>
    <t>CLQ8360</t>
  </si>
  <si>
    <t>018.657-00</t>
  </si>
  <si>
    <t>2022/0034363-001B</t>
  </si>
  <si>
    <t>2022/0034363</t>
  </si>
  <si>
    <t>CPG3J93</t>
  </si>
  <si>
    <t>019.522-00</t>
  </si>
  <si>
    <t>2023/0033411-001A</t>
  </si>
  <si>
    <t>2023/0033411</t>
  </si>
  <si>
    <t>FQO5B70</t>
  </si>
  <si>
    <t>031.164-00</t>
  </si>
  <si>
    <t>2022/0032880-001</t>
  </si>
  <si>
    <t>2022/0032880</t>
  </si>
  <si>
    <t>EFW3188</t>
  </si>
  <si>
    <t>017.604-00</t>
  </si>
  <si>
    <t>2022/0029343-001</t>
  </si>
  <si>
    <t>2022/0029343</t>
  </si>
  <si>
    <t>FVY9539</t>
  </si>
  <si>
    <t>017.534-00</t>
  </si>
  <si>
    <t>2023/0024688-001</t>
  </si>
  <si>
    <t>2023/0024688</t>
  </si>
  <si>
    <t>DYF4980</t>
  </si>
  <si>
    <t>017.744-00</t>
  </si>
  <si>
    <t>2022/0026847-001</t>
  </si>
  <si>
    <t>2022/0026847</t>
  </si>
  <si>
    <t>DTD4298</t>
  </si>
  <si>
    <t>014.858-00</t>
  </si>
  <si>
    <t>2022/0030230-001</t>
  </si>
  <si>
    <t>2022/0030230</t>
  </si>
  <si>
    <t>DTE8327</t>
  </si>
  <si>
    <t>007.104-00</t>
  </si>
  <si>
    <t>2022/0028821-001</t>
  </si>
  <si>
    <t>2022/0028821</t>
  </si>
  <si>
    <t>DTD3900</t>
  </si>
  <si>
    <t>018.405-00</t>
  </si>
  <si>
    <t>2022/0029582-001A</t>
  </si>
  <si>
    <t>2022/0029582</t>
  </si>
  <si>
    <t>EFU9045</t>
  </si>
  <si>
    <t>018.434-00</t>
  </si>
  <si>
    <t>2022/0032090-001</t>
  </si>
  <si>
    <t>2022/0032090</t>
  </si>
  <si>
    <t>EZM9298</t>
  </si>
  <si>
    <t>007.973-00</t>
  </si>
  <si>
    <t>2022/0030454-001</t>
  </si>
  <si>
    <t>2022/0030454</t>
  </si>
  <si>
    <t>CZX8745</t>
  </si>
  <si>
    <t>018.271-00</t>
  </si>
  <si>
    <t>2022/0031707-001A</t>
  </si>
  <si>
    <t>2022/0031707</t>
  </si>
  <si>
    <t>GJO3859</t>
  </si>
  <si>
    <t>030.989-00</t>
  </si>
  <si>
    <t>2023/0026026-001</t>
  </si>
  <si>
    <t>2023/0026026</t>
  </si>
  <si>
    <t>DTE8J01</t>
  </si>
  <si>
    <t>033.098-00</t>
  </si>
  <si>
    <t>2022/0034347-001</t>
  </si>
  <si>
    <t>2022/0034347</t>
  </si>
  <si>
    <t>FGE9388</t>
  </si>
  <si>
    <t>013.810-00</t>
  </si>
  <si>
    <t>2022/0030752-001</t>
  </si>
  <si>
    <t>2022/0030752</t>
  </si>
  <si>
    <t>ECM9155</t>
  </si>
  <si>
    <t>039.723-00</t>
  </si>
  <si>
    <t>2022/0030466-001</t>
  </si>
  <si>
    <t>2022/0030466</t>
  </si>
  <si>
    <t>FJX2657</t>
  </si>
  <si>
    <t>018.802-00</t>
  </si>
  <si>
    <t>2022/0029530-001</t>
  </si>
  <si>
    <t>2022/0029530</t>
  </si>
  <si>
    <t>DAJ7955</t>
  </si>
  <si>
    <t>017.203-00</t>
  </si>
  <si>
    <t>2022/0033963-001</t>
  </si>
  <si>
    <t>2022/0033963</t>
  </si>
  <si>
    <t>CZC7564</t>
  </si>
  <si>
    <t>016.936-00</t>
  </si>
  <si>
    <t>2022/0028155-001D</t>
  </si>
  <si>
    <t>2022/0028155</t>
  </si>
  <si>
    <t>EFU2E50</t>
  </si>
  <si>
    <t>020.599-00</t>
  </si>
  <si>
    <t>2022/0034446-001B</t>
  </si>
  <si>
    <t>2022/0034446</t>
  </si>
  <si>
    <t>FCQ3C28</t>
  </si>
  <si>
    <t>017.319-00</t>
  </si>
  <si>
    <t>2022/0033624-001A</t>
  </si>
  <si>
    <t>2022/0033624</t>
  </si>
  <si>
    <t>FJP5793</t>
  </si>
  <si>
    <t>019.659-00</t>
  </si>
  <si>
    <t>2023/0027036-001</t>
  </si>
  <si>
    <t>2023/0027036</t>
  </si>
  <si>
    <t>EPO0421</t>
  </si>
  <si>
    <t>020.492-00</t>
  </si>
  <si>
    <t>2022/0029666-001E</t>
  </si>
  <si>
    <t>2022/0029666</t>
  </si>
  <si>
    <t>CZX8563</t>
  </si>
  <si>
    <t>038.267-00</t>
  </si>
  <si>
    <t>2022/0032729-001</t>
  </si>
  <si>
    <t>2022/0032729</t>
  </si>
  <si>
    <t>FSK5803</t>
  </si>
  <si>
    <t>017.003-00</t>
  </si>
  <si>
    <t>2022/0031358-001</t>
  </si>
  <si>
    <t>2022/0031358</t>
  </si>
  <si>
    <t>GBV1480</t>
  </si>
  <si>
    <t>033.805-00</t>
  </si>
  <si>
    <t>2022/0032282-001A</t>
  </si>
  <si>
    <t>2022/0032282</t>
  </si>
  <si>
    <t>ELW9419</t>
  </si>
  <si>
    <t>017.596-00</t>
  </si>
  <si>
    <t>2022/0034443-001</t>
  </si>
  <si>
    <t>2022/0034443</t>
  </si>
  <si>
    <t>CZX2784</t>
  </si>
  <si>
    <t>016.856-00</t>
  </si>
  <si>
    <t>2023/0029856-001A</t>
  </si>
  <si>
    <t>2023/0029856</t>
  </si>
  <si>
    <t>DTD3797</t>
  </si>
  <si>
    <t>019.380-00</t>
  </si>
  <si>
    <t>2023/0029926-001A</t>
  </si>
  <si>
    <t>2023/0029926</t>
  </si>
  <si>
    <t>DYF6050</t>
  </si>
  <si>
    <t>019.462-00</t>
  </si>
  <si>
    <t>2022/0033862-001</t>
  </si>
  <si>
    <t>2022/0033862</t>
  </si>
  <si>
    <t>CZX5069</t>
  </si>
  <si>
    <t>040.187-00</t>
  </si>
  <si>
    <t>2022/0032291-001</t>
  </si>
  <si>
    <t>2022/0032291</t>
  </si>
  <si>
    <t>EWJ5313</t>
  </si>
  <si>
    <t>6020.2023/0012029-4</t>
  </si>
  <si>
    <t>6020.2022/0034363-1</t>
  </si>
  <si>
    <t>6020.2023/0033411-1</t>
  </si>
  <si>
    <t>6020.2022/0032880-2</t>
  </si>
  <si>
    <t>6020.2022/0029343-0</t>
  </si>
  <si>
    <t>6020.2023/0024688-3</t>
  </si>
  <si>
    <t>6020.2022/0026847-8</t>
  </si>
  <si>
    <t>6020.2022/0030230-7</t>
  </si>
  <si>
    <t>6020.2022/0028821-5</t>
  </si>
  <si>
    <t>6020.2022/0029582-3</t>
  </si>
  <si>
    <t>6020.2022/0032090-9</t>
  </si>
  <si>
    <t>6020.2022/0030454-7</t>
  </si>
  <si>
    <t>6020.2022/0031707-0</t>
  </si>
  <si>
    <t>6020.2023/0026026-6</t>
  </si>
  <si>
    <t>6020.2022/0034347-0</t>
  </si>
  <si>
    <t>6020.2022/0030752-0</t>
  </si>
  <si>
    <t>6020.2022/0030466-0</t>
  </si>
  <si>
    <t>6020.2022/0029530-0</t>
  </si>
  <si>
    <t>6020.2022/0033963-4</t>
  </si>
  <si>
    <t>6020.2022/0028155-5</t>
  </si>
  <si>
    <t>6020.2022/0034446-8</t>
  </si>
  <si>
    <t>6020.2022/0033624-4</t>
  </si>
  <si>
    <t>6020.2023/0027036-9</t>
  </si>
  <si>
    <t>6020.2022/0029666-8</t>
  </si>
  <si>
    <t>6020.2022/0032729-6</t>
  </si>
  <si>
    <t>6020.2022/0031358-9</t>
  </si>
  <si>
    <t>6020.2022/0032282-0</t>
  </si>
  <si>
    <t>6020.2022/0034443-3</t>
  </si>
  <si>
    <t>6020.2023/0029856-5</t>
  </si>
  <si>
    <t>6020.2023/0029926-0</t>
  </si>
  <si>
    <t>6020.2022/0033862-0</t>
  </si>
  <si>
    <t>6020.2022/0032291-0</t>
  </si>
  <si>
    <t>532.911.664-34</t>
  </si>
  <si>
    <t>172.581.498-64</t>
  </si>
  <si>
    <t>053.209.838-24</t>
  </si>
  <si>
    <t>360.842.818-69</t>
  </si>
  <si>
    <t>021.475.318-20</t>
  </si>
  <si>
    <t>132.042.278-04</t>
  </si>
  <si>
    <t>134.122.128-81</t>
  </si>
  <si>
    <t>065.300.558-00</t>
  </si>
  <si>
    <t>090.088.638-20</t>
  </si>
  <si>
    <t>217.116.028-41</t>
  </si>
  <si>
    <t>148.416.978-61</t>
  </si>
  <si>
    <t>082.416.368-06</t>
  </si>
  <si>
    <t>856.668.748-53</t>
  </si>
  <si>
    <t>444.242.308-30</t>
  </si>
  <si>
    <t>846.985.781-91</t>
  </si>
  <si>
    <t>082.551.298-04</t>
  </si>
  <si>
    <t>396.379.558-10</t>
  </si>
  <si>
    <t>036.360.268-28</t>
  </si>
  <si>
    <t>632.865.808-72</t>
  </si>
  <si>
    <t>125.721.178-19</t>
  </si>
  <si>
    <t>220.164.418-79</t>
  </si>
  <si>
    <t>267.796.428-78</t>
  </si>
  <si>
    <t>126.613.678-96</t>
  </si>
  <si>
    <t>134.209.598-77</t>
  </si>
  <si>
    <t>132.709.448-70</t>
  </si>
  <si>
    <t>768.622.408-20</t>
  </si>
  <si>
    <t>112.656.728-06</t>
  </si>
  <si>
    <t>164.830.708-61</t>
  </si>
  <si>
    <t>128.482.998-78</t>
  </si>
  <si>
    <t>303.708.118-01</t>
  </si>
  <si>
    <t>994.340.678-04</t>
  </si>
  <si>
    <t>129.142.848-88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</si>
</sst>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40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228"/>
  <sheetViews>
    <sheetView showGridLines="0" zoomScale="85" zoomScaleNormal="85" workbookViewId="0">
      <selection activeCell="Q161" sqref="Q161:EO165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3181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3182</v>
      </c>
      <c r="G5" s="366" t="s">
        <v>3183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3193</v>
      </c>
      <c r="B6" s="522" t="s">
        <v>3194</v>
      </c>
      <c r="C6" s="523">
        <v>1</v>
      </c>
      <c r="D6" s="524" t="s">
        <v>3195</v>
      </c>
      <c r="E6" s="524" t="s">
        <v>3196</v>
      </c>
      <c r="F6" s="525" t="s">
        <v>3182</v>
      </c>
      <c r="G6" s="525" t="s">
        <v>3183</v>
      </c>
      <c r="H6" s="350" t="s">
        <v>1717</v>
      </c>
      <c r="I6" s="351" t="s">
        <v>1717</v>
      </c>
      <c r="J6" s="409" t="s">
        <v>3184</v>
      </c>
      <c r="K6" s="410" t="s">
        <v>3185</v>
      </c>
      <c r="L6" s="329">
        <f>CONTINUA!BV6</f>
        <v>0</v>
      </c>
      <c r="M6" s="329">
        <f>CONTINUA!BW6</f>
        <v>0</v>
      </c>
      <c r="N6" s="342"/>
      <c r="O6" s="288" t="s">
        <v>3321</v>
      </c>
      <c r="P6" s="330">
        <v>0</v>
      </c>
      <c r="Q6" s="400">
        <v>12</v>
      </c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12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12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24827.870000000003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25820.79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24827.870000000003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3193</v>
      </c>
      <c r="B7" s="369" t="s">
        <v>3194</v>
      </c>
      <c r="C7" s="370" t="s">
        <v>3186</v>
      </c>
      <c r="D7" s="371" t="s">
        <v>3195</v>
      </c>
      <c r="E7" s="371" t="s">
        <v>3196</v>
      </c>
      <c r="F7" s="372" t="s">
        <v>3182</v>
      </c>
      <c r="G7" s="372" t="s">
        <v>3183</v>
      </c>
      <c r="H7" s="373" t="s">
        <v>1717</v>
      </c>
      <c r="I7" s="374" t="s">
        <v>1717</v>
      </c>
      <c r="J7" s="421" t="s">
        <v>3184</v>
      </c>
      <c r="K7" s="421" t="s">
        <v>3187</v>
      </c>
      <c r="L7" s="329">
        <f>CONTINUA!BV7</f>
        <v>103</v>
      </c>
      <c r="M7" s="329">
        <f>CONTINUA!BW7</f>
        <v>0</v>
      </c>
      <c r="N7" s="342"/>
      <c r="O7" s="289" t="s">
        <v>3321</v>
      </c>
      <c r="P7" s="330">
        <v>0</v>
      </c>
      <c r="Q7" s="400">
        <v>49</v>
      </c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49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49</v>
      </c>
      <c r="EW7" s="173"/>
      <c r="EX7" s="248">
        <f t="shared" si="16"/>
        <v>0</v>
      </c>
      <c r="EY7" s="174">
        <f>(L7*regular)+(M7*Cadeirantee)</f>
        <v>992.92000000000007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3193</v>
      </c>
      <c r="B8" s="369" t="s">
        <v>3194</v>
      </c>
      <c r="C8" s="375" t="s">
        <v>3186</v>
      </c>
      <c r="D8" s="371" t="s">
        <v>3195</v>
      </c>
      <c r="E8" s="371" t="s">
        <v>3196</v>
      </c>
      <c r="F8" s="376" t="s">
        <v>3182</v>
      </c>
      <c r="G8" s="376" t="s">
        <v>3183</v>
      </c>
      <c r="H8" s="373" t="s">
        <v>1717</v>
      </c>
      <c r="I8" s="374" t="s">
        <v>1717</v>
      </c>
      <c r="J8" s="421" t="s">
        <v>3184</v>
      </c>
      <c r="K8" s="422" t="s">
        <v>3188</v>
      </c>
      <c r="L8" s="329">
        <f>CONTINUA!BV8</f>
        <v>0</v>
      </c>
      <c r="M8" s="329">
        <f>CONTINUA!BW8</f>
        <v>0</v>
      </c>
      <c r="N8" s="342"/>
      <c r="O8" s="289" t="s">
        <v>3321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3193</v>
      </c>
      <c r="B9" s="369" t="s">
        <v>3194</v>
      </c>
      <c r="C9" s="375" t="s">
        <v>3186</v>
      </c>
      <c r="D9" s="371" t="s">
        <v>3195</v>
      </c>
      <c r="E9" s="371" t="s">
        <v>3196</v>
      </c>
      <c r="F9" s="376" t="s">
        <v>3182</v>
      </c>
      <c r="G9" s="376" t="s">
        <v>3183</v>
      </c>
      <c r="H9" s="373" t="s">
        <v>1717</v>
      </c>
      <c r="I9" s="374" t="s">
        <v>1717</v>
      </c>
      <c r="J9" s="421" t="s">
        <v>3184</v>
      </c>
      <c r="K9" s="423" t="s">
        <v>3189</v>
      </c>
      <c r="L9" s="329">
        <f>CONTINUA!BV9</f>
        <v>0</v>
      </c>
      <c r="M9" s="329">
        <f>CONTINUA!BW9</f>
        <v>0</v>
      </c>
      <c r="N9" s="342"/>
      <c r="O9" s="289" t="s">
        <v>3321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3193</v>
      </c>
      <c r="B10" s="378" t="s">
        <v>3194</v>
      </c>
      <c r="C10" s="379" t="s">
        <v>3186</v>
      </c>
      <c r="D10" s="380" t="s">
        <v>3195</v>
      </c>
      <c r="E10" s="380" t="s">
        <v>3196</v>
      </c>
      <c r="F10" s="381" t="s">
        <v>3182</v>
      </c>
      <c r="G10" s="381" t="s">
        <v>3183</v>
      </c>
      <c r="H10" s="382" t="s">
        <v>1717</v>
      </c>
      <c r="I10" s="383" t="s">
        <v>1717</v>
      </c>
      <c r="J10" s="421" t="s">
        <v>3184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3321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3197</v>
      </c>
      <c r="B11" s="522" t="s">
        <v>3198</v>
      </c>
      <c r="C11" s="523">
        <v>1</v>
      </c>
      <c r="D11" s="524" t="s">
        <v>3199</v>
      </c>
      <c r="E11" s="524" t="s">
        <v>3200</v>
      </c>
      <c r="F11" s="525" t="s">
        <v>3182</v>
      </c>
      <c r="G11" s="525" t="s">
        <v>3183</v>
      </c>
      <c r="H11" s="350" t="s">
        <v>1719</v>
      </c>
      <c r="I11" s="351" t="s">
        <v>1719</v>
      </c>
      <c r="J11" s="409" t="s">
        <v>3184</v>
      </c>
      <c r="K11" s="410" t="s">
        <v>3185</v>
      </c>
      <c r="L11" s="329">
        <f>CONTINUA!BV11</f>
        <v>0</v>
      </c>
      <c r="M11" s="329">
        <f>CONTINUA!BW11</f>
        <v>0</v>
      </c>
      <c r="N11" s="895"/>
      <c r="O11" s="896" t="s">
        <v>3322</v>
      </c>
      <c r="P11" s="897">
        <v>0</v>
      </c>
      <c r="Q11" s="400">
        <v>6</v>
      </c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 t="s">
        <v>3192</v>
      </c>
      <c r="EM11" s="520">
        <v>282.50200000000001</v>
      </c>
      <c r="EN11" s="520"/>
      <c r="EO11" s="520"/>
      <c r="EP11" s="171">
        <f t="shared" ref="EP11:EP74" si="22">Q11</f>
        <v>6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6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22901.72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23348.102000000003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22901.72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282.50200000000001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3197</v>
      </c>
      <c r="B12" s="369" t="s">
        <v>3198</v>
      </c>
      <c r="C12" s="370" t="s">
        <v>3186</v>
      </c>
      <c r="D12" s="371" t="s">
        <v>3199</v>
      </c>
      <c r="E12" s="371" t="s">
        <v>3200</v>
      </c>
      <c r="F12" s="372" t="s">
        <v>3182</v>
      </c>
      <c r="G12" s="372" t="s">
        <v>3183</v>
      </c>
      <c r="H12" s="373" t="s">
        <v>1719</v>
      </c>
      <c r="I12" s="374" t="s">
        <v>1719</v>
      </c>
      <c r="J12" s="421" t="s">
        <v>3184</v>
      </c>
      <c r="K12" s="421" t="s">
        <v>3187</v>
      </c>
      <c r="L12" s="329">
        <f>CONTINUA!BV12</f>
        <v>17</v>
      </c>
      <c r="M12" s="329">
        <f>CONTINUA!BW12</f>
        <v>0</v>
      </c>
      <c r="N12" s="895"/>
      <c r="O12" s="896" t="s">
        <v>3322</v>
      </c>
      <c r="P12" s="897">
        <v>0</v>
      </c>
      <c r="Q12" s="400">
        <v>48</v>
      </c>
      <c r="R12" s="401"/>
      <c r="S12" s="400">
        <v>2</v>
      </c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48</v>
      </c>
      <c r="EQ12" s="171">
        <f t="shared" si="23"/>
        <v>0</v>
      </c>
      <c r="ER12" s="171">
        <f t="shared" si="24"/>
        <v>2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50</v>
      </c>
      <c r="EW12" s="173"/>
      <c r="EX12" s="248">
        <f t="shared" si="29"/>
        <v>0</v>
      </c>
      <c r="EY12" s="174">
        <f>(L12*regular)+(M12*Cadeirantee)</f>
        <v>163.88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3197</v>
      </c>
      <c r="B13" s="369" t="s">
        <v>3198</v>
      </c>
      <c r="C13" s="375" t="s">
        <v>3186</v>
      </c>
      <c r="D13" s="371" t="s">
        <v>3199</v>
      </c>
      <c r="E13" s="371" t="s">
        <v>3200</v>
      </c>
      <c r="F13" s="376" t="s">
        <v>3182</v>
      </c>
      <c r="G13" s="376" t="s">
        <v>3183</v>
      </c>
      <c r="H13" s="373" t="s">
        <v>1719</v>
      </c>
      <c r="I13" s="374" t="s">
        <v>1719</v>
      </c>
      <c r="J13" s="421" t="s">
        <v>3184</v>
      </c>
      <c r="K13" s="422" t="s">
        <v>3188</v>
      </c>
      <c r="L13" s="329">
        <f>CONTINUA!BV13</f>
        <v>0</v>
      </c>
      <c r="M13" s="329">
        <f>CONTINUA!BW13</f>
        <v>0</v>
      </c>
      <c r="N13" s="895"/>
      <c r="O13" s="896" t="s">
        <v>3322</v>
      </c>
      <c r="P13" s="897">
        <v>0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3197</v>
      </c>
      <c r="B14" s="369" t="s">
        <v>3198</v>
      </c>
      <c r="C14" s="375" t="s">
        <v>3186</v>
      </c>
      <c r="D14" s="371" t="s">
        <v>3199</v>
      </c>
      <c r="E14" s="371" t="s">
        <v>3200</v>
      </c>
      <c r="F14" s="376" t="s">
        <v>3182</v>
      </c>
      <c r="G14" s="376" t="s">
        <v>3183</v>
      </c>
      <c r="H14" s="373" t="s">
        <v>1719</v>
      </c>
      <c r="I14" s="374" t="s">
        <v>1719</v>
      </c>
      <c r="J14" s="421" t="s">
        <v>3184</v>
      </c>
      <c r="K14" s="423" t="s">
        <v>3189</v>
      </c>
      <c r="L14" s="329">
        <f>CONTINUA!BV14</f>
        <v>0</v>
      </c>
      <c r="M14" s="329">
        <f>CONTINUA!BW14</f>
        <v>0</v>
      </c>
      <c r="N14" s="895"/>
      <c r="O14" s="896" t="s">
        <v>3322</v>
      </c>
      <c r="P14" s="897">
        <v>0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3197</v>
      </c>
      <c r="B15" s="378" t="s">
        <v>3198</v>
      </c>
      <c r="C15" s="379" t="s">
        <v>3186</v>
      </c>
      <c r="D15" s="380" t="s">
        <v>3199</v>
      </c>
      <c r="E15" s="380" t="s">
        <v>3200</v>
      </c>
      <c r="F15" s="381" t="s">
        <v>3182</v>
      </c>
      <c r="G15" s="381" t="s">
        <v>3183</v>
      </c>
      <c r="H15" s="382" t="s">
        <v>1719</v>
      </c>
      <c r="I15" s="383" t="s">
        <v>1719</v>
      </c>
      <c r="J15" s="421" t="s">
        <v>3184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3322</v>
      </c>
      <c r="P15" s="897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3201</v>
      </c>
      <c r="B16" s="522" t="s">
        <v>3202</v>
      </c>
      <c r="C16" s="523">
        <v>1</v>
      </c>
      <c r="D16" s="524" t="s">
        <v>3203</v>
      </c>
      <c r="E16" s="524" t="s">
        <v>3204</v>
      </c>
      <c r="F16" s="525" t="s">
        <v>3182</v>
      </c>
      <c r="G16" s="525" t="s">
        <v>3183</v>
      </c>
      <c r="H16" s="350" t="s">
        <v>1721</v>
      </c>
      <c r="I16" s="351" t="s">
        <v>1721</v>
      </c>
      <c r="J16" s="409" t="s">
        <v>3184</v>
      </c>
      <c r="K16" s="410" t="s">
        <v>3185</v>
      </c>
      <c r="L16" s="329">
        <f>CONTINUA!BV16</f>
        <v>0</v>
      </c>
      <c r="M16" s="329">
        <f>CONTINUA!BW16</f>
        <v>0</v>
      </c>
      <c r="N16" s="895"/>
      <c r="O16" s="896" t="s">
        <v>3323</v>
      </c>
      <c r="P16" s="897">
        <v>0</v>
      </c>
      <c r="Q16" s="400">
        <v>48</v>
      </c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48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48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19819.88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19819.88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19819.88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3201</v>
      </c>
      <c r="B17" s="369" t="s">
        <v>3202</v>
      </c>
      <c r="C17" s="370" t="s">
        <v>3186</v>
      </c>
      <c r="D17" s="371" t="s">
        <v>3203</v>
      </c>
      <c r="E17" s="371" t="s">
        <v>3204</v>
      </c>
      <c r="F17" s="372" t="s">
        <v>3182</v>
      </c>
      <c r="G17" s="372" t="s">
        <v>3183</v>
      </c>
      <c r="H17" s="373" t="s">
        <v>1721</v>
      </c>
      <c r="I17" s="374" t="s">
        <v>1721</v>
      </c>
      <c r="J17" s="421" t="s">
        <v>3184</v>
      </c>
      <c r="K17" s="421" t="s">
        <v>3187</v>
      </c>
      <c r="L17" s="329">
        <f>CONTINUA!BV17</f>
        <v>0</v>
      </c>
      <c r="M17" s="329">
        <f>CONTINUA!BW17</f>
        <v>0</v>
      </c>
      <c r="N17" s="895"/>
      <c r="O17" s="896" t="s">
        <v>3323</v>
      </c>
      <c r="P17" s="897">
        <v>0</v>
      </c>
      <c r="Q17" s="400"/>
      <c r="R17" s="401"/>
      <c r="S17" s="400"/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0</v>
      </c>
      <c r="EQ17" s="171">
        <f t="shared" si="23"/>
        <v>0</v>
      </c>
      <c r="ER17" s="171">
        <f t="shared" si="24"/>
        <v>0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0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3201</v>
      </c>
      <c r="B18" s="369" t="s">
        <v>3202</v>
      </c>
      <c r="C18" s="375" t="s">
        <v>3186</v>
      </c>
      <c r="D18" s="371" t="s">
        <v>3203</v>
      </c>
      <c r="E18" s="371" t="s">
        <v>3204</v>
      </c>
      <c r="F18" s="376" t="s">
        <v>3182</v>
      </c>
      <c r="G18" s="376" t="s">
        <v>3183</v>
      </c>
      <c r="H18" s="373" t="s">
        <v>1721</v>
      </c>
      <c r="I18" s="374" t="s">
        <v>1721</v>
      </c>
      <c r="J18" s="421" t="s">
        <v>3184</v>
      </c>
      <c r="K18" s="422" t="s">
        <v>3188</v>
      </c>
      <c r="L18" s="329">
        <f>CONTINUA!BV18</f>
        <v>0</v>
      </c>
      <c r="M18" s="329">
        <f>CONTINUA!BW18</f>
        <v>0</v>
      </c>
      <c r="N18" s="895"/>
      <c r="O18" s="896" t="s">
        <v>3323</v>
      </c>
      <c r="P18" s="897">
        <v>0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3201</v>
      </c>
      <c r="B19" s="369" t="s">
        <v>3202</v>
      </c>
      <c r="C19" s="375" t="s">
        <v>3186</v>
      </c>
      <c r="D19" s="371" t="s">
        <v>3203</v>
      </c>
      <c r="E19" s="371" t="s">
        <v>3204</v>
      </c>
      <c r="F19" s="376" t="s">
        <v>3182</v>
      </c>
      <c r="G19" s="376" t="s">
        <v>3183</v>
      </c>
      <c r="H19" s="373" t="s">
        <v>1721</v>
      </c>
      <c r="I19" s="374" t="s">
        <v>1721</v>
      </c>
      <c r="J19" s="421" t="s">
        <v>3184</v>
      </c>
      <c r="K19" s="423" t="s">
        <v>3189</v>
      </c>
      <c r="L19" s="329">
        <f>CONTINUA!BV19</f>
        <v>0</v>
      </c>
      <c r="M19" s="329">
        <f>CONTINUA!BW19</f>
        <v>0</v>
      </c>
      <c r="N19" s="895"/>
      <c r="O19" s="896" t="s">
        <v>3323</v>
      </c>
      <c r="P19" s="897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3201</v>
      </c>
      <c r="B20" s="378" t="s">
        <v>3202</v>
      </c>
      <c r="C20" s="379" t="s">
        <v>3186</v>
      </c>
      <c r="D20" s="380" t="s">
        <v>3203</v>
      </c>
      <c r="E20" s="380" t="s">
        <v>3204</v>
      </c>
      <c r="F20" s="381" t="s">
        <v>3182</v>
      </c>
      <c r="G20" s="381" t="s">
        <v>3183</v>
      </c>
      <c r="H20" s="382" t="s">
        <v>1721</v>
      </c>
      <c r="I20" s="383" t="s">
        <v>1721</v>
      </c>
      <c r="J20" s="421" t="s">
        <v>3184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3323</v>
      </c>
      <c r="P20" s="897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3205</v>
      </c>
      <c r="B21" s="522" t="s">
        <v>3206</v>
      </c>
      <c r="C21" s="523">
        <v>4</v>
      </c>
      <c r="D21" s="524" t="s">
        <v>3207</v>
      </c>
      <c r="E21" s="524" t="s">
        <v>3208</v>
      </c>
      <c r="F21" s="525" t="s">
        <v>3182</v>
      </c>
      <c r="G21" s="525" t="s">
        <v>3183</v>
      </c>
      <c r="H21" s="350" t="s">
        <v>1723</v>
      </c>
      <c r="I21" s="351" t="s">
        <v>1723</v>
      </c>
      <c r="J21" s="409" t="s">
        <v>3184</v>
      </c>
      <c r="K21" s="410" t="s">
        <v>3185</v>
      </c>
      <c r="L21" s="329">
        <f>CONTINUA!BV21</f>
        <v>0</v>
      </c>
      <c r="M21" s="329">
        <f>CONTINUA!BW21</f>
        <v>0</v>
      </c>
      <c r="N21" s="895"/>
      <c r="O21" s="896" t="s">
        <v>3324</v>
      </c>
      <c r="P21" s="897">
        <v>0</v>
      </c>
      <c r="Q21" s="400"/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11465.63</v>
      </c>
      <c r="EX21" s="248">
        <f t="shared" ref="EX21:EX24" si="40">FF21</f>
        <v>1155.69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12621.32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1155.69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3205</v>
      </c>
      <c r="B22" s="369" t="s">
        <v>3206</v>
      </c>
      <c r="C22" s="370" t="s">
        <v>3190</v>
      </c>
      <c r="D22" s="371" t="s">
        <v>3207</v>
      </c>
      <c r="E22" s="371" t="s">
        <v>3208</v>
      </c>
      <c r="F22" s="372" t="s">
        <v>3182</v>
      </c>
      <c r="G22" s="372" t="s">
        <v>3183</v>
      </c>
      <c r="H22" s="373" t="s">
        <v>1723</v>
      </c>
      <c r="I22" s="374" t="s">
        <v>1723</v>
      </c>
      <c r="J22" s="421" t="s">
        <v>3184</v>
      </c>
      <c r="K22" s="421" t="s">
        <v>3187</v>
      </c>
      <c r="L22" s="329">
        <f>CONTINUA!BV22</f>
        <v>0</v>
      </c>
      <c r="M22" s="329">
        <f>CONTINUA!BW22</f>
        <v>0</v>
      </c>
      <c r="N22" s="895"/>
      <c r="O22" s="896" t="s">
        <v>3324</v>
      </c>
      <c r="P22" s="897">
        <v>0</v>
      </c>
      <c r="Q22" s="400"/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0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0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3205</v>
      </c>
      <c r="B23" s="369" t="s">
        <v>3206</v>
      </c>
      <c r="C23" s="375" t="s">
        <v>3190</v>
      </c>
      <c r="D23" s="371" t="s">
        <v>3207</v>
      </c>
      <c r="E23" s="371" t="s">
        <v>3208</v>
      </c>
      <c r="F23" s="376" t="s">
        <v>3182</v>
      </c>
      <c r="G23" s="376" t="s">
        <v>3183</v>
      </c>
      <c r="H23" s="373" t="s">
        <v>1723</v>
      </c>
      <c r="I23" s="374" t="s">
        <v>1723</v>
      </c>
      <c r="J23" s="421" t="s">
        <v>3184</v>
      </c>
      <c r="K23" s="422" t="s">
        <v>3188</v>
      </c>
      <c r="L23" s="329">
        <f>CONTINUA!BV23</f>
        <v>0</v>
      </c>
      <c r="M23" s="329">
        <f>CONTINUA!BW23</f>
        <v>0</v>
      </c>
      <c r="N23" s="895"/>
      <c r="O23" s="896" t="s">
        <v>3324</v>
      </c>
      <c r="P23" s="897">
        <v>0</v>
      </c>
      <c r="Q23" s="400">
        <v>3</v>
      </c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3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3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3205</v>
      </c>
      <c r="B24" s="369" t="s">
        <v>3206</v>
      </c>
      <c r="C24" s="375" t="s">
        <v>3190</v>
      </c>
      <c r="D24" s="371" t="s">
        <v>3207</v>
      </c>
      <c r="E24" s="371" t="s">
        <v>3208</v>
      </c>
      <c r="F24" s="376" t="s">
        <v>3182</v>
      </c>
      <c r="G24" s="376" t="s">
        <v>3183</v>
      </c>
      <c r="H24" s="373" t="s">
        <v>1723</v>
      </c>
      <c r="I24" s="374" t="s">
        <v>1723</v>
      </c>
      <c r="J24" s="421" t="s">
        <v>3184</v>
      </c>
      <c r="K24" s="423" t="s">
        <v>3189</v>
      </c>
      <c r="L24" s="329">
        <f>CONTINUA!BV24</f>
        <v>0</v>
      </c>
      <c r="M24" s="329">
        <f>CONTINUA!BW24</f>
        <v>0</v>
      </c>
      <c r="N24" s="895"/>
      <c r="O24" s="896" t="s">
        <v>3324</v>
      </c>
      <c r="P24" s="897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3205</v>
      </c>
      <c r="B25" s="378" t="s">
        <v>3206</v>
      </c>
      <c r="C25" s="379" t="s">
        <v>3190</v>
      </c>
      <c r="D25" s="380" t="s">
        <v>3207</v>
      </c>
      <c r="E25" s="380" t="s">
        <v>3208</v>
      </c>
      <c r="F25" s="381" t="s">
        <v>3182</v>
      </c>
      <c r="G25" s="381" t="s">
        <v>3183</v>
      </c>
      <c r="H25" s="382" t="s">
        <v>1723</v>
      </c>
      <c r="I25" s="383" t="s">
        <v>1723</v>
      </c>
      <c r="J25" s="421" t="s">
        <v>3184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3324</v>
      </c>
      <c r="P25" s="897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3209</v>
      </c>
      <c r="B26" s="522" t="s">
        <v>3210</v>
      </c>
      <c r="C26" s="523">
        <v>1</v>
      </c>
      <c r="D26" s="524" t="s">
        <v>3211</v>
      </c>
      <c r="E26" s="524" t="s">
        <v>3212</v>
      </c>
      <c r="F26" s="525" t="s">
        <v>3182</v>
      </c>
      <c r="G26" s="525" t="s">
        <v>3183</v>
      </c>
      <c r="H26" s="350" t="s">
        <v>1724</v>
      </c>
      <c r="I26" s="351" t="s">
        <v>1724</v>
      </c>
      <c r="J26" s="409" t="s">
        <v>3184</v>
      </c>
      <c r="K26" s="410" t="s">
        <v>3185</v>
      </c>
      <c r="L26" s="329">
        <f>CONTINUA!BV26</f>
        <v>0</v>
      </c>
      <c r="M26" s="329">
        <f>CONTINUA!BW26</f>
        <v>0</v>
      </c>
      <c r="N26" s="895"/>
      <c r="O26" s="896" t="s">
        <v>3325</v>
      </c>
      <c r="P26" s="897">
        <v>0</v>
      </c>
      <c r="Q26" s="400">
        <v>16</v>
      </c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16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16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15582.35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15582.35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15582.35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3209</v>
      </c>
      <c r="B27" s="369" t="s">
        <v>3210</v>
      </c>
      <c r="C27" s="370" t="s">
        <v>3186</v>
      </c>
      <c r="D27" s="371" t="s">
        <v>3211</v>
      </c>
      <c r="E27" s="371" t="s">
        <v>3212</v>
      </c>
      <c r="F27" s="372" t="s">
        <v>3182</v>
      </c>
      <c r="G27" s="372" t="s">
        <v>3183</v>
      </c>
      <c r="H27" s="373" t="s">
        <v>1724</v>
      </c>
      <c r="I27" s="374" t="s">
        <v>1724</v>
      </c>
      <c r="J27" s="421" t="s">
        <v>3184</v>
      </c>
      <c r="K27" s="421" t="s">
        <v>3187</v>
      </c>
      <c r="L27" s="329">
        <f>CONTINUA!BV27</f>
        <v>0</v>
      </c>
      <c r="M27" s="329">
        <f>CONTINUA!BW27</f>
        <v>0</v>
      </c>
      <c r="N27" s="895"/>
      <c r="O27" s="896" t="s">
        <v>3325</v>
      </c>
      <c r="P27" s="897">
        <v>0</v>
      </c>
      <c r="Q27" s="400">
        <v>19</v>
      </c>
      <c r="R27" s="401"/>
      <c r="S27" s="400">
        <v>2</v>
      </c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19</v>
      </c>
      <c r="EQ27" s="171">
        <f t="shared" si="23"/>
        <v>0</v>
      </c>
      <c r="ER27" s="171">
        <f t="shared" si="24"/>
        <v>2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21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3209</v>
      </c>
      <c r="B28" s="369" t="s">
        <v>3210</v>
      </c>
      <c r="C28" s="375" t="s">
        <v>3186</v>
      </c>
      <c r="D28" s="371" t="s">
        <v>3211</v>
      </c>
      <c r="E28" s="371" t="s">
        <v>3212</v>
      </c>
      <c r="F28" s="376" t="s">
        <v>3182</v>
      </c>
      <c r="G28" s="376" t="s">
        <v>3183</v>
      </c>
      <c r="H28" s="373" t="s">
        <v>1724</v>
      </c>
      <c r="I28" s="374" t="s">
        <v>1724</v>
      </c>
      <c r="J28" s="421" t="s">
        <v>3184</v>
      </c>
      <c r="K28" s="422" t="s">
        <v>3188</v>
      </c>
      <c r="L28" s="329">
        <f>CONTINUA!BV28</f>
        <v>0</v>
      </c>
      <c r="M28" s="329">
        <f>CONTINUA!BW28</f>
        <v>0</v>
      </c>
      <c r="N28" s="895"/>
      <c r="O28" s="896" t="s">
        <v>3325</v>
      </c>
      <c r="P28" s="897">
        <v>0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3209</v>
      </c>
      <c r="B29" s="369" t="s">
        <v>3210</v>
      </c>
      <c r="C29" s="375" t="s">
        <v>3186</v>
      </c>
      <c r="D29" s="371" t="s">
        <v>3211</v>
      </c>
      <c r="E29" s="371" t="s">
        <v>3212</v>
      </c>
      <c r="F29" s="376" t="s">
        <v>3182</v>
      </c>
      <c r="G29" s="376" t="s">
        <v>3183</v>
      </c>
      <c r="H29" s="373" t="s">
        <v>1724</v>
      </c>
      <c r="I29" s="374" t="s">
        <v>1724</v>
      </c>
      <c r="J29" s="421" t="s">
        <v>3184</v>
      </c>
      <c r="K29" s="423" t="s">
        <v>3189</v>
      </c>
      <c r="L29" s="329">
        <f>CONTINUA!BV29</f>
        <v>0</v>
      </c>
      <c r="M29" s="329">
        <f>CONTINUA!BW29</f>
        <v>0</v>
      </c>
      <c r="N29" s="895"/>
      <c r="O29" s="896" t="s">
        <v>3325</v>
      </c>
      <c r="P29" s="897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3209</v>
      </c>
      <c r="B30" s="378" t="s">
        <v>3210</v>
      </c>
      <c r="C30" s="379" t="s">
        <v>3186</v>
      </c>
      <c r="D30" s="380" t="s">
        <v>3211</v>
      </c>
      <c r="E30" s="380" t="s">
        <v>3212</v>
      </c>
      <c r="F30" s="381" t="s">
        <v>3182</v>
      </c>
      <c r="G30" s="381" t="s">
        <v>3183</v>
      </c>
      <c r="H30" s="382" t="s">
        <v>1724</v>
      </c>
      <c r="I30" s="383" t="s">
        <v>1724</v>
      </c>
      <c r="J30" s="421" t="s">
        <v>3184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3325</v>
      </c>
      <c r="P30" s="897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3213</v>
      </c>
      <c r="B31" s="522" t="s">
        <v>3214</v>
      </c>
      <c r="C31" s="523">
        <v>1</v>
      </c>
      <c r="D31" s="524" t="s">
        <v>3215</v>
      </c>
      <c r="E31" s="524" t="s">
        <v>3216</v>
      </c>
      <c r="F31" s="525" t="s">
        <v>3182</v>
      </c>
      <c r="G31" s="525" t="s">
        <v>3183</v>
      </c>
      <c r="H31" s="350" t="s">
        <v>1725</v>
      </c>
      <c r="I31" s="351" t="s">
        <v>1725</v>
      </c>
      <c r="J31" s="409" t="s">
        <v>3184</v>
      </c>
      <c r="K31" s="410" t="s">
        <v>3185</v>
      </c>
      <c r="L31" s="329">
        <f>CONTINUA!BV31</f>
        <v>0</v>
      </c>
      <c r="M31" s="329">
        <f>CONTINUA!BW31</f>
        <v>0</v>
      </c>
      <c r="N31" s="895"/>
      <c r="O31" s="896" t="s">
        <v>3326</v>
      </c>
      <c r="P31" s="897">
        <v>0</v>
      </c>
      <c r="Q31" s="400">
        <v>25</v>
      </c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25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25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19434.650000000001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19984.13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19434.650000000001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3213</v>
      </c>
      <c r="B32" s="369" t="s">
        <v>3214</v>
      </c>
      <c r="C32" s="370" t="s">
        <v>3186</v>
      </c>
      <c r="D32" s="371" t="s">
        <v>3215</v>
      </c>
      <c r="E32" s="371" t="s">
        <v>3216</v>
      </c>
      <c r="F32" s="372" t="s">
        <v>3182</v>
      </c>
      <c r="G32" s="372" t="s">
        <v>3183</v>
      </c>
      <c r="H32" s="373" t="s">
        <v>1725</v>
      </c>
      <c r="I32" s="374" t="s">
        <v>1725</v>
      </c>
      <c r="J32" s="421" t="s">
        <v>3184</v>
      </c>
      <c r="K32" s="421" t="s">
        <v>3187</v>
      </c>
      <c r="L32" s="329">
        <f>CONTINUA!BV32</f>
        <v>57</v>
      </c>
      <c r="M32" s="329">
        <f>CONTINUA!BW32</f>
        <v>0</v>
      </c>
      <c r="N32" s="895"/>
      <c r="O32" s="896" t="s">
        <v>3326</v>
      </c>
      <c r="P32" s="897">
        <v>0</v>
      </c>
      <c r="Q32" s="400">
        <v>20</v>
      </c>
      <c r="R32" s="401"/>
      <c r="S32" s="400">
        <v>2</v>
      </c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20</v>
      </c>
      <c r="EQ32" s="171">
        <f t="shared" si="23"/>
        <v>0</v>
      </c>
      <c r="ER32" s="171">
        <f t="shared" si="24"/>
        <v>2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22</v>
      </c>
      <c r="EW32" s="173"/>
      <c r="EX32" s="248">
        <f t="shared" si="50"/>
        <v>0</v>
      </c>
      <c r="EY32" s="174">
        <f>(L32*regular)+(M32*Cadeirantee)</f>
        <v>549.48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3213</v>
      </c>
      <c r="B33" s="369" t="s">
        <v>3214</v>
      </c>
      <c r="C33" s="375" t="s">
        <v>3186</v>
      </c>
      <c r="D33" s="371" t="s">
        <v>3215</v>
      </c>
      <c r="E33" s="371" t="s">
        <v>3216</v>
      </c>
      <c r="F33" s="376" t="s">
        <v>3182</v>
      </c>
      <c r="G33" s="376" t="s">
        <v>3183</v>
      </c>
      <c r="H33" s="373" t="s">
        <v>1725</v>
      </c>
      <c r="I33" s="374" t="s">
        <v>1725</v>
      </c>
      <c r="J33" s="421" t="s">
        <v>3184</v>
      </c>
      <c r="K33" s="422" t="s">
        <v>3188</v>
      </c>
      <c r="L33" s="329">
        <f>CONTINUA!BV33</f>
        <v>0</v>
      </c>
      <c r="M33" s="329">
        <f>CONTINUA!BW33</f>
        <v>0</v>
      </c>
      <c r="N33" s="895"/>
      <c r="O33" s="896" t="s">
        <v>3326</v>
      </c>
      <c r="P33" s="897">
        <v>0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3213</v>
      </c>
      <c r="B34" s="369" t="s">
        <v>3214</v>
      </c>
      <c r="C34" s="375" t="s">
        <v>3186</v>
      </c>
      <c r="D34" s="371" t="s">
        <v>3215</v>
      </c>
      <c r="E34" s="371" t="s">
        <v>3216</v>
      </c>
      <c r="F34" s="376" t="s">
        <v>3182</v>
      </c>
      <c r="G34" s="376" t="s">
        <v>3183</v>
      </c>
      <c r="H34" s="373" t="s">
        <v>1725</v>
      </c>
      <c r="I34" s="374" t="s">
        <v>1725</v>
      </c>
      <c r="J34" s="421" t="s">
        <v>3184</v>
      </c>
      <c r="K34" s="423" t="s">
        <v>3189</v>
      </c>
      <c r="L34" s="329">
        <f>CONTINUA!BV34</f>
        <v>0</v>
      </c>
      <c r="M34" s="329">
        <f>CONTINUA!BW34</f>
        <v>0</v>
      </c>
      <c r="N34" s="895"/>
      <c r="O34" s="896" t="s">
        <v>3326</v>
      </c>
      <c r="P34" s="897">
        <v>0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3213</v>
      </c>
      <c r="B35" s="378" t="s">
        <v>3214</v>
      </c>
      <c r="C35" s="379" t="s">
        <v>3186</v>
      </c>
      <c r="D35" s="380" t="s">
        <v>3215</v>
      </c>
      <c r="E35" s="380" t="s">
        <v>3216</v>
      </c>
      <c r="F35" s="381" t="s">
        <v>3182</v>
      </c>
      <c r="G35" s="381" t="s">
        <v>3183</v>
      </c>
      <c r="H35" s="382" t="s">
        <v>1725</v>
      </c>
      <c r="I35" s="383" t="s">
        <v>1725</v>
      </c>
      <c r="J35" s="421" t="s">
        <v>3184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3326</v>
      </c>
      <c r="P35" s="897">
        <v>0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3217</v>
      </c>
      <c r="B36" s="522" t="s">
        <v>3218</v>
      </c>
      <c r="C36" s="523">
        <v>1</v>
      </c>
      <c r="D36" s="524" t="s">
        <v>3219</v>
      </c>
      <c r="E36" s="524" t="s">
        <v>3220</v>
      </c>
      <c r="F36" s="525" t="s">
        <v>3182</v>
      </c>
      <c r="G36" s="525" t="s">
        <v>3183</v>
      </c>
      <c r="H36" s="350" t="s">
        <v>1727</v>
      </c>
      <c r="I36" s="351" t="s">
        <v>1727</v>
      </c>
      <c r="J36" s="409" t="s">
        <v>3184</v>
      </c>
      <c r="K36" s="410" t="s">
        <v>3185</v>
      </c>
      <c r="L36" s="329">
        <f>CONTINUA!BV36</f>
        <v>0</v>
      </c>
      <c r="M36" s="329">
        <f>CONTINUA!BW36</f>
        <v>0</v>
      </c>
      <c r="N36" s="895"/>
      <c r="O36" s="896" t="s">
        <v>3327</v>
      </c>
      <c r="P36" s="897">
        <v>0</v>
      </c>
      <c r="Q36" s="400">
        <v>17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 t="s">
        <v>3192</v>
      </c>
      <c r="EM36" s="520">
        <v>141.251</v>
      </c>
      <c r="EN36" s="520"/>
      <c r="EO36" s="520"/>
      <c r="EP36" s="171">
        <f t="shared" si="22"/>
        <v>17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17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17123.27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17650.120999999999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17123.27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141.251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3217</v>
      </c>
      <c r="B37" s="369" t="s">
        <v>3218</v>
      </c>
      <c r="C37" s="370" t="s">
        <v>3186</v>
      </c>
      <c r="D37" s="371" t="s">
        <v>3219</v>
      </c>
      <c r="E37" s="371" t="s">
        <v>3220</v>
      </c>
      <c r="F37" s="372" t="s">
        <v>3182</v>
      </c>
      <c r="G37" s="372" t="s">
        <v>3183</v>
      </c>
      <c r="H37" s="373" t="s">
        <v>1727</v>
      </c>
      <c r="I37" s="374" t="s">
        <v>1727</v>
      </c>
      <c r="J37" s="421" t="s">
        <v>3184</v>
      </c>
      <c r="K37" s="421" t="s">
        <v>3187</v>
      </c>
      <c r="L37" s="329">
        <f>CONTINUA!BV37</f>
        <v>40</v>
      </c>
      <c r="M37" s="329">
        <f>CONTINUA!BW37</f>
        <v>0</v>
      </c>
      <c r="N37" s="895"/>
      <c r="O37" s="896" t="s">
        <v>3327</v>
      </c>
      <c r="P37" s="897">
        <v>0</v>
      </c>
      <c r="Q37" s="400">
        <v>24</v>
      </c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24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24</v>
      </c>
      <c r="EW37" s="173"/>
      <c r="EX37" s="248">
        <f t="shared" si="55"/>
        <v>0</v>
      </c>
      <c r="EY37" s="174">
        <f>(L37*regular)+(M37*Cadeirantee)</f>
        <v>385.6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3217</v>
      </c>
      <c r="B38" s="369" t="s">
        <v>3218</v>
      </c>
      <c r="C38" s="375" t="s">
        <v>3186</v>
      </c>
      <c r="D38" s="371" t="s">
        <v>3219</v>
      </c>
      <c r="E38" s="371" t="s">
        <v>3220</v>
      </c>
      <c r="F38" s="376" t="s">
        <v>3182</v>
      </c>
      <c r="G38" s="376" t="s">
        <v>3183</v>
      </c>
      <c r="H38" s="373" t="s">
        <v>1727</v>
      </c>
      <c r="I38" s="374" t="s">
        <v>1727</v>
      </c>
      <c r="J38" s="421" t="s">
        <v>3184</v>
      </c>
      <c r="K38" s="422" t="s">
        <v>3188</v>
      </c>
      <c r="L38" s="329">
        <f>CONTINUA!BV38</f>
        <v>0</v>
      </c>
      <c r="M38" s="329">
        <f>CONTINUA!BW38</f>
        <v>0</v>
      </c>
      <c r="N38" s="895"/>
      <c r="O38" s="896" t="s">
        <v>3327</v>
      </c>
      <c r="P38" s="897">
        <v>0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3217</v>
      </c>
      <c r="B39" s="369" t="s">
        <v>3218</v>
      </c>
      <c r="C39" s="375" t="s">
        <v>3186</v>
      </c>
      <c r="D39" s="371" t="s">
        <v>3219</v>
      </c>
      <c r="E39" s="371" t="s">
        <v>3220</v>
      </c>
      <c r="F39" s="376" t="s">
        <v>3182</v>
      </c>
      <c r="G39" s="376" t="s">
        <v>3183</v>
      </c>
      <c r="H39" s="373" t="s">
        <v>1727</v>
      </c>
      <c r="I39" s="374" t="s">
        <v>1727</v>
      </c>
      <c r="J39" s="421" t="s">
        <v>3184</v>
      </c>
      <c r="K39" s="423" t="s">
        <v>3189</v>
      </c>
      <c r="L39" s="329">
        <f>CONTINUA!BV39</f>
        <v>0</v>
      </c>
      <c r="M39" s="329">
        <f>CONTINUA!BW39</f>
        <v>0</v>
      </c>
      <c r="N39" s="895"/>
      <c r="O39" s="896" t="s">
        <v>3327</v>
      </c>
      <c r="P39" s="897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3217</v>
      </c>
      <c r="B40" s="378" t="s">
        <v>3218</v>
      </c>
      <c r="C40" s="379" t="s">
        <v>3186</v>
      </c>
      <c r="D40" s="380" t="s">
        <v>3219</v>
      </c>
      <c r="E40" s="380" t="s">
        <v>3220</v>
      </c>
      <c r="F40" s="381" t="s">
        <v>3182</v>
      </c>
      <c r="G40" s="381" t="s">
        <v>3183</v>
      </c>
      <c r="H40" s="382" t="s">
        <v>1727</v>
      </c>
      <c r="I40" s="383" t="s">
        <v>1727</v>
      </c>
      <c r="J40" s="421" t="s">
        <v>3184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3327</v>
      </c>
      <c r="P40" s="897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3221</v>
      </c>
      <c r="B41" s="522" t="s">
        <v>3222</v>
      </c>
      <c r="C41" s="523">
        <v>4</v>
      </c>
      <c r="D41" s="524" t="s">
        <v>3223</v>
      </c>
      <c r="E41" s="524" t="s">
        <v>3224</v>
      </c>
      <c r="F41" s="525" t="s">
        <v>3182</v>
      </c>
      <c r="G41" s="525" t="s">
        <v>3183</v>
      </c>
      <c r="H41" s="350" t="s">
        <v>1728</v>
      </c>
      <c r="I41" s="351" t="s">
        <v>1728</v>
      </c>
      <c r="J41" s="409" t="s">
        <v>3191</v>
      </c>
      <c r="K41" s="410" t="s">
        <v>3185</v>
      </c>
      <c r="L41" s="329">
        <f>CONTINUA!BV41</f>
        <v>0</v>
      </c>
      <c r="M41" s="329">
        <f>CONTINUA!BW41</f>
        <v>0</v>
      </c>
      <c r="N41" s="895"/>
      <c r="O41" s="896" t="s">
        <v>3328</v>
      </c>
      <c r="P41" s="897">
        <v>0</v>
      </c>
      <c r="Q41" s="400"/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0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0</v>
      </c>
      <c r="EW41" s="367">
        <f>IF(C41=4,IF(MAX(Q41:EJ43)&gt;0,(Especiall/30*(IF(($G41-$F41)=($G$5-$F$5),30,IF(DAY($G41)=31,($G41-$F41),($G41-$F41)+1)))),0),0)</f>
        <v>11465.63</v>
      </c>
      <c r="EX41" s="248">
        <f t="shared" ref="EX41:EX44" si="60">FF41</f>
        <v>5125.49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16591.12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5125.49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3221</v>
      </c>
      <c r="B42" s="369" t="s">
        <v>3222</v>
      </c>
      <c r="C42" s="370" t="s">
        <v>3190</v>
      </c>
      <c r="D42" s="371" t="s">
        <v>3223</v>
      </c>
      <c r="E42" s="371" t="s">
        <v>3224</v>
      </c>
      <c r="F42" s="372" t="s">
        <v>3182</v>
      </c>
      <c r="G42" s="372" t="s">
        <v>3183</v>
      </c>
      <c r="H42" s="373" t="s">
        <v>1728</v>
      </c>
      <c r="I42" s="374" t="s">
        <v>1728</v>
      </c>
      <c r="J42" s="421" t="s">
        <v>3191</v>
      </c>
      <c r="K42" s="421" t="s">
        <v>3187</v>
      </c>
      <c r="L42" s="329">
        <f>CONTINUA!BV42</f>
        <v>0</v>
      </c>
      <c r="M42" s="329">
        <f>CONTINUA!BW42</f>
        <v>0</v>
      </c>
      <c r="N42" s="895"/>
      <c r="O42" s="896" t="s">
        <v>3328</v>
      </c>
      <c r="P42" s="897">
        <v>0</v>
      </c>
      <c r="Q42" s="400">
        <v>8</v>
      </c>
      <c r="R42" s="401">
        <v>1</v>
      </c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8</v>
      </c>
      <c r="EQ42" s="171">
        <f t="shared" si="23"/>
        <v>0</v>
      </c>
      <c r="ER42" s="171">
        <f t="shared" si="24"/>
        <v>0</v>
      </c>
      <c r="ES42" s="171">
        <f t="shared" si="25"/>
        <v>1</v>
      </c>
      <c r="ET42" s="171">
        <f t="shared" si="26"/>
        <v>0</v>
      </c>
      <c r="EU42" s="171">
        <f t="shared" si="27"/>
        <v>0</v>
      </c>
      <c r="EV42" s="172">
        <f t="shared" si="28"/>
        <v>9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3221</v>
      </c>
      <c r="B43" s="369" t="s">
        <v>3222</v>
      </c>
      <c r="C43" s="375" t="s">
        <v>3190</v>
      </c>
      <c r="D43" s="371" t="s">
        <v>3223</v>
      </c>
      <c r="E43" s="371" t="s">
        <v>3224</v>
      </c>
      <c r="F43" s="376" t="s">
        <v>3182</v>
      </c>
      <c r="G43" s="376" t="s">
        <v>3183</v>
      </c>
      <c r="H43" s="373" t="s">
        <v>1728</v>
      </c>
      <c r="I43" s="374" t="s">
        <v>1728</v>
      </c>
      <c r="J43" s="421" t="s">
        <v>3191</v>
      </c>
      <c r="K43" s="422" t="s">
        <v>3188</v>
      </c>
      <c r="L43" s="329">
        <f>CONTINUA!BV43</f>
        <v>0</v>
      </c>
      <c r="M43" s="329">
        <f>CONTINUA!BW43</f>
        <v>0</v>
      </c>
      <c r="N43" s="895"/>
      <c r="O43" s="896" t="s">
        <v>3328</v>
      </c>
      <c r="P43" s="897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3221</v>
      </c>
      <c r="B44" s="369" t="s">
        <v>3222</v>
      </c>
      <c r="C44" s="375" t="s">
        <v>3190</v>
      </c>
      <c r="D44" s="371" t="s">
        <v>3223</v>
      </c>
      <c r="E44" s="371" t="s">
        <v>3224</v>
      </c>
      <c r="F44" s="376" t="s">
        <v>3182</v>
      </c>
      <c r="G44" s="376" t="s">
        <v>3183</v>
      </c>
      <c r="H44" s="373" t="s">
        <v>1728</v>
      </c>
      <c r="I44" s="374" t="s">
        <v>1728</v>
      </c>
      <c r="J44" s="421" t="s">
        <v>3191</v>
      </c>
      <c r="K44" s="423" t="s">
        <v>3189</v>
      </c>
      <c r="L44" s="329">
        <f>CONTINUA!BV44</f>
        <v>0</v>
      </c>
      <c r="M44" s="329">
        <f>CONTINUA!BW44</f>
        <v>0</v>
      </c>
      <c r="N44" s="895"/>
      <c r="O44" s="896" t="s">
        <v>3328</v>
      </c>
      <c r="P44" s="897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3221</v>
      </c>
      <c r="B45" s="378" t="s">
        <v>3222</v>
      </c>
      <c r="C45" s="379" t="s">
        <v>3190</v>
      </c>
      <c r="D45" s="380" t="s">
        <v>3223</v>
      </c>
      <c r="E45" s="380" t="s">
        <v>3224</v>
      </c>
      <c r="F45" s="381" t="s">
        <v>3182</v>
      </c>
      <c r="G45" s="381" t="s">
        <v>3183</v>
      </c>
      <c r="H45" s="382" t="s">
        <v>1728</v>
      </c>
      <c r="I45" s="383" t="s">
        <v>1728</v>
      </c>
      <c r="J45" s="421" t="s">
        <v>3191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3328</v>
      </c>
      <c r="P45" s="897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3225</v>
      </c>
      <c r="B46" s="522" t="s">
        <v>3226</v>
      </c>
      <c r="C46" s="523">
        <v>4</v>
      </c>
      <c r="D46" s="524" t="s">
        <v>3227</v>
      </c>
      <c r="E46" s="524" t="s">
        <v>3228</v>
      </c>
      <c r="F46" s="525" t="s">
        <v>3182</v>
      </c>
      <c r="G46" s="525" t="s">
        <v>3183</v>
      </c>
      <c r="H46" s="350" t="s">
        <v>1729</v>
      </c>
      <c r="I46" s="351" t="s">
        <v>1729</v>
      </c>
      <c r="J46" s="409" t="s">
        <v>3184</v>
      </c>
      <c r="K46" s="410" t="s">
        <v>3185</v>
      </c>
      <c r="L46" s="329">
        <f>CONTINUA!BV46</f>
        <v>0</v>
      </c>
      <c r="M46" s="329">
        <f>CONTINUA!BW46</f>
        <v>0</v>
      </c>
      <c r="N46" s="895"/>
      <c r="O46" s="896" t="s">
        <v>3329</v>
      </c>
      <c r="P46" s="897">
        <v>0</v>
      </c>
      <c r="Q46" s="400"/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11465.63</v>
      </c>
      <c r="EX46" s="248">
        <f t="shared" ref="EX46:EX49" si="65">FF46</f>
        <v>2311.38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14037.289999999999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2311.38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3225</v>
      </c>
      <c r="B47" s="369" t="s">
        <v>3226</v>
      </c>
      <c r="C47" s="370" t="s">
        <v>3190</v>
      </c>
      <c r="D47" s="371" t="s">
        <v>3227</v>
      </c>
      <c r="E47" s="371" t="s">
        <v>3228</v>
      </c>
      <c r="F47" s="372" t="s">
        <v>3182</v>
      </c>
      <c r="G47" s="372" t="s">
        <v>3183</v>
      </c>
      <c r="H47" s="373" t="s">
        <v>1729</v>
      </c>
      <c r="I47" s="374" t="s">
        <v>1729</v>
      </c>
      <c r="J47" s="421" t="s">
        <v>3184</v>
      </c>
      <c r="K47" s="421" t="s">
        <v>3187</v>
      </c>
      <c r="L47" s="329">
        <f>CONTINUA!BV47</f>
        <v>27</v>
      </c>
      <c r="M47" s="329">
        <f>CONTINUA!BW47</f>
        <v>0</v>
      </c>
      <c r="N47" s="895"/>
      <c r="O47" s="896" t="s">
        <v>3329</v>
      </c>
      <c r="P47" s="897">
        <v>0</v>
      </c>
      <c r="Q47" s="400">
        <v>6</v>
      </c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6</v>
      </c>
      <c r="EQ47" s="171">
        <f t="shared" si="23"/>
        <v>0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6</v>
      </c>
      <c r="EW47" s="173"/>
      <c r="EX47" s="248">
        <f t="shared" si="65"/>
        <v>0</v>
      </c>
      <c r="EY47" s="174">
        <f>(L47*regular)+(M47*Cadeirantee)</f>
        <v>260.28000000000003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3225</v>
      </c>
      <c r="B48" s="369" t="s">
        <v>3226</v>
      </c>
      <c r="C48" s="375" t="s">
        <v>3190</v>
      </c>
      <c r="D48" s="371" t="s">
        <v>3227</v>
      </c>
      <c r="E48" s="371" t="s">
        <v>3228</v>
      </c>
      <c r="F48" s="376" t="s">
        <v>3182</v>
      </c>
      <c r="G48" s="376" t="s">
        <v>3183</v>
      </c>
      <c r="H48" s="373" t="s">
        <v>1729</v>
      </c>
      <c r="I48" s="374" t="s">
        <v>1729</v>
      </c>
      <c r="J48" s="421" t="s">
        <v>3184</v>
      </c>
      <c r="K48" s="422" t="s">
        <v>3188</v>
      </c>
      <c r="L48" s="329">
        <f>CONTINUA!BV48</f>
        <v>0</v>
      </c>
      <c r="M48" s="329">
        <f>CONTINUA!BW48</f>
        <v>0</v>
      </c>
      <c r="N48" s="895"/>
      <c r="O48" s="896" t="s">
        <v>3329</v>
      </c>
      <c r="P48" s="897">
        <v>0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3225</v>
      </c>
      <c r="B49" s="369" t="s">
        <v>3226</v>
      </c>
      <c r="C49" s="375" t="s">
        <v>3190</v>
      </c>
      <c r="D49" s="371" t="s">
        <v>3227</v>
      </c>
      <c r="E49" s="371" t="s">
        <v>3228</v>
      </c>
      <c r="F49" s="376" t="s">
        <v>3182</v>
      </c>
      <c r="G49" s="376" t="s">
        <v>3183</v>
      </c>
      <c r="H49" s="373" t="s">
        <v>1729</v>
      </c>
      <c r="I49" s="374" t="s">
        <v>1729</v>
      </c>
      <c r="J49" s="421" t="s">
        <v>3184</v>
      </c>
      <c r="K49" s="423" t="s">
        <v>3189</v>
      </c>
      <c r="L49" s="329">
        <f>CONTINUA!BV49</f>
        <v>0</v>
      </c>
      <c r="M49" s="329">
        <f>CONTINUA!BW49</f>
        <v>0</v>
      </c>
      <c r="N49" s="895"/>
      <c r="O49" s="896" t="s">
        <v>3329</v>
      </c>
      <c r="P49" s="897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3225</v>
      </c>
      <c r="B50" s="378" t="s">
        <v>3226</v>
      </c>
      <c r="C50" s="379" t="s">
        <v>3190</v>
      </c>
      <c r="D50" s="380" t="s">
        <v>3227</v>
      </c>
      <c r="E50" s="380" t="s">
        <v>3228</v>
      </c>
      <c r="F50" s="381" t="s">
        <v>3182</v>
      </c>
      <c r="G50" s="381" t="s">
        <v>3183</v>
      </c>
      <c r="H50" s="382" t="s">
        <v>1729</v>
      </c>
      <c r="I50" s="383" t="s">
        <v>1729</v>
      </c>
      <c r="J50" s="421" t="s">
        <v>3184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3329</v>
      </c>
      <c r="P50" s="897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3229</v>
      </c>
      <c r="B51" s="522" t="s">
        <v>3230</v>
      </c>
      <c r="C51" s="523">
        <v>4</v>
      </c>
      <c r="D51" s="524" t="s">
        <v>3231</v>
      </c>
      <c r="E51" s="524" t="s">
        <v>3232</v>
      </c>
      <c r="F51" s="525" t="s">
        <v>3182</v>
      </c>
      <c r="G51" s="525" t="s">
        <v>3183</v>
      </c>
      <c r="H51" s="350" t="s">
        <v>1731</v>
      </c>
      <c r="I51" s="351" t="s">
        <v>1731</v>
      </c>
      <c r="J51" s="409" t="s">
        <v>3184</v>
      </c>
      <c r="K51" s="410" t="s">
        <v>3185</v>
      </c>
      <c r="L51" s="329">
        <f>CONTINUA!BV51</f>
        <v>0</v>
      </c>
      <c r="M51" s="329">
        <f>CONTINUA!BW51</f>
        <v>0</v>
      </c>
      <c r="N51" s="895"/>
      <c r="O51" s="896" t="s">
        <v>3330</v>
      </c>
      <c r="P51" s="897">
        <v>0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 t="s">
        <v>3192</v>
      </c>
      <c r="EM51" s="520">
        <v>282.50200000000001</v>
      </c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11465.63</v>
      </c>
      <c r="EX51" s="248">
        <f t="shared" ref="EX51:EX54" si="70">FF51</f>
        <v>1926.1499999999999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13828.521999999999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1926.1499999999999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282.50200000000001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3229</v>
      </c>
      <c r="B52" s="369" t="s">
        <v>3230</v>
      </c>
      <c r="C52" s="370" t="s">
        <v>3190</v>
      </c>
      <c r="D52" s="371" t="s">
        <v>3231</v>
      </c>
      <c r="E52" s="371" t="s">
        <v>3232</v>
      </c>
      <c r="F52" s="372" t="s">
        <v>3182</v>
      </c>
      <c r="G52" s="372" t="s">
        <v>3183</v>
      </c>
      <c r="H52" s="373" t="s">
        <v>1731</v>
      </c>
      <c r="I52" s="374" t="s">
        <v>1731</v>
      </c>
      <c r="J52" s="421" t="s">
        <v>3184</v>
      </c>
      <c r="K52" s="421" t="s">
        <v>3187</v>
      </c>
      <c r="L52" s="329">
        <f>CONTINUA!BV52</f>
        <v>16</v>
      </c>
      <c r="M52" s="329">
        <f>CONTINUA!BW52</f>
        <v>0</v>
      </c>
      <c r="N52" s="895"/>
      <c r="O52" s="896" t="s">
        <v>3330</v>
      </c>
      <c r="P52" s="897">
        <v>0</v>
      </c>
      <c r="Q52" s="400">
        <v>5</v>
      </c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5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5</v>
      </c>
      <c r="EW52" s="173"/>
      <c r="EX52" s="248">
        <f t="shared" si="70"/>
        <v>0</v>
      </c>
      <c r="EY52" s="174">
        <f>(L52*regular)+(M52*Cadeirantee)</f>
        <v>154.24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3229</v>
      </c>
      <c r="B53" s="369" t="s">
        <v>3230</v>
      </c>
      <c r="C53" s="375" t="s">
        <v>3190</v>
      </c>
      <c r="D53" s="371" t="s">
        <v>3231</v>
      </c>
      <c r="E53" s="371" t="s">
        <v>3232</v>
      </c>
      <c r="F53" s="376" t="s">
        <v>3182</v>
      </c>
      <c r="G53" s="376" t="s">
        <v>3183</v>
      </c>
      <c r="H53" s="373" t="s">
        <v>1731</v>
      </c>
      <c r="I53" s="374" t="s">
        <v>1731</v>
      </c>
      <c r="J53" s="421" t="s">
        <v>3184</v>
      </c>
      <c r="K53" s="422" t="s">
        <v>3188</v>
      </c>
      <c r="L53" s="329">
        <f>CONTINUA!BV53</f>
        <v>0</v>
      </c>
      <c r="M53" s="329">
        <f>CONTINUA!BW53</f>
        <v>0</v>
      </c>
      <c r="N53" s="895"/>
      <c r="O53" s="896" t="s">
        <v>3330</v>
      </c>
      <c r="P53" s="897">
        <v>0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3229</v>
      </c>
      <c r="B54" s="369" t="s">
        <v>3230</v>
      </c>
      <c r="C54" s="375" t="s">
        <v>3190</v>
      </c>
      <c r="D54" s="371" t="s">
        <v>3231</v>
      </c>
      <c r="E54" s="371" t="s">
        <v>3232</v>
      </c>
      <c r="F54" s="376" t="s">
        <v>3182</v>
      </c>
      <c r="G54" s="376" t="s">
        <v>3183</v>
      </c>
      <c r="H54" s="373" t="s">
        <v>1731</v>
      </c>
      <c r="I54" s="374" t="s">
        <v>1731</v>
      </c>
      <c r="J54" s="421" t="s">
        <v>3184</v>
      </c>
      <c r="K54" s="423" t="s">
        <v>3189</v>
      </c>
      <c r="L54" s="329">
        <f>CONTINUA!BV54</f>
        <v>0</v>
      </c>
      <c r="M54" s="329">
        <f>CONTINUA!BW54</f>
        <v>0</v>
      </c>
      <c r="N54" s="895"/>
      <c r="O54" s="896" t="s">
        <v>3330</v>
      </c>
      <c r="P54" s="897">
        <v>0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3229</v>
      </c>
      <c r="B55" s="378" t="s">
        <v>3230</v>
      </c>
      <c r="C55" s="379" t="s">
        <v>3190</v>
      </c>
      <c r="D55" s="380" t="s">
        <v>3231</v>
      </c>
      <c r="E55" s="380" t="s">
        <v>3232</v>
      </c>
      <c r="F55" s="381" t="s">
        <v>3182</v>
      </c>
      <c r="G55" s="381" t="s">
        <v>3183</v>
      </c>
      <c r="H55" s="382" t="s">
        <v>1731</v>
      </c>
      <c r="I55" s="383" t="s">
        <v>1731</v>
      </c>
      <c r="J55" s="421" t="s">
        <v>3184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3330</v>
      </c>
      <c r="P55" s="897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3233</v>
      </c>
      <c r="B56" s="522" t="s">
        <v>3234</v>
      </c>
      <c r="C56" s="523">
        <v>4</v>
      </c>
      <c r="D56" s="524" t="s">
        <v>3235</v>
      </c>
      <c r="E56" s="524" t="s">
        <v>3236</v>
      </c>
      <c r="F56" s="525" t="s">
        <v>3182</v>
      </c>
      <c r="G56" s="525" t="s">
        <v>3183</v>
      </c>
      <c r="H56" s="350" t="s">
        <v>1733</v>
      </c>
      <c r="I56" s="351" t="s">
        <v>1733</v>
      </c>
      <c r="J56" s="409" t="s">
        <v>3184</v>
      </c>
      <c r="K56" s="410" t="s">
        <v>3185</v>
      </c>
      <c r="L56" s="329">
        <f>CONTINUA!BV56</f>
        <v>0</v>
      </c>
      <c r="M56" s="329">
        <f>CONTINUA!BW56</f>
        <v>0</v>
      </c>
      <c r="N56" s="895"/>
      <c r="O56" s="896" t="s">
        <v>3331</v>
      </c>
      <c r="P56" s="897">
        <v>0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11465.63</v>
      </c>
      <c r="EX56" s="248">
        <f t="shared" ref="EX56:EX59" si="75">FF56</f>
        <v>1926.1499999999999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13391.779999999999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1926.1499999999999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3233</v>
      </c>
      <c r="B57" s="369" t="s">
        <v>3234</v>
      </c>
      <c r="C57" s="370" t="s">
        <v>3190</v>
      </c>
      <c r="D57" s="371" t="s">
        <v>3235</v>
      </c>
      <c r="E57" s="371" t="s">
        <v>3236</v>
      </c>
      <c r="F57" s="372" t="s">
        <v>3182</v>
      </c>
      <c r="G57" s="372" t="s">
        <v>3183</v>
      </c>
      <c r="H57" s="373" t="s">
        <v>1733</v>
      </c>
      <c r="I57" s="374" t="s">
        <v>1733</v>
      </c>
      <c r="J57" s="421" t="s">
        <v>3184</v>
      </c>
      <c r="K57" s="421" t="s">
        <v>3187</v>
      </c>
      <c r="L57" s="329">
        <f>CONTINUA!BV57</f>
        <v>0</v>
      </c>
      <c r="M57" s="329">
        <f>CONTINUA!BW57</f>
        <v>0</v>
      </c>
      <c r="N57" s="895"/>
      <c r="O57" s="896" t="s">
        <v>3331</v>
      </c>
      <c r="P57" s="897">
        <v>0</v>
      </c>
      <c r="Q57" s="400"/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0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0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3233</v>
      </c>
      <c r="B58" s="369" t="s">
        <v>3234</v>
      </c>
      <c r="C58" s="375" t="s">
        <v>3190</v>
      </c>
      <c r="D58" s="371" t="s">
        <v>3235</v>
      </c>
      <c r="E58" s="371" t="s">
        <v>3236</v>
      </c>
      <c r="F58" s="376" t="s">
        <v>3182</v>
      </c>
      <c r="G58" s="376" t="s">
        <v>3183</v>
      </c>
      <c r="H58" s="373" t="s">
        <v>1733</v>
      </c>
      <c r="I58" s="374" t="s">
        <v>1733</v>
      </c>
      <c r="J58" s="421" t="s">
        <v>3184</v>
      </c>
      <c r="K58" s="422" t="s">
        <v>3188</v>
      </c>
      <c r="L58" s="329">
        <f>CONTINUA!BV58</f>
        <v>0</v>
      </c>
      <c r="M58" s="329">
        <f>CONTINUA!BW58</f>
        <v>0</v>
      </c>
      <c r="N58" s="895"/>
      <c r="O58" s="896" t="s">
        <v>3331</v>
      </c>
      <c r="P58" s="897">
        <v>0</v>
      </c>
      <c r="Q58" s="400">
        <v>5</v>
      </c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5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5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3233</v>
      </c>
      <c r="B59" s="369" t="s">
        <v>3234</v>
      </c>
      <c r="C59" s="375" t="s">
        <v>3190</v>
      </c>
      <c r="D59" s="371" t="s">
        <v>3235</v>
      </c>
      <c r="E59" s="371" t="s">
        <v>3236</v>
      </c>
      <c r="F59" s="376" t="s">
        <v>3182</v>
      </c>
      <c r="G59" s="376" t="s">
        <v>3183</v>
      </c>
      <c r="H59" s="373" t="s">
        <v>1733</v>
      </c>
      <c r="I59" s="374" t="s">
        <v>1733</v>
      </c>
      <c r="J59" s="421" t="s">
        <v>3184</v>
      </c>
      <c r="K59" s="423" t="s">
        <v>3189</v>
      </c>
      <c r="L59" s="329">
        <f>CONTINUA!BV59</f>
        <v>0</v>
      </c>
      <c r="M59" s="329">
        <f>CONTINUA!BW59</f>
        <v>0</v>
      </c>
      <c r="N59" s="895"/>
      <c r="O59" s="896" t="s">
        <v>3331</v>
      </c>
      <c r="P59" s="897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3233</v>
      </c>
      <c r="B60" s="378" t="s">
        <v>3234</v>
      </c>
      <c r="C60" s="379" t="s">
        <v>3190</v>
      </c>
      <c r="D60" s="380" t="s">
        <v>3235</v>
      </c>
      <c r="E60" s="380" t="s">
        <v>3236</v>
      </c>
      <c r="F60" s="381" t="s">
        <v>3182</v>
      </c>
      <c r="G60" s="381" t="s">
        <v>3183</v>
      </c>
      <c r="H60" s="382" t="s">
        <v>1733</v>
      </c>
      <c r="I60" s="383" t="s">
        <v>1733</v>
      </c>
      <c r="J60" s="421" t="s">
        <v>3184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3331</v>
      </c>
      <c r="P60" s="897">
        <v>0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3237</v>
      </c>
      <c r="B61" s="522" t="s">
        <v>3238</v>
      </c>
      <c r="C61" s="523">
        <v>4</v>
      </c>
      <c r="D61" s="524" t="s">
        <v>3239</v>
      </c>
      <c r="E61" s="524" t="s">
        <v>3240</v>
      </c>
      <c r="F61" s="525" t="s">
        <v>3182</v>
      </c>
      <c r="G61" s="525" t="s">
        <v>3183</v>
      </c>
      <c r="H61" s="350" t="s">
        <v>1734</v>
      </c>
      <c r="I61" s="351" t="s">
        <v>1734</v>
      </c>
      <c r="J61" s="409" t="s">
        <v>3184</v>
      </c>
      <c r="K61" s="410" t="s">
        <v>3185</v>
      </c>
      <c r="L61" s="329">
        <f>CONTINUA!BV61</f>
        <v>0</v>
      </c>
      <c r="M61" s="329">
        <f>CONTINUA!BW61</f>
        <v>0</v>
      </c>
      <c r="N61" s="895"/>
      <c r="O61" s="896" t="s">
        <v>3332</v>
      </c>
      <c r="P61" s="897">
        <v>0</v>
      </c>
      <c r="Q61" s="400"/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11465.63</v>
      </c>
      <c r="EX61" s="248">
        <f t="shared" ref="EX61:EX64" si="80">FF61</f>
        <v>1926.1499999999999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13700.259999999998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1926.1499999999999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3237</v>
      </c>
      <c r="B62" s="369" t="s">
        <v>3238</v>
      </c>
      <c r="C62" s="370" t="s">
        <v>3190</v>
      </c>
      <c r="D62" s="371" t="s">
        <v>3239</v>
      </c>
      <c r="E62" s="371" t="s">
        <v>3240</v>
      </c>
      <c r="F62" s="372" t="s">
        <v>3182</v>
      </c>
      <c r="G62" s="372" t="s">
        <v>3183</v>
      </c>
      <c r="H62" s="373" t="s">
        <v>1734</v>
      </c>
      <c r="I62" s="374" t="s">
        <v>1734</v>
      </c>
      <c r="J62" s="421" t="s">
        <v>3184</v>
      </c>
      <c r="K62" s="421" t="s">
        <v>3187</v>
      </c>
      <c r="L62" s="329">
        <f>CONTINUA!BV62</f>
        <v>32</v>
      </c>
      <c r="M62" s="329">
        <f>CONTINUA!BW62</f>
        <v>0</v>
      </c>
      <c r="N62" s="895"/>
      <c r="O62" s="896" t="s">
        <v>3332</v>
      </c>
      <c r="P62" s="897">
        <v>0</v>
      </c>
      <c r="Q62" s="400">
        <v>5</v>
      </c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5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5</v>
      </c>
      <c r="EW62" s="173"/>
      <c r="EX62" s="248">
        <f t="shared" si="80"/>
        <v>0</v>
      </c>
      <c r="EY62" s="174">
        <f>(L62*regular)+(M62*Cadeirantee)</f>
        <v>308.48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3237</v>
      </c>
      <c r="B63" s="369" t="s">
        <v>3238</v>
      </c>
      <c r="C63" s="375" t="s">
        <v>3190</v>
      </c>
      <c r="D63" s="371" t="s">
        <v>3239</v>
      </c>
      <c r="E63" s="371" t="s">
        <v>3240</v>
      </c>
      <c r="F63" s="376" t="s">
        <v>3182</v>
      </c>
      <c r="G63" s="376" t="s">
        <v>3183</v>
      </c>
      <c r="H63" s="373" t="s">
        <v>1734</v>
      </c>
      <c r="I63" s="374" t="s">
        <v>1734</v>
      </c>
      <c r="J63" s="421" t="s">
        <v>3184</v>
      </c>
      <c r="K63" s="422" t="s">
        <v>3188</v>
      </c>
      <c r="L63" s="329">
        <f>CONTINUA!BV63</f>
        <v>0</v>
      </c>
      <c r="M63" s="329">
        <f>CONTINUA!BW63</f>
        <v>0</v>
      </c>
      <c r="N63" s="895"/>
      <c r="O63" s="896" t="s">
        <v>3332</v>
      </c>
      <c r="P63" s="897">
        <v>0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3237</v>
      </c>
      <c r="B64" s="369" t="s">
        <v>3238</v>
      </c>
      <c r="C64" s="375" t="s">
        <v>3190</v>
      </c>
      <c r="D64" s="371" t="s">
        <v>3239</v>
      </c>
      <c r="E64" s="371" t="s">
        <v>3240</v>
      </c>
      <c r="F64" s="376" t="s">
        <v>3182</v>
      </c>
      <c r="G64" s="376" t="s">
        <v>3183</v>
      </c>
      <c r="H64" s="373" t="s">
        <v>1734</v>
      </c>
      <c r="I64" s="374" t="s">
        <v>1734</v>
      </c>
      <c r="J64" s="421" t="s">
        <v>3184</v>
      </c>
      <c r="K64" s="423" t="s">
        <v>3189</v>
      </c>
      <c r="L64" s="329">
        <f>CONTINUA!BV64</f>
        <v>0</v>
      </c>
      <c r="M64" s="329">
        <f>CONTINUA!BW64</f>
        <v>0</v>
      </c>
      <c r="N64" s="895"/>
      <c r="O64" s="896" t="s">
        <v>3332</v>
      </c>
      <c r="P64" s="897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3237</v>
      </c>
      <c r="B65" s="378" t="s">
        <v>3238</v>
      </c>
      <c r="C65" s="379" t="s">
        <v>3190</v>
      </c>
      <c r="D65" s="380" t="s">
        <v>3239</v>
      </c>
      <c r="E65" s="380" t="s">
        <v>3240</v>
      </c>
      <c r="F65" s="381" t="s">
        <v>3182</v>
      </c>
      <c r="G65" s="381" t="s">
        <v>3183</v>
      </c>
      <c r="H65" s="382" t="s">
        <v>1734</v>
      </c>
      <c r="I65" s="383" t="s">
        <v>1734</v>
      </c>
      <c r="J65" s="421" t="s">
        <v>3184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3332</v>
      </c>
      <c r="P65" s="897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3241</v>
      </c>
      <c r="B66" s="522" t="s">
        <v>3242</v>
      </c>
      <c r="C66" s="523">
        <v>4</v>
      </c>
      <c r="D66" s="524" t="s">
        <v>3243</v>
      </c>
      <c r="E66" s="524" t="s">
        <v>3244</v>
      </c>
      <c r="F66" s="525" t="s">
        <v>3182</v>
      </c>
      <c r="G66" s="525" t="s">
        <v>3183</v>
      </c>
      <c r="H66" s="350" t="s">
        <v>1735</v>
      </c>
      <c r="I66" s="351" t="s">
        <v>1735</v>
      </c>
      <c r="J66" s="409" t="s">
        <v>3184</v>
      </c>
      <c r="K66" s="410" t="s">
        <v>3185</v>
      </c>
      <c r="L66" s="329">
        <f>CONTINUA!BV66</f>
        <v>0</v>
      </c>
      <c r="M66" s="329">
        <f>CONTINUA!BW66</f>
        <v>0</v>
      </c>
      <c r="N66" s="895"/>
      <c r="O66" s="896" t="s">
        <v>3333</v>
      </c>
      <c r="P66" s="897">
        <v>0</v>
      </c>
      <c r="Q66" s="400"/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11465.63</v>
      </c>
      <c r="EX66" s="248">
        <f t="shared" ref="EX66:EX69" si="85">FF66</f>
        <v>3467.07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14932.699999999999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3467.07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3241</v>
      </c>
      <c r="B67" s="369" t="s">
        <v>3242</v>
      </c>
      <c r="C67" s="370" t="s">
        <v>3190</v>
      </c>
      <c r="D67" s="371" t="s">
        <v>3243</v>
      </c>
      <c r="E67" s="371" t="s">
        <v>3244</v>
      </c>
      <c r="F67" s="372" t="s">
        <v>3182</v>
      </c>
      <c r="G67" s="372" t="s">
        <v>3183</v>
      </c>
      <c r="H67" s="373" t="s">
        <v>1735</v>
      </c>
      <c r="I67" s="374" t="s">
        <v>1735</v>
      </c>
      <c r="J67" s="421" t="s">
        <v>3184</v>
      </c>
      <c r="K67" s="421" t="s">
        <v>3187</v>
      </c>
      <c r="L67" s="329">
        <f>CONTINUA!BV67</f>
        <v>0</v>
      </c>
      <c r="M67" s="329">
        <f>CONTINUA!BW67</f>
        <v>0</v>
      </c>
      <c r="N67" s="895"/>
      <c r="O67" s="896" t="s">
        <v>3333</v>
      </c>
      <c r="P67" s="897">
        <v>0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3241</v>
      </c>
      <c r="B68" s="369" t="s">
        <v>3242</v>
      </c>
      <c r="C68" s="375" t="s">
        <v>3190</v>
      </c>
      <c r="D68" s="371" t="s">
        <v>3243</v>
      </c>
      <c r="E68" s="371" t="s">
        <v>3244</v>
      </c>
      <c r="F68" s="376" t="s">
        <v>3182</v>
      </c>
      <c r="G68" s="376" t="s">
        <v>3183</v>
      </c>
      <c r="H68" s="373" t="s">
        <v>1735</v>
      </c>
      <c r="I68" s="374" t="s">
        <v>1735</v>
      </c>
      <c r="J68" s="421" t="s">
        <v>3184</v>
      </c>
      <c r="K68" s="422" t="s">
        <v>3188</v>
      </c>
      <c r="L68" s="329">
        <f>CONTINUA!BV68</f>
        <v>0</v>
      </c>
      <c r="M68" s="329">
        <f>CONTINUA!BW68</f>
        <v>0</v>
      </c>
      <c r="N68" s="895"/>
      <c r="O68" s="896" t="s">
        <v>3333</v>
      </c>
      <c r="P68" s="897">
        <v>0</v>
      </c>
      <c r="Q68" s="400">
        <v>9</v>
      </c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9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9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3241</v>
      </c>
      <c r="B69" s="369" t="s">
        <v>3242</v>
      </c>
      <c r="C69" s="375" t="s">
        <v>3190</v>
      </c>
      <c r="D69" s="371" t="s">
        <v>3243</v>
      </c>
      <c r="E69" s="371" t="s">
        <v>3244</v>
      </c>
      <c r="F69" s="376" t="s">
        <v>3182</v>
      </c>
      <c r="G69" s="376" t="s">
        <v>3183</v>
      </c>
      <c r="H69" s="373" t="s">
        <v>1735</v>
      </c>
      <c r="I69" s="374" t="s">
        <v>1735</v>
      </c>
      <c r="J69" s="421" t="s">
        <v>3184</v>
      </c>
      <c r="K69" s="423" t="s">
        <v>3189</v>
      </c>
      <c r="L69" s="329">
        <f>CONTINUA!BV69</f>
        <v>0</v>
      </c>
      <c r="M69" s="329">
        <f>CONTINUA!BW69</f>
        <v>0</v>
      </c>
      <c r="N69" s="895"/>
      <c r="O69" s="896" t="s">
        <v>3333</v>
      </c>
      <c r="P69" s="897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3241</v>
      </c>
      <c r="B70" s="378" t="s">
        <v>3242</v>
      </c>
      <c r="C70" s="379" t="s">
        <v>3190</v>
      </c>
      <c r="D70" s="380" t="s">
        <v>3243</v>
      </c>
      <c r="E70" s="380" t="s">
        <v>3244</v>
      </c>
      <c r="F70" s="381" t="s">
        <v>3182</v>
      </c>
      <c r="G70" s="381" t="s">
        <v>3183</v>
      </c>
      <c r="H70" s="382" t="s">
        <v>1735</v>
      </c>
      <c r="I70" s="383" t="s">
        <v>1735</v>
      </c>
      <c r="J70" s="421" t="s">
        <v>3184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3333</v>
      </c>
      <c r="P70" s="897">
        <v>0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3245</v>
      </c>
      <c r="B71" s="522" t="s">
        <v>3246</v>
      </c>
      <c r="C71" s="523">
        <v>2</v>
      </c>
      <c r="D71" s="524" t="s">
        <v>3247</v>
      </c>
      <c r="E71" s="524" t="s">
        <v>3248</v>
      </c>
      <c r="F71" s="525" t="s">
        <v>3182</v>
      </c>
      <c r="G71" s="525" t="s">
        <v>3183</v>
      </c>
      <c r="H71" s="350" t="s">
        <v>1736</v>
      </c>
      <c r="I71" s="351" t="s">
        <v>1736</v>
      </c>
      <c r="J71" s="409" t="s">
        <v>3191</v>
      </c>
      <c r="K71" s="410" t="s">
        <v>3185</v>
      </c>
      <c r="L71" s="329">
        <f>CONTINUA!BV71</f>
        <v>0</v>
      </c>
      <c r="M71" s="329">
        <f>CONTINUA!BW71</f>
        <v>0</v>
      </c>
      <c r="N71" s="895"/>
      <c r="O71" s="896" t="s">
        <v>3334</v>
      </c>
      <c r="P71" s="897">
        <v>0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 t="s">
        <v>3192</v>
      </c>
      <c r="EM71" s="520">
        <v>847.50599999999997</v>
      </c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10518.710000000001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11366.216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10518.710000000001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847.50599999999997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3245</v>
      </c>
      <c r="B72" s="369" t="s">
        <v>3246</v>
      </c>
      <c r="C72" s="370" t="s">
        <v>3186</v>
      </c>
      <c r="D72" s="371" t="s">
        <v>3247</v>
      </c>
      <c r="E72" s="371" t="s">
        <v>3248</v>
      </c>
      <c r="F72" s="372" t="s">
        <v>3182</v>
      </c>
      <c r="G72" s="372" t="s">
        <v>3183</v>
      </c>
      <c r="H72" s="373" t="s">
        <v>1736</v>
      </c>
      <c r="I72" s="374" t="s">
        <v>1736</v>
      </c>
      <c r="J72" s="421" t="s">
        <v>3191</v>
      </c>
      <c r="K72" s="421" t="s">
        <v>3187</v>
      </c>
      <c r="L72" s="329">
        <f>CONTINUA!BV72</f>
        <v>0</v>
      </c>
      <c r="M72" s="329">
        <f>CONTINUA!BW72</f>
        <v>0</v>
      </c>
      <c r="N72" s="895"/>
      <c r="O72" s="896" t="s">
        <v>3334</v>
      </c>
      <c r="P72" s="897">
        <v>0</v>
      </c>
      <c r="Q72" s="400">
        <v>16</v>
      </c>
      <c r="R72" s="401">
        <v>1</v>
      </c>
      <c r="S72" s="400">
        <v>6</v>
      </c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16</v>
      </c>
      <c r="EQ72" s="171">
        <f t="shared" si="23"/>
        <v>0</v>
      </c>
      <c r="ER72" s="171">
        <f t="shared" si="24"/>
        <v>6</v>
      </c>
      <c r="ES72" s="171">
        <f t="shared" si="25"/>
        <v>1</v>
      </c>
      <c r="ET72" s="171">
        <f t="shared" si="26"/>
        <v>0</v>
      </c>
      <c r="EU72" s="171">
        <f t="shared" si="27"/>
        <v>0</v>
      </c>
      <c r="EV72" s="172">
        <f t="shared" si="28"/>
        <v>23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3245</v>
      </c>
      <c r="B73" s="369" t="s">
        <v>3246</v>
      </c>
      <c r="C73" s="375" t="s">
        <v>3186</v>
      </c>
      <c r="D73" s="371" t="s">
        <v>3247</v>
      </c>
      <c r="E73" s="371" t="s">
        <v>3248</v>
      </c>
      <c r="F73" s="376" t="s">
        <v>3182</v>
      </c>
      <c r="G73" s="376" t="s">
        <v>3183</v>
      </c>
      <c r="H73" s="373" t="s">
        <v>1736</v>
      </c>
      <c r="I73" s="374" t="s">
        <v>1736</v>
      </c>
      <c r="J73" s="421" t="s">
        <v>3191</v>
      </c>
      <c r="K73" s="422" t="s">
        <v>3188</v>
      </c>
      <c r="L73" s="329">
        <f>CONTINUA!BV73</f>
        <v>0</v>
      </c>
      <c r="M73" s="329">
        <f>CONTINUA!BW73</f>
        <v>0</v>
      </c>
      <c r="N73" s="895"/>
      <c r="O73" s="896" t="s">
        <v>3334</v>
      </c>
      <c r="P73" s="897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3245</v>
      </c>
      <c r="B74" s="369" t="s">
        <v>3246</v>
      </c>
      <c r="C74" s="375" t="s">
        <v>3186</v>
      </c>
      <c r="D74" s="371" t="s">
        <v>3247</v>
      </c>
      <c r="E74" s="371" t="s">
        <v>3248</v>
      </c>
      <c r="F74" s="376" t="s">
        <v>3182</v>
      </c>
      <c r="G74" s="376" t="s">
        <v>3183</v>
      </c>
      <c r="H74" s="373" t="s">
        <v>1736</v>
      </c>
      <c r="I74" s="374" t="s">
        <v>1736</v>
      </c>
      <c r="J74" s="421" t="s">
        <v>3191</v>
      </c>
      <c r="K74" s="423" t="s">
        <v>3189</v>
      </c>
      <c r="L74" s="329">
        <f>CONTINUA!BV74</f>
        <v>0</v>
      </c>
      <c r="M74" s="329">
        <f>CONTINUA!BW74</f>
        <v>0</v>
      </c>
      <c r="N74" s="895"/>
      <c r="O74" s="896" t="s">
        <v>3334</v>
      </c>
      <c r="P74" s="897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3245</v>
      </c>
      <c r="B75" s="378" t="s">
        <v>3246</v>
      </c>
      <c r="C75" s="379" t="s">
        <v>3186</v>
      </c>
      <c r="D75" s="380" t="s">
        <v>3247</v>
      </c>
      <c r="E75" s="380" t="s">
        <v>3248</v>
      </c>
      <c r="F75" s="381" t="s">
        <v>3182</v>
      </c>
      <c r="G75" s="381" t="s">
        <v>3183</v>
      </c>
      <c r="H75" s="382" t="s">
        <v>1736</v>
      </c>
      <c r="I75" s="383" t="s">
        <v>1736</v>
      </c>
      <c r="J75" s="421" t="s">
        <v>3191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3334</v>
      </c>
      <c r="P75" s="897">
        <v>0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3249</v>
      </c>
      <c r="B76" s="522" t="s">
        <v>3250</v>
      </c>
      <c r="C76" s="523">
        <v>1</v>
      </c>
      <c r="D76" s="524" t="s">
        <v>3251</v>
      </c>
      <c r="E76" s="524" t="s">
        <v>3252</v>
      </c>
      <c r="F76" s="525" t="s">
        <v>3182</v>
      </c>
      <c r="G76" s="525" t="s">
        <v>3183</v>
      </c>
      <c r="H76" s="350" t="s">
        <v>1738</v>
      </c>
      <c r="I76" s="351" t="s">
        <v>1738</v>
      </c>
      <c r="J76" s="409" t="s">
        <v>3184</v>
      </c>
      <c r="K76" s="410" t="s">
        <v>3185</v>
      </c>
      <c r="L76" s="329">
        <f>CONTINUA!BV76</f>
        <v>0</v>
      </c>
      <c r="M76" s="329">
        <f>CONTINUA!BW76</f>
        <v>0</v>
      </c>
      <c r="N76" s="895"/>
      <c r="O76" s="896" t="s">
        <v>3335</v>
      </c>
      <c r="P76" s="897">
        <v>0</v>
      </c>
      <c r="Q76" s="400">
        <v>20</v>
      </c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 t="s">
        <v>3192</v>
      </c>
      <c r="EM76" s="520">
        <v>282.50200000000001</v>
      </c>
      <c r="EN76" s="520"/>
      <c r="EO76" s="520"/>
      <c r="EP76" s="171">
        <f t="shared" si="95"/>
        <v>20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20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22516.49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22798.992000000002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22516.49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282.50200000000001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3249</v>
      </c>
      <c r="B77" s="369" t="s">
        <v>3250</v>
      </c>
      <c r="C77" s="370" t="s">
        <v>3186</v>
      </c>
      <c r="D77" s="371" t="s">
        <v>3251</v>
      </c>
      <c r="E77" s="371" t="s">
        <v>3252</v>
      </c>
      <c r="F77" s="372" t="s">
        <v>3182</v>
      </c>
      <c r="G77" s="372" t="s">
        <v>3183</v>
      </c>
      <c r="H77" s="373" t="s">
        <v>1738</v>
      </c>
      <c r="I77" s="374" t="s">
        <v>1738</v>
      </c>
      <c r="J77" s="421" t="s">
        <v>3184</v>
      </c>
      <c r="K77" s="421" t="s">
        <v>3187</v>
      </c>
      <c r="L77" s="329">
        <f>CONTINUA!BV77</f>
        <v>0</v>
      </c>
      <c r="M77" s="329">
        <f>CONTINUA!BW77</f>
        <v>0</v>
      </c>
      <c r="N77" s="895"/>
      <c r="O77" s="896" t="s">
        <v>3335</v>
      </c>
      <c r="P77" s="897">
        <v>0</v>
      </c>
      <c r="Q77" s="400">
        <v>33</v>
      </c>
      <c r="R77" s="401"/>
      <c r="S77" s="400">
        <v>2</v>
      </c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33</v>
      </c>
      <c r="EQ77" s="171">
        <f t="shared" si="96"/>
        <v>0</v>
      </c>
      <c r="ER77" s="171">
        <f t="shared" si="97"/>
        <v>2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35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3249</v>
      </c>
      <c r="B78" s="369" t="s">
        <v>3250</v>
      </c>
      <c r="C78" s="375" t="s">
        <v>3186</v>
      </c>
      <c r="D78" s="371" t="s">
        <v>3251</v>
      </c>
      <c r="E78" s="371" t="s">
        <v>3252</v>
      </c>
      <c r="F78" s="376" t="s">
        <v>3182</v>
      </c>
      <c r="G78" s="376" t="s">
        <v>3183</v>
      </c>
      <c r="H78" s="373" t="s">
        <v>1738</v>
      </c>
      <c r="I78" s="374" t="s">
        <v>1738</v>
      </c>
      <c r="J78" s="421" t="s">
        <v>3184</v>
      </c>
      <c r="K78" s="422" t="s">
        <v>3188</v>
      </c>
      <c r="L78" s="329">
        <f>CONTINUA!BV78</f>
        <v>0</v>
      </c>
      <c r="M78" s="329">
        <f>CONTINUA!BW78</f>
        <v>0</v>
      </c>
      <c r="N78" s="895"/>
      <c r="O78" s="896" t="s">
        <v>3335</v>
      </c>
      <c r="P78" s="897">
        <v>0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3249</v>
      </c>
      <c r="B79" s="369" t="s">
        <v>3250</v>
      </c>
      <c r="C79" s="375" t="s">
        <v>3186</v>
      </c>
      <c r="D79" s="371" t="s">
        <v>3251</v>
      </c>
      <c r="E79" s="371" t="s">
        <v>3252</v>
      </c>
      <c r="F79" s="376" t="s">
        <v>3182</v>
      </c>
      <c r="G79" s="376" t="s">
        <v>3183</v>
      </c>
      <c r="H79" s="373" t="s">
        <v>1738</v>
      </c>
      <c r="I79" s="374" t="s">
        <v>1738</v>
      </c>
      <c r="J79" s="421" t="s">
        <v>3184</v>
      </c>
      <c r="K79" s="423" t="s">
        <v>3189</v>
      </c>
      <c r="L79" s="329">
        <f>CONTINUA!BV79</f>
        <v>0</v>
      </c>
      <c r="M79" s="329">
        <f>CONTINUA!BW79</f>
        <v>0</v>
      </c>
      <c r="N79" s="895"/>
      <c r="O79" s="896" t="s">
        <v>3335</v>
      </c>
      <c r="P79" s="897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3249</v>
      </c>
      <c r="B80" s="378" t="s">
        <v>3250</v>
      </c>
      <c r="C80" s="379" t="s">
        <v>3186</v>
      </c>
      <c r="D80" s="380" t="s">
        <v>3251</v>
      </c>
      <c r="E80" s="380" t="s">
        <v>3252</v>
      </c>
      <c r="F80" s="381" t="s">
        <v>3182</v>
      </c>
      <c r="G80" s="381" t="s">
        <v>3183</v>
      </c>
      <c r="H80" s="382" t="s">
        <v>1738</v>
      </c>
      <c r="I80" s="383" t="s">
        <v>1738</v>
      </c>
      <c r="J80" s="421" t="s">
        <v>3184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3335</v>
      </c>
      <c r="P80" s="897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3253</v>
      </c>
      <c r="B81" s="522" t="s">
        <v>3254</v>
      </c>
      <c r="C81" s="523">
        <v>1</v>
      </c>
      <c r="D81" s="524" t="s">
        <v>3255</v>
      </c>
      <c r="E81" s="524" t="s">
        <v>3256</v>
      </c>
      <c r="F81" s="525" t="s">
        <v>3182</v>
      </c>
      <c r="G81" s="525" t="s">
        <v>3183</v>
      </c>
      <c r="H81" s="350" t="s">
        <v>1739</v>
      </c>
      <c r="I81" s="351" t="s">
        <v>1739</v>
      </c>
      <c r="J81" s="409" t="s">
        <v>3184</v>
      </c>
      <c r="K81" s="410" t="s">
        <v>3185</v>
      </c>
      <c r="L81" s="329">
        <f>CONTINUA!BV81</f>
        <v>0</v>
      </c>
      <c r="M81" s="329">
        <f>CONTINUA!BW81</f>
        <v>0</v>
      </c>
      <c r="N81" s="895"/>
      <c r="O81" s="896" t="s">
        <v>3336</v>
      </c>
      <c r="P81" s="897">
        <v>0</v>
      </c>
      <c r="Q81" s="400">
        <v>32</v>
      </c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32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32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13656.2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13656.2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13656.2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3253</v>
      </c>
      <c r="B82" s="369" t="s">
        <v>3254</v>
      </c>
      <c r="C82" s="370" t="s">
        <v>3186</v>
      </c>
      <c r="D82" s="371" t="s">
        <v>3255</v>
      </c>
      <c r="E82" s="371" t="s">
        <v>3256</v>
      </c>
      <c r="F82" s="372" t="s">
        <v>3182</v>
      </c>
      <c r="G82" s="372" t="s">
        <v>3183</v>
      </c>
      <c r="H82" s="373" t="s">
        <v>1739</v>
      </c>
      <c r="I82" s="374" t="s">
        <v>1739</v>
      </c>
      <c r="J82" s="421" t="s">
        <v>3184</v>
      </c>
      <c r="K82" s="421" t="s">
        <v>3187</v>
      </c>
      <c r="L82" s="329">
        <f>CONTINUA!BV82</f>
        <v>0</v>
      </c>
      <c r="M82" s="329">
        <f>CONTINUA!BW82</f>
        <v>0</v>
      </c>
      <c r="N82" s="895"/>
      <c r="O82" s="896" t="s">
        <v>3336</v>
      </c>
      <c r="P82" s="897">
        <v>0</v>
      </c>
      <c r="Q82" s="400"/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0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3253</v>
      </c>
      <c r="B83" s="369" t="s">
        <v>3254</v>
      </c>
      <c r="C83" s="375" t="s">
        <v>3186</v>
      </c>
      <c r="D83" s="371" t="s">
        <v>3255</v>
      </c>
      <c r="E83" s="371" t="s">
        <v>3256</v>
      </c>
      <c r="F83" s="376" t="s">
        <v>3182</v>
      </c>
      <c r="G83" s="376" t="s">
        <v>3183</v>
      </c>
      <c r="H83" s="373" t="s">
        <v>1739</v>
      </c>
      <c r="I83" s="374" t="s">
        <v>1739</v>
      </c>
      <c r="J83" s="421" t="s">
        <v>3184</v>
      </c>
      <c r="K83" s="422" t="s">
        <v>3188</v>
      </c>
      <c r="L83" s="329">
        <f>CONTINUA!BV83</f>
        <v>0</v>
      </c>
      <c r="M83" s="329">
        <f>CONTINUA!BW83</f>
        <v>0</v>
      </c>
      <c r="N83" s="895"/>
      <c r="O83" s="896" t="s">
        <v>3336</v>
      </c>
      <c r="P83" s="897">
        <v>0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3253</v>
      </c>
      <c r="B84" s="369" t="s">
        <v>3254</v>
      </c>
      <c r="C84" s="375" t="s">
        <v>3186</v>
      </c>
      <c r="D84" s="371" t="s">
        <v>3255</v>
      </c>
      <c r="E84" s="371" t="s">
        <v>3256</v>
      </c>
      <c r="F84" s="376" t="s">
        <v>3182</v>
      </c>
      <c r="G84" s="376" t="s">
        <v>3183</v>
      </c>
      <c r="H84" s="373" t="s">
        <v>1739</v>
      </c>
      <c r="I84" s="374" t="s">
        <v>1739</v>
      </c>
      <c r="J84" s="421" t="s">
        <v>3184</v>
      </c>
      <c r="K84" s="423" t="s">
        <v>3189</v>
      </c>
      <c r="L84" s="329">
        <f>CONTINUA!BV84</f>
        <v>0</v>
      </c>
      <c r="M84" s="329">
        <f>CONTINUA!BW84</f>
        <v>0</v>
      </c>
      <c r="N84" s="895"/>
      <c r="O84" s="896" t="s">
        <v>3336</v>
      </c>
      <c r="P84" s="897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3253</v>
      </c>
      <c r="B85" s="378" t="s">
        <v>3254</v>
      </c>
      <c r="C85" s="379" t="s">
        <v>3186</v>
      </c>
      <c r="D85" s="380" t="s">
        <v>3255</v>
      </c>
      <c r="E85" s="380" t="s">
        <v>3256</v>
      </c>
      <c r="F85" s="381" t="s">
        <v>3182</v>
      </c>
      <c r="G85" s="381" t="s">
        <v>3183</v>
      </c>
      <c r="H85" s="382" t="s">
        <v>1739</v>
      </c>
      <c r="I85" s="383" t="s">
        <v>1739</v>
      </c>
      <c r="J85" s="421" t="s">
        <v>3184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3336</v>
      </c>
      <c r="P85" s="897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3257</v>
      </c>
      <c r="B86" s="522" t="s">
        <v>3258</v>
      </c>
      <c r="C86" s="523">
        <v>4</v>
      </c>
      <c r="D86" s="524" t="s">
        <v>3259</v>
      </c>
      <c r="E86" s="524" t="s">
        <v>3260</v>
      </c>
      <c r="F86" s="525" t="s">
        <v>3182</v>
      </c>
      <c r="G86" s="525" t="s">
        <v>3183</v>
      </c>
      <c r="H86" s="350" t="s">
        <v>1740</v>
      </c>
      <c r="I86" s="351" t="s">
        <v>1740</v>
      </c>
      <c r="J86" s="409" t="s">
        <v>3191</v>
      </c>
      <c r="K86" s="410" t="s">
        <v>3185</v>
      </c>
      <c r="L86" s="329">
        <f>CONTINUA!BV86</f>
        <v>0</v>
      </c>
      <c r="M86" s="329">
        <f>CONTINUA!BW86</f>
        <v>0</v>
      </c>
      <c r="N86" s="895"/>
      <c r="O86" s="896" t="s">
        <v>3337</v>
      </c>
      <c r="P86" s="897">
        <v>0</v>
      </c>
      <c r="Q86" s="400"/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 t="s">
        <v>3192</v>
      </c>
      <c r="EM86" s="520">
        <v>1031.8403333333299</v>
      </c>
      <c r="EN86" s="520"/>
      <c r="EO86" s="520"/>
      <c r="EP86" s="171">
        <f t="shared" si="95"/>
        <v>0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0</v>
      </c>
      <c r="EW86" s="367">
        <f>IF(C86=4,IF(MAX(Q86:EJ88)&gt;0,(Especiall/30*(IF(($G86-$F86)=($G$5-$F$5),30,IF(DAY($G86)=31,($G86-$F86),($G86-$F86)+1)))),0),0)</f>
        <v>11465.63</v>
      </c>
      <c r="EX86" s="248">
        <f t="shared" ref="EX86:EX89" si="113">FF86</f>
        <v>6398.68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19031.110333333327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6398.68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1031.8403333333299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3257</v>
      </c>
      <c r="B87" s="369" t="s">
        <v>3258</v>
      </c>
      <c r="C87" s="370" t="s">
        <v>3190</v>
      </c>
      <c r="D87" s="371" t="s">
        <v>3259</v>
      </c>
      <c r="E87" s="371" t="s">
        <v>3260</v>
      </c>
      <c r="F87" s="372" t="s">
        <v>3182</v>
      </c>
      <c r="G87" s="372" t="s">
        <v>3183</v>
      </c>
      <c r="H87" s="373" t="s">
        <v>1740</v>
      </c>
      <c r="I87" s="374" t="s">
        <v>1740</v>
      </c>
      <c r="J87" s="421" t="s">
        <v>3191</v>
      </c>
      <c r="K87" s="421" t="s">
        <v>3187</v>
      </c>
      <c r="L87" s="329">
        <f>CONTINUA!BV87</f>
        <v>14</v>
      </c>
      <c r="M87" s="329">
        <f>CONTINUA!BW87</f>
        <v>0</v>
      </c>
      <c r="N87" s="895"/>
      <c r="O87" s="896" t="s">
        <v>3337</v>
      </c>
      <c r="P87" s="897">
        <v>0</v>
      </c>
      <c r="Q87" s="400">
        <v>4</v>
      </c>
      <c r="R87" s="401">
        <v>1</v>
      </c>
      <c r="S87" s="400">
        <v>2</v>
      </c>
      <c r="T87" s="401">
        <v>1</v>
      </c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4</v>
      </c>
      <c r="EQ87" s="171">
        <f t="shared" si="96"/>
        <v>0</v>
      </c>
      <c r="ER87" s="171">
        <f t="shared" si="97"/>
        <v>2</v>
      </c>
      <c r="ES87" s="171">
        <f t="shared" si="98"/>
        <v>1</v>
      </c>
      <c r="ET87" s="171">
        <f t="shared" si="99"/>
        <v>0</v>
      </c>
      <c r="EU87" s="171">
        <f t="shared" si="100"/>
        <v>1</v>
      </c>
      <c r="EV87" s="172">
        <f t="shared" si="101"/>
        <v>8</v>
      </c>
      <c r="EW87" s="173"/>
      <c r="EX87" s="248">
        <f t="shared" si="113"/>
        <v>0</v>
      </c>
      <c r="EY87" s="174">
        <f>(L87*regular)+(M87*Cadeirantee)</f>
        <v>134.96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3257</v>
      </c>
      <c r="B88" s="369" t="s">
        <v>3258</v>
      </c>
      <c r="C88" s="375" t="s">
        <v>3190</v>
      </c>
      <c r="D88" s="371" t="s">
        <v>3259</v>
      </c>
      <c r="E88" s="371" t="s">
        <v>3260</v>
      </c>
      <c r="F88" s="376" t="s">
        <v>3182</v>
      </c>
      <c r="G88" s="376" t="s">
        <v>3183</v>
      </c>
      <c r="H88" s="373" t="s">
        <v>1740</v>
      </c>
      <c r="I88" s="374" t="s">
        <v>1740</v>
      </c>
      <c r="J88" s="421" t="s">
        <v>3191</v>
      </c>
      <c r="K88" s="422" t="s">
        <v>3188</v>
      </c>
      <c r="L88" s="329">
        <f>CONTINUA!BV88</f>
        <v>0</v>
      </c>
      <c r="M88" s="329">
        <f>CONTINUA!BW88</f>
        <v>0</v>
      </c>
      <c r="N88" s="895"/>
      <c r="O88" s="896" t="s">
        <v>3337</v>
      </c>
      <c r="P88" s="897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3257</v>
      </c>
      <c r="B89" s="369" t="s">
        <v>3258</v>
      </c>
      <c r="C89" s="375" t="s">
        <v>3190</v>
      </c>
      <c r="D89" s="371" t="s">
        <v>3259</v>
      </c>
      <c r="E89" s="371" t="s">
        <v>3260</v>
      </c>
      <c r="F89" s="376" t="s">
        <v>3182</v>
      </c>
      <c r="G89" s="376" t="s">
        <v>3183</v>
      </c>
      <c r="H89" s="373" t="s">
        <v>1740</v>
      </c>
      <c r="I89" s="374" t="s">
        <v>1740</v>
      </c>
      <c r="J89" s="421" t="s">
        <v>3191</v>
      </c>
      <c r="K89" s="423" t="s">
        <v>3189</v>
      </c>
      <c r="L89" s="329">
        <f>CONTINUA!BV89</f>
        <v>0</v>
      </c>
      <c r="M89" s="329">
        <f>CONTINUA!BW89</f>
        <v>0</v>
      </c>
      <c r="N89" s="895"/>
      <c r="O89" s="896" t="s">
        <v>3337</v>
      </c>
      <c r="P89" s="897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3257</v>
      </c>
      <c r="B90" s="378" t="s">
        <v>3258</v>
      </c>
      <c r="C90" s="379" t="s">
        <v>3190</v>
      </c>
      <c r="D90" s="380" t="s">
        <v>3259</v>
      </c>
      <c r="E90" s="380" t="s">
        <v>3260</v>
      </c>
      <c r="F90" s="381" t="s">
        <v>3182</v>
      </c>
      <c r="G90" s="381" t="s">
        <v>3183</v>
      </c>
      <c r="H90" s="382" t="s">
        <v>1740</v>
      </c>
      <c r="I90" s="383" t="s">
        <v>1740</v>
      </c>
      <c r="J90" s="421" t="s">
        <v>3191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3337</v>
      </c>
      <c r="P90" s="897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3261</v>
      </c>
      <c r="B91" s="522" t="s">
        <v>3262</v>
      </c>
      <c r="C91" s="523">
        <v>1</v>
      </c>
      <c r="D91" s="524" t="s">
        <v>3263</v>
      </c>
      <c r="E91" s="524" t="s">
        <v>3264</v>
      </c>
      <c r="F91" s="525" t="s">
        <v>3182</v>
      </c>
      <c r="G91" s="525" t="s">
        <v>3183</v>
      </c>
      <c r="H91" s="350" t="s">
        <v>1742</v>
      </c>
      <c r="I91" s="351" t="s">
        <v>1742</v>
      </c>
      <c r="J91" s="409" t="s">
        <v>3184</v>
      </c>
      <c r="K91" s="410" t="s">
        <v>3185</v>
      </c>
      <c r="L91" s="329">
        <f>CONTINUA!BV91</f>
        <v>0</v>
      </c>
      <c r="M91" s="329">
        <f>CONTINUA!BW91</f>
        <v>0</v>
      </c>
      <c r="N91" s="895"/>
      <c r="O91" s="896" t="s">
        <v>3338</v>
      </c>
      <c r="P91" s="897">
        <v>0</v>
      </c>
      <c r="Q91" s="400">
        <v>37</v>
      </c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37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37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15582.35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15582.35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15582.35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3261</v>
      </c>
      <c r="B92" s="369" t="s">
        <v>3262</v>
      </c>
      <c r="C92" s="370" t="s">
        <v>3186</v>
      </c>
      <c r="D92" s="371" t="s">
        <v>3263</v>
      </c>
      <c r="E92" s="371" t="s">
        <v>3264</v>
      </c>
      <c r="F92" s="372" t="s">
        <v>3182</v>
      </c>
      <c r="G92" s="372" t="s">
        <v>3183</v>
      </c>
      <c r="H92" s="373" t="s">
        <v>1742</v>
      </c>
      <c r="I92" s="374" t="s">
        <v>1742</v>
      </c>
      <c r="J92" s="421" t="s">
        <v>3184</v>
      </c>
      <c r="K92" s="421" t="s">
        <v>3187</v>
      </c>
      <c r="L92" s="329">
        <f>CONTINUA!BV92</f>
        <v>0</v>
      </c>
      <c r="M92" s="329">
        <f>CONTINUA!BW92</f>
        <v>0</v>
      </c>
      <c r="N92" s="895"/>
      <c r="O92" s="896" t="s">
        <v>3338</v>
      </c>
      <c r="P92" s="897">
        <v>0</v>
      </c>
      <c r="Q92" s="400"/>
      <c r="R92" s="401"/>
      <c r="S92" s="400"/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0</v>
      </c>
      <c r="EQ92" s="171">
        <f t="shared" si="96"/>
        <v>0</v>
      </c>
      <c r="ER92" s="171">
        <f t="shared" si="97"/>
        <v>0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0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3261</v>
      </c>
      <c r="B93" s="369" t="s">
        <v>3262</v>
      </c>
      <c r="C93" s="375" t="s">
        <v>3186</v>
      </c>
      <c r="D93" s="371" t="s">
        <v>3263</v>
      </c>
      <c r="E93" s="371" t="s">
        <v>3264</v>
      </c>
      <c r="F93" s="376" t="s">
        <v>3182</v>
      </c>
      <c r="G93" s="376" t="s">
        <v>3183</v>
      </c>
      <c r="H93" s="373" t="s">
        <v>1742</v>
      </c>
      <c r="I93" s="374" t="s">
        <v>1742</v>
      </c>
      <c r="J93" s="421" t="s">
        <v>3184</v>
      </c>
      <c r="K93" s="422" t="s">
        <v>3188</v>
      </c>
      <c r="L93" s="329">
        <f>CONTINUA!BV93</f>
        <v>0</v>
      </c>
      <c r="M93" s="329">
        <f>CONTINUA!BW93</f>
        <v>0</v>
      </c>
      <c r="N93" s="895"/>
      <c r="O93" s="896" t="s">
        <v>3338</v>
      </c>
      <c r="P93" s="897">
        <v>0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3261</v>
      </c>
      <c r="B94" s="369" t="s">
        <v>3262</v>
      </c>
      <c r="C94" s="375" t="s">
        <v>3186</v>
      </c>
      <c r="D94" s="371" t="s">
        <v>3263</v>
      </c>
      <c r="E94" s="371" t="s">
        <v>3264</v>
      </c>
      <c r="F94" s="376" t="s">
        <v>3182</v>
      </c>
      <c r="G94" s="376" t="s">
        <v>3183</v>
      </c>
      <c r="H94" s="373" t="s">
        <v>1742</v>
      </c>
      <c r="I94" s="374" t="s">
        <v>1742</v>
      </c>
      <c r="J94" s="421" t="s">
        <v>3184</v>
      </c>
      <c r="K94" s="423" t="s">
        <v>3189</v>
      </c>
      <c r="L94" s="329">
        <f>CONTINUA!BV94</f>
        <v>0</v>
      </c>
      <c r="M94" s="329">
        <f>CONTINUA!BW94</f>
        <v>0</v>
      </c>
      <c r="N94" s="895"/>
      <c r="O94" s="896" t="s">
        <v>3338</v>
      </c>
      <c r="P94" s="897">
        <v>0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3261</v>
      </c>
      <c r="B95" s="378" t="s">
        <v>3262</v>
      </c>
      <c r="C95" s="379" t="s">
        <v>3186</v>
      </c>
      <c r="D95" s="380" t="s">
        <v>3263</v>
      </c>
      <c r="E95" s="380" t="s">
        <v>3264</v>
      </c>
      <c r="F95" s="381" t="s">
        <v>3182</v>
      </c>
      <c r="G95" s="381" t="s">
        <v>3183</v>
      </c>
      <c r="H95" s="382" t="s">
        <v>1742</v>
      </c>
      <c r="I95" s="383" t="s">
        <v>1742</v>
      </c>
      <c r="J95" s="421" t="s">
        <v>3184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3338</v>
      </c>
      <c r="P95" s="897">
        <v>0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3265</v>
      </c>
      <c r="B96" s="522" t="s">
        <v>3266</v>
      </c>
      <c r="C96" s="523">
        <v>1</v>
      </c>
      <c r="D96" s="524" t="s">
        <v>3267</v>
      </c>
      <c r="E96" s="524" t="s">
        <v>3268</v>
      </c>
      <c r="F96" s="525" t="s">
        <v>3182</v>
      </c>
      <c r="G96" s="525" t="s">
        <v>3183</v>
      </c>
      <c r="H96" s="350" t="s">
        <v>1743</v>
      </c>
      <c r="I96" s="351" t="s">
        <v>1743</v>
      </c>
      <c r="J96" s="409" t="s">
        <v>3184</v>
      </c>
      <c r="K96" s="410" t="s">
        <v>3185</v>
      </c>
      <c r="L96" s="329">
        <f>CONTINUA!BV96</f>
        <v>0</v>
      </c>
      <c r="M96" s="329">
        <f>CONTINUA!BW96</f>
        <v>0</v>
      </c>
      <c r="N96" s="895"/>
      <c r="O96" s="896" t="s">
        <v>3339</v>
      </c>
      <c r="P96" s="897">
        <v>0</v>
      </c>
      <c r="Q96" s="400">
        <v>16</v>
      </c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 t="s">
        <v>3192</v>
      </c>
      <c r="EM96" s="520">
        <v>1412.51</v>
      </c>
      <c r="EN96" s="520"/>
      <c r="EO96" s="520"/>
      <c r="EP96" s="171">
        <f t="shared" si="95"/>
        <v>16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16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20975.57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22706.199999999997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20975.57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1412.51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3265</v>
      </c>
      <c r="B97" s="369" t="s">
        <v>3266</v>
      </c>
      <c r="C97" s="370" t="s">
        <v>3186</v>
      </c>
      <c r="D97" s="371" t="s">
        <v>3267</v>
      </c>
      <c r="E97" s="371" t="s">
        <v>3268</v>
      </c>
      <c r="F97" s="372" t="s">
        <v>3182</v>
      </c>
      <c r="G97" s="372" t="s">
        <v>3183</v>
      </c>
      <c r="H97" s="373" t="s">
        <v>1743</v>
      </c>
      <c r="I97" s="374" t="s">
        <v>1743</v>
      </c>
      <c r="J97" s="421" t="s">
        <v>3184</v>
      </c>
      <c r="K97" s="421" t="s">
        <v>3187</v>
      </c>
      <c r="L97" s="329">
        <f>CONTINUA!BV97</f>
        <v>33</v>
      </c>
      <c r="M97" s="329">
        <f>CONTINUA!BW97</f>
        <v>0</v>
      </c>
      <c r="N97" s="895"/>
      <c r="O97" s="896" t="s">
        <v>3339</v>
      </c>
      <c r="P97" s="897">
        <v>0</v>
      </c>
      <c r="Q97" s="400">
        <v>35</v>
      </c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35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35</v>
      </c>
      <c r="EW97" s="173"/>
      <c r="EX97" s="248">
        <f t="shared" si="123"/>
        <v>0</v>
      </c>
      <c r="EY97" s="174">
        <f>(L97*regular)+(M97*Cadeirantee)</f>
        <v>318.12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3265</v>
      </c>
      <c r="B98" s="369" t="s">
        <v>3266</v>
      </c>
      <c r="C98" s="375" t="s">
        <v>3186</v>
      </c>
      <c r="D98" s="371" t="s">
        <v>3267</v>
      </c>
      <c r="E98" s="371" t="s">
        <v>3268</v>
      </c>
      <c r="F98" s="376" t="s">
        <v>3182</v>
      </c>
      <c r="G98" s="376" t="s">
        <v>3183</v>
      </c>
      <c r="H98" s="373" t="s">
        <v>1743</v>
      </c>
      <c r="I98" s="374" t="s">
        <v>1743</v>
      </c>
      <c r="J98" s="421" t="s">
        <v>3184</v>
      </c>
      <c r="K98" s="422" t="s">
        <v>3188</v>
      </c>
      <c r="L98" s="329">
        <f>CONTINUA!BV98</f>
        <v>0</v>
      </c>
      <c r="M98" s="329">
        <f>CONTINUA!BW98</f>
        <v>0</v>
      </c>
      <c r="N98" s="895"/>
      <c r="O98" s="896" t="s">
        <v>3339</v>
      </c>
      <c r="P98" s="897">
        <v>0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3265</v>
      </c>
      <c r="B99" s="369" t="s">
        <v>3266</v>
      </c>
      <c r="C99" s="375" t="s">
        <v>3186</v>
      </c>
      <c r="D99" s="371" t="s">
        <v>3267</v>
      </c>
      <c r="E99" s="371" t="s">
        <v>3268</v>
      </c>
      <c r="F99" s="376" t="s">
        <v>3182</v>
      </c>
      <c r="G99" s="376" t="s">
        <v>3183</v>
      </c>
      <c r="H99" s="373" t="s">
        <v>1743</v>
      </c>
      <c r="I99" s="374" t="s">
        <v>1743</v>
      </c>
      <c r="J99" s="421" t="s">
        <v>3184</v>
      </c>
      <c r="K99" s="423" t="s">
        <v>3189</v>
      </c>
      <c r="L99" s="329">
        <f>CONTINUA!BV99</f>
        <v>0</v>
      </c>
      <c r="M99" s="329">
        <f>CONTINUA!BW99</f>
        <v>0</v>
      </c>
      <c r="N99" s="895"/>
      <c r="O99" s="896" t="s">
        <v>3339</v>
      </c>
      <c r="P99" s="897">
        <v>0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3265</v>
      </c>
      <c r="B100" s="378" t="s">
        <v>3266</v>
      </c>
      <c r="C100" s="379" t="s">
        <v>3186</v>
      </c>
      <c r="D100" s="380" t="s">
        <v>3267</v>
      </c>
      <c r="E100" s="380" t="s">
        <v>3268</v>
      </c>
      <c r="F100" s="381" t="s">
        <v>3182</v>
      </c>
      <c r="G100" s="381" t="s">
        <v>3183</v>
      </c>
      <c r="H100" s="382" t="s">
        <v>1743</v>
      </c>
      <c r="I100" s="383" t="s">
        <v>1743</v>
      </c>
      <c r="J100" s="421" t="s">
        <v>3184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3339</v>
      </c>
      <c r="P100" s="897">
        <v>0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3269</v>
      </c>
      <c r="B101" s="522" t="s">
        <v>3270</v>
      </c>
      <c r="C101" s="523">
        <v>1</v>
      </c>
      <c r="D101" s="524" t="s">
        <v>3271</v>
      </c>
      <c r="E101" s="524" t="s">
        <v>3272</v>
      </c>
      <c r="F101" s="525" t="s">
        <v>3182</v>
      </c>
      <c r="G101" s="525" t="s">
        <v>3183</v>
      </c>
      <c r="H101" s="350" t="s">
        <v>1746</v>
      </c>
      <c r="I101" s="351" t="s">
        <v>1746</v>
      </c>
      <c r="J101" s="409" t="s">
        <v>3184</v>
      </c>
      <c r="K101" s="410" t="s">
        <v>3185</v>
      </c>
      <c r="L101" s="329">
        <f>CONTINUA!BV101</f>
        <v>0</v>
      </c>
      <c r="M101" s="329">
        <f>CONTINUA!BW101</f>
        <v>0</v>
      </c>
      <c r="N101" s="895"/>
      <c r="O101" s="896" t="s">
        <v>3340</v>
      </c>
      <c r="P101" s="897">
        <v>0</v>
      </c>
      <c r="Q101" s="400">
        <v>22</v>
      </c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22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22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10959.59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10959.59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10959.59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3269</v>
      </c>
      <c r="B102" s="369" t="s">
        <v>3270</v>
      </c>
      <c r="C102" s="370" t="s">
        <v>3186</v>
      </c>
      <c r="D102" s="371" t="s">
        <v>3271</v>
      </c>
      <c r="E102" s="371" t="s">
        <v>3272</v>
      </c>
      <c r="F102" s="372" t="s">
        <v>3182</v>
      </c>
      <c r="G102" s="372" t="s">
        <v>3183</v>
      </c>
      <c r="H102" s="373" t="s">
        <v>1746</v>
      </c>
      <c r="I102" s="374" t="s">
        <v>1746</v>
      </c>
      <c r="J102" s="421" t="s">
        <v>3184</v>
      </c>
      <c r="K102" s="421" t="s">
        <v>3187</v>
      </c>
      <c r="L102" s="329">
        <f>CONTINUA!BV102</f>
        <v>0</v>
      </c>
      <c r="M102" s="329">
        <f>CONTINUA!BW102</f>
        <v>0</v>
      </c>
      <c r="N102" s="895"/>
      <c r="O102" s="896" t="s">
        <v>3340</v>
      </c>
      <c r="P102" s="897">
        <v>0</v>
      </c>
      <c r="Q102" s="400">
        <v>3</v>
      </c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3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3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3269</v>
      </c>
      <c r="B103" s="369" t="s">
        <v>3270</v>
      </c>
      <c r="C103" s="375" t="s">
        <v>3186</v>
      </c>
      <c r="D103" s="371" t="s">
        <v>3271</v>
      </c>
      <c r="E103" s="371" t="s">
        <v>3272</v>
      </c>
      <c r="F103" s="376" t="s">
        <v>3182</v>
      </c>
      <c r="G103" s="376" t="s">
        <v>3183</v>
      </c>
      <c r="H103" s="373" t="s">
        <v>1746</v>
      </c>
      <c r="I103" s="374" t="s">
        <v>1746</v>
      </c>
      <c r="J103" s="421" t="s">
        <v>3184</v>
      </c>
      <c r="K103" s="422" t="s">
        <v>3188</v>
      </c>
      <c r="L103" s="329">
        <f>CONTINUA!BV103</f>
        <v>0</v>
      </c>
      <c r="M103" s="329">
        <f>CONTINUA!BW103</f>
        <v>0</v>
      </c>
      <c r="N103" s="895"/>
      <c r="O103" s="896" t="s">
        <v>3340</v>
      </c>
      <c r="P103" s="897">
        <v>0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3269</v>
      </c>
      <c r="B104" s="369" t="s">
        <v>3270</v>
      </c>
      <c r="C104" s="375" t="s">
        <v>3186</v>
      </c>
      <c r="D104" s="371" t="s">
        <v>3271</v>
      </c>
      <c r="E104" s="371" t="s">
        <v>3272</v>
      </c>
      <c r="F104" s="376" t="s">
        <v>3182</v>
      </c>
      <c r="G104" s="376" t="s">
        <v>3183</v>
      </c>
      <c r="H104" s="373" t="s">
        <v>1746</v>
      </c>
      <c r="I104" s="374" t="s">
        <v>1746</v>
      </c>
      <c r="J104" s="421" t="s">
        <v>3184</v>
      </c>
      <c r="K104" s="423" t="s">
        <v>3189</v>
      </c>
      <c r="L104" s="329">
        <f>CONTINUA!BV104</f>
        <v>0</v>
      </c>
      <c r="M104" s="329">
        <f>CONTINUA!BW104</f>
        <v>0</v>
      </c>
      <c r="N104" s="895"/>
      <c r="O104" s="896" t="s">
        <v>3340</v>
      </c>
      <c r="P104" s="897">
        <v>0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3269</v>
      </c>
      <c r="B105" s="378" t="s">
        <v>3270</v>
      </c>
      <c r="C105" s="379" t="s">
        <v>3186</v>
      </c>
      <c r="D105" s="380" t="s">
        <v>3271</v>
      </c>
      <c r="E105" s="380" t="s">
        <v>3272</v>
      </c>
      <c r="F105" s="381" t="s">
        <v>3182</v>
      </c>
      <c r="G105" s="381" t="s">
        <v>3183</v>
      </c>
      <c r="H105" s="382" t="s">
        <v>1746</v>
      </c>
      <c r="I105" s="383" t="s">
        <v>1746</v>
      </c>
      <c r="J105" s="421" t="s">
        <v>3184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3340</v>
      </c>
      <c r="P105" s="897">
        <v>0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3273</v>
      </c>
      <c r="B106" s="522" t="s">
        <v>3274</v>
      </c>
      <c r="C106" s="523">
        <v>1</v>
      </c>
      <c r="D106" s="524" t="s">
        <v>3275</v>
      </c>
      <c r="E106" s="524" t="s">
        <v>3276</v>
      </c>
      <c r="F106" s="525" t="s">
        <v>3182</v>
      </c>
      <c r="G106" s="525" t="s">
        <v>3183</v>
      </c>
      <c r="H106" s="350" t="s">
        <v>1747</v>
      </c>
      <c r="I106" s="351" t="s">
        <v>1747</v>
      </c>
      <c r="J106" s="409" t="s">
        <v>3184</v>
      </c>
      <c r="K106" s="410" t="s">
        <v>3185</v>
      </c>
      <c r="L106" s="329">
        <f>CONTINUA!BV106</f>
        <v>0</v>
      </c>
      <c r="M106" s="329">
        <f>CONTINUA!BW106</f>
        <v>0</v>
      </c>
      <c r="N106" s="895"/>
      <c r="O106" s="896" t="s">
        <v>3341</v>
      </c>
      <c r="P106" s="897">
        <v>0</v>
      </c>
      <c r="Q106" s="400">
        <v>6</v>
      </c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 t="s">
        <v>3192</v>
      </c>
      <c r="EM106" s="520">
        <v>282.50200000000001</v>
      </c>
      <c r="EN106" s="520"/>
      <c r="EO106" s="520"/>
      <c r="EP106" s="171">
        <f t="shared" si="95"/>
        <v>6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6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22516.49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22798.992000000002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22516.49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282.50200000000001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3273</v>
      </c>
      <c r="B107" s="369" t="s">
        <v>3274</v>
      </c>
      <c r="C107" s="370" t="s">
        <v>3186</v>
      </c>
      <c r="D107" s="371" t="s">
        <v>3275</v>
      </c>
      <c r="E107" s="371" t="s">
        <v>3276</v>
      </c>
      <c r="F107" s="372" t="s">
        <v>3182</v>
      </c>
      <c r="G107" s="372" t="s">
        <v>3183</v>
      </c>
      <c r="H107" s="373" t="s">
        <v>1747</v>
      </c>
      <c r="I107" s="374" t="s">
        <v>1747</v>
      </c>
      <c r="J107" s="421" t="s">
        <v>3184</v>
      </c>
      <c r="K107" s="421" t="s">
        <v>3187</v>
      </c>
      <c r="L107" s="329">
        <f>CONTINUA!BV107</f>
        <v>0</v>
      </c>
      <c r="M107" s="329">
        <f>CONTINUA!BW107</f>
        <v>0</v>
      </c>
      <c r="N107" s="895"/>
      <c r="O107" s="896" t="s">
        <v>3341</v>
      </c>
      <c r="P107" s="897">
        <v>0</v>
      </c>
      <c r="Q107" s="400">
        <v>42</v>
      </c>
      <c r="R107" s="401"/>
      <c r="S107" s="400">
        <v>7</v>
      </c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42</v>
      </c>
      <c r="EQ107" s="171">
        <f t="shared" si="96"/>
        <v>0</v>
      </c>
      <c r="ER107" s="171">
        <f t="shared" si="97"/>
        <v>7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49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3273</v>
      </c>
      <c r="B108" s="369" t="s">
        <v>3274</v>
      </c>
      <c r="C108" s="375" t="s">
        <v>3186</v>
      </c>
      <c r="D108" s="371" t="s">
        <v>3275</v>
      </c>
      <c r="E108" s="371" t="s">
        <v>3276</v>
      </c>
      <c r="F108" s="376" t="s">
        <v>3182</v>
      </c>
      <c r="G108" s="376" t="s">
        <v>3183</v>
      </c>
      <c r="H108" s="373" t="s">
        <v>1747</v>
      </c>
      <c r="I108" s="374" t="s">
        <v>1747</v>
      </c>
      <c r="J108" s="421" t="s">
        <v>3184</v>
      </c>
      <c r="K108" s="422" t="s">
        <v>3188</v>
      </c>
      <c r="L108" s="329">
        <f>CONTINUA!BV108</f>
        <v>0</v>
      </c>
      <c r="M108" s="329">
        <f>CONTINUA!BW108</f>
        <v>0</v>
      </c>
      <c r="N108" s="895"/>
      <c r="O108" s="896" t="s">
        <v>3341</v>
      </c>
      <c r="P108" s="897">
        <v>0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3273</v>
      </c>
      <c r="B109" s="369" t="s">
        <v>3274</v>
      </c>
      <c r="C109" s="375" t="s">
        <v>3186</v>
      </c>
      <c r="D109" s="371" t="s">
        <v>3275</v>
      </c>
      <c r="E109" s="371" t="s">
        <v>3276</v>
      </c>
      <c r="F109" s="376" t="s">
        <v>3182</v>
      </c>
      <c r="G109" s="376" t="s">
        <v>3183</v>
      </c>
      <c r="H109" s="373" t="s">
        <v>1747</v>
      </c>
      <c r="I109" s="374" t="s">
        <v>1747</v>
      </c>
      <c r="J109" s="421" t="s">
        <v>3184</v>
      </c>
      <c r="K109" s="423" t="s">
        <v>3189</v>
      </c>
      <c r="L109" s="329">
        <f>CONTINUA!BV109</f>
        <v>0</v>
      </c>
      <c r="M109" s="329">
        <f>CONTINUA!BW109</f>
        <v>0</v>
      </c>
      <c r="N109" s="895"/>
      <c r="O109" s="896" t="s">
        <v>3341</v>
      </c>
      <c r="P109" s="897">
        <v>0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3273</v>
      </c>
      <c r="B110" s="378" t="s">
        <v>3274</v>
      </c>
      <c r="C110" s="379" t="s">
        <v>3186</v>
      </c>
      <c r="D110" s="380" t="s">
        <v>3275</v>
      </c>
      <c r="E110" s="380" t="s">
        <v>3276</v>
      </c>
      <c r="F110" s="381" t="s">
        <v>3182</v>
      </c>
      <c r="G110" s="381" t="s">
        <v>3183</v>
      </c>
      <c r="H110" s="382" t="s">
        <v>1747</v>
      </c>
      <c r="I110" s="383" t="s">
        <v>1747</v>
      </c>
      <c r="J110" s="421" t="s">
        <v>3184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3341</v>
      </c>
      <c r="P110" s="897">
        <v>0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3277</v>
      </c>
      <c r="B111" s="522" t="s">
        <v>3278</v>
      </c>
      <c r="C111" s="523">
        <v>1</v>
      </c>
      <c r="D111" s="524" t="s">
        <v>3279</v>
      </c>
      <c r="E111" s="524" t="s">
        <v>3280</v>
      </c>
      <c r="F111" s="525" t="s">
        <v>3182</v>
      </c>
      <c r="G111" s="525" t="s">
        <v>3183</v>
      </c>
      <c r="H111" s="350" t="s">
        <v>1748</v>
      </c>
      <c r="I111" s="351" t="s">
        <v>1748</v>
      </c>
      <c r="J111" s="409" t="s">
        <v>3184</v>
      </c>
      <c r="K111" s="410" t="s">
        <v>3185</v>
      </c>
      <c r="L111" s="329">
        <f>CONTINUA!BV111</f>
        <v>0</v>
      </c>
      <c r="M111" s="329">
        <f>CONTINUA!BW111</f>
        <v>0</v>
      </c>
      <c r="N111" s="895"/>
      <c r="O111" s="896" t="s">
        <v>3342</v>
      </c>
      <c r="P111" s="897">
        <v>0</v>
      </c>
      <c r="Q111" s="400"/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0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0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14426.66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14551.98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14426.66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3277</v>
      </c>
      <c r="B112" s="369" t="s">
        <v>3278</v>
      </c>
      <c r="C112" s="370" t="s">
        <v>3186</v>
      </c>
      <c r="D112" s="371" t="s">
        <v>3279</v>
      </c>
      <c r="E112" s="371" t="s">
        <v>3280</v>
      </c>
      <c r="F112" s="372" t="s">
        <v>3182</v>
      </c>
      <c r="G112" s="372" t="s">
        <v>3183</v>
      </c>
      <c r="H112" s="373" t="s">
        <v>1748</v>
      </c>
      <c r="I112" s="374" t="s">
        <v>1748</v>
      </c>
      <c r="J112" s="421" t="s">
        <v>3184</v>
      </c>
      <c r="K112" s="421" t="s">
        <v>3187</v>
      </c>
      <c r="L112" s="329">
        <f>CONTINUA!BV112</f>
        <v>13</v>
      </c>
      <c r="M112" s="329">
        <f>CONTINUA!BW112</f>
        <v>0</v>
      </c>
      <c r="N112" s="895"/>
      <c r="O112" s="896" t="s">
        <v>3342</v>
      </c>
      <c r="P112" s="897">
        <v>0</v>
      </c>
      <c r="Q112" s="400">
        <v>34</v>
      </c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34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34</v>
      </c>
      <c r="EW112" s="173"/>
      <c r="EX112" s="248">
        <f t="shared" si="138"/>
        <v>0</v>
      </c>
      <c r="EY112" s="174">
        <f>(L112*regular)+(M112*Cadeirantee)</f>
        <v>125.32000000000001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3277</v>
      </c>
      <c r="B113" s="369" t="s">
        <v>3278</v>
      </c>
      <c r="C113" s="375" t="s">
        <v>3186</v>
      </c>
      <c r="D113" s="371" t="s">
        <v>3279</v>
      </c>
      <c r="E113" s="371" t="s">
        <v>3280</v>
      </c>
      <c r="F113" s="376" t="s">
        <v>3182</v>
      </c>
      <c r="G113" s="376" t="s">
        <v>3183</v>
      </c>
      <c r="H113" s="373" t="s">
        <v>1748</v>
      </c>
      <c r="I113" s="374" t="s">
        <v>1748</v>
      </c>
      <c r="J113" s="421" t="s">
        <v>3184</v>
      </c>
      <c r="K113" s="422" t="s">
        <v>3188</v>
      </c>
      <c r="L113" s="329">
        <f>CONTINUA!BV113</f>
        <v>0</v>
      </c>
      <c r="M113" s="329">
        <f>CONTINUA!BW113</f>
        <v>0</v>
      </c>
      <c r="N113" s="895"/>
      <c r="O113" s="896" t="s">
        <v>3342</v>
      </c>
      <c r="P113" s="897">
        <v>0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3277</v>
      </c>
      <c r="B114" s="369" t="s">
        <v>3278</v>
      </c>
      <c r="C114" s="375" t="s">
        <v>3186</v>
      </c>
      <c r="D114" s="371" t="s">
        <v>3279</v>
      </c>
      <c r="E114" s="371" t="s">
        <v>3280</v>
      </c>
      <c r="F114" s="376" t="s">
        <v>3182</v>
      </c>
      <c r="G114" s="376" t="s">
        <v>3183</v>
      </c>
      <c r="H114" s="373" t="s">
        <v>1748</v>
      </c>
      <c r="I114" s="374" t="s">
        <v>1748</v>
      </c>
      <c r="J114" s="421" t="s">
        <v>3184</v>
      </c>
      <c r="K114" s="423" t="s">
        <v>3189</v>
      </c>
      <c r="L114" s="329">
        <f>CONTINUA!BV114</f>
        <v>0</v>
      </c>
      <c r="M114" s="329">
        <f>CONTINUA!BW114</f>
        <v>0</v>
      </c>
      <c r="N114" s="895"/>
      <c r="O114" s="896" t="s">
        <v>3342</v>
      </c>
      <c r="P114" s="897">
        <v>0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3277</v>
      </c>
      <c r="B115" s="378" t="s">
        <v>3278</v>
      </c>
      <c r="C115" s="379" t="s">
        <v>3186</v>
      </c>
      <c r="D115" s="380" t="s">
        <v>3279</v>
      </c>
      <c r="E115" s="380" t="s">
        <v>3280</v>
      </c>
      <c r="F115" s="381" t="s">
        <v>3182</v>
      </c>
      <c r="G115" s="381" t="s">
        <v>3183</v>
      </c>
      <c r="H115" s="382" t="s">
        <v>1748</v>
      </c>
      <c r="I115" s="383" t="s">
        <v>1748</v>
      </c>
      <c r="J115" s="421" t="s">
        <v>3184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3342</v>
      </c>
      <c r="P115" s="897">
        <v>0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3281</v>
      </c>
      <c r="B116" s="522" t="s">
        <v>3282</v>
      </c>
      <c r="C116" s="523">
        <v>2</v>
      </c>
      <c r="D116" s="524" t="s">
        <v>3283</v>
      </c>
      <c r="E116" s="524" t="s">
        <v>3284</v>
      </c>
      <c r="F116" s="525" t="s">
        <v>3182</v>
      </c>
      <c r="G116" s="525" t="s">
        <v>3183</v>
      </c>
      <c r="H116" s="350" t="s">
        <v>1749</v>
      </c>
      <c r="I116" s="351" t="s">
        <v>1749</v>
      </c>
      <c r="J116" s="409" t="s">
        <v>3191</v>
      </c>
      <c r="K116" s="410" t="s">
        <v>3185</v>
      </c>
      <c r="L116" s="329">
        <f>CONTINUA!BV116</f>
        <v>0</v>
      </c>
      <c r="M116" s="329">
        <f>CONTINUA!BW116</f>
        <v>0</v>
      </c>
      <c r="N116" s="895"/>
      <c r="O116" s="896" t="s">
        <v>3343</v>
      </c>
      <c r="P116" s="897">
        <v>0</v>
      </c>
      <c r="Q116" s="400"/>
      <c r="R116" s="401">
        <v>1</v>
      </c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0</v>
      </c>
      <c r="EQ116" s="171">
        <f t="shared" si="96"/>
        <v>0</v>
      </c>
      <c r="ER116" s="171">
        <f t="shared" si="97"/>
        <v>0</v>
      </c>
      <c r="ES116" s="171">
        <f t="shared" si="98"/>
        <v>1</v>
      </c>
      <c r="ET116" s="171">
        <f t="shared" si="99"/>
        <v>0</v>
      </c>
      <c r="EU116" s="171">
        <f t="shared" si="100"/>
        <v>0</v>
      </c>
      <c r="EV116" s="172">
        <f t="shared" si="101"/>
        <v>1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19401.920000000002</v>
      </c>
      <c r="EY116" s="174">
        <f>(L116*regular)+(M116*Cadeirantee)</f>
        <v>0</v>
      </c>
      <c r="EZ116" s="249">
        <f>SUMIF(FG116:GJ116,"&gt;0")</f>
        <v>0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19401.920000000002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19401.920000000002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3281</v>
      </c>
      <c r="B117" s="369" t="s">
        <v>3282</v>
      </c>
      <c r="C117" s="370" t="s">
        <v>3186</v>
      </c>
      <c r="D117" s="371" t="s">
        <v>3283</v>
      </c>
      <c r="E117" s="371" t="s">
        <v>3284</v>
      </c>
      <c r="F117" s="372" t="s">
        <v>3182</v>
      </c>
      <c r="G117" s="372" t="s">
        <v>3183</v>
      </c>
      <c r="H117" s="373" t="s">
        <v>1749</v>
      </c>
      <c r="I117" s="374" t="s">
        <v>1749</v>
      </c>
      <c r="J117" s="421" t="s">
        <v>3191</v>
      </c>
      <c r="K117" s="421" t="s">
        <v>3187</v>
      </c>
      <c r="L117" s="329">
        <f>CONTINUA!BV117</f>
        <v>0</v>
      </c>
      <c r="M117" s="329">
        <f>CONTINUA!BW117</f>
        <v>0</v>
      </c>
      <c r="N117" s="895"/>
      <c r="O117" s="896" t="s">
        <v>3343</v>
      </c>
      <c r="P117" s="897">
        <v>0</v>
      </c>
      <c r="Q117" s="400">
        <v>15</v>
      </c>
      <c r="R117" s="401">
        <v>3</v>
      </c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15</v>
      </c>
      <c r="EQ117" s="171">
        <f t="shared" si="96"/>
        <v>0</v>
      </c>
      <c r="ER117" s="171">
        <f t="shared" si="97"/>
        <v>0</v>
      </c>
      <c r="ES117" s="171">
        <f t="shared" si="98"/>
        <v>3</v>
      </c>
      <c r="ET117" s="171">
        <f t="shared" si="99"/>
        <v>0</v>
      </c>
      <c r="EU117" s="171">
        <f t="shared" si="100"/>
        <v>0</v>
      </c>
      <c r="EV117" s="172">
        <f t="shared" si="101"/>
        <v>18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3281</v>
      </c>
      <c r="B118" s="369" t="s">
        <v>3282</v>
      </c>
      <c r="C118" s="375" t="s">
        <v>3186</v>
      </c>
      <c r="D118" s="371" t="s">
        <v>3283</v>
      </c>
      <c r="E118" s="371" t="s">
        <v>3284</v>
      </c>
      <c r="F118" s="376" t="s">
        <v>3182</v>
      </c>
      <c r="G118" s="376" t="s">
        <v>3183</v>
      </c>
      <c r="H118" s="373" t="s">
        <v>1749</v>
      </c>
      <c r="I118" s="374" t="s">
        <v>1749</v>
      </c>
      <c r="J118" s="421" t="s">
        <v>3191</v>
      </c>
      <c r="K118" s="422" t="s">
        <v>3188</v>
      </c>
      <c r="L118" s="329">
        <f>CONTINUA!BV118</f>
        <v>0</v>
      </c>
      <c r="M118" s="329">
        <f>CONTINUA!BW118</f>
        <v>0</v>
      </c>
      <c r="N118" s="895"/>
      <c r="O118" s="896" t="s">
        <v>3343</v>
      </c>
      <c r="P118" s="897">
        <v>0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3281</v>
      </c>
      <c r="B119" s="369" t="s">
        <v>3282</v>
      </c>
      <c r="C119" s="375" t="s">
        <v>3186</v>
      </c>
      <c r="D119" s="371" t="s">
        <v>3283</v>
      </c>
      <c r="E119" s="371" t="s">
        <v>3284</v>
      </c>
      <c r="F119" s="376" t="s">
        <v>3182</v>
      </c>
      <c r="G119" s="376" t="s">
        <v>3183</v>
      </c>
      <c r="H119" s="373" t="s">
        <v>1749</v>
      </c>
      <c r="I119" s="374" t="s">
        <v>1749</v>
      </c>
      <c r="J119" s="421" t="s">
        <v>3191</v>
      </c>
      <c r="K119" s="423" t="s">
        <v>3189</v>
      </c>
      <c r="L119" s="329">
        <f>CONTINUA!BV119</f>
        <v>0</v>
      </c>
      <c r="M119" s="329">
        <f>CONTINUA!BW119</f>
        <v>0</v>
      </c>
      <c r="N119" s="895"/>
      <c r="O119" s="896" t="s">
        <v>3343</v>
      </c>
      <c r="P119" s="897">
        <v>0</v>
      </c>
      <c r="Q119" s="400"/>
      <c r="R119" s="401">
        <v>1</v>
      </c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1</v>
      </c>
      <c r="ET119" s="171">
        <f t="shared" si="99"/>
        <v>0</v>
      </c>
      <c r="EU119" s="171">
        <f t="shared" si="100"/>
        <v>0</v>
      </c>
      <c r="EV119" s="172">
        <f t="shared" si="101"/>
        <v>1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3281</v>
      </c>
      <c r="B120" s="378" t="s">
        <v>3282</v>
      </c>
      <c r="C120" s="379" t="s">
        <v>3186</v>
      </c>
      <c r="D120" s="380" t="s">
        <v>3283</v>
      </c>
      <c r="E120" s="380" t="s">
        <v>3284</v>
      </c>
      <c r="F120" s="381" t="s">
        <v>3182</v>
      </c>
      <c r="G120" s="381" t="s">
        <v>3183</v>
      </c>
      <c r="H120" s="382" t="s">
        <v>1749</v>
      </c>
      <c r="I120" s="383" t="s">
        <v>1749</v>
      </c>
      <c r="J120" s="421" t="s">
        <v>3191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3343</v>
      </c>
      <c r="P120" s="897">
        <v>0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3285</v>
      </c>
      <c r="B121" s="522" t="s">
        <v>3286</v>
      </c>
      <c r="C121" s="523">
        <v>1</v>
      </c>
      <c r="D121" s="524" t="s">
        <v>3287</v>
      </c>
      <c r="E121" s="524" t="s">
        <v>3288</v>
      </c>
      <c r="F121" s="525" t="s">
        <v>3182</v>
      </c>
      <c r="G121" s="525" t="s">
        <v>3183</v>
      </c>
      <c r="H121" s="350" t="s">
        <v>1750</v>
      </c>
      <c r="I121" s="351" t="s">
        <v>1750</v>
      </c>
      <c r="J121" s="409" t="s">
        <v>3184</v>
      </c>
      <c r="K121" s="410" t="s">
        <v>3185</v>
      </c>
      <c r="L121" s="329">
        <f>CONTINUA!BV121</f>
        <v>0</v>
      </c>
      <c r="M121" s="329">
        <f>CONTINUA!BW121</f>
        <v>0</v>
      </c>
      <c r="N121" s="895"/>
      <c r="O121" s="896" t="s">
        <v>3344</v>
      </c>
      <c r="P121" s="897">
        <v>0</v>
      </c>
      <c r="Q121" s="400">
        <v>35</v>
      </c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35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35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26368.79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26368.79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26368.79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3285</v>
      </c>
      <c r="B122" s="369" t="s">
        <v>3286</v>
      </c>
      <c r="C122" s="370" t="s">
        <v>3186</v>
      </c>
      <c r="D122" s="371" t="s">
        <v>3287</v>
      </c>
      <c r="E122" s="371" t="s">
        <v>3288</v>
      </c>
      <c r="F122" s="372" t="s">
        <v>3182</v>
      </c>
      <c r="G122" s="372" t="s">
        <v>3183</v>
      </c>
      <c r="H122" s="373" t="s">
        <v>1750</v>
      </c>
      <c r="I122" s="374" t="s">
        <v>1750</v>
      </c>
      <c r="J122" s="421" t="s">
        <v>3184</v>
      </c>
      <c r="K122" s="421" t="s">
        <v>3187</v>
      </c>
      <c r="L122" s="329">
        <f>CONTINUA!BV122</f>
        <v>0</v>
      </c>
      <c r="M122" s="329">
        <f>CONTINUA!BW122</f>
        <v>0</v>
      </c>
      <c r="N122" s="895"/>
      <c r="O122" s="896" t="s">
        <v>3344</v>
      </c>
      <c r="P122" s="897">
        <v>0</v>
      </c>
      <c r="Q122" s="400">
        <v>30</v>
      </c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30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30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3285</v>
      </c>
      <c r="B123" s="369" t="s">
        <v>3286</v>
      </c>
      <c r="C123" s="375" t="s">
        <v>3186</v>
      </c>
      <c r="D123" s="371" t="s">
        <v>3287</v>
      </c>
      <c r="E123" s="371" t="s">
        <v>3288</v>
      </c>
      <c r="F123" s="376" t="s">
        <v>3182</v>
      </c>
      <c r="G123" s="376" t="s">
        <v>3183</v>
      </c>
      <c r="H123" s="373" t="s">
        <v>1750</v>
      </c>
      <c r="I123" s="374" t="s">
        <v>1750</v>
      </c>
      <c r="J123" s="421" t="s">
        <v>3184</v>
      </c>
      <c r="K123" s="422" t="s">
        <v>3188</v>
      </c>
      <c r="L123" s="329">
        <f>CONTINUA!BV123</f>
        <v>0</v>
      </c>
      <c r="M123" s="329">
        <f>CONTINUA!BW123</f>
        <v>0</v>
      </c>
      <c r="N123" s="895"/>
      <c r="O123" s="896" t="s">
        <v>3344</v>
      </c>
      <c r="P123" s="897">
        <v>0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3285</v>
      </c>
      <c r="B124" s="369" t="s">
        <v>3286</v>
      </c>
      <c r="C124" s="375" t="s">
        <v>3186</v>
      </c>
      <c r="D124" s="371" t="s">
        <v>3287</v>
      </c>
      <c r="E124" s="371" t="s">
        <v>3288</v>
      </c>
      <c r="F124" s="376" t="s">
        <v>3182</v>
      </c>
      <c r="G124" s="376" t="s">
        <v>3183</v>
      </c>
      <c r="H124" s="373" t="s">
        <v>1750</v>
      </c>
      <c r="I124" s="374" t="s">
        <v>1750</v>
      </c>
      <c r="J124" s="421" t="s">
        <v>3184</v>
      </c>
      <c r="K124" s="423" t="s">
        <v>3189</v>
      </c>
      <c r="L124" s="329">
        <f>CONTINUA!BV124</f>
        <v>0</v>
      </c>
      <c r="M124" s="329">
        <f>CONTINUA!BW124</f>
        <v>0</v>
      </c>
      <c r="N124" s="895"/>
      <c r="O124" s="896" t="s">
        <v>3344</v>
      </c>
      <c r="P124" s="897">
        <v>0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3285</v>
      </c>
      <c r="B125" s="378" t="s">
        <v>3286</v>
      </c>
      <c r="C125" s="379" t="s">
        <v>3186</v>
      </c>
      <c r="D125" s="380" t="s">
        <v>3287</v>
      </c>
      <c r="E125" s="380" t="s">
        <v>3288</v>
      </c>
      <c r="F125" s="381" t="s">
        <v>3182</v>
      </c>
      <c r="G125" s="381" t="s">
        <v>3183</v>
      </c>
      <c r="H125" s="382" t="s">
        <v>1750</v>
      </c>
      <c r="I125" s="383" t="s">
        <v>1750</v>
      </c>
      <c r="J125" s="421" t="s">
        <v>3184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3344</v>
      </c>
      <c r="P125" s="897">
        <v>0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3289</v>
      </c>
      <c r="B126" s="522" t="s">
        <v>3290</v>
      </c>
      <c r="C126" s="523">
        <v>1</v>
      </c>
      <c r="D126" s="524" t="s">
        <v>3291</v>
      </c>
      <c r="E126" s="524" t="s">
        <v>3292</v>
      </c>
      <c r="F126" s="525" t="s">
        <v>3182</v>
      </c>
      <c r="G126" s="525" t="s">
        <v>3183</v>
      </c>
      <c r="H126" s="350" t="s">
        <v>1752</v>
      </c>
      <c r="I126" s="351" t="s">
        <v>1752</v>
      </c>
      <c r="J126" s="409" t="s">
        <v>3184</v>
      </c>
      <c r="K126" s="410" t="s">
        <v>3185</v>
      </c>
      <c r="L126" s="329">
        <f>CONTINUA!BV126</f>
        <v>0</v>
      </c>
      <c r="M126" s="329">
        <f>CONTINUA!BW126</f>
        <v>0</v>
      </c>
      <c r="N126" s="895"/>
      <c r="O126" s="896" t="s">
        <v>3345</v>
      </c>
      <c r="P126" s="897">
        <v>0</v>
      </c>
      <c r="Q126" s="400">
        <v>11</v>
      </c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 t="s">
        <v>3192</v>
      </c>
      <c r="EM126" s="520">
        <v>141.251</v>
      </c>
      <c r="EN126" s="520"/>
      <c r="EO126" s="520"/>
      <c r="EP126" s="171">
        <f t="shared" si="95"/>
        <v>11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11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18278.96</v>
      </c>
      <c r="EY126" s="174">
        <f>(L126*regular)+(M126*Cadeirantee)</f>
        <v>0</v>
      </c>
      <c r="EZ126" s="249">
        <f>SUMIF(FG126:GJ126,"&gt;0")</f>
        <v>0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18420.210999999999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18278.96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141.251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3289</v>
      </c>
      <c r="B127" s="369" t="s">
        <v>3290</v>
      </c>
      <c r="C127" s="370" t="s">
        <v>3186</v>
      </c>
      <c r="D127" s="371" t="s">
        <v>3291</v>
      </c>
      <c r="E127" s="371" t="s">
        <v>3292</v>
      </c>
      <c r="F127" s="372" t="s">
        <v>3182</v>
      </c>
      <c r="G127" s="372" t="s">
        <v>3183</v>
      </c>
      <c r="H127" s="373" t="s">
        <v>1752</v>
      </c>
      <c r="I127" s="374" t="s">
        <v>1752</v>
      </c>
      <c r="J127" s="421" t="s">
        <v>3184</v>
      </c>
      <c r="K127" s="421" t="s">
        <v>3187</v>
      </c>
      <c r="L127" s="329">
        <f>CONTINUA!BV127</f>
        <v>0</v>
      </c>
      <c r="M127" s="329">
        <f>CONTINUA!BW127</f>
        <v>0</v>
      </c>
      <c r="N127" s="895"/>
      <c r="O127" s="896" t="s">
        <v>3345</v>
      </c>
      <c r="P127" s="897">
        <v>0</v>
      </c>
      <c r="Q127" s="400">
        <v>28</v>
      </c>
      <c r="R127" s="401"/>
      <c r="S127" s="400">
        <v>5</v>
      </c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28</v>
      </c>
      <c r="EQ127" s="171">
        <f t="shared" si="96"/>
        <v>0</v>
      </c>
      <c r="ER127" s="171">
        <f t="shared" si="97"/>
        <v>5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33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3289</v>
      </c>
      <c r="B128" s="369" t="s">
        <v>3290</v>
      </c>
      <c r="C128" s="375" t="s">
        <v>3186</v>
      </c>
      <c r="D128" s="371" t="s">
        <v>3291</v>
      </c>
      <c r="E128" s="371" t="s">
        <v>3292</v>
      </c>
      <c r="F128" s="376" t="s">
        <v>3182</v>
      </c>
      <c r="G128" s="376" t="s">
        <v>3183</v>
      </c>
      <c r="H128" s="373" t="s">
        <v>1752</v>
      </c>
      <c r="I128" s="374" t="s">
        <v>1752</v>
      </c>
      <c r="J128" s="421" t="s">
        <v>3184</v>
      </c>
      <c r="K128" s="422" t="s">
        <v>3188</v>
      </c>
      <c r="L128" s="329">
        <f>CONTINUA!BV128</f>
        <v>0</v>
      </c>
      <c r="M128" s="329">
        <f>CONTINUA!BW128</f>
        <v>0</v>
      </c>
      <c r="N128" s="895"/>
      <c r="O128" s="896" t="s">
        <v>3345</v>
      </c>
      <c r="P128" s="897">
        <v>0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3289</v>
      </c>
      <c r="B129" s="369" t="s">
        <v>3290</v>
      </c>
      <c r="C129" s="375" t="s">
        <v>3186</v>
      </c>
      <c r="D129" s="371" t="s">
        <v>3291</v>
      </c>
      <c r="E129" s="371" t="s">
        <v>3292</v>
      </c>
      <c r="F129" s="376" t="s">
        <v>3182</v>
      </c>
      <c r="G129" s="376" t="s">
        <v>3183</v>
      </c>
      <c r="H129" s="373" t="s">
        <v>1752</v>
      </c>
      <c r="I129" s="374" t="s">
        <v>1752</v>
      </c>
      <c r="J129" s="421" t="s">
        <v>3184</v>
      </c>
      <c r="K129" s="423" t="s">
        <v>3189</v>
      </c>
      <c r="L129" s="329">
        <f>CONTINUA!BV129</f>
        <v>0</v>
      </c>
      <c r="M129" s="329">
        <f>CONTINUA!BW129</f>
        <v>0</v>
      </c>
      <c r="N129" s="895"/>
      <c r="O129" s="896" t="s">
        <v>3345</v>
      </c>
      <c r="P129" s="897">
        <v>0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3289</v>
      </c>
      <c r="B130" s="378" t="s">
        <v>3290</v>
      </c>
      <c r="C130" s="379" t="s">
        <v>3186</v>
      </c>
      <c r="D130" s="380" t="s">
        <v>3291</v>
      </c>
      <c r="E130" s="380" t="s">
        <v>3292</v>
      </c>
      <c r="F130" s="381" t="s">
        <v>3182</v>
      </c>
      <c r="G130" s="381" t="s">
        <v>3183</v>
      </c>
      <c r="H130" s="382" t="s">
        <v>1752</v>
      </c>
      <c r="I130" s="383" t="s">
        <v>1752</v>
      </c>
      <c r="J130" s="421" t="s">
        <v>3184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3345</v>
      </c>
      <c r="P130" s="897">
        <v>0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3293</v>
      </c>
      <c r="B131" s="522" t="s">
        <v>3294</v>
      </c>
      <c r="C131" s="523">
        <v>1</v>
      </c>
      <c r="D131" s="524" t="s">
        <v>3295</v>
      </c>
      <c r="E131" s="524" t="s">
        <v>3296</v>
      </c>
      <c r="F131" s="525" t="s">
        <v>3182</v>
      </c>
      <c r="G131" s="525" t="s">
        <v>3183</v>
      </c>
      <c r="H131" s="350" t="s">
        <v>1756</v>
      </c>
      <c r="I131" s="351" t="s">
        <v>1756</v>
      </c>
      <c r="J131" s="409" t="s">
        <v>3184</v>
      </c>
      <c r="K131" s="410" t="s">
        <v>3185</v>
      </c>
      <c r="L131" s="329">
        <f>CONTINUA!BV131</f>
        <v>0</v>
      </c>
      <c r="M131" s="329">
        <f>CONTINUA!BW131</f>
        <v>0</v>
      </c>
      <c r="N131" s="895"/>
      <c r="O131" s="896" t="s">
        <v>3346</v>
      </c>
      <c r="P131" s="897">
        <v>0</v>
      </c>
      <c r="Q131" s="400">
        <v>28</v>
      </c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 t="s">
        <v>3192</v>
      </c>
      <c r="EM131" s="520">
        <v>141.251</v>
      </c>
      <c r="EN131" s="520"/>
      <c r="EO131" s="520"/>
      <c r="EP131" s="171">
        <f t="shared" si="95"/>
        <v>28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28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22131.260000000002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22397.831000000002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22131.260000000002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141.251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3293</v>
      </c>
      <c r="B132" s="369" t="s">
        <v>3294</v>
      </c>
      <c r="C132" s="370" t="s">
        <v>3186</v>
      </c>
      <c r="D132" s="371" t="s">
        <v>3295</v>
      </c>
      <c r="E132" s="371" t="s">
        <v>3296</v>
      </c>
      <c r="F132" s="372" t="s">
        <v>3182</v>
      </c>
      <c r="G132" s="372" t="s">
        <v>3183</v>
      </c>
      <c r="H132" s="373" t="s">
        <v>1756</v>
      </c>
      <c r="I132" s="374" t="s">
        <v>1756</v>
      </c>
      <c r="J132" s="421" t="s">
        <v>3184</v>
      </c>
      <c r="K132" s="421" t="s">
        <v>3187</v>
      </c>
      <c r="L132" s="329">
        <f>CONTINUA!BV132</f>
        <v>13</v>
      </c>
      <c r="M132" s="329">
        <f>CONTINUA!BW132</f>
        <v>0</v>
      </c>
      <c r="N132" s="895"/>
      <c r="O132" s="896" t="s">
        <v>3346</v>
      </c>
      <c r="P132" s="897">
        <v>0</v>
      </c>
      <c r="Q132" s="400">
        <v>26</v>
      </c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26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26</v>
      </c>
      <c r="EW132" s="173"/>
      <c r="EX132" s="248">
        <f t="shared" si="158"/>
        <v>0</v>
      </c>
      <c r="EY132" s="174">
        <f>(L132*regular)+(M132*Cadeirantee)</f>
        <v>125.32000000000001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3293</v>
      </c>
      <c r="B133" s="369" t="s">
        <v>3294</v>
      </c>
      <c r="C133" s="375" t="s">
        <v>3186</v>
      </c>
      <c r="D133" s="371" t="s">
        <v>3295</v>
      </c>
      <c r="E133" s="371" t="s">
        <v>3296</v>
      </c>
      <c r="F133" s="376" t="s">
        <v>3182</v>
      </c>
      <c r="G133" s="376" t="s">
        <v>3183</v>
      </c>
      <c r="H133" s="373" t="s">
        <v>1756</v>
      </c>
      <c r="I133" s="374" t="s">
        <v>1756</v>
      </c>
      <c r="J133" s="421" t="s">
        <v>3184</v>
      </c>
      <c r="K133" s="422" t="s">
        <v>3188</v>
      </c>
      <c r="L133" s="329">
        <f>CONTINUA!BV133</f>
        <v>0</v>
      </c>
      <c r="M133" s="329">
        <f>CONTINUA!BW133</f>
        <v>0</v>
      </c>
      <c r="N133" s="895"/>
      <c r="O133" s="896" t="s">
        <v>3346</v>
      </c>
      <c r="P133" s="897">
        <v>0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3293</v>
      </c>
      <c r="B134" s="369" t="s">
        <v>3294</v>
      </c>
      <c r="C134" s="375" t="s">
        <v>3186</v>
      </c>
      <c r="D134" s="371" t="s">
        <v>3295</v>
      </c>
      <c r="E134" s="371" t="s">
        <v>3296</v>
      </c>
      <c r="F134" s="376" t="s">
        <v>3182</v>
      </c>
      <c r="G134" s="376" t="s">
        <v>3183</v>
      </c>
      <c r="H134" s="373" t="s">
        <v>1756</v>
      </c>
      <c r="I134" s="374" t="s">
        <v>1756</v>
      </c>
      <c r="J134" s="421" t="s">
        <v>3184</v>
      </c>
      <c r="K134" s="423" t="s">
        <v>3189</v>
      </c>
      <c r="L134" s="329">
        <f>CONTINUA!BV134</f>
        <v>0</v>
      </c>
      <c r="M134" s="329">
        <f>CONTINUA!BW134</f>
        <v>0</v>
      </c>
      <c r="N134" s="895"/>
      <c r="O134" s="896" t="s">
        <v>3346</v>
      </c>
      <c r="P134" s="897">
        <v>0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3293</v>
      </c>
      <c r="B135" s="378" t="s">
        <v>3294</v>
      </c>
      <c r="C135" s="379" t="s">
        <v>3186</v>
      </c>
      <c r="D135" s="380" t="s">
        <v>3295</v>
      </c>
      <c r="E135" s="380" t="s">
        <v>3296</v>
      </c>
      <c r="F135" s="381" t="s">
        <v>3182</v>
      </c>
      <c r="G135" s="381" t="s">
        <v>3183</v>
      </c>
      <c r="H135" s="382" t="s">
        <v>1756</v>
      </c>
      <c r="I135" s="383" t="s">
        <v>1756</v>
      </c>
      <c r="J135" s="421" t="s">
        <v>3184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3346</v>
      </c>
      <c r="P135" s="897">
        <v>0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3297</v>
      </c>
      <c r="B136" s="522" t="s">
        <v>3298</v>
      </c>
      <c r="C136" s="523">
        <v>4</v>
      </c>
      <c r="D136" s="524" t="s">
        <v>3299</v>
      </c>
      <c r="E136" s="524" t="s">
        <v>3300</v>
      </c>
      <c r="F136" s="525" t="s">
        <v>3182</v>
      </c>
      <c r="G136" s="525" t="s">
        <v>3183</v>
      </c>
      <c r="H136" s="350" t="s">
        <v>1759</v>
      </c>
      <c r="I136" s="351" t="s">
        <v>1759</v>
      </c>
      <c r="J136" s="409" t="s">
        <v>3184</v>
      </c>
      <c r="K136" s="410" t="s">
        <v>3185</v>
      </c>
      <c r="L136" s="329">
        <f>CONTINUA!BV136</f>
        <v>0</v>
      </c>
      <c r="M136" s="329">
        <f>CONTINUA!BW136</f>
        <v>0</v>
      </c>
      <c r="N136" s="895"/>
      <c r="O136" s="896" t="s">
        <v>3347</v>
      </c>
      <c r="P136" s="897">
        <v>0</v>
      </c>
      <c r="Q136" s="400"/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 t="s">
        <v>3192</v>
      </c>
      <c r="EM136" s="520">
        <v>141.251</v>
      </c>
      <c r="EN136" s="520"/>
      <c r="EO136" s="520"/>
      <c r="EP136" s="171">
        <f t="shared" si="95"/>
        <v>0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0</v>
      </c>
      <c r="EW136" s="367">
        <f>IF(C136=4,IF(MAX(Q136:EJ138)&gt;0,(Especiall/30*(IF(($G136-$F136)=($G$5-$F$5),30,IF(DAY($G136)=31,($G136-$F136),($G136-$F136)+1)))),0),0)</f>
        <v>11465.63</v>
      </c>
      <c r="EX136" s="248">
        <f t="shared" ref="EX136:EX139" si="163">FF136</f>
        <v>3852.2999999999997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15748.380999999999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3852.2999999999997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141.251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3297</v>
      </c>
      <c r="B137" s="369" t="s">
        <v>3298</v>
      </c>
      <c r="C137" s="370" t="s">
        <v>3190</v>
      </c>
      <c r="D137" s="371" t="s">
        <v>3299</v>
      </c>
      <c r="E137" s="371" t="s">
        <v>3300</v>
      </c>
      <c r="F137" s="372" t="s">
        <v>3182</v>
      </c>
      <c r="G137" s="372" t="s">
        <v>3183</v>
      </c>
      <c r="H137" s="373" t="s">
        <v>1759</v>
      </c>
      <c r="I137" s="374" t="s">
        <v>1759</v>
      </c>
      <c r="J137" s="421" t="s">
        <v>3184</v>
      </c>
      <c r="K137" s="421" t="s">
        <v>3187</v>
      </c>
      <c r="L137" s="329">
        <f>CONTINUA!BV137</f>
        <v>30</v>
      </c>
      <c r="M137" s="329">
        <f>CONTINUA!BW137</f>
        <v>0</v>
      </c>
      <c r="N137" s="895"/>
      <c r="O137" s="896" t="s">
        <v>3347</v>
      </c>
      <c r="P137" s="897">
        <v>0</v>
      </c>
      <c r="Q137" s="400">
        <v>8</v>
      </c>
      <c r="R137" s="401"/>
      <c r="S137" s="400">
        <v>2</v>
      </c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8</v>
      </c>
      <c r="EQ137" s="171">
        <f t="shared" si="96"/>
        <v>0</v>
      </c>
      <c r="ER137" s="171">
        <f t="shared" si="97"/>
        <v>2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10</v>
      </c>
      <c r="EW137" s="173"/>
      <c r="EX137" s="248">
        <f t="shared" si="163"/>
        <v>0</v>
      </c>
      <c r="EY137" s="174">
        <f>(L137*regular)+(M137*Cadeirantee)</f>
        <v>289.20000000000005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3297</v>
      </c>
      <c r="B138" s="369" t="s">
        <v>3298</v>
      </c>
      <c r="C138" s="375" t="s">
        <v>3190</v>
      </c>
      <c r="D138" s="371" t="s">
        <v>3299</v>
      </c>
      <c r="E138" s="371" t="s">
        <v>3300</v>
      </c>
      <c r="F138" s="376" t="s">
        <v>3182</v>
      </c>
      <c r="G138" s="376" t="s">
        <v>3183</v>
      </c>
      <c r="H138" s="373" t="s">
        <v>1759</v>
      </c>
      <c r="I138" s="374" t="s">
        <v>1759</v>
      </c>
      <c r="J138" s="421" t="s">
        <v>3184</v>
      </c>
      <c r="K138" s="422" t="s">
        <v>3188</v>
      </c>
      <c r="L138" s="329">
        <f>CONTINUA!BV138</f>
        <v>0</v>
      </c>
      <c r="M138" s="329">
        <f>CONTINUA!BW138</f>
        <v>0</v>
      </c>
      <c r="N138" s="895"/>
      <c r="O138" s="896" t="s">
        <v>3347</v>
      </c>
      <c r="P138" s="897">
        <v>0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3297</v>
      </c>
      <c r="B139" s="369" t="s">
        <v>3298</v>
      </c>
      <c r="C139" s="375" t="s">
        <v>3190</v>
      </c>
      <c r="D139" s="371" t="s">
        <v>3299</v>
      </c>
      <c r="E139" s="371" t="s">
        <v>3300</v>
      </c>
      <c r="F139" s="376" t="s">
        <v>3182</v>
      </c>
      <c r="G139" s="376" t="s">
        <v>3183</v>
      </c>
      <c r="H139" s="373" t="s">
        <v>1759</v>
      </c>
      <c r="I139" s="374" t="s">
        <v>1759</v>
      </c>
      <c r="J139" s="421" t="s">
        <v>3184</v>
      </c>
      <c r="K139" s="423" t="s">
        <v>3189</v>
      </c>
      <c r="L139" s="329">
        <f>CONTINUA!BV139</f>
        <v>0</v>
      </c>
      <c r="M139" s="329">
        <f>CONTINUA!BW139</f>
        <v>0</v>
      </c>
      <c r="N139" s="895"/>
      <c r="O139" s="896" t="s">
        <v>3347</v>
      </c>
      <c r="P139" s="897">
        <v>0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165" si="168">Q139</f>
        <v>0</v>
      </c>
      <c r="EQ139" s="171">
        <f t="shared" ref="EQ139:EQ165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165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165" si="171">R139</f>
        <v>0</v>
      </c>
      <c r="ET139" s="171">
        <f t="shared" ref="ET139:ET165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165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165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165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3297</v>
      </c>
      <c r="B140" s="378" t="s">
        <v>3298</v>
      </c>
      <c r="C140" s="379" t="s">
        <v>3190</v>
      </c>
      <c r="D140" s="380" t="s">
        <v>3299</v>
      </c>
      <c r="E140" s="380" t="s">
        <v>3300</v>
      </c>
      <c r="F140" s="381" t="s">
        <v>3182</v>
      </c>
      <c r="G140" s="381" t="s">
        <v>3183</v>
      </c>
      <c r="H140" s="382" t="s">
        <v>1759</v>
      </c>
      <c r="I140" s="383" t="s">
        <v>1759</v>
      </c>
      <c r="J140" s="421" t="s">
        <v>3184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3347</v>
      </c>
      <c r="P140" s="897">
        <v>0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3301</v>
      </c>
      <c r="B141" s="522" t="s">
        <v>3302</v>
      </c>
      <c r="C141" s="523">
        <v>1</v>
      </c>
      <c r="D141" s="524" t="s">
        <v>3303</v>
      </c>
      <c r="E141" s="524" t="s">
        <v>3304</v>
      </c>
      <c r="F141" s="525" t="s">
        <v>3182</v>
      </c>
      <c r="G141" s="525" t="s">
        <v>3183</v>
      </c>
      <c r="H141" s="350" t="s">
        <v>1760</v>
      </c>
      <c r="I141" s="351" t="s">
        <v>1760</v>
      </c>
      <c r="J141" s="409" t="s">
        <v>3184</v>
      </c>
      <c r="K141" s="410" t="s">
        <v>3185</v>
      </c>
      <c r="L141" s="329">
        <f>CONTINUA!BV141</f>
        <v>0</v>
      </c>
      <c r="M141" s="329">
        <f>CONTINUA!BW141</f>
        <v>0</v>
      </c>
      <c r="N141" s="895"/>
      <c r="O141" s="896" t="s">
        <v>3348</v>
      </c>
      <c r="P141" s="897">
        <v>0</v>
      </c>
      <c r="Q141" s="400"/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 t="s">
        <v>3192</v>
      </c>
      <c r="EM141" s="520">
        <v>423.75299999999999</v>
      </c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19434.650000000001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20166.883000000002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19434.650000000001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423.75299999999999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3301</v>
      </c>
      <c r="B142" s="369" t="s">
        <v>3302</v>
      </c>
      <c r="C142" s="370" t="s">
        <v>3186</v>
      </c>
      <c r="D142" s="371" t="s">
        <v>3303</v>
      </c>
      <c r="E142" s="371" t="s">
        <v>3304</v>
      </c>
      <c r="F142" s="372" t="s">
        <v>3182</v>
      </c>
      <c r="G142" s="372" t="s">
        <v>3183</v>
      </c>
      <c r="H142" s="373" t="s">
        <v>1760</v>
      </c>
      <c r="I142" s="374" t="s">
        <v>1760</v>
      </c>
      <c r="J142" s="421" t="s">
        <v>3184</v>
      </c>
      <c r="K142" s="421" t="s">
        <v>3187</v>
      </c>
      <c r="L142" s="329">
        <f>CONTINUA!BV142</f>
        <v>32</v>
      </c>
      <c r="M142" s="329">
        <f>CONTINUA!BW142</f>
        <v>0</v>
      </c>
      <c r="N142" s="895"/>
      <c r="O142" s="896" t="s">
        <v>3348</v>
      </c>
      <c r="P142" s="897">
        <v>0</v>
      </c>
      <c r="Q142" s="400">
        <v>44</v>
      </c>
      <c r="R142" s="401"/>
      <c r="S142" s="400">
        <v>3</v>
      </c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44</v>
      </c>
      <c r="EQ142" s="171">
        <f t="shared" si="169"/>
        <v>0</v>
      </c>
      <c r="ER142" s="171">
        <f t="shared" si="170"/>
        <v>3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47</v>
      </c>
      <c r="EW142" s="173"/>
      <c r="EX142" s="248">
        <f t="shared" si="176"/>
        <v>0</v>
      </c>
      <c r="EY142" s="174">
        <f>(L142*regular)+(M142*Cadeirantee)</f>
        <v>308.48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3301</v>
      </c>
      <c r="B143" s="369" t="s">
        <v>3302</v>
      </c>
      <c r="C143" s="375" t="s">
        <v>3186</v>
      </c>
      <c r="D143" s="371" t="s">
        <v>3303</v>
      </c>
      <c r="E143" s="371" t="s">
        <v>3304</v>
      </c>
      <c r="F143" s="376" t="s">
        <v>3182</v>
      </c>
      <c r="G143" s="376" t="s">
        <v>3183</v>
      </c>
      <c r="H143" s="373" t="s">
        <v>1760</v>
      </c>
      <c r="I143" s="374" t="s">
        <v>1760</v>
      </c>
      <c r="J143" s="421" t="s">
        <v>3184</v>
      </c>
      <c r="K143" s="422" t="s">
        <v>3188</v>
      </c>
      <c r="L143" s="329">
        <f>CONTINUA!BV143</f>
        <v>0</v>
      </c>
      <c r="M143" s="329">
        <f>CONTINUA!BW143</f>
        <v>0</v>
      </c>
      <c r="N143" s="895"/>
      <c r="O143" s="896" t="s">
        <v>3348</v>
      </c>
      <c r="P143" s="897">
        <v>0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3301</v>
      </c>
      <c r="B144" s="369" t="s">
        <v>3302</v>
      </c>
      <c r="C144" s="375" t="s">
        <v>3186</v>
      </c>
      <c r="D144" s="371" t="s">
        <v>3303</v>
      </c>
      <c r="E144" s="371" t="s">
        <v>3304</v>
      </c>
      <c r="F144" s="376" t="s">
        <v>3182</v>
      </c>
      <c r="G144" s="376" t="s">
        <v>3183</v>
      </c>
      <c r="H144" s="373" t="s">
        <v>1760</v>
      </c>
      <c r="I144" s="374" t="s">
        <v>1760</v>
      </c>
      <c r="J144" s="421" t="s">
        <v>3184</v>
      </c>
      <c r="K144" s="423" t="s">
        <v>3189</v>
      </c>
      <c r="L144" s="329">
        <f>CONTINUA!BV144</f>
        <v>0</v>
      </c>
      <c r="M144" s="329">
        <f>CONTINUA!BW144</f>
        <v>0</v>
      </c>
      <c r="N144" s="895"/>
      <c r="O144" s="896" t="s">
        <v>3348</v>
      </c>
      <c r="P144" s="897">
        <v>0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3301</v>
      </c>
      <c r="B145" s="378" t="s">
        <v>3302</v>
      </c>
      <c r="C145" s="379" t="s">
        <v>3186</v>
      </c>
      <c r="D145" s="380" t="s">
        <v>3303</v>
      </c>
      <c r="E145" s="380" t="s">
        <v>3304</v>
      </c>
      <c r="F145" s="381" t="s">
        <v>3182</v>
      </c>
      <c r="G145" s="381" t="s">
        <v>3183</v>
      </c>
      <c r="H145" s="382" t="s">
        <v>1760</v>
      </c>
      <c r="I145" s="383" t="s">
        <v>1760</v>
      </c>
      <c r="J145" s="421" t="s">
        <v>3184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3348</v>
      </c>
      <c r="P145" s="897">
        <v>0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3305</v>
      </c>
      <c r="B146" s="522" t="s">
        <v>3306</v>
      </c>
      <c r="C146" s="523">
        <v>1</v>
      </c>
      <c r="D146" s="524" t="s">
        <v>3307</v>
      </c>
      <c r="E146" s="524" t="s">
        <v>3308</v>
      </c>
      <c r="F146" s="525" t="s">
        <v>3182</v>
      </c>
      <c r="G146" s="525" t="s">
        <v>3183</v>
      </c>
      <c r="H146" s="350" t="s">
        <v>1761</v>
      </c>
      <c r="I146" s="351" t="s">
        <v>1761</v>
      </c>
      <c r="J146" s="409" t="s">
        <v>3184</v>
      </c>
      <c r="K146" s="410" t="s">
        <v>3185</v>
      </c>
      <c r="L146" s="329">
        <f>CONTINUA!BV146</f>
        <v>0</v>
      </c>
      <c r="M146" s="329">
        <f>CONTINUA!BW146</f>
        <v>0</v>
      </c>
      <c r="N146" s="895"/>
      <c r="O146" s="896" t="s">
        <v>3349</v>
      </c>
      <c r="P146" s="897">
        <v>0</v>
      </c>
      <c r="Q146" s="400">
        <v>56</v>
      </c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56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56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22901.72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22901.72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22901.72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3305</v>
      </c>
      <c r="B147" s="369" t="s">
        <v>3306</v>
      </c>
      <c r="C147" s="370" t="s">
        <v>3186</v>
      </c>
      <c r="D147" s="371" t="s">
        <v>3307</v>
      </c>
      <c r="E147" s="371" t="s">
        <v>3308</v>
      </c>
      <c r="F147" s="372" t="s">
        <v>3182</v>
      </c>
      <c r="G147" s="372" t="s">
        <v>3183</v>
      </c>
      <c r="H147" s="373" t="s">
        <v>1761</v>
      </c>
      <c r="I147" s="374" t="s">
        <v>1761</v>
      </c>
      <c r="J147" s="421" t="s">
        <v>3184</v>
      </c>
      <c r="K147" s="421" t="s">
        <v>3187</v>
      </c>
      <c r="L147" s="329">
        <f>CONTINUA!BV147</f>
        <v>0</v>
      </c>
      <c r="M147" s="329">
        <f>CONTINUA!BW147</f>
        <v>0</v>
      </c>
      <c r="N147" s="895"/>
      <c r="O147" s="896" t="s">
        <v>3349</v>
      </c>
      <c r="P147" s="897">
        <v>0</v>
      </c>
      <c r="Q147" s="400"/>
      <c r="R147" s="401"/>
      <c r="S147" s="400"/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0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0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3305</v>
      </c>
      <c r="B148" s="369" t="s">
        <v>3306</v>
      </c>
      <c r="C148" s="375" t="s">
        <v>3186</v>
      </c>
      <c r="D148" s="371" t="s">
        <v>3307</v>
      </c>
      <c r="E148" s="371" t="s">
        <v>3308</v>
      </c>
      <c r="F148" s="376" t="s">
        <v>3182</v>
      </c>
      <c r="G148" s="376" t="s">
        <v>3183</v>
      </c>
      <c r="H148" s="373" t="s">
        <v>1761</v>
      </c>
      <c r="I148" s="374" t="s">
        <v>1761</v>
      </c>
      <c r="J148" s="421" t="s">
        <v>3184</v>
      </c>
      <c r="K148" s="422" t="s">
        <v>3188</v>
      </c>
      <c r="L148" s="329">
        <f>CONTINUA!BV148</f>
        <v>0</v>
      </c>
      <c r="M148" s="329">
        <f>CONTINUA!BW148</f>
        <v>0</v>
      </c>
      <c r="N148" s="895"/>
      <c r="O148" s="896" t="s">
        <v>3349</v>
      </c>
      <c r="P148" s="897">
        <v>0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3305</v>
      </c>
      <c r="B149" s="369" t="s">
        <v>3306</v>
      </c>
      <c r="C149" s="375" t="s">
        <v>3186</v>
      </c>
      <c r="D149" s="371" t="s">
        <v>3307</v>
      </c>
      <c r="E149" s="371" t="s">
        <v>3308</v>
      </c>
      <c r="F149" s="376" t="s">
        <v>3182</v>
      </c>
      <c r="G149" s="376" t="s">
        <v>3183</v>
      </c>
      <c r="H149" s="373" t="s">
        <v>1761</v>
      </c>
      <c r="I149" s="374" t="s">
        <v>1761</v>
      </c>
      <c r="J149" s="421" t="s">
        <v>3184</v>
      </c>
      <c r="K149" s="423" t="s">
        <v>3189</v>
      </c>
      <c r="L149" s="329">
        <f>CONTINUA!BV149</f>
        <v>0</v>
      </c>
      <c r="M149" s="329">
        <f>CONTINUA!BW149</f>
        <v>0</v>
      </c>
      <c r="N149" s="895"/>
      <c r="O149" s="896" t="s">
        <v>3349</v>
      </c>
      <c r="P149" s="897">
        <v>0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3305</v>
      </c>
      <c r="B150" s="378" t="s">
        <v>3306</v>
      </c>
      <c r="C150" s="379" t="s">
        <v>3186</v>
      </c>
      <c r="D150" s="380" t="s">
        <v>3307</v>
      </c>
      <c r="E150" s="380" t="s">
        <v>3308</v>
      </c>
      <c r="F150" s="381" t="s">
        <v>3182</v>
      </c>
      <c r="G150" s="381" t="s">
        <v>3183</v>
      </c>
      <c r="H150" s="382" t="s">
        <v>1761</v>
      </c>
      <c r="I150" s="383" t="s">
        <v>1761</v>
      </c>
      <c r="J150" s="421" t="s">
        <v>3184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3349</v>
      </c>
      <c r="P150" s="897">
        <v>0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3309</v>
      </c>
      <c r="B151" s="522" t="s">
        <v>3310</v>
      </c>
      <c r="C151" s="523">
        <v>1</v>
      </c>
      <c r="D151" s="524" t="s">
        <v>3311</v>
      </c>
      <c r="E151" s="524" t="s">
        <v>3312</v>
      </c>
      <c r="F151" s="525" t="s">
        <v>3182</v>
      </c>
      <c r="G151" s="525" t="s">
        <v>3183</v>
      </c>
      <c r="H151" s="350" t="s">
        <v>1764</v>
      </c>
      <c r="I151" s="351" t="s">
        <v>1764</v>
      </c>
      <c r="J151" s="409" t="s">
        <v>3184</v>
      </c>
      <c r="K151" s="410" t="s">
        <v>3185</v>
      </c>
      <c r="L151" s="329">
        <f>CONTINUA!BV151</f>
        <v>0</v>
      </c>
      <c r="M151" s="329">
        <f>CONTINUA!BW151</f>
        <v>0</v>
      </c>
      <c r="N151" s="895"/>
      <c r="O151" s="896" t="s">
        <v>3350</v>
      </c>
      <c r="P151" s="897">
        <v>0</v>
      </c>
      <c r="Q151" s="400">
        <v>57</v>
      </c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57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57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23286.95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23286.95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23286.95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3309</v>
      </c>
      <c r="B152" s="369" t="s">
        <v>3310</v>
      </c>
      <c r="C152" s="370" t="s">
        <v>3186</v>
      </c>
      <c r="D152" s="371" t="s">
        <v>3311</v>
      </c>
      <c r="E152" s="371" t="s">
        <v>3312</v>
      </c>
      <c r="F152" s="372" t="s">
        <v>3182</v>
      </c>
      <c r="G152" s="372" t="s">
        <v>3183</v>
      </c>
      <c r="H152" s="373" t="s">
        <v>1764</v>
      </c>
      <c r="I152" s="374" t="s">
        <v>1764</v>
      </c>
      <c r="J152" s="421" t="s">
        <v>3184</v>
      </c>
      <c r="K152" s="421" t="s">
        <v>3187</v>
      </c>
      <c r="L152" s="329">
        <f>CONTINUA!BV152</f>
        <v>0</v>
      </c>
      <c r="M152" s="329">
        <f>CONTINUA!BW152</f>
        <v>0</v>
      </c>
      <c r="N152" s="895"/>
      <c r="O152" s="896" t="s">
        <v>3350</v>
      </c>
      <c r="P152" s="897">
        <v>0</v>
      </c>
      <c r="Q152" s="400"/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0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3309</v>
      </c>
      <c r="B153" s="369" t="s">
        <v>3310</v>
      </c>
      <c r="C153" s="375" t="s">
        <v>3186</v>
      </c>
      <c r="D153" s="371" t="s">
        <v>3311</v>
      </c>
      <c r="E153" s="371" t="s">
        <v>3312</v>
      </c>
      <c r="F153" s="376" t="s">
        <v>3182</v>
      </c>
      <c r="G153" s="376" t="s">
        <v>3183</v>
      </c>
      <c r="H153" s="373" t="s">
        <v>1764</v>
      </c>
      <c r="I153" s="374" t="s">
        <v>1764</v>
      </c>
      <c r="J153" s="421" t="s">
        <v>3184</v>
      </c>
      <c r="K153" s="422" t="s">
        <v>3188</v>
      </c>
      <c r="L153" s="329">
        <f>CONTINUA!BV153</f>
        <v>0</v>
      </c>
      <c r="M153" s="329">
        <f>CONTINUA!BW153</f>
        <v>0</v>
      </c>
      <c r="N153" s="895"/>
      <c r="O153" s="896" t="s">
        <v>3350</v>
      </c>
      <c r="P153" s="897">
        <v>0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3309</v>
      </c>
      <c r="B154" s="369" t="s">
        <v>3310</v>
      </c>
      <c r="C154" s="375" t="s">
        <v>3186</v>
      </c>
      <c r="D154" s="371" t="s">
        <v>3311</v>
      </c>
      <c r="E154" s="371" t="s">
        <v>3312</v>
      </c>
      <c r="F154" s="376" t="s">
        <v>3182</v>
      </c>
      <c r="G154" s="376" t="s">
        <v>3183</v>
      </c>
      <c r="H154" s="373" t="s">
        <v>1764</v>
      </c>
      <c r="I154" s="374" t="s">
        <v>1764</v>
      </c>
      <c r="J154" s="421" t="s">
        <v>3184</v>
      </c>
      <c r="K154" s="423" t="s">
        <v>3189</v>
      </c>
      <c r="L154" s="329">
        <f>CONTINUA!BV154</f>
        <v>0</v>
      </c>
      <c r="M154" s="329">
        <f>CONTINUA!BW154</f>
        <v>0</v>
      </c>
      <c r="N154" s="895"/>
      <c r="O154" s="896" t="s">
        <v>3350</v>
      </c>
      <c r="P154" s="897">
        <v>0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3309</v>
      </c>
      <c r="B155" s="378" t="s">
        <v>3310</v>
      </c>
      <c r="C155" s="379" t="s">
        <v>3186</v>
      </c>
      <c r="D155" s="380" t="s">
        <v>3311</v>
      </c>
      <c r="E155" s="380" t="s">
        <v>3312</v>
      </c>
      <c r="F155" s="381" t="s">
        <v>3182</v>
      </c>
      <c r="G155" s="381" t="s">
        <v>3183</v>
      </c>
      <c r="H155" s="382" t="s">
        <v>1764</v>
      </c>
      <c r="I155" s="383" t="s">
        <v>1764</v>
      </c>
      <c r="J155" s="421" t="s">
        <v>3184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3350</v>
      </c>
      <c r="P155" s="897">
        <v>0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3313</v>
      </c>
      <c r="B156" s="522" t="s">
        <v>3314</v>
      </c>
      <c r="C156" s="523">
        <v>1</v>
      </c>
      <c r="D156" s="524" t="s">
        <v>3315</v>
      </c>
      <c r="E156" s="524" t="s">
        <v>3316</v>
      </c>
      <c r="F156" s="525" t="s">
        <v>3182</v>
      </c>
      <c r="G156" s="525" t="s">
        <v>3183</v>
      </c>
      <c r="H156" s="350" t="s">
        <v>1768</v>
      </c>
      <c r="I156" s="351" t="s">
        <v>1768</v>
      </c>
      <c r="J156" s="409" t="s">
        <v>3184</v>
      </c>
      <c r="K156" s="410" t="s">
        <v>3185</v>
      </c>
      <c r="L156" s="329">
        <f>CONTINUA!BV156</f>
        <v>0</v>
      </c>
      <c r="M156" s="329">
        <f>CONTINUA!BW156</f>
        <v>0</v>
      </c>
      <c r="N156" s="895"/>
      <c r="O156" s="896" t="s">
        <v>3351</v>
      </c>
      <c r="P156" s="897">
        <v>0</v>
      </c>
      <c r="Q156" s="400">
        <v>14</v>
      </c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 t="s">
        <v>3192</v>
      </c>
      <c r="EM156" s="520">
        <v>423.75299999999999</v>
      </c>
      <c r="EN156" s="520"/>
      <c r="EO156" s="520"/>
      <c r="EP156" s="171">
        <f t="shared" si="168"/>
        <v>14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14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14426.66</v>
      </c>
      <c r="EY156" s="174">
        <f>(L156*regular)+(M156*Cadeirantee)</f>
        <v>0</v>
      </c>
      <c r="EZ156" s="249">
        <f>SUMIF(FG156:GJ156,"&gt;0")</f>
        <v>0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15149.253000000001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14426.66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423.75299999999999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3313</v>
      </c>
      <c r="B157" s="369" t="s">
        <v>3314</v>
      </c>
      <c r="C157" s="370" t="s">
        <v>3186</v>
      </c>
      <c r="D157" s="371" t="s">
        <v>3315</v>
      </c>
      <c r="E157" s="371" t="s">
        <v>3316</v>
      </c>
      <c r="F157" s="372" t="s">
        <v>3182</v>
      </c>
      <c r="G157" s="372" t="s">
        <v>3183</v>
      </c>
      <c r="H157" s="373" t="s">
        <v>1768</v>
      </c>
      <c r="I157" s="374" t="s">
        <v>1768</v>
      </c>
      <c r="J157" s="421" t="s">
        <v>3184</v>
      </c>
      <c r="K157" s="421" t="s">
        <v>3187</v>
      </c>
      <c r="L157" s="329">
        <f>CONTINUA!BV157</f>
        <v>31</v>
      </c>
      <c r="M157" s="329">
        <f>CONTINUA!BW157</f>
        <v>0</v>
      </c>
      <c r="N157" s="895"/>
      <c r="O157" s="896" t="s">
        <v>3351</v>
      </c>
      <c r="P157" s="897">
        <v>0</v>
      </c>
      <c r="Q157" s="400">
        <v>18</v>
      </c>
      <c r="R157" s="401"/>
      <c r="S157" s="400">
        <v>2</v>
      </c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18</v>
      </c>
      <c r="EQ157" s="171">
        <f t="shared" si="169"/>
        <v>0</v>
      </c>
      <c r="ER157" s="171">
        <f t="shared" si="170"/>
        <v>2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20</v>
      </c>
      <c r="EW157" s="173"/>
      <c r="EX157" s="248">
        <f t="shared" si="191"/>
        <v>0</v>
      </c>
      <c r="EY157" s="174">
        <f>(L157*regular)+(M157*Cadeirantee)</f>
        <v>298.84000000000003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3313</v>
      </c>
      <c r="B158" s="369" t="s">
        <v>3314</v>
      </c>
      <c r="C158" s="375" t="s">
        <v>3186</v>
      </c>
      <c r="D158" s="371" t="s">
        <v>3315</v>
      </c>
      <c r="E158" s="371" t="s">
        <v>3316</v>
      </c>
      <c r="F158" s="376" t="s">
        <v>3182</v>
      </c>
      <c r="G158" s="376" t="s">
        <v>3183</v>
      </c>
      <c r="H158" s="373" t="s">
        <v>1768</v>
      </c>
      <c r="I158" s="374" t="s">
        <v>1768</v>
      </c>
      <c r="J158" s="421" t="s">
        <v>3184</v>
      </c>
      <c r="K158" s="422" t="s">
        <v>3188</v>
      </c>
      <c r="L158" s="329">
        <f>CONTINUA!BV158</f>
        <v>0</v>
      </c>
      <c r="M158" s="329">
        <f>CONTINUA!BW158</f>
        <v>0</v>
      </c>
      <c r="N158" s="895"/>
      <c r="O158" s="896" t="s">
        <v>3351</v>
      </c>
      <c r="P158" s="897">
        <v>0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3313</v>
      </c>
      <c r="B159" s="369" t="s">
        <v>3314</v>
      </c>
      <c r="C159" s="375" t="s">
        <v>3186</v>
      </c>
      <c r="D159" s="371" t="s">
        <v>3315</v>
      </c>
      <c r="E159" s="371" t="s">
        <v>3316</v>
      </c>
      <c r="F159" s="376" t="s">
        <v>3182</v>
      </c>
      <c r="G159" s="376" t="s">
        <v>3183</v>
      </c>
      <c r="H159" s="373" t="s">
        <v>1768</v>
      </c>
      <c r="I159" s="374" t="s">
        <v>1768</v>
      </c>
      <c r="J159" s="421" t="s">
        <v>3184</v>
      </c>
      <c r="K159" s="423" t="s">
        <v>3189</v>
      </c>
      <c r="L159" s="329">
        <f>CONTINUA!BV159</f>
        <v>0</v>
      </c>
      <c r="M159" s="329">
        <f>CONTINUA!BW159</f>
        <v>0</v>
      </c>
      <c r="N159" s="895"/>
      <c r="O159" s="896" t="s">
        <v>3351</v>
      </c>
      <c r="P159" s="897">
        <v>0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3313</v>
      </c>
      <c r="B160" s="378" t="s">
        <v>3314</v>
      </c>
      <c r="C160" s="379" t="s">
        <v>3186</v>
      </c>
      <c r="D160" s="380" t="s">
        <v>3315</v>
      </c>
      <c r="E160" s="380" t="s">
        <v>3316</v>
      </c>
      <c r="F160" s="381" t="s">
        <v>3182</v>
      </c>
      <c r="G160" s="381" t="s">
        <v>3183</v>
      </c>
      <c r="H160" s="382" t="s">
        <v>1768</v>
      </c>
      <c r="I160" s="383" t="s">
        <v>1768</v>
      </c>
      <c r="J160" s="421" t="s">
        <v>3184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3351</v>
      </c>
      <c r="P160" s="897">
        <v>0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3317</v>
      </c>
      <c r="B161" s="522" t="s">
        <v>3318</v>
      </c>
      <c r="C161" s="523">
        <v>1</v>
      </c>
      <c r="D161" s="524" t="s">
        <v>3319</v>
      </c>
      <c r="E161" s="524" t="s">
        <v>3320</v>
      </c>
      <c r="F161" s="525" t="s">
        <v>3182</v>
      </c>
      <c r="G161" s="525" t="s">
        <v>3183</v>
      </c>
      <c r="H161" s="350" t="s">
        <v>1769</v>
      </c>
      <c r="I161" s="351" t="s">
        <v>1769</v>
      </c>
      <c r="J161" s="409" t="s">
        <v>3184</v>
      </c>
      <c r="K161" s="410" t="s">
        <v>3185</v>
      </c>
      <c r="L161" s="329">
        <f>CONTINUA!BV161</f>
        <v>0</v>
      </c>
      <c r="M161" s="329">
        <f>CONTINUA!BW161</f>
        <v>0</v>
      </c>
      <c r="N161" s="895"/>
      <c r="O161" s="896" t="s">
        <v>3352</v>
      </c>
      <c r="P161" s="897">
        <v>0</v>
      </c>
      <c r="Q161" s="400">
        <v>12</v>
      </c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 t="s">
        <v>3192</v>
      </c>
      <c r="EM161" s="520">
        <v>141.251</v>
      </c>
      <c r="EN161" s="520"/>
      <c r="EO161" s="520"/>
      <c r="EP161" s="171">
        <f t="shared" si="168"/>
        <v>12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12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14041.43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14481.521000000001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14041.43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141.251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3317</v>
      </c>
      <c r="B162" s="369" t="s">
        <v>3318</v>
      </c>
      <c r="C162" s="370" t="s">
        <v>3186</v>
      </c>
      <c r="D162" s="371" t="s">
        <v>3319</v>
      </c>
      <c r="E162" s="371" t="s">
        <v>3320</v>
      </c>
      <c r="F162" s="372" t="s">
        <v>3182</v>
      </c>
      <c r="G162" s="372" t="s">
        <v>3183</v>
      </c>
      <c r="H162" s="373" t="s">
        <v>1769</v>
      </c>
      <c r="I162" s="374" t="s">
        <v>1769</v>
      </c>
      <c r="J162" s="421" t="s">
        <v>3184</v>
      </c>
      <c r="K162" s="421" t="s">
        <v>3187</v>
      </c>
      <c r="L162" s="329">
        <f>CONTINUA!BV162</f>
        <v>31</v>
      </c>
      <c r="M162" s="329">
        <f>CONTINUA!BW162</f>
        <v>0</v>
      </c>
      <c r="N162" s="895"/>
      <c r="O162" s="896" t="s">
        <v>3352</v>
      </c>
      <c r="P162" s="897">
        <v>0</v>
      </c>
      <c r="Q162" s="400">
        <v>20</v>
      </c>
      <c r="R162" s="401"/>
      <c r="S162" s="400">
        <v>1</v>
      </c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20</v>
      </c>
      <c r="EQ162" s="171">
        <f t="shared" si="169"/>
        <v>0</v>
      </c>
      <c r="ER162" s="171">
        <f t="shared" si="170"/>
        <v>1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21</v>
      </c>
      <c r="EW162" s="173"/>
      <c r="EX162" s="248">
        <f t="shared" si="196"/>
        <v>0</v>
      </c>
      <c r="EY162" s="174">
        <f>(L162*regular)+(M162*Cadeirantee)</f>
        <v>298.84000000000003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3317</v>
      </c>
      <c r="B163" s="369" t="s">
        <v>3318</v>
      </c>
      <c r="C163" s="375" t="s">
        <v>3186</v>
      </c>
      <c r="D163" s="371" t="s">
        <v>3319</v>
      </c>
      <c r="E163" s="371" t="s">
        <v>3320</v>
      </c>
      <c r="F163" s="376" t="s">
        <v>3182</v>
      </c>
      <c r="G163" s="376" t="s">
        <v>3183</v>
      </c>
      <c r="H163" s="373" t="s">
        <v>1769</v>
      </c>
      <c r="I163" s="374" t="s">
        <v>1769</v>
      </c>
      <c r="J163" s="421" t="s">
        <v>3184</v>
      </c>
      <c r="K163" s="422" t="s">
        <v>3188</v>
      </c>
      <c r="L163" s="329">
        <f>CONTINUA!BV163</f>
        <v>0</v>
      </c>
      <c r="M163" s="329">
        <f>CONTINUA!BW163</f>
        <v>0</v>
      </c>
      <c r="N163" s="895"/>
      <c r="O163" s="896" t="s">
        <v>3352</v>
      </c>
      <c r="P163" s="897">
        <v>0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3317</v>
      </c>
      <c r="B164" s="369" t="s">
        <v>3318</v>
      </c>
      <c r="C164" s="375" t="s">
        <v>3186</v>
      </c>
      <c r="D164" s="371" t="s">
        <v>3319</v>
      </c>
      <c r="E164" s="371" t="s">
        <v>3320</v>
      </c>
      <c r="F164" s="376" t="s">
        <v>3182</v>
      </c>
      <c r="G164" s="376" t="s">
        <v>3183</v>
      </c>
      <c r="H164" s="373" t="s">
        <v>1769</v>
      </c>
      <c r="I164" s="374" t="s">
        <v>1769</v>
      </c>
      <c r="J164" s="421" t="s">
        <v>3184</v>
      </c>
      <c r="K164" s="423" t="s">
        <v>3189</v>
      </c>
      <c r="L164" s="329">
        <f>CONTINUA!BV164</f>
        <v>0</v>
      </c>
      <c r="M164" s="329">
        <f>CONTINUA!BW164</f>
        <v>0</v>
      </c>
      <c r="N164" s="895"/>
      <c r="O164" s="896" t="s">
        <v>3352</v>
      </c>
      <c r="P164" s="897">
        <v>0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3317</v>
      </c>
      <c r="B165" s="378" t="s">
        <v>3318</v>
      </c>
      <c r="C165" s="379" t="s">
        <v>3186</v>
      </c>
      <c r="D165" s="380" t="s">
        <v>3319</v>
      </c>
      <c r="E165" s="380" t="s">
        <v>3320</v>
      </c>
      <c r="F165" s="381" t="s">
        <v>3182</v>
      </c>
      <c r="G165" s="381" t="s">
        <v>3183</v>
      </c>
      <c r="H165" s="382" t="s">
        <v>1769</v>
      </c>
      <c r="I165" s="383" t="s">
        <v>1769</v>
      </c>
      <c r="J165" s="421" t="s">
        <v>3184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3352</v>
      </c>
      <c r="P165" s="897">
        <v>0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ht="11.25" x14ac:dyDescent="0.2">
      <c r="G166" s="7"/>
      <c r="H166" s="7"/>
      <c r="I166" s="7"/>
      <c r="J166" s="7"/>
      <c r="K166" s="7"/>
      <c r="L166" s="7">
        <f t="shared" ref="L166:P167" si="201">K166+1</f>
        <v>1</v>
      </c>
      <c r="M166" s="7">
        <f t="shared" si="201"/>
        <v>2</v>
      </c>
      <c r="N166" s="7">
        <f t="shared" si="201"/>
        <v>3</v>
      </c>
      <c r="O166" s="7">
        <f t="shared" si="201"/>
        <v>4</v>
      </c>
      <c r="P166" s="7">
        <f t="shared" si="201"/>
        <v>5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>
        <f t="shared" ref="EM166:EQ167" si="202">EL166+1</f>
        <v>1</v>
      </c>
      <c r="EN166" s="7">
        <f t="shared" si="202"/>
        <v>2</v>
      </c>
      <c r="EO166" s="7">
        <f t="shared" si="202"/>
        <v>3</v>
      </c>
      <c r="EP166" s="7">
        <f t="shared" si="202"/>
        <v>4</v>
      </c>
      <c r="EQ166" s="7">
        <f t="shared" si="202"/>
        <v>5</v>
      </c>
      <c r="ER166" s="7">
        <f t="shared" ref="ER166:GO167" si="203">EQ166+1</f>
        <v>6</v>
      </c>
      <c r="ES166" s="7">
        <f t="shared" si="203"/>
        <v>7</v>
      </c>
      <c r="ET166" s="7">
        <f t="shared" si="203"/>
        <v>8</v>
      </c>
      <c r="EU166" s="7">
        <f t="shared" si="203"/>
        <v>9</v>
      </c>
      <c r="EV166" s="7">
        <f t="shared" si="203"/>
        <v>10</v>
      </c>
      <c r="EW166" s="7">
        <f t="shared" si="203"/>
        <v>11</v>
      </c>
      <c r="EX166" s="7">
        <f t="shared" si="203"/>
        <v>12</v>
      </c>
      <c r="EY166" s="7">
        <f t="shared" si="203"/>
        <v>13</v>
      </c>
      <c r="EZ166" s="7">
        <f t="shared" si="203"/>
        <v>14</v>
      </c>
      <c r="FA166" s="7">
        <f t="shared" si="203"/>
        <v>15</v>
      </c>
      <c r="FB166" s="7">
        <f t="shared" si="203"/>
        <v>16</v>
      </c>
      <c r="FC166" s="7">
        <f t="shared" si="203"/>
        <v>17</v>
      </c>
      <c r="FD166" s="7">
        <f t="shared" si="203"/>
        <v>18</v>
      </c>
      <c r="FE166" s="7">
        <f t="shared" si="203"/>
        <v>19</v>
      </c>
      <c r="FF166" s="7">
        <f t="shared" si="203"/>
        <v>20</v>
      </c>
      <c r="FG166" s="7">
        <f t="shared" si="203"/>
        <v>21</v>
      </c>
      <c r="FH166" s="7">
        <f t="shared" si="203"/>
        <v>22</v>
      </c>
      <c r="FI166" s="7">
        <f t="shared" si="203"/>
        <v>23</v>
      </c>
      <c r="FJ166" s="7">
        <f t="shared" si="203"/>
        <v>24</v>
      </c>
      <c r="FK166" s="7">
        <f t="shared" si="203"/>
        <v>25</v>
      </c>
      <c r="FL166" s="7">
        <f t="shared" si="203"/>
        <v>26</v>
      </c>
      <c r="FM166" s="7">
        <f t="shared" si="203"/>
        <v>27</v>
      </c>
      <c r="FN166" s="7">
        <f t="shared" si="203"/>
        <v>28</v>
      </c>
      <c r="FO166" s="7">
        <f t="shared" si="203"/>
        <v>29</v>
      </c>
      <c r="FP166" s="7">
        <f t="shared" si="203"/>
        <v>30</v>
      </c>
      <c r="FQ166" s="7">
        <f t="shared" si="203"/>
        <v>31</v>
      </c>
      <c r="FR166" s="7">
        <f t="shared" si="203"/>
        <v>32</v>
      </c>
      <c r="FS166" s="7">
        <f t="shared" si="203"/>
        <v>33</v>
      </c>
      <c r="FT166" s="7">
        <f t="shared" si="203"/>
        <v>34</v>
      </c>
      <c r="FU166" s="7">
        <f t="shared" si="203"/>
        <v>35</v>
      </c>
      <c r="FV166" s="7">
        <f t="shared" si="203"/>
        <v>36</v>
      </c>
      <c r="FW166" s="7">
        <f t="shared" si="203"/>
        <v>37</v>
      </c>
      <c r="FX166" s="7">
        <f t="shared" si="203"/>
        <v>38</v>
      </c>
      <c r="FY166" s="7">
        <f t="shared" si="203"/>
        <v>39</v>
      </c>
      <c r="FZ166" s="7">
        <f t="shared" si="203"/>
        <v>40</v>
      </c>
      <c r="GA166" s="7">
        <f t="shared" si="203"/>
        <v>41</v>
      </c>
      <c r="GB166" s="7">
        <f t="shared" si="203"/>
        <v>42</v>
      </c>
      <c r="GC166" s="7">
        <f t="shared" si="203"/>
        <v>43</v>
      </c>
      <c r="GD166" s="7">
        <f t="shared" si="203"/>
        <v>44</v>
      </c>
      <c r="GE166" s="7">
        <f t="shared" si="203"/>
        <v>45</v>
      </c>
      <c r="GF166" s="7">
        <f t="shared" si="203"/>
        <v>46</v>
      </c>
      <c r="GG166" s="7">
        <f t="shared" si="203"/>
        <v>47</v>
      </c>
      <c r="GH166" s="7">
        <f t="shared" si="203"/>
        <v>48</v>
      </c>
      <c r="GI166" s="7">
        <f t="shared" si="203"/>
        <v>49</v>
      </c>
      <c r="GJ166" s="7">
        <f t="shared" si="203"/>
        <v>50</v>
      </c>
      <c r="GK166" s="7">
        <f t="shared" si="203"/>
        <v>51</v>
      </c>
      <c r="GL166" s="7">
        <f t="shared" si="203"/>
        <v>52</v>
      </c>
      <c r="GM166" s="7">
        <f t="shared" si="203"/>
        <v>53</v>
      </c>
      <c r="GN166" s="7">
        <f t="shared" si="203"/>
        <v>54</v>
      </c>
      <c r="GO166" s="7">
        <f t="shared" si="203"/>
        <v>55</v>
      </c>
      <c r="GP166" s="7">
        <f t="shared" ref="GP166:IA166" si="204">GO166+1</f>
        <v>56</v>
      </c>
      <c r="GQ166" s="7">
        <f t="shared" si="204"/>
        <v>57</v>
      </c>
      <c r="GR166" s="7">
        <f t="shared" si="204"/>
        <v>58</v>
      </c>
      <c r="GS166" s="7">
        <f t="shared" si="204"/>
        <v>59</v>
      </c>
      <c r="GT166" s="7">
        <f t="shared" si="204"/>
        <v>60</v>
      </c>
      <c r="GU166" s="7">
        <f t="shared" si="204"/>
        <v>61</v>
      </c>
      <c r="GV166" s="7">
        <f t="shared" si="204"/>
        <v>62</v>
      </c>
      <c r="GW166" s="7">
        <f t="shared" si="204"/>
        <v>63</v>
      </c>
      <c r="GX166" s="7">
        <f t="shared" si="204"/>
        <v>64</v>
      </c>
      <c r="GY166" s="7">
        <f t="shared" si="204"/>
        <v>65</v>
      </c>
      <c r="GZ166" s="7">
        <f t="shared" si="204"/>
        <v>66</v>
      </c>
      <c r="HA166" s="7">
        <f t="shared" si="204"/>
        <v>67</v>
      </c>
      <c r="HB166" s="7">
        <f t="shared" si="204"/>
        <v>68</v>
      </c>
      <c r="HC166" s="7">
        <f t="shared" si="204"/>
        <v>69</v>
      </c>
      <c r="HD166" s="7">
        <f t="shared" si="204"/>
        <v>70</v>
      </c>
      <c r="HE166" s="7">
        <f t="shared" si="204"/>
        <v>71</v>
      </c>
      <c r="HF166" s="7">
        <f t="shared" si="204"/>
        <v>72</v>
      </c>
      <c r="HG166" s="7">
        <f t="shared" si="204"/>
        <v>73</v>
      </c>
      <c r="HH166" s="7">
        <f t="shared" si="204"/>
        <v>74</v>
      </c>
      <c r="HI166" s="7">
        <f t="shared" si="204"/>
        <v>75</v>
      </c>
      <c r="HJ166" s="7">
        <f t="shared" si="204"/>
        <v>76</v>
      </c>
      <c r="HK166" s="7">
        <f t="shared" si="204"/>
        <v>77</v>
      </c>
      <c r="HL166" s="7">
        <f t="shared" si="204"/>
        <v>78</v>
      </c>
      <c r="HM166" s="7">
        <f t="shared" si="204"/>
        <v>79</v>
      </c>
      <c r="HN166" s="7">
        <f t="shared" si="204"/>
        <v>80</v>
      </c>
      <c r="HO166" s="7">
        <f t="shared" si="204"/>
        <v>81</v>
      </c>
      <c r="HP166" s="7">
        <f t="shared" si="204"/>
        <v>82</v>
      </c>
      <c r="HQ166" s="7">
        <f t="shared" si="204"/>
        <v>83</v>
      </c>
      <c r="HR166" s="7">
        <f t="shared" si="204"/>
        <v>84</v>
      </c>
      <c r="HS166" s="7">
        <f t="shared" si="204"/>
        <v>85</v>
      </c>
      <c r="HT166" s="7">
        <f t="shared" si="204"/>
        <v>86</v>
      </c>
      <c r="HU166" s="7">
        <f t="shared" si="204"/>
        <v>87</v>
      </c>
      <c r="HV166" s="7">
        <f t="shared" si="204"/>
        <v>88</v>
      </c>
      <c r="HW166" s="7">
        <f t="shared" si="204"/>
        <v>89</v>
      </c>
      <c r="HX166" s="7">
        <f t="shared" si="204"/>
        <v>90</v>
      </c>
      <c r="HY166" s="7">
        <f t="shared" si="204"/>
        <v>91</v>
      </c>
      <c r="HZ166" s="7">
        <f t="shared" si="204"/>
        <v>92</v>
      </c>
      <c r="IA166" s="7">
        <f t="shared" si="204"/>
        <v>93</v>
      </c>
    </row>
    <row r="167" spans="1:237" ht="11.25" x14ac:dyDescent="0.2">
      <c r="G167" s="7"/>
      <c r="H167" s="7"/>
      <c r="I167" s="7"/>
      <c r="J167" s="7"/>
      <c r="K167" s="7"/>
      <c r="L167" s="7">
        <f t="shared" si="201"/>
        <v>1</v>
      </c>
      <c r="M167" s="7">
        <f t="shared" si="201"/>
        <v>2</v>
      </c>
      <c r="N167" s="7">
        <f t="shared" si="201"/>
        <v>3</v>
      </c>
      <c r="O167" s="7">
        <f t="shared" si="201"/>
        <v>4</v>
      </c>
      <c r="P167" s="7">
        <f t="shared" si="201"/>
        <v>5</v>
      </c>
      <c r="Q167" s="7">
        <f t="shared" ref="Q167" si="205">P167+1</f>
        <v>6</v>
      </c>
      <c r="R167" s="7">
        <f t="shared" ref="R167" si="206">Q167+1</f>
        <v>7</v>
      </c>
      <c r="S167" s="7">
        <f t="shared" ref="S167" si="207">R167+1</f>
        <v>8</v>
      </c>
      <c r="T167" s="7">
        <f t="shared" ref="T167" si="208">S167+1</f>
        <v>9</v>
      </c>
      <c r="U167" s="7">
        <f t="shared" ref="U167" si="209">T167+1</f>
        <v>10</v>
      </c>
      <c r="V167" s="7">
        <f t="shared" ref="V167" si="210">U167+1</f>
        <v>11</v>
      </c>
      <c r="W167" s="7">
        <f t="shared" ref="W167" si="211">V167+1</f>
        <v>12</v>
      </c>
      <c r="X167" s="7">
        <f t="shared" ref="X167" si="212">W167+1</f>
        <v>13</v>
      </c>
      <c r="Y167" s="7">
        <f t="shared" ref="Y167" si="213">X167+1</f>
        <v>14</v>
      </c>
      <c r="Z167" s="7">
        <f t="shared" ref="Z167" si="214">Y167+1</f>
        <v>15</v>
      </c>
      <c r="AA167" s="7">
        <f t="shared" ref="AA167" si="215">Z167+1</f>
        <v>16</v>
      </c>
      <c r="AB167" s="7">
        <f t="shared" ref="AB167" si="216">AA167+1</f>
        <v>17</v>
      </c>
      <c r="AC167" s="7">
        <f t="shared" ref="AC167" si="217">AB167+1</f>
        <v>18</v>
      </c>
      <c r="AD167" s="7">
        <f t="shared" ref="AD167" si="218">AC167+1</f>
        <v>19</v>
      </c>
      <c r="AE167" s="7">
        <f t="shared" ref="AE167" si="219">AD167+1</f>
        <v>20</v>
      </c>
      <c r="AF167" s="7">
        <f t="shared" ref="AF167" si="220">AE167+1</f>
        <v>21</v>
      </c>
      <c r="AG167" s="7">
        <f t="shared" ref="AG167" si="221">AF167+1</f>
        <v>22</v>
      </c>
      <c r="AH167" s="7">
        <f t="shared" ref="AH167" si="222">AG167+1</f>
        <v>23</v>
      </c>
      <c r="AI167" s="7">
        <f t="shared" ref="AI167" si="223">AH167+1</f>
        <v>24</v>
      </c>
      <c r="AJ167" s="7">
        <f t="shared" ref="AJ167" si="224">AI167+1</f>
        <v>25</v>
      </c>
      <c r="AK167" s="7">
        <f t="shared" ref="AK167" si="225">AJ167+1</f>
        <v>26</v>
      </c>
      <c r="AL167" s="7">
        <f t="shared" ref="AL167" si="226">AK167+1</f>
        <v>27</v>
      </c>
      <c r="AM167" s="7">
        <f t="shared" ref="AM167" si="227">AL167+1</f>
        <v>28</v>
      </c>
      <c r="AN167" s="7">
        <f t="shared" ref="AN167" si="228">AM167+1</f>
        <v>29</v>
      </c>
      <c r="AO167" s="7">
        <f t="shared" ref="AO167" si="229">AN167+1</f>
        <v>30</v>
      </c>
      <c r="AP167" s="7">
        <f t="shared" ref="AP167" si="230">AO167+1</f>
        <v>31</v>
      </c>
      <c r="AQ167" s="7">
        <f t="shared" ref="AQ167" si="231">AP167+1</f>
        <v>32</v>
      </c>
      <c r="AR167" s="7">
        <f t="shared" ref="AR167" si="232">AQ167+1</f>
        <v>33</v>
      </c>
      <c r="AS167" s="7">
        <f t="shared" ref="AS167" si="233">AR167+1</f>
        <v>34</v>
      </c>
      <c r="AT167" s="7">
        <f t="shared" ref="AT167" si="234">AS167+1</f>
        <v>35</v>
      </c>
      <c r="AU167" s="7">
        <f t="shared" ref="AU167" si="235">AT167+1</f>
        <v>36</v>
      </c>
      <c r="AV167" s="7">
        <f t="shared" ref="AV167" si="236">AU167+1</f>
        <v>37</v>
      </c>
      <c r="AW167" s="7">
        <f t="shared" ref="AW167" si="237">AV167+1</f>
        <v>38</v>
      </c>
      <c r="AX167" s="7">
        <f t="shared" ref="AX167" si="238">AW167+1</f>
        <v>39</v>
      </c>
      <c r="AY167" s="7">
        <f t="shared" ref="AY167" si="239">AX167+1</f>
        <v>40</v>
      </c>
      <c r="AZ167" s="7">
        <f t="shared" ref="AZ167" si="240">AY167+1</f>
        <v>41</v>
      </c>
      <c r="BA167" s="7">
        <f t="shared" ref="BA167" si="241">AZ167+1</f>
        <v>42</v>
      </c>
      <c r="BB167" s="7">
        <f t="shared" ref="BB167" si="242">BA167+1</f>
        <v>43</v>
      </c>
      <c r="BC167" s="7">
        <f t="shared" ref="BC167" si="243">BB167+1</f>
        <v>44</v>
      </c>
      <c r="BD167" s="7">
        <f t="shared" ref="BD167" si="244">BC167+1</f>
        <v>45</v>
      </c>
      <c r="BE167" s="7">
        <f t="shared" ref="BE167" si="245">BD167+1</f>
        <v>46</v>
      </c>
      <c r="BF167" s="7">
        <f t="shared" ref="BF167" si="246">BE167+1</f>
        <v>47</v>
      </c>
      <c r="BG167" s="7">
        <f t="shared" ref="BG167" si="247">BF167+1</f>
        <v>48</v>
      </c>
      <c r="BH167" s="7">
        <f t="shared" ref="BH167" si="248">BG167+1</f>
        <v>49</v>
      </c>
      <c r="BI167" s="7">
        <f t="shared" ref="BI167" si="249">BH167+1</f>
        <v>50</v>
      </c>
      <c r="BJ167" s="7">
        <f t="shared" ref="BJ167" si="250">BI167+1</f>
        <v>51</v>
      </c>
      <c r="BK167" s="7">
        <f t="shared" ref="BK167" si="251">BJ167+1</f>
        <v>52</v>
      </c>
      <c r="BL167" s="7">
        <f t="shared" ref="BL167" si="252">BK167+1</f>
        <v>53</v>
      </c>
      <c r="BM167" s="7">
        <f t="shared" ref="BM167" si="253">BL167+1</f>
        <v>54</v>
      </c>
      <c r="BN167" s="7">
        <f t="shared" ref="BN167" si="254">BM167+1</f>
        <v>55</v>
      </c>
      <c r="BO167" s="7">
        <f t="shared" ref="BO167" si="255">BN167+1</f>
        <v>56</v>
      </c>
      <c r="BP167" s="7">
        <f t="shared" ref="BP167" si="256">BO167+1</f>
        <v>57</v>
      </c>
      <c r="BQ167" s="7">
        <f t="shared" ref="BQ167" si="257">BP167+1</f>
        <v>58</v>
      </c>
      <c r="BR167" s="7">
        <f t="shared" ref="BR167" si="258">BQ167+1</f>
        <v>59</v>
      </c>
      <c r="BS167" s="7">
        <f t="shared" ref="BS167" si="259">BR167+1</f>
        <v>60</v>
      </c>
      <c r="BT167" s="7">
        <f t="shared" ref="BT167" si="260">BS167+1</f>
        <v>61</v>
      </c>
      <c r="BU167" s="7">
        <f t="shared" ref="BU167" si="261">BT167+1</f>
        <v>62</v>
      </c>
      <c r="BV167" s="7">
        <f t="shared" ref="BV167" si="262">BU167+1</f>
        <v>63</v>
      </c>
      <c r="BW167" s="7">
        <f t="shared" ref="BW167" si="263">BV167+1</f>
        <v>64</v>
      </c>
      <c r="BX167" s="7">
        <f t="shared" ref="BX167" si="264">BW167+1</f>
        <v>65</v>
      </c>
      <c r="BY167" s="7">
        <f t="shared" ref="BY167" si="265">BX167+1</f>
        <v>66</v>
      </c>
      <c r="BZ167" s="7">
        <f t="shared" ref="BZ167" si="266">BY167+1</f>
        <v>67</v>
      </c>
      <c r="CA167" s="7">
        <f t="shared" ref="CA167" si="267">BZ167+1</f>
        <v>68</v>
      </c>
      <c r="CB167" s="7">
        <f t="shared" ref="CB167" si="268">CA167+1</f>
        <v>69</v>
      </c>
      <c r="CC167" s="7">
        <f t="shared" ref="CC167" si="269">CB167+1</f>
        <v>70</v>
      </c>
      <c r="CD167" s="7">
        <f t="shared" ref="CD167" si="270">CC167+1</f>
        <v>71</v>
      </c>
      <c r="CE167" s="7">
        <f t="shared" ref="CE167" si="271">CD167+1</f>
        <v>72</v>
      </c>
      <c r="CF167" s="7">
        <f t="shared" ref="CF167" si="272">CE167+1</f>
        <v>73</v>
      </c>
      <c r="CG167" s="7">
        <f t="shared" ref="CG167" si="273">CF167+1</f>
        <v>74</v>
      </c>
      <c r="CH167" s="7">
        <f t="shared" ref="CH167" si="274">CG167+1</f>
        <v>75</v>
      </c>
      <c r="CI167" s="7">
        <f t="shared" ref="CI167" si="275">CH167+1</f>
        <v>76</v>
      </c>
      <c r="CJ167" s="7">
        <f t="shared" ref="CJ167" si="276">CI167+1</f>
        <v>77</v>
      </c>
      <c r="CK167" s="7">
        <f t="shared" ref="CK167" si="277">CJ167+1</f>
        <v>78</v>
      </c>
      <c r="CL167" s="7">
        <f t="shared" ref="CL167" si="278">CK167+1</f>
        <v>79</v>
      </c>
      <c r="CM167" s="7">
        <f t="shared" ref="CM167" si="279">CL167+1</f>
        <v>80</v>
      </c>
      <c r="CN167" s="7">
        <f t="shared" ref="CN167" si="280">CM167+1</f>
        <v>81</v>
      </c>
      <c r="CO167" s="7">
        <f t="shared" ref="CO167" si="281">CN167+1</f>
        <v>82</v>
      </c>
      <c r="CP167" s="7">
        <f t="shared" ref="CP167" si="282">CO167+1</f>
        <v>83</v>
      </c>
      <c r="CQ167" s="7">
        <f t="shared" ref="CQ167" si="283">CP167+1</f>
        <v>84</v>
      </c>
      <c r="CR167" s="7">
        <f t="shared" ref="CR167" si="284">CQ167+1</f>
        <v>85</v>
      </c>
      <c r="CS167" s="7">
        <f t="shared" ref="CS167" si="285">CR167+1</f>
        <v>86</v>
      </c>
      <c r="CT167" s="7">
        <f t="shared" ref="CT167" si="286">CS167+1</f>
        <v>87</v>
      </c>
      <c r="CU167" s="7">
        <f t="shared" ref="CU167" si="287">CT167+1</f>
        <v>88</v>
      </c>
      <c r="CV167" s="7">
        <f t="shared" ref="CV167" si="288">CU167+1</f>
        <v>89</v>
      </c>
      <c r="CW167" s="7">
        <f t="shared" ref="CW167" si="289">CV167+1</f>
        <v>90</v>
      </c>
      <c r="CX167" s="7">
        <f t="shared" ref="CX167" si="290">CW167+1</f>
        <v>91</v>
      </c>
      <c r="CY167" s="7">
        <f t="shared" ref="CY167" si="291">CX167+1</f>
        <v>92</v>
      </c>
      <c r="CZ167" s="7">
        <f t="shared" ref="CZ167" si="292">CY167+1</f>
        <v>93</v>
      </c>
      <c r="DA167" s="7">
        <f t="shared" ref="DA167" si="293">CZ167+1</f>
        <v>94</v>
      </c>
      <c r="DB167" s="7">
        <f t="shared" ref="DB167" si="294">DA167+1</f>
        <v>95</v>
      </c>
      <c r="DC167" s="7">
        <f t="shared" ref="DC167" si="295">DB167+1</f>
        <v>96</v>
      </c>
      <c r="DD167" s="7">
        <f t="shared" ref="DD167" si="296">DC167+1</f>
        <v>97</v>
      </c>
      <c r="DE167" s="7">
        <f t="shared" ref="DE167" si="297">DD167+1</f>
        <v>98</v>
      </c>
      <c r="DF167" s="7">
        <f t="shared" ref="DF167" si="298">DE167+1</f>
        <v>99</v>
      </c>
      <c r="DG167" s="7">
        <f t="shared" ref="DG167" si="299">DF167+1</f>
        <v>100</v>
      </c>
      <c r="DH167" s="7">
        <f t="shared" ref="DH167" si="300">DG167+1</f>
        <v>101</v>
      </c>
      <c r="DI167" s="7">
        <f t="shared" ref="DI167" si="301">DH167+1</f>
        <v>102</v>
      </c>
      <c r="DJ167" s="7">
        <f t="shared" ref="DJ167" si="302">DI167+1</f>
        <v>103</v>
      </c>
      <c r="DK167" s="7">
        <f t="shared" ref="DK167" si="303">DJ167+1</f>
        <v>104</v>
      </c>
      <c r="DL167" s="7">
        <f t="shared" ref="DL167" si="304">DK167+1</f>
        <v>105</v>
      </c>
      <c r="DM167" s="7">
        <f t="shared" ref="DM167" si="305">DL167+1</f>
        <v>106</v>
      </c>
      <c r="DN167" s="7">
        <f t="shared" ref="DN167" si="306">DM167+1</f>
        <v>107</v>
      </c>
      <c r="DO167" s="7">
        <f t="shared" ref="DO167" si="307">DN167+1</f>
        <v>108</v>
      </c>
      <c r="DP167" s="7">
        <f t="shared" ref="DP167" si="308">DO167+1</f>
        <v>109</v>
      </c>
      <c r="DQ167" s="7">
        <f t="shared" ref="DQ167" si="309">DP167+1</f>
        <v>110</v>
      </c>
      <c r="DR167" s="7">
        <f t="shared" ref="DR167" si="310">DQ167+1</f>
        <v>111</v>
      </c>
      <c r="DS167" s="7">
        <f t="shared" ref="DS167" si="311">DR167+1</f>
        <v>112</v>
      </c>
      <c r="DT167" s="7">
        <f t="shared" ref="DT167" si="312">DS167+1</f>
        <v>113</v>
      </c>
      <c r="DU167" s="7">
        <f t="shared" ref="DU167" si="313">DT167+1</f>
        <v>114</v>
      </c>
      <c r="DV167" s="7">
        <f t="shared" ref="DV167" si="314">DU167+1</f>
        <v>115</v>
      </c>
      <c r="DW167" s="7">
        <f t="shared" ref="DW167" si="315">DV167+1</f>
        <v>116</v>
      </c>
      <c r="DX167" s="7">
        <f t="shared" ref="DX167" si="316">DW167+1</f>
        <v>117</v>
      </c>
      <c r="DY167" s="7">
        <f t="shared" ref="DY167" si="317">DX167+1</f>
        <v>118</v>
      </c>
      <c r="DZ167" s="7">
        <f t="shared" ref="DZ167" si="318">DY167+1</f>
        <v>119</v>
      </c>
      <c r="EA167" s="7">
        <f t="shared" ref="EA167" si="319">DZ167+1</f>
        <v>120</v>
      </c>
      <c r="EB167" s="7">
        <f t="shared" ref="EB167" si="320">EA167+1</f>
        <v>121</v>
      </c>
      <c r="EC167" s="7">
        <f t="shared" ref="EC167" si="321">EB167+1</f>
        <v>122</v>
      </c>
      <c r="ED167" s="7">
        <f t="shared" ref="ED167" si="322">EC167+1</f>
        <v>123</v>
      </c>
      <c r="EE167" s="7">
        <f t="shared" ref="EE167" si="323">ED167+1</f>
        <v>124</v>
      </c>
      <c r="EF167" s="7">
        <f t="shared" ref="EF167" si="324">EE167+1</f>
        <v>125</v>
      </c>
      <c r="EG167" s="7">
        <f t="shared" ref="EG167" si="325">EF167+1</f>
        <v>126</v>
      </c>
      <c r="EH167" s="7">
        <f t="shared" ref="EH167" si="326">EG167+1</f>
        <v>127</v>
      </c>
      <c r="EI167" s="7">
        <f t="shared" ref="EI167" si="327">EH167+1</f>
        <v>128</v>
      </c>
      <c r="EJ167" s="7">
        <f t="shared" ref="EJ167" si="328">EI167+1</f>
        <v>129</v>
      </c>
      <c r="EK167" s="7">
        <f t="shared" ref="EK167" si="329">EJ167+1</f>
        <v>130</v>
      </c>
      <c r="EL167" s="7">
        <f t="shared" ref="EL167" si="330">EK167+1</f>
        <v>131</v>
      </c>
      <c r="EM167" s="7">
        <f t="shared" si="202"/>
        <v>132</v>
      </c>
      <c r="EN167" s="7">
        <f t="shared" si="202"/>
        <v>133</v>
      </c>
      <c r="EO167" s="7">
        <f t="shared" si="202"/>
        <v>134</v>
      </c>
      <c r="EP167" s="7">
        <f t="shared" si="202"/>
        <v>135</v>
      </c>
      <c r="EQ167" s="7">
        <f t="shared" si="202"/>
        <v>136</v>
      </c>
      <c r="ER167" s="7">
        <f t="shared" si="203"/>
        <v>137</v>
      </c>
      <c r="ES167" s="7">
        <f t="shared" si="203"/>
        <v>138</v>
      </c>
      <c r="ET167" s="7">
        <f t="shared" si="203"/>
        <v>139</v>
      </c>
      <c r="EU167" s="7">
        <f t="shared" si="203"/>
        <v>140</v>
      </c>
      <c r="EV167" s="7">
        <f t="shared" si="203"/>
        <v>141</v>
      </c>
      <c r="EW167" s="7">
        <f t="shared" si="203"/>
        <v>142</v>
      </c>
      <c r="EX167" s="7">
        <f t="shared" si="203"/>
        <v>143</v>
      </c>
      <c r="EY167" s="7">
        <f t="shared" si="203"/>
        <v>144</v>
      </c>
      <c r="EZ167" s="7">
        <f t="shared" si="203"/>
        <v>145</v>
      </c>
      <c r="FA167" s="7">
        <f t="shared" si="203"/>
        <v>146</v>
      </c>
      <c r="FB167" s="7">
        <f t="shared" si="203"/>
        <v>147</v>
      </c>
      <c r="FC167" s="7">
        <f t="shared" si="203"/>
        <v>148</v>
      </c>
      <c r="FD167" s="7">
        <f t="shared" si="203"/>
        <v>149</v>
      </c>
      <c r="FE167" s="7">
        <f t="shared" si="203"/>
        <v>150</v>
      </c>
      <c r="FF167" s="7">
        <f t="shared" si="203"/>
        <v>151</v>
      </c>
      <c r="FG167" s="7">
        <f t="shared" si="203"/>
        <v>152</v>
      </c>
      <c r="FH167" s="7">
        <f t="shared" si="203"/>
        <v>153</v>
      </c>
      <c r="FI167" s="7">
        <f t="shared" si="203"/>
        <v>154</v>
      </c>
      <c r="FJ167" s="7">
        <f t="shared" si="203"/>
        <v>155</v>
      </c>
      <c r="FK167" s="7">
        <f t="shared" si="203"/>
        <v>156</v>
      </c>
      <c r="FL167" s="7">
        <f t="shared" si="203"/>
        <v>157</v>
      </c>
      <c r="FM167" s="7">
        <f t="shared" si="203"/>
        <v>158</v>
      </c>
      <c r="FN167" s="7">
        <f t="shared" si="203"/>
        <v>159</v>
      </c>
      <c r="FO167" s="7">
        <f t="shared" si="203"/>
        <v>160</v>
      </c>
      <c r="FP167" s="7">
        <f t="shared" si="203"/>
        <v>161</v>
      </c>
      <c r="FQ167" s="7">
        <f t="shared" si="203"/>
        <v>162</v>
      </c>
      <c r="FR167" s="7">
        <f t="shared" si="203"/>
        <v>163</v>
      </c>
      <c r="FS167" s="7">
        <f t="shared" si="203"/>
        <v>164</v>
      </c>
      <c r="FT167" s="7">
        <f t="shared" si="203"/>
        <v>165</v>
      </c>
      <c r="FU167" s="7">
        <f t="shared" si="203"/>
        <v>166</v>
      </c>
      <c r="FV167" s="7">
        <f t="shared" si="203"/>
        <v>167</v>
      </c>
      <c r="FW167" s="7">
        <f t="shared" si="203"/>
        <v>168</v>
      </c>
      <c r="FX167" s="7">
        <f t="shared" si="203"/>
        <v>169</v>
      </c>
      <c r="FY167" s="7">
        <f t="shared" si="203"/>
        <v>170</v>
      </c>
    </row>
    <row r="168" spans="1:237" x14ac:dyDescent="0.25">
      <c r="N168"/>
      <c r="P168" s="84"/>
    </row>
    <row r="169" spans="1:237" x14ac:dyDescent="0.25">
      <c r="P169" s="84"/>
    </row>
    <row r="170" spans="1:237" x14ac:dyDescent="0.25">
      <c r="P170" s="84"/>
    </row>
    <row r="171" spans="1:237" x14ac:dyDescent="0.25">
      <c r="P171" s="84"/>
    </row>
    <row r="172" spans="1:237" x14ac:dyDescent="0.25">
      <c r="P172" s="84"/>
    </row>
    <row r="173" spans="1:237" x14ac:dyDescent="0.25">
      <c r="P173" s="84"/>
    </row>
    <row r="174" spans="1:237" x14ac:dyDescent="0.25">
      <c r="P174" s="84"/>
    </row>
    <row r="175" spans="1:237" x14ac:dyDescent="0.25">
      <c r="P175" s="84"/>
    </row>
    <row r="176" spans="1:237" x14ac:dyDescent="0.25">
      <c r="P176" s="84"/>
    </row>
    <row r="177" spans="16:16" x14ac:dyDescent="0.25">
      <c r="P177" s="84"/>
    </row>
    <row r="178" spans="16:16" x14ac:dyDescent="0.25">
      <c r="P178" s="84"/>
    </row>
    <row r="179" spans="16:16" x14ac:dyDescent="0.25">
      <c r="P179" s="84"/>
    </row>
    <row r="180" spans="16:16" x14ac:dyDescent="0.25">
      <c r="P180" s="84"/>
    </row>
    <row r="181" spans="16:16" x14ac:dyDescent="0.25">
      <c r="P181" s="84"/>
    </row>
    <row r="182" spans="16:16" x14ac:dyDescent="0.25">
      <c r="P182" s="84"/>
    </row>
    <row r="183" spans="16:16" x14ac:dyDescent="0.25">
      <c r="P183" s="84"/>
    </row>
    <row r="184" spans="16:16" x14ac:dyDescent="0.25">
      <c r="P184" s="84"/>
    </row>
    <row r="185" spans="16:16" x14ac:dyDescent="0.25">
      <c r="P185" s="84"/>
    </row>
    <row r="186" spans="16:16" x14ac:dyDescent="0.25">
      <c r="P186" s="84"/>
    </row>
    <row r="187" spans="16:16" x14ac:dyDescent="0.25">
      <c r="P187" s="84"/>
    </row>
    <row r="188" spans="16:16" x14ac:dyDescent="0.25">
      <c r="P188" s="84"/>
    </row>
    <row r="189" spans="16:16" x14ac:dyDescent="0.25">
      <c r="P189" s="84"/>
    </row>
    <row r="190" spans="16:16" x14ac:dyDescent="0.25">
      <c r="P190" s="84"/>
    </row>
    <row r="191" spans="16:16" x14ac:dyDescent="0.25">
      <c r="P191" s="84"/>
    </row>
    <row r="192" spans="16:16" x14ac:dyDescent="0.25">
      <c r="P192" s="84"/>
    </row>
    <row r="193" spans="16:16" x14ac:dyDescent="0.25">
      <c r="P193" s="84"/>
    </row>
    <row r="194" spans="16:16" x14ac:dyDescent="0.25">
      <c r="P194" s="84"/>
    </row>
    <row r="195" spans="16:16" x14ac:dyDescent="0.25">
      <c r="P195" s="84"/>
    </row>
    <row r="196" spans="16:16" x14ac:dyDescent="0.25">
      <c r="P196" s="84"/>
    </row>
    <row r="197" spans="16:16" x14ac:dyDescent="0.25">
      <c r="P197" s="84"/>
    </row>
    <row r="198" spans="16:16" x14ac:dyDescent="0.25">
      <c r="P198" s="84"/>
    </row>
    <row r="199" spans="16:16" x14ac:dyDescent="0.25">
      <c r="P199" s="84"/>
    </row>
    <row r="200" spans="16:16" x14ac:dyDescent="0.25">
      <c r="P200" s="84"/>
    </row>
    <row r="201" spans="16:16" x14ac:dyDescent="0.25">
      <c r="P201" s="84"/>
    </row>
    <row r="202" spans="16:16" x14ac:dyDescent="0.25">
      <c r="P202" s="84"/>
    </row>
    <row r="203" spans="16:16" x14ac:dyDescent="0.25">
      <c r="P203" s="84"/>
    </row>
    <row r="204" spans="16:16" x14ac:dyDescent="0.25">
      <c r="P204" s="84"/>
    </row>
    <row r="205" spans="16:16" x14ac:dyDescent="0.25">
      <c r="P205" s="84"/>
    </row>
    <row r="206" spans="16:16" x14ac:dyDescent="0.25">
      <c r="P206" s="84"/>
    </row>
    <row r="207" spans="16:16" x14ac:dyDescent="0.25">
      <c r="P207" s="84"/>
    </row>
    <row r="208" spans="16:16" x14ac:dyDescent="0.25">
      <c r="P208" s="84"/>
    </row>
    <row r="209" spans="16:16" x14ac:dyDescent="0.25">
      <c r="P209" s="84"/>
    </row>
    <row r="210" spans="16:16" x14ac:dyDescent="0.25">
      <c r="P210" s="84"/>
    </row>
    <row r="211" spans="16:16" x14ac:dyDescent="0.25">
      <c r="P211" s="84"/>
    </row>
    <row r="212" spans="16:16" x14ac:dyDescent="0.25">
      <c r="P212" s="84"/>
    </row>
    <row r="213" spans="16:16" x14ac:dyDescent="0.25">
      <c r="P213" s="84"/>
    </row>
    <row r="214" spans="16:16" x14ac:dyDescent="0.25">
      <c r="P214" s="84"/>
    </row>
    <row r="215" spans="16:16" x14ac:dyDescent="0.25">
      <c r="P215" s="84"/>
    </row>
    <row r="216" spans="16:16" x14ac:dyDescent="0.25">
      <c r="P216" s="84"/>
    </row>
    <row r="217" spans="16:16" x14ac:dyDescent="0.25">
      <c r="P217" s="84"/>
    </row>
    <row r="218" spans="16:16" x14ac:dyDescent="0.25">
      <c r="P218" s="84"/>
    </row>
    <row r="219" spans="16:16" x14ac:dyDescent="0.25">
      <c r="P219" s="84"/>
    </row>
    <row r="220" spans="16:16" x14ac:dyDescent="0.25">
      <c r="P220" s="84"/>
    </row>
    <row r="221" spans="16:16" x14ac:dyDescent="0.25">
      <c r="P221" s="84"/>
    </row>
    <row r="222" spans="16:16" x14ac:dyDescent="0.25">
      <c r="P222" s="84"/>
    </row>
    <row r="223" spans="16:16" x14ac:dyDescent="0.25">
      <c r="P223" s="84"/>
    </row>
    <row r="224" spans="16:16" x14ac:dyDescent="0.25">
      <c r="P224" s="84"/>
    </row>
    <row r="225" spans="16:16" x14ac:dyDescent="0.25">
      <c r="P225" s="84"/>
    </row>
    <row r="226" spans="16:16" x14ac:dyDescent="0.25">
      <c r="P226" s="84"/>
    </row>
    <row r="227" spans="16:16" x14ac:dyDescent="0.25">
      <c r="P227" s="84"/>
    </row>
    <row r="228" spans="16:16" x14ac:dyDescent="0.25">
      <c r="P228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165">
    <cfRule type="cellIs" dxfId="406" priority="8119" operator="greaterThan">
      <formula>0</formula>
    </cfRule>
  </conditionalFormatting>
  <conditionalFormatting sqref="J6:J165">
    <cfRule type="cellIs" dxfId="405" priority="1" operator="equal">
      <formula>"CRECHE"</formula>
    </cfRule>
    <cfRule type="cellIs" dxfId="40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165 EJ6:EJ165 EH6:EH165 EF6:EF165 ED6:ED165 EB6:EB165 DZ6:DZ165 DX6:DX165 DV6:DV165 DT6:DT165 DR6:DR165 DP6:DP165 DN6:DN165 DL6:DL165 DJ6:DJ165 DH6:DH165 DF6:DF165 DD6:DD165 DB6:DB165 CZ6:CZ165 CX6:CX165 CV6:CV165 CT6:CT165 CR6:CR165 CP6:CP165 CN6:CN165 CL6:CL165 CJ6:CJ165 CH6:CH165 CF6:CF165 CD6:CD165 CB6:CB165 BZ6:BZ165 BX6:BX165 BV6:BV165 BT6:BT165 BR6:BR165 BP6:BP165 BN6:BN165 BL6:BL165 BJ6:BJ165 BH6:BH165 BF6:BF165 BD6:BD165 BB6:BB165 AZ6:AZ165 AX6:AX165 AV6:AV165 AT6:AT165 AR6:AR165 AP6:AP165 AN6:AN165 AL6:AL165 AJ6:AJ165 AH6:AH165 AF6:AF165 AD6:AD165 AB6:AB165 Z6:Z165 X6:X165 V6:V165 T6:T165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69"/>
  <sheetViews>
    <sheetView showGridLines="0" topLeftCell="R1" zoomScale="80" zoomScaleNormal="80" workbookViewId="0">
      <selection activeCell="L161" sqref="L161:BU165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Itaquera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3193</v>
      </c>
      <c r="B6" s="526" t="s">
        <v>3194</v>
      </c>
      <c r="C6" s="527">
        <v>1</v>
      </c>
      <c r="D6" s="528" t="s">
        <v>3195</v>
      </c>
      <c r="E6" s="426" t="s">
        <v>3196</v>
      </c>
      <c r="F6" s="529" t="s">
        <v>3182</v>
      </c>
      <c r="G6" s="529" t="s">
        <v>3183</v>
      </c>
      <c r="H6" s="530" t="s">
        <v>1717</v>
      </c>
      <c r="I6" s="384" t="s">
        <v>1717</v>
      </c>
      <c r="J6" s="353" t="s">
        <v>3184</v>
      </c>
      <c r="K6" s="354" t="s">
        <v>3185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3193</v>
      </c>
      <c r="B7" s="386" t="s">
        <v>3194</v>
      </c>
      <c r="C7" s="352" t="s">
        <v>3186</v>
      </c>
      <c r="D7" s="387" t="s">
        <v>3195</v>
      </c>
      <c r="E7" s="388" t="s">
        <v>3196</v>
      </c>
      <c r="F7" s="389" t="s">
        <v>3182</v>
      </c>
      <c r="G7" s="389" t="s">
        <v>3183</v>
      </c>
      <c r="H7" s="390" t="s">
        <v>1717</v>
      </c>
      <c r="I7" s="391" t="s">
        <v>1717</v>
      </c>
      <c r="J7" s="353" t="s">
        <v>3184</v>
      </c>
      <c r="K7" s="353" t="s">
        <v>3187</v>
      </c>
      <c r="L7" s="400">
        <v>6</v>
      </c>
      <c r="M7" s="401"/>
      <c r="N7" s="400">
        <v>6</v>
      </c>
      <c r="O7" s="401"/>
      <c r="P7" s="400">
        <v>1</v>
      </c>
      <c r="Q7" s="401"/>
      <c r="R7" s="400"/>
      <c r="S7" s="401"/>
      <c r="T7" s="400"/>
      <c r="U7" s="401"/>
      <c r="V7" s="400">
        <v>7</v>
      </c>
      <c r="W7" s="401"/>
      <c r="X7" s="400">
        <v>8</v>
      </c>
      <c r="Y7" s="401"/>
      <c r="Z7" s="400">
        <v>5</v>
      </c>
      <c r="AA7" s="401"/>
      <c r="AB7" s="400">
        <v>2</v>
      </c>
      <c r="AC7" s="401"/>
      <c r="AD7" s="400">
        <v>1</v>
      </c>
      <c r="AE7" s="401"/>
      <c r="AF7" s="400"/>
      <c r="AG7" s="401"/>
      <c r="AH7" s="400"/>
      <c r="AI7" s="401"/>
      <c r="AJ7" s="400">
        <v>7</v>
      </c>
      <c r="AK7" s="401"/>
      <c r="AL7" s="400">
        <v>8</v>
      </c>
      <c r="AM7" s="401"/>
      <c r="AN7" s="400">
        <v>5</v>
      </c>
      <c r="AO7" s="401"/>
      <c r="AP7" s="400">
        <v>2</v>
      </c>
      <c r="AQ7" s="401"/>
      <c r="AR7" s="400">
        <v>1</v>
      </c>
      <c r="AS7" s="401"/>
      <c r="AT7" s="400"/>
      <c r="AU7" s="401"/>
      <c r="AV7" s="400"/>
      <c r="AW7" s="401"/>
      <c r="AX7" s="400">
        <v>7</v>
      </c>
      <c r="AY7" s="401"/>
      <c r="AZ7" s="400">
        <v>8</v>
      </c>
      <c r="BA7" s="401"/>
      <c r="BB7" s="400">
        <v>5</v>
      </c>
      <c r="BC7" s="401"/>
      <c r="BD7" s="400">
        <v>2</v>
      </c>
      <c r="BE7" s="401"/>
      <c r="BF7" s="400">
        <v>1</v>
      </c>
      <c r="BG7" s="401"/>
      <c r="BH7" s="400"/>
      <c r="BI7" s="401"/>
      <c r="BJ7" s="400"/>
      <c r="BK7" s="401"/>
      <c r="BL7" s="400">
        <v>7</v>
      </c>
      <c r="BM7" s="401"/>
      <c r="BN7" s="400">
        <v>8</v>
      </c>
      <c r="BO7" s="401"/>
      <c r="BP7" s="400">
        <v>5</v>
      </c>
      <c r="BQ7" s="401"/>
      <c r="BR7" s="400">
        <v>1</v>
      </c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103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3193</v>
      </c>
      <c r="B8" s="386" t="s">
        <v>3194</v>
      </c>
      <c r="C8" s="392" t="s">
        <v>3186</v>
      </c>
      <c r="D8" s="387" t="s">
        <v>3195</v>
      </c>
      <c r="E8" s="388" t="s">
        <v>3196</v>
      </c>
      <c r="F8" s="389" t="s">
        <v>3182</v>
      </c>
      <c r="G8" s="389" t="s">
        <v>3183</v>
      </c>
      <c r="H8" s="390" t="s">
        <v>1717</v>
      </c>
      <c r="I8" s="391" t="s">
        <v>1717</v>
      </c>
      <c r="J8" s="353" t="s">
        <v>3184</v>
      </c>
      <c r="K8" s="355" t="s">
        <v>3188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3193</v>
      </c>
      <c r="B9" s="386" t="s">
        <v>3194</v>
      </c>
      <c r="C9" s="392" t="s">
        <v>3186</v>
      </c>
      <c r="D9" s="387" t="s">
        <v>3195</v>
      </c>
      <c r="E9" s="388" t="s">
        <v>3196</v>
      </c>
      <c r="F9" s="389" t="s">
        <v>3182</v>
      </c>
      <c r="G9" s="389" t="s">
        <v>3183</v>
      </c>
      <c r="H9" s="390" t="s">
        <v>1717</v>
      </c>
      <c r="I9" s="391" t="s">
        <v>1717</v>
      </c>
      <c r="J9" s="353" t="s">
        <v>3184</v>
      </c>
      <c r="K9" s="356" t="s">
        <v>3189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3193</v>
      </c>
      <c r="B10" s="393" t="s">
        <v>3194</v>
      </c>
      <c r="C10" s="394" t="s">
        <v>3186</v>
      </c>
      <c r="D10" s="395" t="s">
        <v>3195</v>
      </c>
      <c r="E10" s="411" t="s">
        <v>3196</v>
      </c>
      <c r="F10" s="396" t="s">
        <v>3182</v>
      </c>
      <c r="G10" s="396" t="s">
        <v>3183</v>
      </c>
      <c r="H10" s="397" t="s">
        <v>1717</v>
      </c>
      <c r="I10" s="899" t="s">
        <v>1717</v>
      </c>
      <c r="J10" s="353" t="s">
        <v>3184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3197</v>
      </c>
      <c r="B11" s="526" t="s">
        <v>3198</v>
      </c>
      <c r="C11" s="527">
        <v>1</v>
      </c>
      <c r="D11" s="528" t="s">
        <v>3199</v>
      </c>
      <c r="E11" s="426" t="s">
        <v>3200</v>
      </c>
      <c r="F11" s="529" t="s">
        <v>3182</v>
      </c>
      <c r="G11" s="529" t="s">
        <v>3183</v>
      </c>
      <c r="H11" s="530" t="s">
        <v>1719</v>
      </c>
      <c r="I11" s="384" t="s">
        <v>1719</v>
      </c>
      <c r="J11" s="353" t="s">
        <v>3184</v>
      </c>
      <c r="K11" s="354" t="s">
        <v>3185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3197</v>
      </c>
      <c r="B12" s="386" t="s">
        <v>3198</v>
      </c>
      <c r="C12" s="352" t="s">
        <v>3186</v>
      </c>
      <c r="D12" s="387" t="s">
        <v>3199</v>
      </c>
      <c r="E12" s="388" t="s">
        <v>3200</v>
      </c>
      <c r="F12" s="389" t="s">
        <v>3182</v>
      </c>
      <c r="G12" s="389" t="s">
        <v>3183</v>
      </c>
      <c r="H12" s="390" t="s">
        <v>1719</v>
      </c>
      <c r="I12" s="391" t="s">
        <v>1719</v>
      </c>
      <c r="J12" s="353" t="s">
        <v>3184</v>
      </c>
      <c r="K12" s="353" t="s">
        <v>3187</v>
      </c>
      <c r="L12" s="400"/>
      <c r="M12" s="401"/>
      <c r="N12" s="400">
        <v>1</v>
      </c>
      <c r="O12" s="401"/>
      <c r="P12" s="400">
        <v>1</v>
      </c>
      <c r="Q12" s="401"/>
      <c r="R12" s="400"/>
      <c r="S12" s="401"/>
      <c r="T12" s="400"/>
      <c r="U12" s="401"/>
      <c r="V12" s="400">
        <v>1</v>
      </c>
      <c r="W12" s="401"/>
      <c r="X12" s="400">
        <v>1</v>
      </c>
      <c r="Y12" s="401"/>
      <c r="Z12" s="400"/>
      <c r="AA12" s="401"/>
      <c r="AB12" s="400">
        <v>1</v>
      </c>
      <c r="AC12" s="401"/>
      <c r="AD12" s="400">
        <v>1</v>
      </c>
      <c r="AE12" s="401"/>
      <c r="AF12" s="400"/>
      <c r="AG12" s="401"/>
      <c r="AH12" s="400"/>
      <c r="AI12" s="401"/>
      <c r="AJ12" s="400">
        <v>1</v>
      </c>
      <c r="AK12" s="401"/>
      <c r="AL12" s="400">
        <v>1</v>
      </c>
      <c r="AM12" s="401"/>
      <c r="AN12" s="400"/>
      <c r="AO12" s="401"/>
      <c r="AP12" s="400">
        <v>1</v>
      </c>
      <c r="AQ12" s="401"/>
      <c r="AR12" s="400">
        <v>1</v>
      </c>
      <c r="AS12" s="401"/>
      <c r="AT12" s="400"/>
      <c r="AU12" s="401"/>
      <c r="AV12" s="400"/>
      <c r="AW12" s="401"/>
      <c r="AX12" s="400">
        <v>1</v>
      </c>
      <c r="AY12" s="401"/>
      <c r="AZ12" s="400">
        <v>1</v>
      </c>
      <c r="BA12" s="401"/>
      <c r="BB12" s="400"/>
      <c r="BC12" s="401"/>
      <c r="BD12" s="400">
        <v>1</v>
      </c>
      <c r="BE12" s="401"/>
      <c r="BF12" s="400">
        <v>1</v>
      </c>
      <c r="BG12" s="401"/>
      <c r="BH12" s="400"/>
      <c r="BI12" s="401"/>
      <c r="BJ12" s="400"/>
      <c r="BK12" s="401"/>
      <c r="BL12" s="400">
        <v>1</v>
      </c>
      <c r="BM12" s="401"/>
      <c r="BN12" s="400">
        <v>1</v>
      </c>
      <c r="BO12" s="401"/>
      <c r="BP12" s="400"/>
      <c r="BQ12" s="401"/>
      <c r="BR12" s="400">
        <v>1</v>
      </c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17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3197</v>
      </c>
      <c r="B13" s="386" t="s">
        <v>3198</v>
      </c>
      <c r="C13" s="392" t="s">
        <v>3186</v>
      </c>
      <c r="D13" s="387" t="s">
        <v>3199</v>
      </c>
      <c r="E13" s="388" t="s">
        <v>3200</v>
      </c>
      <c r="F13" s="389" t="s">
        <v>3182</v>
      </c>
      <c r="G13" s="389" t="s">
        <v>3183</v>
      </c>
      <c r="H13" s="390" t="s">
        <v>1719</v>
      </c>
      <c r="I13" s="391" t="s">
        <v>1719</v>
      </c>
      <c r="J13" s="353" t="s">
        <v>3184</v>
      </c>
      <c r="K13" s="355" t="s">
        <v>3188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3197</v>
      </c>
      <c r="B14" s="386" t="s">
        <v>3198</v>
      </c>
      <c r="C14" s="392" t="s">
        <v>3186</v>
      </c>
      <c r="D14" s="387" t="s">
        <v>3199</v>
      </c>
      <c r="E14" s="388" t="s">
        <v>3200</v>
      </c>
      <c r="F14" s="389" t="s">
        <v>3182</v>
      </c>
      <c r="G14" s="389" t="s">
        <v>3183</v>
      </c>
      <c r="H14" s="390" t="s">
        <v>1719</v>
      </c>
      <c r="I14" s="391" t="s">
        <v>1719</v>
      </c>
      <c r="J14" s="353" t="s">
        <v>3184</v>
      </c>
      <c r="K14" s="356" t="s">
        <v>3189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3197</v>
      </c>
      <c r="B15" s="393" t="s">
        <v>3198</v>
      </c>
      <c r="C15" s="394" t="s">
        <v>3186</v>
      </c>
      <c r="D15" s="395" t="s">
        <v>3199</v>
      </c>
      <c r="E15" s="411" t="s">
        <v>3200</v>
      </c>
      <c r="F15" s="396" t="s">
        <v>3182</v>
      </c>
      <c r="G15" s="396" t="s">
        <v>3183</v>
      </c>
      <c r="H15" s="397" t="s">
        <v>1719</v>
      </c>
      <c r="I15" s="899" t="s">
        <v>1719</v>
      </c>
      <c r="J15" s="353" t="s">
        <v>3184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3201</v>
      </c>
      <c r="B16" s="526" t="s">
        <v>3202</v>
      </c>
      <c r="C16" s="527">
        <v>1</v>
      </c>
      <c r="D16" s="528" t="s">
        <v>3203</v>
      </c>
      <c r="E16" s="426" t="s">
        <v>3204</v>
      </c>
      <c r="F16" s="529" t="s">
        <v>3182</v>
      </c>
      <c r="G16" s="529" t="s">
        <v>3183</v>
      </c>
      <c r="H16" s="530" t="s">
        <v>1721</v>
      </c>
      <c r="I16" s="384" t="s">
        <v>1721</v>
      </c>
      <c r="J16" s="353" t="s">
        <v>3184</v>
      </c>
      <c r="K16" s="354" t="s">
        <v>3185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3201</v>
      </c>
      <c r="B17" s="386" t="s">
        <v>3202</v>
      </c>
      <c r="C17" s="352" t="s">
        <v>3186</v>
      </c>
      <c r="D17" s="387" t="s">
        <v>3203</v>
      </c>
      <c r="E17" s="388" t="s">
        <v>3204</v>
      </c>
      <c r="F17" s="389" t="s">
        <v>3182</v>
      </c>
      <c r="G17" s="389" t="s">
        <v>3183</v>
      </c>
      <c r="H17" s="390" t="s">
        <v>1721</v>
      </c>
      <c r="I17" s="391" t="s">
        <v>1721</v>
      </c>
      <c r="J17" s="353" t="s">
        <v>3184</v>
      </c>
      <c r="K17" s="353" t="s">
        <v>3187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3201</v>
      </c>
      <c r="B18" s="386" t="s">
        <v>3202</v>
      </c>
      <c r="C18" s="392" t="s">
        <v>3186</v>
      </c>
      <c r="D18" s="387" t="s">
        <v>3203</v>
      </c>
      <c r="E18" s="388" t="s">
        <v>3204</v>
      </c>
      <c r="F18" s="389" t="s">
        <v>3182</v>
      </c>
      <c r="G18" s="389" t="s">
        <v>3183</v>
      </c>
      <c r="H18" s="390" t="s">
        <v>1721</v>
      </c>
      <c r="I18" s="391" t="s">
        <v>1721</v>
      </c>
      <c r="J18" s="353" t="s">
        <v>3184</v>
      </c>
      <c r="K18" s="355" t="s">
        <v>3188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3201</v>
      </c>
      <c r="B19" s="386" t="s">
        <v>3202</v>
      </c>
      <c r="C19" s="392" t="s">
        <v>3186</v>
      </c>
      <c r="D19" s="387" t="s">
        <v>3203</v>
      </c>
      <c r="E19" s="388" t="s">
        <v>3204</v>
      </c>
      <c r="F19" s="389" t="s">
        <v>3182</v>
      </c>
      <c r="G19" s="389" t="s">
        <v>3183</v>
      </c>
      <c r="H19" s="390" t="s">
        <v>1721</v>
      </c>
      <c r="I19" s="391" t="s">
        <v>1721</v>
      </c>
      <c r="J19" s="353" t="s">
        <v>3184</v>
      </c>
      <c r="K19" s="356" t="s">
        <v>3189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3201</v>
      </c>
      <c r="B20" s="393" t="s">
        <v>3202</v>
      </c>
      <c r="C20" s="394" t="s">
        <v>3186</v>
      </c>
      <c r="D20" s="395" t="s">
        <v>3203</v>
      </c>
      <c r="E20" s="411" t="s">
        <v>3204</v>
      </c>
      <c r="F20" s="396" t="s">
        <v>3182</v>
      </c>
      <c r="G20" s="396" t="s">
        <v>3183</v>
      </c>
      <c r="H20" s="397" t="s">
        <v>1721</v>
      </c>
      <c r="I20" s="899" t="s">
        <v>1721</v>
      </c>
      <c r="J20" s="353" t="s">
        <v>3184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3205</v>
      </c>
      <c r="B21" s="526" t="s">
        <v>3206</v>
      </c>
      <c r="C21" s="527">
        <v>4</v>
      </c>
      <c r="D21" s="528" t="s">
        <v>3207</v>
      </c>
      <c r="E21" s="426" t="s">
        <v>3208</v>
      </c>
      <c r="F21" s="529" t="s">
        <v>3182</v>
      </c>
      <c r="G21" s="529" t="s">
        <v>3183</v>
      </c>
      <c r="H21" s="530" t="s">
        <v>1723</v>
      </c>
      <c r="I21" s="384" t="s">
        <v>1723</v>
      </c>
      <c r="J21" s="353" t="s">
        <v>3184</v>
      </c>
      <c r="K21" s="354" t="s">
        <v>3185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3205</v>
      </c>
      <c r="B22" s="386" t="s">
        <v>3206</v>
      </c>
      <c r="C22" s="352" t="s">
        <v>3190</v>
      </c>
      <c r="D22" s="387" t="s">
        <v>3207</v>
      </c>
      <c r="E22" s="388" t="s">
        <v>3208</v>
      </c>
      <c r="F22" s="389" t="s">
        <v>3182</v>
      </c>
      <c r="G22" s="389" t="s">
        <v>3183</v>
      </c>
      <c r="H22" s="390" t="s">
        <v>1723</v>
      </c>
      <c r="I22" s="391" t="s">
        <v>1723</v>
      </c>
      <c r="J22" s="353" t="s">
        <v>3184</v>
      </c>
      <c r="K22" s="353" t="s">
        <v>3187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3205</v>
      </c>
      <c r="B23" s="386" t="s">
        <v>3206</v>
      </c>
      <c r="C23" s="392" t="s">
        <v>3190</v>
      </c>
      <c r="D23" s="387" t="s">
        <v>3207</v>
      </c>
      <c r="E23" s="388" t="s">
        <v>3208</v>
      </c>
      <c r="F23" s="389" t="s">
        <v>3182</v>
      </c>
      <c r="G23" s="389" t="s">
        <v>3183</v>
      </c>
      <c r="H23" s="390" t="s">
        <v>1723</v>
      </c>
      <c r="I23" s="391" t="s">
        <v>1723</v>
      </c>
      <c r="J23" s="353" t="s">
        <v>3184</v>
      </c>
      <c r="K23" s="355" t="s">
        <v>3188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3205</v>
      </c>
      <c r="B24" s="386" t="s">
        <v>3206</v>
      </c>
      <c r="C24" s="392" t="s">
        <v>3190</v>
      </c>
      <c r="D24" s="387" t="s">
        <v>3207</v>
      </c>
      <c r="E24" s="388" t="s">
        <v>3208</v>
      </c>
      <c r="F24" s="389" t="s">
        <v>3182</v>
      </c>
      <c r="G24" s="389" t="s">
        <v>3183</v>
      </c>
      <c r="H24" s="390" t="s">
        <v>1723</v>
      </c>
      <c r="I24" s="391" t="s">
        <v>1723</v>
      </c>
      <c r="J24" s="353" t="s">
        <v>3184</v>
      </c>
      <c r="K24" s="356" t="s">
        <v>3189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3205</v>
      </c>
      <c r="B25" s="393" t="s">
        <v>3206</v>
      </c>
      <c r="C25" s="394" t="s">
        <v>3190</v>
      </c>
      <c r="D25" s="395" t="s">
        <v>3207</v>
      </c>
      <c r="E25" s="411" t="s">
        <v>3208</v>
      </c>
      <c r="F25" s="396" t="s">
        <v>3182</v>
      </c>
      <c r="G25" s="396" t="s">
        <v>3183</v>
      </c>
      <c r="H25" s="397" t="s">
        <v>1723</v>
      </c>
      <c r="I25" s="899" t="s">
        <v>1723</v>
      </c>
      <c r="J25" s="353" t="s">
        <v>3184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3209</v>
      </c>
      <c r="B26" s="526" t="s">
        <v>3210</v>
      </c>
      <c r="C26" s="527">
        <v>1</v>
      </c>
      <c r="D26" s="528" t="s">
        <v>3211</v>
      </c>
      <c r="E26" s="426" t="s">
        <v>3212</v>
      </c>
      <c r="F26" s="529" t="s">
        <v>3182</v>
      </c>
      <c r="G26" s="529" t="s">
        <v>3183</v>
      </c>
      <c r="H26" s="530" t="s">
        <v>1724</v>
      </c>
      <c r="I26" s="384" t="s">
        <v>1724</v>
      </c>
      <c r="J26" s="353" t="s">
        <v>3184</v>
      </c>
      <c r="K26" s="354" t="s">
        <v>3185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3209</v>
      </c>
      <c r="B27" s="386" t="s">
        <v>3210</v>
      </c>
      <c r="C27" s="352" t="s">
        <v>3186</v>
      </c>
      <c r="D27" s="387" t="s">
        <v>3211</v>
      </c>
      <c r="E27" s="388" t="s">
        <v>3212</v>
      </c>
      <c r="F27" s="389" t="s">
        <v>3182</v>
      </c>
      <c r="G27" s="389" t="s">
        <v>3183</v>
      </c>
      <c r="H27" s="390" t="s">
        <v>1724</v>
      </c>
      <c r="I27" s="391" t="s">
        <v>1724</v>
      </c>
      <c r="J27" s="353" t="s">
        <v>3184</v>
      </c>
      <c r="K27" s="353" t="s">
        <v>3187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3209</v>
      </c>
      <c r="B28" s="386" t="s">
        <v>3210</v>
      </c>
      <c r="C28" s="392" t="s">
        <v>3186</v>
      </c>
      <c r="D28" s="387" t="s">
        <v>3211</v>
      </c>
      <c r="E28" s="388" t="s">
        <v>3212</v>
      </c>
      <c r="F28" s="389" t="s">
        <v>3182</v>
      </c>
      <c r="G28" s="389" t="s">
        <v>3183</v>
      </c>
      <c r="H28" s="390" t="s">
        <v>1724</v>
      </c>
      <c r="I28" s="391" t="s">
        <v>1724</v>
      </c>
      <c r="J28" s="353" t="s">
        <v>3184</v>
      </c>
      <c r="K28" s="355" t="s">
        <v>3188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3209</v>
      </c>
      <c r="B29" s="386" t="s">
        <v>3210</v>
      </c>
      <c r="C29" s="392" t="s">
        <v>3186</v>
      </c>
      <c r="D29" s="387" t="s">
        <v>3211</v>
      </c>
      <c r="E29" s="388" t="s">
        <v>3212</v>
      </c>
      <c r="F29" s="389" t="s">
        <v>3182</v>
      </c>
      <c r="G29" s="389" t="s">
        <v>3183</v>
      </c>
      <c r="H29" s="390" t="s">
        <v>1724</v>
      </c>
      <c r="I29" s="391" t="s">
        <v>1724</v>
      </c>
      <c r="J29" s="353" t="s">
        <v>3184</v>
      </c>
      <c r="K29" s="356" t="s">
        <v>3189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3209</v>
      </c>
      <c r="B30" s="393" t="s">
        <v>3210</v>
      </c>
      <c r="C30" s="394" t="s">
        <v>3186</v>
      </c>
      <c r="D30" s="395" t="s">
        <v>3211</v>
      </c>
      <c r="E30" s="411" t="s">
        <v>3212</v>
      </c>
      <c r="F30" s="396" t="s">
        <v>3182</v>
      </c>
      <c r="G30" s="396" t="s">
        <v>3183</v>
      </c>
      <c r="H30" s="397" t="s">
        <v>1724</v>
      </c>
      <c r="I30" s="899" t="s">
        <v>1724</v>
      </c>
      <c r="J30" s="353" t="s">
        <v>3184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3213</v>
      </c>
      <c r="B31" s="526" t="s">
        <v>3214</v>
      </c>
      <c r="C31" s="527">
        <v>1</v>
      </c>
      <c r="D31" s="528" t="s">
        <v>3215</v>
      </c>
      <c r="E31" s="426" t="s">
        <v>3216</v>
      </c>
      <c r="F31" s="529" t="s">
        <v>3182</v>
      </c>
      <c r="G31" s="529" t="s">
        <v>3183</v>
      </c>
      <c r="H31" s="530" t="s">
        <v>1725</v>
      </c>
      <c r="I31" s="384" t="s">
        <v>1725</v>
      </c>
      <c r="J31" s="353" t="s">
        <v>3184</v>
      </c>
      <c r="K31" s="354" t="s">
        <v>3185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3213</v>
      </c>
      <c r="B32" s="386" t="s">
        <v>3214</v>
      </c>
      <c r="C32" s="352" t="s">
        <v>3186</v>
      </c>
      <c r="D32" s="387" t="s">
        <v>3215</v>
      </c>
      <c r="E32" s="388" t="s">
        <v>3216</v>
      </c>
      <c r="F32" s="389" t="s">
        <v>3182</v>
      </c>
      <c r="G32" s="389" t="s">
        <v>3183</v>
      </c>
      <c r="H32" s="390" t="s">
        <v>1725</v>
      </c>
      <c r="I32" s="391" t="s">
        <v>1725</v>
      </c>
      <c r="J32" s="353" t="s">
        <v>3184</v>
      </c>
      <c r="K32" s="353" t="s">
        <v>3187</v>
      </c>
      <c r="L32" s="400">
        <v>2</v>
      </c>
      <c r="M32" s="401"/>
      <c r="N32" s="400">
        <v>3</v>
      </c>
      <c r="O32" s="401"/>
      <c r="P32" s="400">
        <v>1</v>
      </c>
      <c r="Q32" s="401"/>
      <c r="R32" s="400"/>
      <c r="S32" s="401"/>
      <c r="T32" s="400"/>
      <c r="U32" s="401"/>
      <c r="V32" s="400">
        <v>5</v>
      </c>
      <c r="W32" s="401"/>
      <c r="X32" s="400">
        <v>2</v>
      </c>
      <c r="Y32" s="401"/>
      <c r="Z32" s="400">
        <v>2</v>
      </c>
      <c r="AA32" s="401"/>
      <c r="AB32" s="400">
        <v>3</v>
      </c>
      <c r="AC32" s="401"/>
      <c r="AD32" s="400">
        <v>1</v>
      </c>
      <c r="AE32" s="401"/>
      <c r="AF32" s="400"/>
      <c r="AG32" s="401"/>
      <c r="AH32" s="400"/>
      <c r="AI32" s="401"/>
      <c r="AJ32" s="400">
        <v>5</v>
      </c>
      <c r="AK32" s="401"/>
      <c r="AL32" s="400">
        <v>2</v>
      </c>
      <c r="AM32" s="401"/>
      <c r="AN32" s="400">
        <v>2</v>
      </c>
      <c r="AO32" s="401"/>
      <c r="AP32" s="400">
        <v>3</v>
      </c>
      <c r="AQ32" s="401"/>
      <c r="AR32" s="400">
        <v>1</v>
      </c>
      <c r="AS32" s="401"/>
      <c r="AT32" s="400"/>
      <c r="AU32" s="401"/>
      <c r="AV32" s="400"/>
      <c r="AW32" s="401"/>
      <c r="AX32" s="400">
        <v>5</v>
      </c>
      <c r="AY32" s="401"/>
      <c r="AZ32" s="400">
        <v>2</v>
      </c>
      <c r="BA32" s="401"/>
      <c r="BB32" s="400">
        <v>2</v>
      </c>
      <c r="BC32" s="401"/>
      <c r="BD32" s="400">
        <v>3</v>
      </c>
      <c r="BE32" s="401"/>
      <c r="BF32" s="400">
        <v>1</v>
      </c>
      <c r="BG32" s="401"/>
      <c r="BH32" s="400"/>
      <c r="BI32" s="401"/>
      <c r="BJ32" s="400"/>
      <c r="BK32" s="401"/>
      <c r="BL32" s="400">
        <v>5</v>
      </c>
      <c r="BM32" s="401"/>
      <c r="BN32" s="400">
        <v>2</v>
      </c>
      <c r="BO32" s="401"/>
      <c r="BP32" s="400">
        <v>2</v>
      </c>
      <c r="BQ32" s="401"/>
      <c r="BR32" s="400">
        <v>3</v>
      </c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57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3213</v>
      </c>
      <c r="B33" s="386" t="s">
        <v>3214</v>
      </c>
      <c r="C33" s="392" t="s">
        <v>3186</v>
      </c>
      <c r="D33" s="387" t="s">
        <v>3215</v>
      </c>
      <c r="E33" s="388" t="s">
        <v>3216</v>
      </c>
      <c r="F33" s="389" t="s">
        <v>3182</v>
      </c>
      <c r="G33" s="389" t="s">
        <v>3183</v>
      </c>
      <c r="H33" s="390" t="s">
        <v>1725</v>
      </c>
      <c r="I33" s="391" t="s">
        <v>1725</v>
      </c>
      <c r="J33" s="353" t="s">
        <v>3184</v>
      </c>
      <c r="K33" s="355" t="s">
        <v>3188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3213</v>
      </c>
      <c r="B34" s="386" t="s">
        <v>3214</v>
      </c>
      <c r="C34" s="392" t="s">
        <v>3186</v>
      </c>
      <c r="D34" s="387" t="s">
        <v>3215</v>
      </c>
      <c r="E34" s="388" t="s">
        <v>3216</v>
      </c>
      <c r="F34" s="389" t="s">
        <v>3182</v>
      </c>
      <c r="G34" s="389" t="s">
        <v>3183</v>
      </c>
      <c r="H34" s="390" t="s">
        <v>1725</v>
      </c>
      <c r="I34" s="391" t="s">
        <v>1725</v>
      </c>
      <c r="J34" s="353" t="s">
        <v>3184</v>
      </c>
      <c r="K34" s="356" t="s">
        <v>3189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3213</v>
      </c>
      <c r="B35" s="393" t="s">
        <v>3214</v>
      </c>
      <c r="C35" s="394" t="s">
        <v>3186</v>
      </c>
      <c r="D35" s="395" t="s">
        <v>3215</v>
      </c>
      <c r="E35" s="411" t="s">
        <v>3216</v>
      </c>
      <c r="F35" s="396" t="s">
        <v>3182</v>
      </c>
      <c r="G35" s="396" t="s">
        <v>3183</v>
      </c>
      <c r="H35" s="397" t="s">
        <v>1725</v>
      </c>
      <c r="I35" s="899" t="s">
        <v>1725</v>
      </c>
      <c r="J35" s="353" t="s">
        <v>3184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3217</v>
      </c>
      <c r="B36" s="526" t="s">
        <v>3218</v>
      </c>
      <c r="C36" s="527">
        <v>1</v>
      </c>
      <c r="D36" s="528" t="s">
        <v>3219</v>
      </c>
      <c r="E36" s="426" t="s">
        <v>3220</v>
      </c>
      <c r="F36" s="529" t="s">
        <v>3182</v>
      </c>
      <c r="G36" s="529" t="s">
        <v>3183</v>
      </c>
      <c r="H36" s="530" t="s">
        <v>1727</v>
      </c>
      <c r="I36" s="384" t="s">
        <v>1727</v>
      </c>
      <c r="J36" s="353" t="s">
        <v>3184</v>
      </c>
      <c r="K36" s="354" t="s">
        <v>3185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3217</v>
      </c>
      <c r="B37" s="386" t="s">
        <v>3218</v>
      </c>
      <c r="C37" s="352" t="s">
        <v>3186</v>
      </c>
      <c r="D37" s="387" t="s">
        <v>3219</v>
      </c>
      <c r="E37" s="388" t="s">
        <v>3220</v>
      </c>
      <c r="F37" s="389" t="s">
        <v>3182</v>
      </c>
      <c r="G37" s="389" t="s">
        <v>3183</v>
      </c>
      <c r="H37" s="390" t="s">
        <v>1727</v>
      </c>
      <c r="I37" s="391" t="s">
        <v>1727</v>
      </c>
      <c r="J37" s="353" t="s">
        <v>3184</v>
      </c>
      <c r="K37" s="353" t="s">
        <v>3187</v>
      </c>
      <c r="L37" s="400">
        <v>3</v>
      </c>
      <c r="M37" s="401"/>
      <c r="N37" s="400">
        <v>1</v>
      </c>
      <c r="O37" s="401"/>
      <c r="P37" s="400">
        <v>1</v>
      </c>
      <c r="Q37" s="401"/>
      <c r="R37" s="400"/>
      <c r="S37" s="401"/>
      <c r="T37" s="400"/>
      <c r="U37" s="401"/>
      <c r="V37" s="400">
        <v>1</v>
      </c>
      <c r="W37" s="401"/>
      <c r="X37" s="400">
        <v>3</v>
      </c>
      <c r="Y37" s="401"/>
      <c r="Z37" s="400">
        <v>3</v>
      </c>
      <c r="AA37" s="401"/>
      <c r="AB37" s="400">
        <v>1</v>
      </c>
      <c r="AC37" s="401"/>
      <c r="AD37" s="400">
        <v>1</v>
      </c>
      <c r="AE37" s="401"/>
      <c r="AF37" s="400"/>
      <c r="AG37" s="401"/>
      <c r="AH37" s="400"/>
      <c r="AI37" s="401"/>
      <c r="AJ37" s="400">
        <v>1</v>
      </c>
      <c r="AK37" s="401"/>
      <c r="AL37" s="400">
        <v>3</v>
      </c>
      <c r="AM37" s="401"/>
      <c r="AN37" s="400">
        <v>3</v>
      </c>
      <c r="AO37" s="401"/>
      <c r="AP37" s="400">
        <v>1</v>
      </c>
      <c r="AQ37" s="401"/>
      <c r="AR37" s="400">
        <v>1</v>
      </c>
      <c r="AS37" s="401"/>
      <c r="AT37" s="400"/>
      <c r="AU37" s="401"/>
      <c r="AV37" s="400"/>
      <c r="AW37" s="401"/>
      <c r="AX37" s="400">
        <v>1</v>
      </c>
      <c r="AY37" s="401"/>
      <c r="AZ37" s="400">
        <v>3</v>
      </c>
      <c r="BA37" s="401"/>
      <c r="BB37" s="400">
        <v>3</v>
      </c>
      <c r="BC37" s="401"/>
      <c r="BD37" s="400">
        <v>1</v>
      </c>
      <c r="BE37" s="401"/>
      <c r="BF37" s="400">
        <v>1</v>
      </c>
      <c r="BG37" s="401"/>
      <c r="BH37" s="400"/>
      <c r="BI37" s="401"/>
      <c r="BJ37" s="400"/>
      <c r="BK37" s="401"/>
      <c r="BL37" s="400">
        <v>1</v>
      </c>
      <c r="BM37" s="401"/>
      <c r="BN37" s="400">
        <v>3</v>
      </c>
      <c r="BO37" s="401"/>
      <c r="BP37" s="400">
        <v>3</v>
      </c>
      <c r="BQ37" s="401"/>
      <c r="BR37" s="400">
        <v>1</v>
      </c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40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3217</v>
      </c>
      <c r="B38" s="386" t="s">
        <v>3218</v>
      </c>
      <c r="C38" s="392" t="s">
        <v>3186</v>
      </c>
      <c r="D38" s="387" t="s">
        <v>3219</v>
      </c>
      <c r="E38" s="388" t="s">
        <v>3220</v>
      </c>
      <c r="F38" s="389" t="s">
        <v>3182</v>
      </c>
      <c r="G38" s="389" t="s">
        <v>3183</v>
      </c>
      <c r="H38" s="390" t="s">
        <v>1727</v>
      </c>
      <c r="I38" s="391" t="s">
        <v>1727</v>
      </c>
      <c r="J38" s="353" t="s">
        <v>3184</v>
      </c>
      <c r="K38" s="355" t="s">
        <v>3188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3217</v>
      </c>
      <c r="B39" s="386" t="s">
        <v>3218</v>
      </c>
      <c r="C39" s="392" t="s">
        <v>3186</v>
      </c>
      <c r="D39" s="387" t="s">
        <v>3219</v>
      </c>
      <c r="E39" s="388" t="s">
        <v>3220</v>
      </c>
      <c r="F39" s="389" t="s">
        <v>3182</v>
      </c>
      <c r="G39" s="389" t="s">
        <v>3183</v>
      </c>
      <c r="H39" s="390" t="s">
        <v>1727</v>
      </c>
      <c r="I39" s="391" t="s">
        <v>1727</v>
      </c>
      <c r="J39" s="353" t="s">
        <v>3184</v>
      </c>
      <c r="K39" s="356" t="s">
        <v>3189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3217</v>
      </c>
      <c r="B40" s="393" t="s">
        <v>3218</v>
      </c>
      <c r="C40" s="394" t="s">
        <v>3186</v>
      </c>
      <c r="D40" s="395" t="s">
        <v>3219</v>
      </c>
      <c r="E40" s="411" t="s">
        <v>3220</v>
      </c>
      <c r="F40" s="396" t="s">
        <v>3182</v>
      </c>
      <c r="G40" s="396" t="s">
        <v>3183</v>
      </c>
      <c r="H40" s="397" t="s">
        <v>1727</v>
      </c>
      <c r="I40" s="899" t="s">
        <v>1727</v>
      </c>
      <c r="J40" s="353" t="s">
        <v>3184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3221</v>
      </c>
      <c r="B41" s="526" t="s">
        <v>3222</v>
      </c>
      <c r="C41" s="527">
        <v>4</v>
      </c>
      <c r="D41" s="528" t="s">
        <v>3223</v>
      </c>
      <c r="E41" s="426" t="s">
        <v>3224</v>
      </c>
      <c r="F41" s="529" t="s">
        <v>3182</v>
      </c>
      <c r="G41" s="529" t="s">
        <v>3183</v>
      </c>
      <c r="H41" s="530" t="s">
        <v>1728</v>
      </c>
      <c r="I41" s="384" t="s">
        <v>1728</v>
      </c>
      <c r="J41" s="353" t="s">
        <v>3191</v>
      </c>
      <c r="K41" s="354" t="s">
        <v>3185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3221</v>
      </c>
      <c r="B42" s="386" t="s">
        <v>3222</v>
      </c>
      <c r="C42" s="352" t="s">
        <v>3190</v>
      </c>
      <c r="D42" s="387" t="s">
        <v>3223</v>
      </c>
      <c r="E42" s="388" t="s">
        <v>3224</v>
      </c>
      <c r="F42" s="389" t="s">
        <v>3182</v>
      </c>
      <c r="G42" s="389" t="s">
        <v>3183</v>
      </c>
      <c r="H42" s="390" t="s">
        <v>1728</v>
      </c>
      <c r="I42" s="391" t="s">
        <v>1728</v>
      </c>
      <c r="J42" s="353" t="s">
        <v>3191</v>
      </c>
      <c r="K42" s="353" t="s">
        <v>3187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3221</v>
      </c>
      <c r="B43" s="386" t="s">
        <v>3222</v>
      </c>
      <c r="C43" s="392" t="s">
        <v>3190</v>
      </c>
      <c r="D43" s="387" t="s">
        <v>3223</v>
      </c>
      <c r="E43" s="388" t="s">
        <v>3224</v>
      </c>
      <c r="F43" s="389" t="s">
        <v>3182</v>
      </c>
      <c r="G43" s="389" t="s">
        <v>3183</v>
      </c>
      <c r="H43" s="390" t="s">
        <v>1728</v>
      </c>
      <c r="I43" s="391" t="s">
        <v>1728</v>
      </c>
      <c r="J43" s="353" t="s">
        <v>3191</v>
      </c>
      <c r="K43" s="355" t="s">
        <v>3188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3221</v>
      </c>
      <c r="B44" s="386" t="s">
        <v>3222</v>
      </c>
      <c r="C44" s="392" t="s">
        <v>3190</v>
      </c>
      <c r="D44" s="387" t="s">
        <v>3223</v>
      </c>
      <c r="E44" s="388" t="s">
        <v>3224</v>
      </c>
      <c r="F44" s="389" t="s">
        <v>3182</v>
      </c>
      <c r="G44" s="389" t="s">
        <v>3183</v>
      </c>
      <c r="H44" s="390" t="s">
        <v>1728</v>
      </c>
      <c r="I44" s="391" t="s">
        <v>1728</v>
      </c>
      <c r="J44" s="353" t="s">
        <v>3191</v>
      </c>
      <c r="K44" s="356" t="s">
        <v>3189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3221</v>
      </c>
      <c r="B45" s="393" t="s">
        <v>3222</v>
      </c>
      <c r="C45" s="394" t="s">
        <v>3190</v>
      </c>
      <c r="D45" s="395" t="s">
        <v>3223</v>
      </c>
      <c r="E45" s="411" t="s">
        <v>3224</v>
      </c>
      <c r="F45" s="396" t="s">
        <v>3182</v>
      </c>
      <c r="G45" s="396" t="s">
        <v>3183</v>
      </c>
      <c r="H45" s="397" t="s">
        <v>1728</v>
      </c>
      <c r="I45" s="899" t="s">
        <v>1728</v>
      </c>
      <c r="J45" s="353" t="s">
        <v>3191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3225</v>
      </c>
      <c r="B46" s="526" t="s">
        <v>3226</v>
      </c>
      <c r="C46" s="527">
        <v>4</v>
      </c>
      <c r="D46" s="528" t="s">
        <v>3227</v>
      </c>
      <c r="E46" s="426" t="s">
        <v>3228</v>
      </c>
      <c r="F46" s="529" t="s">
        <v>3182</v>
      </c>
      <c r="G46" s="529" t="s">
        <v>3183</v>
      </c>
      <c r="H46" s="530" t="s">
        <v>1729</v>
      </c>
      <c r="I46" s="384" t="s">
        <v>1729</v>
      </c>
      <c r="J46" s="353" t="s">
        <v>3184</v>
      </c>
      <c r="K46" s="354" t="s">
        <v>3185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3225</v>
      </c>
      <c r="B47" s="386" t="s">
        <v>3226</v>
      </c>
      <c r="C47" s="352" t="s">
        <v>3190</v>
      </c>
      <c r="D47" s="387" t="s">
        <v>3227</v>
      </c>
      <c r="E47" s="388" t="s">
        <v>3228</v>
      </c>
      <c r="F47" s="389" t="s">
        <v>3182</v>
      </c>
      <c r="G47" s="389" t="s">
        <v>3183</v>
      </c>
      <c r="H47" s="390" t="s">
        <v>1729</v>
      </c>
      <c r="I47" s="391" t="s">
        <v>1729</v>
      </c>
      <c r="J47" s="353" t="s">
        <v>3184</v>
      </c>
      <c r="K47" s="353" t="s">
        <v>3187</v>
      </c>
      <c r="L47" s="400"/>
      <c r="M47" s="401"/>
      <c r="N47" s="400">
        <v>3</v>
      </c>
      <c r="O47" s="401"/>
      <c r="P47" s="400">
        <v>3</v>
      </c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>
        <v>3</v>
      </c>
      <c r="AC47" s="401"/>
      <c r="AD47" s="400">
        <v>3</v>
      </c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>
        <v>3</v>
      </c>
      <c r="AQ47" s="401"/>
      <c r="AR47" s="400">
        <v>3</v>
      </c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>
        <v>3</v>
      </c>
      <c r="BE47" s="401"/>
      <c r="BF47" s="400">
        <v>3</v>
      </c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>
        <v>3</v>
      </c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27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3225</v>
      </c>
      <c r="B48" s="386" t="s">
        <v>3226</v>
      </c>
      <c r="C48" s="392" t="s">
        <v>3190</v>
      </c>
      <c r="D48" s="387" t="s">
        <v>3227</v>
      </c>
      <c r="E48" s="388" t="s">
        <v>3228</v>
      </c>
      <c r="F48" s="389" t="s">
        <v>3182</v>
      </c>
      <c r="G48" s="389" t="s">
        <v>3183</v>
      </c>
      <c r="H48" s="390" t="s">
        <v>1729</v>
      </c>
      <c r="I48" s="391" t="s">
        <v>1729</v>
      </c>
      <c r="J48" s="353" t="s">
        <v>3184</v>
      </c>
      <c r="K48" s="355" t="s">
        <v>3188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3225</v>
      </c>
      <c r="B49" s="386" t="s">
        <v>3226</v>
      </c>
      <c r="C49" s="392" t="s">
        <v>3190</v>
      </c>
      <c r="D49" s="387" t="s">
        <v>3227</v>
      </c>
      <c r="E49" s="388" t="s">
        <v>3228</v>
      </c>
      <c r="F49" s="389" t="s">
        <v>3182</v>
      </c>
      <c r="G49" s="389" t="s">
        <v>3183</v>
      </c>
      <c r="H49" s="390" t="s">
        <v>1729</v>
      </c>
      <c r="I49" s="391" t="s">
        <v>1729</v>
      </c>
      <c r="J49" s="353" t="s">
        <v>3184</v>
      </c>
      <c r="K49" s="356" t="s">
        <v>3189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3225</v>
      </c>
      <c r="B50" s="393" t="s">
        <v>3226</v>
      </c>
      <c r="C50" s="394" t="s">
        <v>3190</v>
      </c>
      <c r="D50" s="395" t="s">
        <v>3227</v>
      </c>
      <c r="E50" s="411" t="s">
        <v>3228</v>
      </c>
      <c r="F50" s="396" t="s">
        <v>3182</v>
      </c>
      <c r="G50" s="396" t="s">
        <v>3183</v>
      </c>
      <c r="H50" s="397" t="s">
        <v>1729</v>
      </c>
      <c r="I50" s="899" t="s">
        <v>1729</v>
      </c>
      <c r="J50" s="353" t="s">
        <v>3184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3229</v>
      </c>
      <c r="B51" s="526" t="s">
        <v>3230</v>
      </c>
      <c r="C51" s="527">
        <v>4</v>
      </c>
      <c r="D51" s="528" t="s">
        <v>3231</v>
      </c>
      <c r="E51" s="426" t="s">
        <v>3232</v>
      </c>
      <c r="F51" s="529" t="s">
        <v>3182</v>
      </c>
      <c r="G51" s="529" t="s">
        <v>3183</v>
      </c>
      <c r="H51" s="530" t="s">
        <v>1731</v>
      </c>
      <c r="I51" s="384" t="s">
        <v>1731</v>
      </c>
      <c r="J51" s="353" t="s">
        <v>3184</v>
      </c>
      <c r="K51" s="354" t="s">
        <v>3185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3229</v>
      </c>
      <c r="B52" s="386" t="s">
        <v>3230</v>
      </c>
      <c r="C52" s="352" t="s">
        <v>3190</v>
      </c>
      <c r="D52" s="387" t="s">
        <v>3231</v>
      </c>
      <c r="E52" s="388" t="s">
        <v>3232</v>
      </c>
      <c r="F52" s="389" t="s">
        <v>3182</v>
      </c>
      <c r="G52" s="389" t="s">
        <v>3183</v>
      </c>
      <c r="H52" s="390" t="s">
        <v>1731</v>
      </c>
      <c r="I52" s="391" t="s">
        <v>1731</v>
      </c>
      <c r="J52" s="353" t="s">
        <v>3184</v>
      </c>
      <c r="K52" s="353" t="s">
        <v>3187</v>
      </c>
      <c r="L52" s="400"/>
      <c r="M52" s="401"/>
      <c r="N52" s="400"/>
      <c r="O52" s="401"/>
      <c r="P52" s="400">
        <v>4</v>
      </c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>
        <v>4</v>
      </c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>
        <v>4</v>
      </c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>
        <v>4</v>
      </c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16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3229</v>
      </c>
      <c r="B53" s="386" t="s">
        <v>3230</v>
      </c>
      <c r="C53" s="392" t="s">
        <v>3190</v>
      </c>
      <c r="D53" s="387" t="s">
        <v>3231</v>
      </c>
      <c r="E53" s="388" t="s">
        <v>3232</v>
      </c>
      <c r="F53" s="389" t="s">
        <v>3182</v>
      </c>
      <c r="G53" s="389" t="s">
        <v>3183</v>
      </c>
      <c r="H53" s="390" t="s">
        <v>1731</v>
      </c>
      <c r="I53" s="391" t="s">
        <v>1731</v>
      </c>
      <c r="J53" s="353" t="s">
        <v>3184</v>
      </c>
      <c r="K53" s="355" t="s">
        <v>3188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3229</v>
      </c>
      <c r="B54" s="386" t="s">
        <v>3230</v>
      </c>
      <c r="C54" s="392" t="s">
        <v>3190</v>
      </c>
      <c r="D54" s="387" t="s">
        <v>3231</v>
      </c>
      <c r="E54" s="388" t="s">
        <v>3232</v>
      </c>
      <c r="F54" s="389" t="s">
        <v>3182</v>
      </c>
      <c r="G54" s="389" t="s">
        <v>3183</v>
      </c>
      <c r="H54" s="390" t="s">
        <v>1731</v>
      </c>
      <c r="I54" s="391" t="s">
        <v>1731</v>
      </c>
      <c r="J54" s="353" t="s">
        <v>3184</v>
      </c>
      <c r="K54" s="356" t="s">
        <v>3189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3229</v>
      </c>
      <c r="B55" s="393" t="s">
        <v>3230</v>
      </c>
      <c r="C55" s="394" t="s">
        <v>3190</v>
      </c>
      <c r="D55" s="395" t="s">
        <v>3231</v>
      </c>
      <c r="E55" s="411" t="s">
        <v>3232</v>
      </c>
      <c r="F55" s="396" t="s">
        <v>3182</v>
      </c>
      <c r="G55" s="396" t="s">
        <v>3183</v>
      </c>
      <c r="H55" s="397" t="s">
        <v>1731</v>
      </c>
      <c r="I55" s="899" t="s">
        <v>1731</v>
      </c>
      <c r="J55" s="353" t="s">
        <v>3184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3233</v>
      </c>
      <c r="B56" s="526" t="s">
        <v>3234</v>
      </c>
      <c r="C56" s="527">
        <v>4</v>
      </c>
      <c r="D56" s="528" t="s">
        <v>3235</v>
      </c>
      <c r="E56" s="426" t="s">
        <v>3236</v>
      </c>
      <c r="F56" s="529" t="s">
        <v>3182</v>
      </c>
      <c r="G56" s="529" t="s">
        <v>3183</v>
      </c>
      <c r="H56" s="530" t="s">
        <v>1733</v>
      </c>
      <c r="I56" s="384" t="s">
        <v>1733</v>
      </c>
      <c r="J56" s="353" t="s">
        <v>3184</v>
      </c>
      <c r="K56" s="354" t="s">
        <v>3185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3233</v>
      </c>
      <c r="B57" s="386" t="s">
        <v>3234</v>
      </c>
      <c r="C57" s="352" t="s">
        <v>3190</v>
      </c>
      <c r="D57" s="387" t="s">
        <v>3235</v>
      </c>
      <c r="E57" s="388" t="s">
        <v>3236</v>
      </c>
      <c r="F57" s="389" t="s">
        <v>3182</v>
      </c>
      <c r="G57" s="389" t="s">
        <v>3183</v>
      </c>
      <c r="H57" s="390" t="s">
        <v>1733</v>
      </c>
      <c r="I57" s="391" t="s">
        <v>1733</v>
      </c>
      <c r="J57" s="353" t="s">
        <v>3184</v>
      </c>
      <c r="K57" s="353" t="s">
        <v>3187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3233</v>
      </c>
      <c r="B58" s="386" t="s">
        <v>3234</v>
      </c>
      <c r="C58" s="392" t="s">
        <v>3190</v>
      </c>
      <c r="D58" s="387" t="s">
        <v>3235</v>
      </c>
      <c r="E58" s="388" t="s">
        <v>3236</v>
      </c>
      <c r="F58" s="389" t="s">
        <v>3182</v>
      </c>
      <c r="G58" s="389" t="s">
        <v>3183</v>
      </c>
      <c r="H58" s="390" t="s">
        <v>1733</v>
      </c>
      <c r="I58" s="391" t="s">
        <v>1733</v>
      </c>
      <c r="J58" s="353" t="s">
        <v>3184</v>
      </c>
      <c r="K58" s="355" t="s">
        <v>3188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3233</v>
      </c>
      <c r="B59" s="386" t="s">
        <v>3234</v>
      </c>
      <c r="C59" s="392" t="s">
        <v>3190</v>
      </c>
      <c r="D59" s="387" t="s">
        <v>3235</v>
      </c>
      <c r="E59" s="388" t="s">
        <v>3236</v>
      </c>
      <c r="F59" s="389" t="s">
        <v>3182</v>
      </c>
      <c r="G59" s="389" t="s">
        <v>3183</v>
      </c>
      <c r="H59" s="390" t="s">
        <v>1733</v>
      </c>
      <c r="I59" s="391" t="s">
        <v>1733</v>
      </c>
      <c r="J59" s="353" t="s">
        <v>3184</v>
      </c>
      <c r="K59" s="356" t="s">
        <v>3189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3233</v>
      </c>
      <c r="B60" s="393" t="s">
        <v>3234</v>
      </c>
      <c r="C60" s="394" t="s">
        <v>3190</v>
      </c>
      <c r="D60" s="395" t="s">
        <v>3235</v>
      </c>
      <c r="E60" s="411" t="s">
        <v>3236</v>
      </c>
      <c r="F60" s="396" t="s">
        <v>3182</v>
      </c>
      <c r="G60" s="396" t="s">
        <v>3183</v>
      </c>
      <c r="H60" s="397" t="s">
        <v>1733</v>
      </c>
      <c r="I60" s="899" t="s">
        <v>1733</v>
      </c>
      <c r="J60" s="353" t="s">
        <v>3184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3237</v>
      </c>
      <c r="B61" s="526" t="s">
        <v>3238</v>
      </c>
      <c r="C61" s="527">
        <v>4</v>
      </c>
      <c r="D61" s="528" t="s">
        <v>3239</v>
      </c>
      <c r="E61" s="426" t="s">
        <v>3240</v>
      </c>
      <c r="F61" s="529" t="s">
        <v>3182</v>
      </c>
      <c r="G61" s="529" t="s">
        <v>3183</v>
      </c>
      <c r="H61" s="530" t="s">
        <v>1734</v>
      </c>
      <c r="I61" s="384" t="s">
        <v>1734</v>
      </c>
      <c r="J61" s="353" t="s">
        <v>3184</v>
      </c>
      <c r="K61" s="354" t="s">
        <v>3185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3237</v>
      </c>
      <c r="B62" s="386" t="s">
        <v>3238</v>
      </c>
      <c r="C62" s="352" t="s">
        <v>3190</v>
      </c>
      <c r="D62" s="387" t="s">
        <v>3239</v>
      </c>
      <c r="E62" s="388" t="s">
        <v>3240</v>
      </c>
      <c r="F62" s="389" t="s">
        <v>3182</v>
      </c>
      <c r="G62" s="389" t="s">
        <v>3183</v>
      </c>
      <c r="H62" s="390" t="s">
        <v>1734</v>
      </c>
      <c r="I62" s="391" t="s">
        <v>1734</v>
      </c>
      <c r="J62" s="353" t="s">
        <v>3184</v>
      </c>
      <c r="K62" s="353" t="s">
        <v>3187</v>
      </c>
      <c r="L62" s="400"/>
      <c r="M62" s="401"/>
      <c r="N62" s="400"/>
      <c r="O62" s="401"/>
      <c r="P62" s="400">
        <v>3</v>
      </c>
      <c r="Q62" s="401"/>
      <c r="R62" s="400"/>
      <c r="S62" s="401"/>
      <c r="T62" s="400"/>
      <c r="U62" s="401"/>
      <c r="V62" s="400"/>
      <c r="W62" s="401"/>
      <c r="X62" s="400">
        <v>5</v>
      </c>
      <c r="Y62" s="401"/>
      <c r="Z62" s="400"/>
      <c r="AA62" s="401"/>
      <c r="AB62" s="400"/>
      <c r="AC62" s="401"/>
      <c r="AD62" s="400">
        <v>3</v>
      </c>
      <c r="AE62" s="401"/>
      <c r="AF62" s="400"/>
      <c r="AG62" s="401"/>
      <c r="AH62" s="400"/>
      <c r="AI62" s="401"/>
      <c r="AJ62" s="400"/>
      <c r="AK62" s="401"/>
      <c r="AL62" s="400">
        <v>5</v>
      </c>
      <c r="AM62" s="401"/>
      <c r="AN62" s="400"/>
      <c r="AO62" s="401"/>
      <c r="AP62" s="400"/>
      <c r="AQ62" s="401"/>
      <c r="AR62" s="400">
        <v>3</v>
      </c>
      <c r="AS62" s="401"/>
      <c r="AT62" s="400"/>
      <c r="AU62" s="401"/>
      <c r="AV62" s="400"/>
      <c r="AW62" s="401"/>
      <c r="AX62" s="400"/>
      <c r="AY62" s="401"/>
      <c r="AZ62" s="400">
        <v>5</v>
      </c>
      <c r="BA62" s="401"/>
      <c r="BB62" s="400"/>
      <c r="BC62" s="401"/>
      <c r="BD62" s="400"/>
      <c r="BE62" s="401"/>
      <c r="BF62" s="400">
        <v>3</v>
      </c>
      <c r="BG62" s="401"/>
      <c r="BH62" s="400"/>
      <c r="BI62" s="401"/>
      <c r="BJ62" s="400"/>
      <c r="BK62" s="401"/>
      <c r="BL62" s="400"/>
      <c r="BM62" s="401"/>
      <c r="BN62" s="400">
        <v>5</v>
      </c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32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3237</v>
      </c>
      <c r="B63" s="386" t="s">
        <v>3238</v>
      </c>
      <c r="C63" s="392" t="s">
        <v>3190</v>
      </c>
      <c r="D63" s="387" t="s">
        <v>3239</v>
      </c>
      <c r="E63" s="388" t="s">
        <v>3240</v>
      </c>
      <c r="F63" s="389" t="s">
        <v>3182</v>
      </c>
      <c r="G63" s="389" t="s">
        <v>3183</v>
      </c>
      <c r="H63" s="390" t="s">
        <v>1734</v>
      </c>
      <c r="I63" s="391" t="s">
        <v>1734</v>
      </c>
      <c r="J63" s="353" t="s">
        <v>3184</v>
      </c>
      <c r="K63" s="355" t="s">
        <v>3188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3237</v>
      </c>
      <c r="B64" s="386" t="s">
        <v>3238</v>
      </c>
      <c r="C64" s="392" t="s">
        <v>3190</v>
      </c>
      <c r="D64" s="387" t="s">
        <v>3239</v>
      </c>
      <c r="E64" s="388" t="s">
        <v>3240</v>
      </c>
      <c r="F64" s="389" t="s">
        <v>3182</v>
      </c>
      <c r="G64" s="389" t="s">
        <v>3183</v>
      </c>
      <c r="H64" s="390" t="s">
        <v>1734</v>
      </c>
      <c r="I64" s="391" t="s">
        <v>1734</v>
      </c>
      <c r="J64" s="353" t="s">
        <v>3184</v>
      </c>
      <c r="K64" s="356" t="s">
        <v>3189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3237</v>
      </c>
      <c r="B65" s="393" t="s">
        <v>3238</v>
      </c>
      <c r="C65" s="394" t="s">
        <v>3190</v>
      </c>
      <c r="D65" s="395" t="s">
        <v>3239</v>
      </c>
      <c r="E65" s="411" t="s">
        <v>3240</v>
      </c>
      <c r="F65" s="396" t="s">
        <v>3182</v>
      </c>
      <c r="G65" s="396" t="s">
        <v>3183</v>
      </c>
      <c r="H65" s="397" t="s">
        <v>1734</v>
      </c>
      <c r="I65" s="899" t="s">
        <v>1734</v>
      </c>
      <c r="J65" s="353" t="s">
        <v>3184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3241</v>
      </c>
      <c r="B66" s="526" t="s">
        <v>3242</v>
      </c>
      <c r="C66" s="527">
        <v>4</v>
      </c>
      <c r="D66" s="528" t="s">
        <v>3243</v>
      </c>
      <c r="E66" s="426" t="s">
        <v>3244</v>
      </c>
      <c r="F66" s="529" t="s">
        <v>3182</v>
      </c>
      <c r="G66" s="529" t="s">
        <v>3183</v>
      </c>
      <c r="H66" s="530" t="s">
        <v>1735</v>
      </c>
      <c r="I66" s="384" t="s">
        <v>1735</v>
      </c>
      <c r="J66" s="353" t="s">
        <v>3184</v>
      </c>
      <c r="K66" s="354" t="s">
        <v>3185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3241</v>
      </c>
      <c r="B67" s="386" t="s">
        <v>3242</v>
      </c>
      <c r="C67" s="352" t="s">
        <v>3190</v>
      </c>
      <c r="D67" s="387" t="s">
        <v>3243</v>
      </c>
      <c r="E67" s="388" t="s">
        <v>3244</v>
      </c>
      <c r="F67" s="389" t="s">
        <v>3182</v>
      </c>
      <c r="G67" s="389" t="s">
        <v>3183</v>
      </c>
      <c r="H67" s="390" t="s">
        <v>1735</v>
      </c>
      <c r="I67" s="391" t="s">
        <v>1735</v>
      </c>
      <c r="J67" s="353" t="s">
        <v>3184</v>
      </c>
      <c r="K67" s="353" t="s">
        <v>3187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3241</v>
      </c>
      <c r="B68" s="386" t="s">
        <v>3242</v>
      </c>
      <c r="C68" s="392" t="s">
        <v>3190</v>
      </c>
      <c r="D68" s="387" t="s">
        <v>3243</v>
      </c>
      <c r="E68" s="388" t="s">
        <v>3244</v>
      </c>
      <c r="F68" s="389" t="s">
        <v>3182</v>
      </c>
      <c r="G68" s="389" t="s">
        <v>3183</v>
      </c>
      <c r="H68" s="390" t="s">
        <v>1735</v>
      </c>
      <c r="I68" s="391" t="s">
        <v>1735</v>
      </c>
      <c r="J68" s="353" t="s">
        <v>3184</v>
      </c>
      <c r="K68" s="355" t="s">
        <v>3188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3241</v>
      </c>
      <c r="B69" s="386" t="s">
        <v>3242</v>
      </c>
      <c r="C69" s="392" t="s">
        <v>3190</v>
      </c>
      <c r="D69" s="387" t="s">
        <v>3243</v>
      </c>
      <c r="E69" s="388" t="s">
        <v>3244</v>
      </c>
      <c r="F69" s="389" t="s">
        <v>3182</v>
      </c>
      <c r="G69" s="389" t="s">
        <v>3183</v>
      </c>
      <c r="H69" s="390" t="s">
        <v>1735</v>
      </c>
      <c r="I69" s="391" t="s">
        <v>1735</v>
      </c>
      <c r="J69" s="353" t="s">
        <v>3184</v>
      </c>
      <c r="K69" s="356" t="s">
        <v>3189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3241</v>
      </c>
      <c r="B70" s="393" t="s">
        <v>3242</v>
      </c>
      <c r="C70" s="394" t="s">
        <v>3190</v>
      </c>
      <c r="D70" s="395" t="s">
        <v>3243</v>
      </c>
      <c r="E70" s="411" t="s">
        <v>3244</v>
      </c>
      <c r="F70" s="396" t="s">
        <v>3182</v>
      </c>
      <c r="G70" s="396" t="s">
        <v>3183</v>
      </c>
      <c r="H70" s="397" t="s">
        <v>1735</v>
      </c>
      <c r="I70" s="899" t="s">
        <v>1735</v>
      </c>
      <c r="J70" s="353" t="s">
        <v>3184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3245</v>
      </c>
      <c r="B71" s="526" t="s">
        <v>3246</v>
      </c>
      <c r="C71" s="527">
        <v>2</v>
      </c>
      <c r="D71" s="528" t="s">
        <v>3247</v>
      </c>
      <c r="E71" s="426" t="s">
        <v>3248</v>
      </c>
      <c r="F71" s="529" t="s">
        <v>3182</v>
      </c>
      <c r="G71" s="529" t="s">
        <v>3183</v>
      </c>
      <c r="H71" s="530" t="s">
        <v>1736</v>
      </c>
      <c r="I71" s="384" t="s">
        <v>1736</v>
      </c>
      <c r="J71" s="353" t="s">
        <v>3191</v>
      </c>
      <c r="K71" s="354" t="s">
        <v>3185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3245</v>
      </c>
      <c r="B72" s="386" t="s">
        <v>3246</v>
      </c>
      <c r="C72" s="352" t="s">
        <v>3186</v>
      </c>
      <c r="D72" s="387" t="s">
        <v>3247</v>
      </c>
      <c r="E72" s="388" t="s">
        <v>3248</v>
      </c>
      <c r="F72" s="389" t="s">
        <v>3182</v>
      </c>
      <c r="G72" s="389" t="s">
        <v>3183</v>
      </c>
      <c r="H72" s="390" t="s">
        <v>1736</v>
      </c>
      <c r="I72" s="391" t="s">
        <v>1736</v>
      </c>
      <c r="J72" s="353" t="s">
        <v>3191</v>
      </c>
      <c r="K72" s="353" t="s">
        <v>3187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3245</v>
      </c>
      <c r="B73" s="386" t="s">
        <v>3246</v>
      </c>
      <c r="C73" s="392" t="s">
        <v>3186</v>
      </c>
      <c r="D73" s="387" t="s">
        <v>3247</v>
      </c>
      <c r="E73" s="388" t="s">
        <v>3248</v>
      </c>
      <c r="F73" s="389" t="s">
        <v>3182</v>
      </c>
      <c r="G73" s="389" t="s">
        <v>3183</v>
      </c>
      <c r="H73" s="390" t="s">
        <v>1736</v>
      </c>
      <c r="I73" s="391" t="s">
        <v>1736</v>
      </c>
      <c r="J73" s="353" t="s">
        <v>3191</v>
      </c>
      <c r="K73" s="355" t="s">
        <v>3188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3245</v>
      </c>
      <c r="B74" s="386" t="s">
        <v>3246</v>
      </c>
      <c r="C74" s="392" t="s">
        <v>3186</v>
      </c>
      <c r="D74" s="387" t="s">
        <v>3247</v>
      </c>
      <c r="E74" s="388" t="s">
        <v>3248</v>
      </c>
      <c r="F74" s="389" t="s">
        <v>3182</v>
      </c>
      <c r="G74" s="389" t="s">
        <v>3183</v>
      </c>
      <c r="H74" s="390" t="s">
        <v>1736</v>
      </c>
      <c r="I74" s="391" t="s">
        <v>1736</v>
      </c>
      <c r="J74" s="353" t="s">
        <v>3191</v>
      </c>
      <c r="K74" s="356" t="s">
        <v>3189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3245</v>
      </c>
      <c r="B75" s="393" t="s">
        <v>3246</v>
      </c>
      <c r="C75" s="394" t="s">
        <v>3186</v>
      </c>
      <c r="D75" s="395" t="s">
        <v>3247</v>
      </c>
      <c r="E75" s="411" t="s">
        <v>3248</v>
      </c>
      <c r="F75" s="396" t="s">
        <v>3182</v>
      </c>
      <c r="G75" s="396" t="s">
        <v>3183</v>
      </c>
      <c r="H75" s="397" t="s">
        <v>1736</v>
      </c>
      <c r="I75" s="899" t="s">
        <v>1736</v>
      </c>
      <c r="J75" s="353" t="s">
        <v>3191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3249</v>
      </c>
      <c r="B76" s="526" t="s">
        <v>3250</v>
      </c>
      <c r="C76" s="527">
        <v>1</v>
      </c>
      <c r="D76" s="528" t="s">
        <v>3251</v>
      </c>
      <c r="E76" s="426" t="s">
        <v>3252</v>
      </c>
      <c r="F76" s="529" t="s">
        <v>3182</v>
      </c>
      <c r="G76" s="529" t="s">
        <v>3183</v>
      </c>
      <c r="H76" s="530" t="s">
        <v>1738</v>
      </c>
      <c r="I76" s="384" t="s">
        <v>1738</v>
      </c>
      <c r="J76" s="353" t="s">
        <v>3184</v>
      </c>
      <c r="K76" s="354" t="s">
        <v>3185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3249</v>
      </c>
      <c r="B77" s="386" t="s">
        <v>3250</v>
      </c>
      <c r="C77" s="352" t="s">
        <v>3186</v>
      </c>
      <c r="D77" s="387" t="s">
        <v>3251</v>
      </c>
      <c r="E77" s="388" t="s">
        <v>3252</v>
      </c>
      <c r="F77" s="389" t="s">
        <v>3182</v>
      </c>
      <c r="G77" s="389" t="s">
        <v>3183</v>
      </c>
      <c r="H77" s="390" t="s">
        <v>1738</v>
      </c>
      <c r="I77" s="391" t="s">
        <v>1738</v>
      </c>
      <c r="J77" s="353" t="s">
        <v>3184</v>
      </c>
      <c r="K77" s="353" t="s">
        <v>3187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3249</v>
      </c>
      <c r="B78" s="386" t="s">
        <v>3250</v>
      </c>
      <c r="C78" s="392" t="s">
        <v>3186</v>
      </c>
      <c r="D78" s="387" t="s">
        <v>3251</v>
      </c>
      <c r="E78" s="388" t="s">
        <v>3252</v>
      </c>
      <c r="F78" s="389" t="s">
        <v>3182</v>
      </c>
      <c r="G78" s="389" t="s">
        <v>3183</v>
      </c>
      <c r="H78" s="390" t="s">
        <v>1738</v>
      </c>
      <c r="I78" s="391" t="s">
        <v>1738</v>
      </c>
      <c r="J78" s="353" t="s">
        <v>3184</v>
      </c>
      <c r="K78" s="355" t="s">
        <v>3188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3249</v>
      </c>
      <c r="B79" s="386" t="s">
        <v>3250</v>
      </c>
      <c r="C79" s="392" t="s">
        <v>3186</v>
      </c>
      <c r="D79" s="387" t="s">
        <v>3251</v>
      </c>
      <c r="E79" s="388" t="s">
        <v>3252</v>
      </c>
      <c r="F79" s="389" t="s">
        <v>3182</v>
      </c>
      <c r="G79" s="389" t="s">
        <v>3183</v>
      </c>
      <c r="H79" s="390" t="s">
        <v>1738</v>
      </c>
      <c r="I79" s="391" t="s">
        <v>1738</v>
      </c>
      <c r="J79" s="353" t="s">
        <v>3184</v>
      </c>
      <c r="K79" s="356" t="s">
        <v>3189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3249</v>
      </c>
      <c r="B80" s="393" t="s">
        <v>3250</v>
      </c>
      <c r="C80" s="394" t="s">
        <v>3186</v>
      </c>
      <c r="D80" s="395" t="s">
        <v>3251</v>
      </c>
      <c r="E80" s="411" t="s">
        <v>3252</v>
      </c>
      <c r="F80" s="396" t="s">
        <v>3182</v>
      </c>
      <c r="G80" s="396" t="s">
        <v>3183</v>
      </c>
      <c r="H80" s="397" t="s">
        <v>1738</v>
      </c>
      <c r="I80" s="899" t="s">
        <v>1738</v>
      </c>
      <c r="J80" s="353" t="s">
        <v>3184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3253</v>
      </c>
      <c r="B81" s="526" t="s">
        <v>3254</v>
      </c>
      <c r="C81" s="527">
        <v>1</v>
      </c>
      <c r="D81" s="528" t="s">
        <v>3255</v>
      </c>
      <c r="E81" s="426" t="s">
        <v>3256</v>
      </c>
      <c r="F81" s="529" t="s">
        <v>3182</v>
      </c>
      <c r="G81" s="529" t="s">
        <v>3183</v>
      </c>
      <c r="H81" s="530" t="s">
        <v>1739</v>
      </c>
      <c r="I81" s="384" t="s">
        <v>1739</v>
      </c>
      <c r="J81" s="353" t="s">
        <v>3184</v>
      </c>
      <c r="K81" s="354" t="s">
        <v>3185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3253</v>
      </c>
      <c r="B82" s="386" t="s">
        <v>3254</v>
      </c>
      <c r="C82" s="352" t="s">
        <v>3186</v>
      </c>
      <c r="D82" s="387" t="s">
        <v>3255</v>
      </c>
      <c r="E82" s="388" t="s">
        <v>3256</v>
      </c>
      <c r="F82" s="389" t="s">
        <v>3182</v>
      </c>
      <c r="G82" s="389" t="s">
        <v>3183</v>
      </c>
      <c r="H82" s="390" t="s">
        <v>1739</v>
      </c>
      <c r="I82" s="391" t="s">
        <v>1739</v>
      </c>
      <c r="J82" s="353" t="s">
        <v>3184</v>
      </c>
      <c r="K82" s="353" t="s">
        <v>3187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3253</v>
      </c>
      <c r="B83" s="386" t="s">
        <v>3254</v>
      </c>
      <c r="C83" s="392" t="s">
        <v>3186</v>
      </c>
      <c r="D83" s="387" t="s">
        <v>3255</v>
      </c>
      <c r="E83" s="388" t="s">
        <v>3256</v>
      </c>
      <c r="F83" s="389" t="s">
        <v>3182</v>
      </c>
      <c r="G83" s="389" t="s">
        <v>3183</v>
      </c>
      <c r="H83" s="390" t="s">
        <v>1739</v>
      </c>
      <c r="I83" s="391" t="s">
        <v>1739</v>
      </c>
      <c r="J83" s="353" t="s">
        <v>3184</v>
      </c>
      <c r="K83" s="355" t="s">
        <v>3188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3253</v>
      </c>
      <c r="B84" s="386" t="s">
        <v>3254</v>
      </c>
      <c r="C84" s="392" t="s">
        <v>3186</v>
      </c>
      <c r="D84" s="387" t="s">
        <v>3255</v>
      </c>
      <c r="E84" s="388" t="s">
        <v>3256</v>
      </c>
      <c r="F84" s="389" t="s">
        <v>3182</v>
      </c>
      <c r="G84" s="389" t="s">
        <v>3183</v>
      </c>
      <c r="H84" s="390" t="s">
        <v>1739</v>
      </c>
      <c r="I84" s="391" t="s">
        <v>1739</v>
      </c>
      <c r="J84" s="353" t="s">
        <v>3184</v>
      </c>
      <c r="K84" s="356" t="s">
        <v>3189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3253</v>
      </c>
      <c r="B85" s="393" t="s">
        <v>3254</v>
      </c>
      <c r="C85" s="394" t="s">
        <v>3186</v>
      </c>
      <c r="D85" s="395" t="s">
        <v>3255</v>
      </c>
      <c r="E85" s="411" t="s">
        <v>3256</v>
      </c>
      <c r="F85" s="396" t="s">
        <v>3182</v>
      </c>
      <c r="G85" s="396" t="s">
        <v>3183</v>
      </c>
      <c r="H85" s="397" t="s">
        <v>1739</v>
      </c>
      <c r="I85" s="899" t="s">
        <v>1739</v>
      </c>
      <c r="J85" s="353" t="s">
        <v>3184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3257</v>
      </c>
      <c r="B86" s="526" t="s">
        <v>3258</v>
      </c>
      <c r="C86" s="527">
        <v>4</v>
      </c>
      <c r="D86" s="528" t="s">
        <v>3259</v>
      </c>
      <c r="E86" s="426" t="s">
        <v>3260</v>
      </c>
      <c r="F86" s="529" t="s">
        <v>3182</v>
      </c>
      <c r="G86" s="529" t="s">
        <v>3183</v>
      </c>
      <c r="H86" s="530" t="s">
        <v>1740</v>
      </c>
      <c r="I86" s="384" t="s">
        <v>1740</v>
      </c>
      <c r="J86" s="353" t="s">
        <v>3191</v>
      </c>
      <c r="K86" s="354" t="s">
        <v>3185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3257</v>
      </c>
      <c r="B87" s="386" t="s">
        <v>3258</v>
      </c>
      <c r="C87" s="352" t="s">
        <v>3190</v>
      </c>
      <c r="D87" s="387" t="s">
        <v>3259</v>
      </c>
      <c r="E87" s="388" t="s">
        <v>3260</v>
      </c>
      <c r="F87" s="389" t="s">
        <v>3182</v>
      </c>
      <c r="G87" s="389" t="s">
        <v>3183</v>
      </c>
      <c r="H87" s="390" t="s">
        <v>1740</v>
      </c>
      <c r="I87" s="391" t="s">
        <v>1740</v>
      </c>
      <c r="J87" s="353" t="s">
        <v>3191</v>
      </c>
      <c r="K87" s="353" t="s">
        <v>3187</v>
      </c>
      <c r="L87" s="400">
        <v>1</v>
      </c>
      <c r="M87" s="401"/>
      <c r="N87" s="400">
        <v>1</v>
      </c>
      <c r="O87" s="401"/>
      <c r="P87" s="400">
        <v>1</v>
      </c>
      <c r="Q87" s="401"/>
      <c r="R87" s="400"/>
      <c r="S87" s="401"/>
      <c r="T87" s="400"/>
      <c r="U87" s="401"/>
      <c r="V87" s="400"/>
      <c r="W87" s="401"/>
      <c r="X87" s="400"/>
      <c r="Y87" s="401"/>
      <c r="Z87" s="400">
        <v>1</v>
      </c>
      <c r="AA87" s="401"/>
      <c r="AB87" s="400">
        <v>1</v>
      </c>
      <c r="AC87" s="401"/>
      <c r="AD87" s="400">
        <v>1</v>
      </c>
      <c r="AE87" s="401"/>
      <c r="AF87" s="400"/>
      <c r="AG87" s="401"/>
      <c r="AH87" s="400"/>
      <c r="AI87" s="401"/>
      <c r="AJ87" s="400"/>
      <c r="AK87" s="401"/>
      <c r="AL87" s="400"/>
      <c r="AM87" s="401"/>
      <c r="AN87" s="400">
        <v>1</v>
      </c>
      <c r="AO87" s="401"/>
      <c r="AP87" s="400">
        <v>1</v>
      </c>
      <c r="AQ87" s="401"/>
      <c r="AR87" s="400">
        <v>1</v>
      </c>
      <c r="AS87" s="401"/>
      <c r="AT87" s="400"/>
      <c r="AU87" s="401"/>
      <c r="AV87" s="400"/>
      <c r="AW87" s="401"/>
      <c r="AX87" s="400"/>
      <c r="AY87" s="401"/>
      <c r="AZ87" s="400"/>
      <c r="BA87" s="401"/>
      <c r="BB87" s="400">
        <v>1</v>
      </c>
      <c r="BC87" s="401"/>
      <c r="BD87" s="400">
        <v>1</v>
      </c>
      <c r="BE87" s="401"/>
      <c r="BF87" s="400">
        <v>1</v>
      </c>
      <c r="BG87" s="401"/>
      <c r="BH87" s="400"/>
      <c r="BI87" s="401"/>
      <c r="BJ87" s="400"/>
      <c r="BK87" s="401"/>
      <c r="BL87" s="400"/>
      <c r="BM87" s="401"/>
      <c r="BN87" s="400"/>
      <c r="BO87" s="401"/>
      <c r="BP87" s="400">
        <v>1</v>
      </c>
      <c r="BQ87" s="401"/>
      <c r="BR87" s="400">
        <v>1</v>
      </c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14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3257</v>
      </c>
      <c r="B88" s="386" t="s">
        <v>3258</v>
      </c>
      <c r="C88" s="392" t="s">
        <v>3190</v>
      </c>
      <c r="D88" s="387" t="s">
        <v>3259</v>
      </c>
      <c r="E88" s="388" t="s">
        <v>3260</v>
      </c>
      <c r="F88" s="389" t="s">
        <v>3182</v>
      </c>
      <c r="G88" s="389" t="s">
        <v>3183</v>
      </c>
      <c r="H88" s="390" t="s">
        <v>1740</v>
      </c>
      <c r="I88" s="391" t="s">
        <v>1740</v>
      </c>
      <c r="J88" s="353" t="s">
        <v>3191</v>
      </c>
      <c r="K88" s="355" t="s">
        <v>3188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3257</v>
      </c>
      <c r="B89" s="386" t="s">
        <v>3258</v>
      </c>
      <c r="C89" s="392" t="s">
        <v>3190</v>
      </c>
      <c r="D89" s="387" t="s">
        <v>3259</v>
      </c>
      <c r="E89" s="388" t="s">
        <v>3260</v>
      </c>
      <c r="F89" s="389" t="s">
        <v>3182</v>
      </c>
      <c r="G89" s="389" t="s">
        <v>3183</v>
      </c>
      <c r="H89" s="390" t="s">
        <v>1740</v>
      </c>
      <c r="I89" s="391" t="s">
        <v>1740</v>
      </c>
      <c r="J89" s="353" t="s">
        <v>3191</v>
      </c>
      <c r="K89" s="356" t="s">
        <v>3189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3257</v>
      </c>
      <c r="B90" s="393" t="s">
        <v>3258</v>
      </c>
      <c r="C90" s="394" t="s">
        <v>3190</v>
      </c>
      <c r="D90" s="395" t="s">
        <v>3259</v>
      </c>
      <c r="E90" s="411" t="s">
        <v>3260</v>
      </c>
      <c r="F90" s="396" t="s">
        <v>3182</v>
      </c>
      <c r="G90" s="396" t="s">
        <v>3183</v>
      </c>
      <c r="H90" s="397" t="s">
        <v>1740</v>
      </c>
      <c r="I90" s="899" t="s">
        <v>1740</v>
      </c>
      <c r="J90" s="353" t="s">
        <v>3191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3261</v>
      </c>
      <c r="B91" s="526" t="s">
        <v>3262</v>
      </c>
      <c r="C91" s="527">
        <v>1</v>
      </c>
      <c r="D91" s="528" t="s">
        <v>3263</v>
      </c>
      <c r="E91" s="426" t="s">
        <v>3264</v>
      </c>
      <c r="F91" s="529" t="s">
        <v>3182</v>
      </c>
      <c r="G91" s="529" t="s">
        <v>3183</v>
      </c>
      <c r="H91" s="530" t="s">
        <v>1742</v>
      </c>
      <c r="I91" s="384" t="s">
        <v>1742</v>
      </c>
      <c r="J91" s="353" t="s">
        <v>3184</v>
      </c>
      <c r="K91" s="354" t="s">
        <v>3185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3261</v>
      </c>
      <c r="B92" s="386" t="s">
        <v>3262</v>
      </c>
      <c r="C92" s="352" t="s">
        <v>3186</v>
      </c>
      <c r="D92" s="387" t="s">
        <v>3263</v>
      </c>
      <c r="E92" s="388" t="s">
        <v>3264</v>
      </c>
      <c r="F92" s="389" t="s">
        <v>3182</v>
      </c>
      <c r="G92" s="389" t="s">
        <v>3183</v>
      </c>
      <c r="H92" s="390" t="s">
        <v>1742</v>
      </c>
      <c r="I92" s="391" t="s">
        <v>1742</v>
      </c>
      <c r="J92" s="353" t="s">
        <v>3184</v>
      </c>
      <c r="K92" s="353" t="s">
        <v>3187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3261</v>
      </c>
      <c r="B93" s="386" t="s">
        <v>3262</v>
      </c>
      <c r="C93" s="392" t="s">
        <v>3186</v>
      </c>
      <c r="D93" s="387" t="s">
        <v>3263</v>
      </c>
      <c r="E93" s="388" t="s">
        <v>3264</v>
      </c>
      <c r="F93" s="389" t="s">
        <v>3182</v>
      </c>
      <c r="G93" s="389" t="s">
        <v>3183</v>
      </c>
      <c r="H93" s="390" t="s">
        <v>1742</v>
      </c>
      <c r="I93" s="391" t="s">
        <v>1742</v>
      </c>
      <c r="J93" s="353" t="s">
        <v>3184</v>
      </c>
      <c r="K93" s="355" t="s">
        <v>3188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3261</v>
      </c>
      <c r="B94" s="386" t="s">
        <v>3262</v>
      </c>
      <c r="C94" s="392" t="s">
        <v>3186</v>
      </c>
      <c r="D94" s="387" t="s">
        <v>3263</v>
      </c>
      <c r="E94" s="388" t="s">
        <v>3264</v>
      </c>
      <c r="F94" s="389" t="s">
        <v>3182</v>
      </c>
      <c r="G94" s="389" t="s">
        <v>3183</v>
      </c>
      <c r="H94" s="390" t="s">
        <v>1742</v>
      </c>
      <c r="I94" s="391" t="s">
        <v>1742</v>
      </c>
      <c r="J94" s="353" t="s">
        <v>3184</v>
      </c>
      <c r="K94" s="356" t="s">
        <v>3189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3261</v>
      </c>
      <c r="B95" s="393" t="s">
        <v>3262</v>
      </c>
      <c r="C95" s="394" t="s">
        <v>3186</v>
      </c>
      <c r="D95" s="395" t="s">
        <v>3263</v>
      </c>
      <c r="E95" s="411" t="s">
        <v>3264</v>
      </c>
      <c r="F95" s="396" t="s">
        <v>3182</v>
      </c>
      <c r="G95" s="396" t="s">
        <v>3183</v>
      </c>
      <c r="H95" s="397" t="s">
        <v>1742</v>
      </c>
      <c r="I95" s="899" t="s">
        <v>1742</v>
      </c>
      <c r="J95" s="353" t="s">
        <v>3184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3265</v>
      </c>
      <c r="B96" s="526" t="s">
        <v>3266</v>
      </c>
      <c r="C96" s="527">
        <v>1</v>
      </c>
      <c r="D96" s="528" t="s">
        <v>3267</v>
      </c>
      <c r="E96" s="426" t="s">
        <v>3268</v>
      </c>
      <c r="F96" s="529" t="s">
        <v>3182</v>
      </c>
      <c r="G96" s="529" t="s">
        <v>3183</v>
      </c>
      <c r="H96" s="530" t="s">
        <v>1743</v>
      </c>
      <c r="I96" s="384" t="s">
        <v>1743</v>
      </c>
      <c r="J96" s="353" t="s">
        <v>3184</v>
      </c>
      <c r="K96" s="354" t="s">
        <v>3185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3265</v>
      </c>
      <c r="B97" s="386" t="s">
        <v>3266</v>
      </c>
      <c r="C97" s="352" t="s">
        <v>3186</v>
      </c>
      <c r="D97" s="387" t="s">
        <v>3267</v>
      </c>
      <c r="E97" s="388" t="s">
        <v>3268</v>
      </c>
      <c r="F97" s="389" t="s">
        <v>3182</v>
      </c>
      <c r="G97" s="389" t="s">
        <v>3183</v>
      </c>
      <c r="H97" s="390" t="s">
        <v>1743</v>
      </c>
      <c r="I97" s="391" t="s">
        <v>1743</v>
      </c>
      <c r="J97" s="353" t="s">
        <v>3184</v>
      </c>
      <c r="K97" s="353" t="s">
        <v>3187</v>
      </c>
      <c r="L97" s="400">
        <v>1</v>
      </c>
      <c r="M97" s="401"/>
      <c r="N97" s="400"/>
      <c r="O97" s="401"/>
      <c r="P97" s="400"/>
      <c r="Q97" s="401"/>
      <c r="R97" s="400"/>
      <c r="S97" s="401"/>
      <c r="T97" s="400"/>
      <c r="U97" s="401"/>
      <c r="V97" s="400">
        <v>4</v>
      </c>
      <c r="W97" s="401"/>
      <c r="X97" s="400">
        <v>3</v>
      </c>
      <c r="Y97" s="401"/>
      <c r="Z97" s="400">
        <v>1</v>
      </c>
      <c r="AA97" s="401"/>
      <c r="AB97" s="400"/>
      <c r="AC97" s="401"/>
      <c r="AD97" s="400"/>
      <c r="AE97" s="401"/>
      <c r="AF97" s="400"/>
      <c r="AG97" s="401"/>
      <c r="AH97" s="400"/>
      <c r="AI97" s="401"/>
      <c r="AJ97" s="400">
        <v>4</v>
      </c>
      <c r="AK97" s="401"/>
      <c r="AL97" s="400">
        <v>3</v>
      </c>
      <c r="AM97" s="401"/>
      <c r="AN97" s="400">
        <v>1</v>
      </c>
      <c r="AO97" s="401"/>
      <c r="AP97" s="400"/>
      <c r="AQ97" s="401"/>
      <c r="AR97" s="400"/>
      <c r="AS97" s="401"/>
      <c r="AT97" s="400"/>
      <c r="AU97" s="401"/>
      <c r="AV97" s="400"/>
      <c r="AW97" s="401"/>
      <c r="AX97" s="400">
        <v>4</v>
      </c>
      <c r="AY97" s="401"/>
      <c r="AZ97" s="400">
        <v>3</v>
      </c>
      <c r="BA97" s="401"/>
      <c r="BB97" s="400">
        <v>1</v>
      </c>
      <c r="BC97" s="401"/>
      <c r="BD97" s="400"/>
      <c r="BE97" s="401"/>
      <c r="BF97" s="400"/>
      <c r="BG97" s="401"/>
      <c r="BH97" s="400"/>
      <c r="BI97" s="401"/>
      <c r="BJ97" s="400"/>
      <c r="BK97" s="401"/>
      <c r="BL97" s="400">
        <v>4</v>
      </c>
      <c r="BM97" s="401"/>
      <c r="BN97" s="400">
        <v>3</v>
      </c>
      <c r="BO97" s="401"/>
      <c r="BP97" s="400">
        <v>1</v>
      </c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33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3265</v>
      </c>
      <c r="B98" s="386" t="s">
        <v>3266</v>
      </c>
      <c r="C98" s="392" t="s">
        <v>3186</v>
      </c>
      <c r="D98" s="387" t="s">
        <v>3267</v>
      </c>
      <c r="E98" s="388" t="s">
        <v>3268</v>
      </c>
      <c r="F98" s="389" t="s">
        <v>3182</v>
      </c>
      <c r="G98" s="389" t="s">
        <v>3183</v>
      </c>
      <c r="H98" s="390" t="s">
        <v>1743</v>
      </c>
      <c r="I98" s="391" t="s">
        <v>1743</v>
      </c>
      <c r="J98" s="353" t="s">
        <v>3184</v>
      </c>
      <c r="K98" s="355" t="s">
        <v>3188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3265</v>
      </c>
      <c r="B99" s="386" t="s">
        <v>3266</v>
      </c>
      <c r="C99" s="392" t="s">
        <v>3186</v>
      </c>
      <c r="D99" s="387" t="s">
        <v>3267</v>
      </c>
      <c r="E99" s="388" t="s">
        <v>3268</v>
      </c>
      <c r="F99" s="389" t="s">
        <v>3182</v>
      </c>
      <c r="G99" s="389" t="s">
        <v>3183</v>
      </c>
      <c r="H99" s="390" t="s">
        <v>1743</v>
      </c>
      <c r="I99" s="391" t="s">
        <v>1743</v>
      </c>
      <c r="J99" s="353" t="s">
        <v>3184</v>
      </c>
      <c r="K99" s="356" t="s">
        <v>3189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3265</v>
      </c>
      <c r="B100" s="393" t="s">
        <v>3266</v>
      </c>
      <c r="C100" s="394" t="s">
        <v>3186</v>
      </c>
      <c r="D100" s="395" t="s">
        <v>3267</v>
      </c>
      <c r="E100" s="411" t="s">
        <v>3268</v>
      </c>
      <c r="F100" s="396" t="s">
        <v>3182</v>
      </c>
      <c r="G100" s="396" t="s">
        <v>3183</v>
      </c>
      <c r="H100" s="397" t="s">
        <v>1743</v>
      </c>
      <c r="I100" s="899" t="s">
        <v>1743</v>
      </c>
      <c r="J100" s="353" t="s">
        <v>3184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3269</v>
      </c>
      <c r="B101" s="526" t="s">
        <v>3270</v>
      </c>
      <c r="C101" s="527">
        <v>1</v>
      </c>
      <c r="D101" s="528" t="s">
        <v>3271</v>
      </c>
      <c r="E101" s="426" t="s">
        <v>3272</v>
      </c>
      <c r="F101" s="529" t="s">
        <v>3182</v>
      </c>
      <c r="G101" s="529" t="s">
        <v>3183</v>
      </c>
      <c r="H101" s="530" t="s">
        <v>1746</v>
      </c>
      <c r="I101" s="384" t="s">
        <v>1746</v>
      </c>
      <c r="J101" s="353" t="s">
        <v>3184</v>
      </c>
      <c r="K101" s="354" t="s">
        <v>3185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3269</v>
      </c>
      <c r="B102" s="386" t="s">
        <v>3270</v>
      </c>
      <c r="C102" s="352" t="s">
        <v>3186</v>
      </c>
      <c r="D102" s="387" t="s">
        <v>3271</v>
      </c>
      <c r="E102" s="388" t="s">
        <v>3272</v>
      </c>
      <c r="F102" s="389" t="s">
        <v>3182</v>
      </c>
      <c r="G102" s="389" t="s">
        <v>3183</v>
      </c>
      <c r="H102" s="390" t="s">
        <v>1746</v>
      </c>
      <c r="I102" s="391" t="s">
        <v>1746</v>
      </c>
      <c r="J102" s="353" t="s">
        <v>3184</v>
      </c>
      <c r="K102" s="353" t="s">
        <v>3187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3269</v>
      </c>
      <c r="B103" s="386" t="s">
        <v>3270</v>
      </c>
      <c r="C103" s="392" t="s">
        <v>3186</v>
      </c>
      <c r="D103" s="387" t="s">
        <v>3271</v>
      </c>
      <c r="E103" s="388" t="s">
        <v>3272</v>
      </c>
      <c r="F103" s="389" t="s">
        <v>3182</v>
      </c>
      <c r="G103" s="389" t="s">
        <v>3183</v>
      </c>
      <c r="H103" s="390" t="s">
        <v>1746</v>
      </c>
      <c r="I103" s="391" t="s">
        <v>1746</v>
      </c>
      <c r="J103" s="353" t="s">
        <v>3184</v>
      </c>
      <c r="K103" s="355" t="s">
        <v>3188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3269</v>
      </c>
      <c r="B104" s="386" t="s">
        <v>3270</v>
      </c>
      <c r="C104" s="392" t="s">
        <v>3186</v>
      </c>
      <c r="D104" s="387" t="s">
        <v>3271</v>
      </c>
      <c r="E104" s="388" t="s">
        <v>3272</v>
      </c>
      <c r="F104" s="389" t="s">
        <v>3182</v>
      </c>
      <c r="G104" s="389" t="s">
        <v>3183</v>
      </c>
      <c r="H104" s="390" t="s">
        <v>1746</v>
      </c>
      <c r="I104" s="391" t="s">
        <v>1746</v>
      </c>
      <c r="J104" s="353" t="s">
        <v>3184</v>
      </c>
      <c r="K104" s="356" t="s">
        <v>3189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3269</v>
      </c>
      <c r="B105" s="393" t="s">
        <v>3270</v>
      </c>
      <c r="C105" s="394" t="s">
        <v>3186</v>
      </c>
      <c r="D105" s="395" t="s">
        <v>3271</v>
      </c>
      <c r="E105" s="411" t="s">
        <v>3272</v>
      </c>
      <c r="F105" s="396" t="s">
        <v>3182</v>
      </c>
      <c r="G105" s="396" t="s">
        <v>3183</v>
      </c>
      <c r="H105" s="397" t="s">
        <v>1746</v>
      </c>
      <c r="I105" s="899" t="s">
        <v>1746</v>
      </c>
      <c r="J105" s="353" t="s">
        <v>3184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3273</v>
      </c>
      <c r="B106" s="526" t="s">
        <v>3274</v>
      </c>
      <c r="C106" s="527">
        <v>1</v>
      </c>
      <c r="D106" s="528" t="s">
        <v>3275</v>
      </c>
      <c r="E106" s="426" t="s">
        <v>3276</v>
      </c>
      <c r="F106" s="529" t="s">
        <v>3182</v>
      </c>
      <c r="G106" s="529" t="s">
        <v>3183</v>
      </c>
      <c r="H106" s="530" t="s">
        <v>1747</v>
      </c>
      <c r="I106" s="384" t="s">
        <v>1747</v>
      </c>
      <c r="J106" s="353" t="s">
        <v>3184</v>
      </c>
      <c r="K106" s="354" t="s">
        <v>3185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3273</v>
      </c>
      <c r="B107" s="386" t="s">
        <v>3274</v>
      </c>
      <c r="C107" s="352" t="s">
        <v>3186</v>
      </c>
      <c r="D107" s="387" t="s">
        <v>3275</v>
      </c>
      <c r="E107" s="388" t="s">
        <v>3276</v>
      </c>
      <c r="F107" s="389" t="s">
        <v>3182</v>
      </c>
      <c r="G107" s="389" t="s">
        <v>3183</v>
      </c>
      <c r="H107" s="390" t="s">
        <v>1747</v>
      </c>
      <c r="I107" s="391" t="s">
        <v>1747</v>
      </c>
      <c r="J107" s="353" t="s">
        <v>3184</v>
      </c>
      <c r="K107" s="353" t="s">
        <v>3187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3273</v>
      </c>
      <c r="B108" s="386" t="s">
        <v>3274</v>
      </c>
      <c r="C108" s="392" t="s">
        <v>3186</v>
      </c>
      <c r="D108" s="387" t="s">
        <v>3275</v>
      </c>
      <c r="E108" s="388" t="s">
        <v>3276</v>
      </c>
      <c r="F108" s="389" t="s">
        <v>3182</v>
      </c>
      <c r="G108" s="389" t="s">
        <v>3183</v>
      </c>
      <c r="H108" s="390" t="s">
        <v>1747</v>
      </c>
      <c r="I108" s="391" t="s">
        <v>1747</v>
      </c>
      <c r="J108" s="353" t="s">
        <v>3184</v>
      </c>
      <c r="K108" s="355" t="s">
        <v>3188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3273</v>
      </c>
      <c r="B109" s="386" t="s">
        <v>3274</v>
      </c>
      <c r="C109" s="392" t="s">
        <v>3186</v>
      </c>
      <c r="D109" s="387" t="s">
        <v>3275</v>
      </c>
      <c r="E109" s="388" t="s">
        <v>3276</v>
      </c>
      <c r="F109" s="389" t="s">
        <v>3182</v>
      </c>
      <c r="G109" s="389" t="s">
        <v>3183</v>
      </c>
      <c r="H109" s="390" t="s">
        <v>1747</v>
      </c>
      <c r="I109" s="391" t="s">
        <v>1747</v>
      </c>
      <c r="J109" s="353" t="s">
        <v>3184</v>
      </c>
      <c r="K109" s="356" t="s">
        <v>3189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3273</v>
      </c>
      <c r="B110" s="393" t="s">
        <v>3274</v>
      </c>
      <c r="C110" s="394" t="s">
        <v>3186</v>
      </c>
      <c r="D110" s="395" t="s">
        <v>3275</v>
      </c>
      <c r="E110" s="411" t="s">
        <v>3276</v>
      </c>
      <c r="F110" s="396" t="s">
        <v>3182</v>
      </c>
      <c r="G110" s="396" t="s">
        <v>3183</v>
      </c>
      <c r="H110" s="397" t="s">
        <v>1747</v>
      </c>
      <c r="I110" s="899" t="s">
        <v>1747</v>
      </c>
      <c r="J110" s="353" t="s">
        <v>3184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3277</v>
      </c>
      <c r="B111" s="526" t="s">
        <v>3278</v>
      </c>
      <c r="C111" s="527">
        <v>1</v>
      </c>
      <c r="D111" s="528" t="s">
        <v>3279</v>
      </c>
      <c r="E111" s="426" t="s">
        <v>3280</v>
      </c>
      <c r="F111" s="529" t="s">
        <v>3182</v>
      </c>
      <c r="G111" s="529" t="s">
        <v>3183</v>
      </c>
      <c r="H111" s="530" t="s">
        <v>1748</v>
      </c>
      <c r="I111" s="384" t="s">
        <v>1748</v>
      </c>
      <c r="J111" s="353" t="s">
        <v>3184</v>
      </c>
      <c r="K111" s="354" t="s">
        <v>3185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3277</v>
      </c>
      <c r="B112" s="386" t="s">
        <v>3278</v>
      </c>
      <c r="C112" s="352" t="s">
        <v>3186</v>
      </c>
      <c r="D112" s="387" t="s">
        <v>3279</v>
      </c>
      <c r="E112" s="388" t="s">
        <v>3280</v>
      </c>
      <c r="F112" s="389" t="s">
        <v>3182</v>
      </c>
      <c r="G112" s="389" t="s">
        <v>3183</v>
      </c>
      <c r="H112" s="390" t="s">
        <v>1748</v>
      </c>
      <c r="I112" s="391" t="s">
        <v>1748</v>
      </c>
      <c r="J112" s="353" t="s">
        <v>3184</v>
      </c>
      <c r="K112" s="353" t="s">
        <v>3187</v>
      </c>
      <c r="L112" s="400"/>
      <c r="M112" s="401"/>
      <c r="N112" s="400">
        <v>1</v>
      </c>
      <c r="O112" s="401"/>
      <c r="P112" s="400">
        <v>1</v>
      </c>
      <c r="Q112" s="401"/>
      <c r="R112" s="400"/>
      <c r="S112" s="401"/>
      <c r="T112" s="400"/>
      <c r="U112" s="401"/>
      <c r="V112" s="400"/>
      <c r="W112" s="401"/>
      <c r="X112" s="400">
        <v>1</v>
      </c>
      <c r="Y112" s="401"/>
      <c r="Z112" s="400"/>
      <c r="AA112" s="401"/>
      <c r="AB112" s="400">
        <v>1</v>
      </c>
      <c r="AC112" s="401"/>
      <c r="AD112" s="400">
        <v>1</v>
      </c>
      <c r="AE112" s="401"/>
      <c r="AF112" s="400"/>
      <c r="AG112" s="401"/>
      <c r="AH112" s="400"/>
      <c r="AI112" s="401"/>
      <c r="AJ112" s="400"/>
      <c r="AK112" s="401"/>
      <c r="AL112" s="400">
        <v>1</v>
      </c>
      <c r="AM112" s="401"/>
      <c r="AN112" s="400"/>
      <c r="AO112" s="401"/>
      <c r="AP112" s="400">
        <v>1</v>
      </c>
      <c r="AQ112" s="401"/>
      <c r="AR112" s="400">
        <v>1</v>
      </c>
      <c r="AS112" s="401"/>
      <c r="AT112" s="400"/>
      <c r="AU112" s="401"/>
      <c r="AV112" s="400"/>
      <c r="AW112" s="401"/>
      <c r="AX112" s="400"/>
      <c r="AY112" s="401"/>
      <c r="AZ112" s="400">
        <v>1</v>
      </c>
      <c r="BA112" s="401"/>
      <c r="BB112" s="400"/>
      <c r="BC112" s="401"/>
      <c r="BD112" s="400">
        <v>1</v>
      </c>
      <c r="BE112" s="401"/>
      <c r="BF112" s="400">
        <v>1</v>
      </c>
      <c r="BG112" s="401"/>
      <c r="BH112" s="400"/>
      <c r="BI112" s="401"/>
      <c r="BJ112" s="400"/>
      <c r="BK112" s="401"/>
      <c r="BL112" s="400"/>
      <c r="BM112" s="401"/>
      <c r="BN112" s="400">
        <v>1</v>
      </c>
      <c r="BO112" s="401"/>
      <c r="BP112" s="400"/>
      <c r="BQ112" s="401"/>
      <c r="BR112" s="400">
        <v>1</v>
      </c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13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3277</v>
      </c>
      <c r="B113" s="386" t="s">
        <v>3278</v>
      </c>
      <c r="C113" s="392" t="s">
        <v>3186</v>
      </c>
      <c r="D113" s="387" t="s">
        <v>3279</v>
      </c>
      <c r="E113" s="388" t="s">
        <v>3280</v>
      </c>
      <c r="F113" s="389" t="s">
        <v>3182</v>
      </c>
      <c r="G113" s="389" t="s">
        <v>3183</v>
      </c>
      <c r="H113" s="390" t="s">
        <v>1748</v>
      </c>
      <c r="I113" s="391" t="s">
        <v>1748</v>
      </c>
      <c r="J113" s="353" t="s">
        <v>3184</v>
      </c>
      <c r="K113" s="355" t="s">
        <v>3188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3277</v>
      </c>
      <c r="B114" s="386" t="s">
        <v>3278</v>
      </c>
      <c r="C114" s="392" t="s">
        <v>3186</v>
      </c>
      <c r="D114" s="387" t="s">
        <v>3279</v>
      </c>
      <c r="E114" s="388" t="s">
        <v>3280</v>
      </c>
      <c r="F114" s="389" t="s">
        <v>3182</v>
      </c>
      <c r="G114" s="389" t="s">
        <v>3183</v>
      </c>
      <c r="H114" s="390" t="s">
        <v>1748</v>
      </c>
      <c r="I114" s="391" t="s">
        <v>1748</v>
      </c>
      <c r="J114" s="353" t="s">
        <v>3184</v>
      </c>
      <c r="K114" s="356" t="s">
        <v>3189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3277</v>
      </c>
      <c r="B115" s="393" t="s">
        <v>3278</v>
      </c>
      <c r="C115" s="394" t="s">
        <v>3186</v>
      </c>
      <c r="D115" s="395" t="s">
        <v>3279</v>
      </c>
      <c r="E115" s="411" t="s">
        <v>3280</v>
      </c>
      <c r="F115" s="396" t="s">
        <v>3182</v>
      </c>
      <c r="G115" s="396" t="s">
        <v>3183</v>
      </c>
      <c r="H115" s="397" t="s">
        <v>1748</v>
      </c>
      <c r="I115" s="899" t="s">
        <v>1748</v>
      </c>
      <c r="J115" s="353" t="s">
        <v>3184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3281</v>
      </c>
      <c r="B116" s="526" t="s">
        <v>3282</v>
      </c>
      <c r="C116" s="527">
        <v>2</v>
      </c>
      <c r="D116" s="528" t="s">
        <v>3283</v>
      </c>
      <c r="E116" s="426" t="s">
        <v>3284</v>
      </c>
      <c r="F116" s="529" t="s">
        <v>3182</v>
      </c>
      <c r="G116" s="529" t="s">
        <v>3183</v>
      </c>
      <c r="H116" s="530" t="s">
        <v>1749</v>
      </c>
      <c r="I116" s="384" t="s">
        <v>1749</v>
      </c>
      <c r="J116" s="353" t="s">
        <v>3191</v>
      </c>
      <c r="K116" s="354" t="s">
        <v>3185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3281</v>
      </c>
      <c r="B117" s="386" t="s">
        <v>3282</v>
      </c>
      <c r="C117" s="352" t="s">
        <v>3186</v>
      </c>
      <c r="D117" s="387" t="s">
        <v>3283</v>
      </c>
      <c r="E117" s="388" t="s">
        <v>3284</v>
      </c>
      <c r="F117" s="389" t="s">
        <v>3182</v>
      </c>
      <c r="G117" s="389" t="s">
        <v>3183</v>
      </c>
      <c r="H117" s="390" t="s">
        <v>1749</v>
      </c>
      <c r="I117" s="391" t="s">
        <v>1749</v>
      </c>
      <c r="J117" s="353" t="s">
        <v>3191</v>
      </c>
      <c r="K117" s="353" t="s">
        <v>3187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3281</v>
      </c>
      <c r="B118" s="386" t="s">
        <v>3282</v>
      </c>
      <c r="C118" s="392" t="s">
        <v>3186</v>
      </c>
      <c r="D118" s="387" t="s">
        <v>3283</v>
      </c>
      <c r="E118" s="388" t="s">
        <v>3284</v>
      </c>
      <c r="F118" s="389" t="s">
        <v>3182</v>
      </c>
      <c r="G118" s="389" t="s">
        <v>3183</v>
      </c>
      <c r="H118" s="390" t="s">
        <v>1749</v>
      </c>
      <c r="I118" s="391" t="s">
        <v>1749</v>
      </c>
      <c r="J118" s="353" t="s">
        <v>3191</v>
      </c>
      <c r="K118" s="355" t="s">
        <v>3188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3281</v>
      </c>
      <c r="B119" s="386" t="s">
        <v>3282</v>
      </c>
      <c r="C119" s="392" t="s">
        <v>3186</v>
      </c>
      <c r="D119" s="387" t="s">
        <v>3283</v>
      </c>
      <c r="E119" s="388" t="s">
        <v>3284</v>
      </c>
      <c r="F119" s="389" t="s">
        <v>3182</v>
      </c>
      <c r="G119" s="389" t="s">
        <v>3183</v>
      </c>
      <c r="H119" s="390" t="s">
        <v>1749</v>
      </c>
      <c r="I119" s="391" t="s">
        <v>1749</v>
      </c>
      <c r="J119" s="353" t="s">
        <v>3191</v>
      </c>
      <c r="K119" s="356" t="s">
        <v>3189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3281</v>
      </c>
      <c r="B120" s="393" t="s">
        <v>3282</v>
      </c>
      <c r="C120" s="394" t="s">
        <v>3186</v>
      </c>
      <c r="D120" s="395" t="s">
        <v>3283</v>
      </c>
      <c r="E120" s="411" t="s">
        <v>3284</v>
      </c>
      <c r="F120" s="396" t="s">
        <v>3182</v>
      </c>
      <c r="G120" s="396" t="s">
        <v>3183</v>
      </c>
      <c r="H120" s="397" t="s">
        <v>1749</v>
      </c>
      <c r="I120" s="899" t="s">
        <v>1749</v>
      </c>
      <c r="J120" s="353" t="s">
        <v>3191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3285</v>
      </c>
      <c r="B121" s="526" t="s">
        <v>3286</v>
      </c>
      <c r="C121" s="527">
        <v>1</v>
      </c>
      <c r="D121" s="528" t="s">
        <v>3287</v>
      </c>
      <c r="E121" s="426" t="s">
        <v>3288</v>
      </c>
      <c r="F121" s="529" t="s">
        <v>3182</v>
      </c>
      <c r="G121" s="529" t="s">
        <v>3183</v>
      </c>
      <c r="H121" s="530" t="s">
        <v>1750</v>
      </c>
      <c r="I121" s="384" t="s">
        <v>1750</v>
      </c>
      <c r="J121" s="353" t="s">
        <v>3184</v>
      </c>
      <c r="K121" s="354" t="s">
        <v>3185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3285</v>
      </c>
      <c r="B122" s="386" t="s">
        <v>3286</v>
      </c>
      <c r="C122" s="352" t="s">
        <v>3186</v>
      </c>
      <c r="D122" s="387" t="s">
        <v>3287</v>
      </c>
      <c r="E122" s="388" t="s">
        <v>3288</v>
      </c>
      <c r="F122" s="389" t="s">
        <v>3182</v>
      </c>
      <c r="G122" s="389" t="s">
        <v>3183</v>
      </c>
      <c r="H122" s="390" t="s">
        <v>1750</v>
      </c>
      <c r="I122" s="391" t="s">
        <v>1750</v>
      </c>
      <c r="J122" s="353" t="s">
        <v>3184</v>
      </c>
      <c r="K122" s="353" t="s">
        <v>3187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3285</v>
      </c>
      <c r="B123" s="386" t="s">
        <v>3286</v>
      </c>
      <c r="C123" s="392" t="s">
        <v>3186</v>
      </c>
      <c r="D123" s="387" t="s">
        <v>3287</v>
      </c>
      <c r="E123" s="388" t="s">
        <v>3288</v>
      </c>
      <c r="F123" s="389" t="s">
        <v>3182</v>
      </c>
      <c r="G123" s="389" t="s">
        <v>3183</v>
      </c>
      <c r="H123" s="390" t="s">
        <v>1750</v>
      </c>
      <c r="I123" s="391" t="s">
        <v>1750</v>
      </c>
      <c r="J123" s="353" t="s">
        <v>3184</v>
      </c>
      <c r="K123" s="355" t="s">
        <v>3188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3285</v>
      </c>
      <c r="B124" s="386" t="s">
        <v>3286</v>
      </c>
      <c r="C124" s="392" t="s">
        <v>3186</v>
      </c>
      <c r="D124" s="387" t="s">
        <v>3287</v>
      </c>
      <c r="E124" s="388" t="s">
        <v>3288</v>
      </c>
      <c r="F124" s="389" t="s">
        <v>3182</v>
      </c>
      <c r="G124" s="389" t="s">
        <v>3183</v>
      </c>
      <c r="H124" s="390" t="s">
        <v>1750</v>
      </c>
      <c r="I124" s="391" t="s">
        <v>1750</v>
      </c>
      <c r="J124" s="353" t="s">
        <v>3184</v>
      </c>
      <c r="K124" s="356" t="s">
        <v>3189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3285</v>
      </c>
      <c r="B125" s="393" t="s">
        <v>3286</v>
      </c>
      <c r="C125" s="394" t="s">
        <v>3186</v>
      </c>
      <c r="D125" s="395" t="s">
        <v>3287</v>
      </c>
      <c r="E125" s="411" t="s">
        <v>3288</v>
      </c>
      <c r="F125" s="396" t="s">
        <v>3182</v>
      </c>
      <c r="G125" s="396" t="s">
        <v>3183</v>
      </c>
      <c r="H125" s="397" t="s">
        <v>1750</v>
      </c>
      <c r="I125" s="899" t="s">
        <v>1750</v>
      </c>
      <c r="J125" s="353" t="s">
        <v>3184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3289</v>
      </c>
      <c r="B126" s="526" t="s">
        <v>3290</v>
      </c>
      <c r="C126" s="527">
        <v>1</v>
      </c>
      <c r="D126" s="528" t="s">
        <v>3291</v>
      </c>
      <c r="E126" s="426" t="s">
        <v>3292</v>
      </c>
      <c r="F126" s="529" t="s">
        <v>3182</v>
      </c>
      <c r="G126" s="529" t="s">
        <v>3183</v>
      </c>
      <c r="H126" s="530" t="s">
        <v>1752</v>
      </c>
      <c r="I126" s="384" t="s">
        <v>1752</v>
      </c>
      <c r="J126" s="353" t="s">
        <v>3184</v>
      </c>
      <c r="K126" s="354" t="s">
        <v>3185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3289</v>
      </c>
      <c r="B127" s="386" t="s">
        <v>3290</v>
      </c>
      <c r="C127" s="352" t="s">
        <v>3186</v>
      </c>
      <c r="D127" s="387" t="s">
        <v>3291</v>
      </c>
      <c r="E127" s="388" t="s">
        <v>3292</v>
      </c>
      <c r="F127" s="389" t="s">
        <v>3182</v>
      </c>
      <c r="G127" s="389" t="s">
        <v>3183</v>
      </c>
      <c r="H127" s="390" t="s">
        <v>1752</v>
      </c>
      <c r="I127" s="391" t="s">
        <v>1752</v>
      </c>
      <c r="J127" s="353" t="s">
        <v>3184</v>
      </c>
      <c r="K127" s="353" t="s">
        <v>3187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3289</v>
      </c>
      <c r="B128" s="386" t="s">
        <v>3290</v>
      </c>
      <c r="C128" s="392" t="s">
        <v>3186</v>
      </c>
      <c r="D128" s="387" t="s">
        <v>3291</v>
      </c>
      <c r="E128" s="388" t="s">
        <v>3292</v>
      </c>
      <c r="F128" s="389" t="s">
        <v>3182</v>
      </c>
      <c r="G128" s="389" t="s">
        <v>3183</v>
      </c>
      <c r="H128" s="390" t="s">
        <v>1752</v>
      </c>
      <c r="I128" s="391" t="s">
        <v>1752</v>
      </c>
      <c r="J128" s="353" t="s">
        <v>3184</v>
      </c>
      <c r="K128" s="355" t="s">
        <v>3188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3289</v>
      </c>
      <c r="B129" s="386" t="s">
        <v>3290</v>
      </c>
      <c r="C129" s="392" t="s">
        <v>3186</v>
      </c>
      <c r="D129" s="387" t="s">
        <v>3291</v>
      </c>
      <c r="E129" s="388" t="s">
        <v>3292</v>
      </c>
      <c r="F129" s="389" t="s">
        <v>3182</v>
      </c>
      <c r="G129" s="389" t="s">
        <v>3183</v>
      </c>
      <c r="H129" s="390" t="s">
        <v>1752</v>
      </c>
      <c r="I129" s="391" t="s">
        <v>1752</v>
      </c>
      <c r="J129" s="353" t="s">
        <v>3184</v>
      </c>
      <c r="K129" s="356" t="s">
        <v>3189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3289</v>
      </c>
      <c r="B130" s="393" t="s">
        <v>3290</v>
      </c>
      <c r="C130" s="394" t="s">
        <v>3186</v>
      </c>
      <c r="D130" s="395" t="s">
        <v>3291</v>
      </c>
      <c r="E130" s="411" t="s">
        <v>3292</v>
      </c>
      <c r="F130" s="396" t="s">
        <v>3182</v>
      </c>
      <c r="G130" s="396" t="s">
        <v>3183</v>
      </c>
      <c r="H130" s="397" t="s">
        <v>1752</v>
      </c>
      <c r="I130" s="899" t="s">
        <v>1752</v>
      </c>
      <c r="J130" s="353" t="s">
        <v>3184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3293</v>
      </c>
      <c r="B131" s="526" t="s">
        <v>3294</v>
      </c>
      <c r="C131" s="527">
        <v>1</v>
      </c>
      <c r="D131" s="528" t="s">
        <v>3295</v>
      </c>
      <c r="E131" s="426" t="s">
        <v>3296</v>
      </c>
      <c r="F131" s="529" t="s">
        <v>3182</v>
      </c>
      <c r="G131" s="529" t="s">
        <v>3183</v>
      </c>
      <c r="H131" s="530" t="s">
        <v>1756</v>
      </c>
      <c r="I131" s="384" t="s">
        <v>1756</v>
      </c>
      <c r="J131" s="353" t="s">
        <v>3184</v>
      </c>
      <c r="K131" s="354" t="s">
        <v>3185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3293</v>
      </c>
      <c r="B132" s="386" t="s">
        <v>3294</v>
      </c>
      <c r="C132" s="352" t="s">
        <v>3186</v>
      </c>
      <c r="D132" s="387" t="s">
        <v>3295</v>
      </c>
      <c r="E132" s="388" t="s">
        <v>3296</v>
      </c>
      <c r="F132" s="389" t="s">
        <v>3182</v>
      </c>
      <c r="G132" s="389" t="s">
        <v>3183</v>
      </c>
      <c r="H132" s="390" t="s">
        <v>1756</v>
      </c>
      <c r="I132" s="391" t="s">
        <v>1756</v>
      </c>
      <c r="J132" s="353" t="s">
        <v>3184</v>
      </c>
      <c r="K132" s="353" t="s">
        <v>3187</v>
      </c>
      <c r="L132" s="400">
        <v>1</v>
      </c>
      <c r="M132" s="401"/>
      <c r="N132" s="400"/>
      <c r="O132" s="401"/>
      <c r="P132" s="400"/>
      <c r="Q132" s="401"/>
      <c r="R132" s="400"/>
      <c r="S132" s="401"/>
      <c r="T132" s="400"/>
      <c r="U132" s="401"/>
      <c r="V132" s="400">
        <v>1</v>
      </c>
      <c r="W132" s="401"/>
      <c r="X132" s="400">
        <v>1</v>
      </c>
      <c r="Y132" s="401"/>
      <c r="Z132" s="400">
        <v>1</v>
      </c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>
        <v>1</v>
      </c>
      <c r="AK132" s="401"/>
      <c r="AL132" s="400">
        <v>1</v>
      </c>
      <c r="AM132" s="401"/>
      <c r="AN132" s="400">
        <v>1</v>
      </c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>
        <v>1</v>
      </c>
      <c r="AY132" s="401"/>
      <c r="AZ132" s="400">
        <v>1</v>
      </c>
      <c r="BA132" s="401"/>
      <c r="BB132" s="400">
        <v>1</v>
      </c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>
        <v>1</v>
      </c>
      <c r="BM132" s="401"/>
      <c r="BN132" s="400">
        <v>1</v>
      </c>
      <c r="BO132" s="401"/>
      <c r="BP132" s="400">
        <v>1</v>
      </c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13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3293</v>
      </c>
      <c r="B133" s="386" t="s">
        <v>3294</v>
      </c>
      <c r="C133" s="392" t="s">
        <v>3186</v>
      </c>
      <c r="D133" s="387" t="s">
        <v>3295</v>
      </c>
      <c r="E133" s="388" t="s">
        <v>3296</v>
      </c>
      <c r="F133" s="389" t="s">
        <v>3182</v>
      </c>
      <c r="G133" s="389" t="s">
        <v>3183</v>
      </c>
      <c r="H133" s="390" t="s">
        <v>1756</v>
      </c>
      <c r="I133" s="391" t="s">
        <v>1756</v>
      </c>
      <c r="J133" s="353" t="s">
        <v>3184</v>
      </c>
      <c r="K133" s="355" t="s">
        <v>3188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3293</v>
      </c>
      <c r="B134" s="386" t="s">
        <v>3294</v>
      </c>
      <c r="C134" s="392" t="s">
        <v>3186</v>
      </c>
      <c r="D134" s="387" t="s">
        <v>3295</v>
      </c>
      <c r="E134" s="388" t="s">
        <v>3296</v>
      </c>
      <c r="F134" s="389" t="s">
        <v>3182</v>
      </c>
      <c r="G134" s="389" t="s">
        <v>3183</v>
      </c>
      <c r="H134" s="390" t="s">
        <v>1756</v>
      </c>
      <c r="I134" s="391" t="s">
        <v>1756</v>
      </c>
      <c r="J134" s="353" t="s">
        <v>3184</v>
      </c>
      <c r="K134" s="356" t="s">
        <v>3189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3293</v>
      </c>
      <c r="B135" s="393" t="s">
        <v>3294</v>
      </c>
      <c r="C135" s="394" t="s">
        <v>3186</v>
      </c>
      <c r="D135" s="395" t="s">
        <v>3295</v>
      </c>
      <c r="E135" s="411" t="s">
        <v>3296</v>
      </c>
      <c r="F135" s="396" t="s">
        <v>3182</v>
      </c>
      <c r="G135" s="396" t="s">
        <v>3183</v>
      </c>
      <c r="H135" s="397" t="s">
        <v>1756</v>
      </c>
      <c r="I135" s="899" t="s">
        <v>1756</v>
      </c>
      <c r="J135" s="353" t="s">
        <v>3184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3297</v>
      </c>
      <c r="B136" s="526" t="s">
        <v>3298</v>
      </c>
      <c r="C136" s="527">
        <v>4</v>
      </c>
      <c r="D136" s="528" t="s">
        <v>3299</v>
      </c>
      <c r="E136" s="426" t="s">
        <v>3300</v>
      </c>
      <c r="F136" s="529" t="s">
        <v>3182</v>
      </c>
      <c r="G136" s="529" t="s">
        <v>3183</v>
      </c>
      <c r="H136" s="530" t="s">
        <v>1759</v>
      </c>
      <c r="I136" s="384" t="s">
        <v>1759</v>
      </c>
      <c r="J136" s="353" t="s">
        <v>3184</v>
      </c>
      <c r="K136" s="354" t="s">
        <v>3185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3297</v>
      </c>
      <c r="B137" s="386" t="s">
        <v>3298</v>
      </c>
      <c r="C137" s="352" t="s">
        <v>3190</v>
      </c>
      <c r="D137" s="387" t="s">
        <v>3299</v>
      </c>
      <c r="E137" s="388" t="s">
        <v>3300</v>
      </c>
      <c r="F137" s="389" t="s">
        <v>3182</v>
      </c>
      <c r="G137" s="389" t="s">
        <v>3183</v>
      </c>
      <c r="H137" s="390" t="s">
        <v>1759</v>
      </c>
      <c r="I137" s="391" t="s">
        <v>1759</v>
      </c>
      <c r="J137" s="353" t="s">
        <v>3184</v>
      </c>
      <c r="K137" s="353" t="s">
        <v>3187</v>
      </c>
      <c r="L137" s="400"/>
      <c r="M137" s="401"/>
      <c r="N137" s="400">
        <v>3</v>
      </c>
      <c r="O137" s="401"/>
      <c r="P137" s="400">
        <v>3</v>
      </c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>
        <v>3</v>
      </c>
      <c r="AC137" s="401"/>
      <c r="AD137" s="400">
        <v>3</v>
      </c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>
        <v>3</v>
      </c>
      <c r="AQ137" s="401"/>
      <c r="AR137" s="400">
        <v>3</v>
      </c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>
        <v>3</v>
      </c>
      <c r="BE137" s="401"/>
      <c r="BF137" s="400">
        <v>3</v>
      </c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>
        <v>3</v>
      </c>
      <c r="BQ137" s="401"/>
      <c r="BR137" s="400">
        <v>3</v>
      </c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30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3297</v>
      </c>
      <c r="B138" s="386" t="s">
        <v>3298</v>
      </c>
      <c r="C138" s="392" t="s">
        <v>3190</v>
      </c>
      <c r="D138" s="387" t="s">
        <v>3299</v>
      </c>
      <c r="E138" s="388" t="s">
        <v>3300</v>
      </c>
      <c r="F138" s="389" t="s">
        <v>3182</v>
      </c>
      <c r="G138" s="389" t="s">
        <v>3183</v>
      </c>
      <c r="H138" s="390" t="s">
        <v>1759</v>
      </c>
      <c r="I138" s="391" t="s">
        <v>1759</v>
      </c>
      <c r="J138" s="353" t="s">
        <v>3184</v>
      </c>
      <c r="K138" s="355" t="s">
        <v>3188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3297</v>
      </c>
      <c r="B139" s="386" t="s">
        <v>3298</v>
      </c>
      <c r="C139" s="392" t="s">
        <v>3190</v>
      </c>
      <c r="D139" s="387" t="s">
        <v>3299</v>
      </c>
      <c r="E139" s="388" t="s">
        <v>3300</v>
      </c>
      <c r="F139" s="389" t="s">
        <v>3182</v>
      </c>
      <c r="G139" s="389" t="s">
        <v>3183</v>
      </c>
      <c r="H139" s="390" t="s">
        <v>1759</v>
      </c>
      <c r="I139" s="391" t="s">
        <v>1759</v>
      </c>
      <c r="J139" s="353" t="s">
        <v>3184</v>
      </c>
      <c r="K139" s="356" t="s">
        <v>3189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3297</v>
      </c>
      <c r="B140" s="393" t="s">
        <v>3298</v>
      </c>
      <c r="C140" s="394" t="s">
        <v>3190</v>
      </c>
      <c r="D140" s="395" t="s">
        <v>3299</v>
      </c>
      <c r="E140" s="411" t="s">
        <v>3300</v>
      </c>
      <c r="F140" s="396" t="s">
        <v>3182</v>
      </c>
      <c r="G140" s="396" t="s">
        <v>3183</v>
      </c>
      <c r="H140" s="397" t="s">
        <v>1759</v>
      </c>
      <c r="I140" s="899" t="s">
        <v>1759</v>
      </c>
      <c r="J140" s="353" t="s">
        <v>3184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3301</v>
      </c>
      <c r="B141" s="526" t="s">
        <v>3302</v>
      </c>
      <c r="C141" s="527">
        <v>1</v>
      </c>
      <c r="D141" s="528" t="s">
        <v>3303</v>
      </c>
      <c r="E141" s="426" t="s">
        <v>3304</v>
      </c>
      <c r="F141" s="529" t="s">
        <v>3182</v>
      </c>
      <c r="G141" s="529" t="s">
        <v>3183</v>
      </c>
      <c r="H141" s="530" t="s">
        <v>1760</v>
      </c>
      <c r="I141" s="384" t="s">
        <v>1760</v>
      </c>
      <c r="J141" s="353" t="s">
        <v>3184</v>
      </c>
      <c r="K141" s="354" t="s">
        <v>3185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3301</v>
      </c>
      <c r="B142" s="386" t="s">
        <v>3302</v>
      </c>
      <c r="C142" s="352" t="s">
        <v>3186</v>
      </c>
      <c r="D142" s="387" t="s">
        <v>3303</v>
      </c>
      <c r="E142" s="388" t="s">
        <v>3304</v>
      </c>
      <c r="F142" s="389" t="s">
        <v>3182</v>
      </c>
      <c r="G142" s="389" t="s">
        <v>3183</v>
      </c>
      <c r="H142" s="390" t="s">
        <v>1760</v>
      </c>
      <c r="I142" s="391" t="s">
        <v>1760</v>
      </c>
      <c r="J142" s="353" t="s">
        <v>3184</v>
      </c>
      <c r="K142" s="353" t="s">
        <v>3187</v>
      </c>
      <c r="L142" s="400">
        <v>2</v>
      </c>
      <c r="M142" s="401"/>
      <c r="N142" s="400">
        <v>2</v>
      </c>
      <c r="O142" s="401"/>
      <c r="P142" s="400"/>
      <c r="Q142" s="401"/>
      <c r="R142" s="400"/>
      <c r="S142" s="401"/>
      <c r="T142" s="400"/>
      <c r="U142" s="401"/>
      <c r="V142" s="400">
        <v>1</v>
      </c>
      <c r="W142" s="401"/>
      <c r="X142" s="400">
        <v>2</v>
      </c>
      <c r="Y142" s="401"/>
      <c r="Z142" s="400">
        <v>2</v>
      </c>
      <c r="AA142" s="401"/>
      <c r="AB142" s="400">
        <v>2</v>
      </c>
      <c r="AC142" s="401"/>
      <c r="AD142" s="400"/>
      <c r="AE142" s="401"/>
      <c r="AF142" s="400"/>
      <c r="AG142" s="401"/>
      <c r="AH142" s="400"/>
      <c r="AI142" s="401"/>
      <c r="AJ142" s="400">
        <v>1</v>
      </c>
      <c r="AK142" s="401"/>
      <c r="AL142" s="400">
        <v>2</v>
      </c>
      <c r="AM142" s="401"/>
      <c r="AN142" s="400">
        <v>2</v>
      </c>
      <c r="AO142" s="401"/>
      <c r="AP142" s="400">
        <v>2</v>
      </c>
      <c r="AQ142" s="401"/>
      <c r="AR142" s="400"/>
      <c r="AS142" s="401"/>
      <c r="AT142" s="400"/>
      <c r="AU142" s="401"/>
      <c r="AV142" s="400"/>
      <c r="AW142" s="401"/>
      <c r="AX142" s="400">
        <v>1</v>
      </c>
      <c r="AY142" s="401"/>
      <c r="AZ142" s="400">
        <v>2</v>
      </c>
      <c r="BA142" s="401"/>
      <c r="BB142" s="400">
        <v>2</v>
      </c>
      <c r="BC142" s="401"/>
      <c r="BD142" s="400">
        <v>2</v>
      </c>
      <c r="BE142" s="401"/>
      <c r="BF142" s="400"/>
      <c r="BG142" s="401"/>
      <c r="BH142" s="400"/>
      <c r="BI142" s="401"/>
      <c r="BJ142" s="400"/>
      <c r="BK142" s="401"/>
      <c r="BL142" s="400">
        <v>1</v>
      </c>
      <c r="BM142" s="401"/>
      <c r="BN142" s="400">
        <v>2</v>
      </c>
      <c r="BO142" s="401"/>
      <c r="BP142" s="400">
        <v>2</v>
      </c>
      <c r="BQ142" s="401"/>
      <c r="BR142" s="400">
        <v>2</v>
      </c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32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3301</v>
      </c>
      <c r="B143" s="386" t="s">
        <v>3302</v>
      </c>
      <c r="C143" s="392" t="s">
        <v>3186</v>
      </c>
      <c r="D143" s="387" t="s">
        <v>3303</v>
      </c>
      <c r="E143" s="388" t="s">
        <v>3304</v>
      </c>
      <c r="F143" s="389" t="s">
        <v>3182</v>
      </c>
      <c r="G143" s="389" t="s">
        <v>3183</v>
      </c>
      <c r="H143" s="390" t="s">
        <v>1760</v>
      </c>
      <c r="I143" s="391" t="s">
        <v>1760</v>
      </c>
      <c r="J143" s="353" t="s">
        <v>3184</v>
      </c>
      <c r="K143" s="355" t="s">
        <v>3188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3301</v>
      </c>
      <c r="B144" s="386" t="s">
        <v>3302</v>
      </c>
      <c r="C144" s="392" t="s">
        <v>3186</v>
      </c>
      <c r="D144" s="387" t="s">
        <v>3303</v>
      </c>
      <c r="E144" s="388" t="s">
        <v>3304</v>
      </c>
      <c r="F144" s="389" t="s">
        <v>3182</v>
      </c>
      <c r="G144" s="389" t="s">
        <v>3183</v>
      </c>
      <c r="H144" s="390" t="s">
        <v>1760</v>
      </c>
      <c r="I144" s="391" t="s">
        <v>1760</v>
      </c>
      <c r="J144" s="353" t="s">
        <v>3184</v>
      </c>
      <c r="K144" s="356" t="s">
        <v>3189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3301</v>
      </c>
      <c r="B145" s="393" t="s">
        <v>3302</v>
      </c>
      <c r="C145" s="394" t="s">
        <v>3186</v>
      </c>
      <c r="D145" s="395" t="s">
        <v>3303</v>
      </c>
      <c r="E145" s="411" t="s">
        <v>3304</v>
      </c>
      <c r="F145" s="396" t="s">
        <v>3182</v>
      </c>
      <c r="G145" s="396" t="s">
        <v>3183</v>
      </c>
      <c r="H145" s="397" t="s">
        <v>1760</v>
      </c>
      <c r="I145" s="899" t="s">
        <v>1760</v>
      </c>
      <c r="J145" s="353" t="s">
        <v>3184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3305</v>
      </c>
      <c r="B146" s="526" t="s">
        <v>3306</v>
      </c>
      <c r="C146" s="527">
        <v>1</v>
      </c>
      <c r="D146" s="528" t="s">
        <v>3307</v>
      </c>
      <c r="E146" s="426" t="s">
        <v>3308</v>
      </c>
      <c r="F146" s="529" t="s">
        <v>3182</v>
      </c>
      <c r="G146" s="529" t="s">
        <v>3183</v>
      </c>
      <c r="H146" s="530" t="s">
        <v>1761</v>
      </c>
      <c r="I146" s="384" t="s">
        <v>1761</v>
      </c>
      <c r="J146" s="353" t="s">
        <v>3184</v>
      </c>
      <c r="K146" s="354" t="s">
        <v>3185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3305</v>
      </c>
      <c r="B147" s="386" t="s">
        <v>3306</v>
      </c>
      <c r="C147" s="352" t="s">
        <v>3186</v>
      </c>
      <c r="D147" s="387" t="s">
        <v>3307</v>
      </c>
      <c r="E147" s="388" t="s">
        <v>3308</v>
      </c>
      <c r="F147" s="389" t="s">
        <v>3182</v>
      </c>
      <c r="G147" s="389" t="s">
        <v>3183</v>
      </c>
      <c r="H147" s="390" t="s">
        <v>1761</v>
      </c>
      <c r="I147" s="391" t="s">
        <v>1761</v>
      </c>
      <c r="J147" s="353" t="s">
        <v>3184</v>
      </c>
      <c r="K147" s="353" t="s">
        <v>3187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3305</v>
      </c>
      <c r="B148" s="386" t="s">
        <v>3306</v>
      </c>
      <c r="C148" s="392" t="s">
        <v>3186</v>
      </c>
      <c r="D148" s="387" t="s">
        <v>3307</v>
      </c>
      <c r="E148" s="388" t="s">
        <v>3308</v>
      </c>
      <c r="F148" s="389" t="s">
        <v>3182</v>
      </c>
      <c r="G148" s="389" t="s">
        <v>3183</v>
      </c>
      <c r="H148" s="390" t="s">
        <v>1761</v>
      </c>
      <c r="I148" s="391" t="s">
        <v>1761</v>
      </c>
      <c r="J148" s="353" t="s">
        <v>3184</v>
      </c>
      <c r="K148" s="355" t="s">
        <v>3188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3305</v>
      </c>
      <c r="B149" s="386" t="s">
        <v>3306</v>
      </c>
      <c r="C149" s="392" t="s">
        <v>3186</v>
      </c>
      <c r="D149" s="387" t="s">
        <v>3307</v>
      </c>
      <c r="E149" s="388" t="s">
        <v>3308</v>
      </c>
      <c r="F149" s="389" t="s">
        <v>3182</v>
      </c>
      <c r="G149" s="389" t="s">
        <v>3183</v>
      </c>
      <c r="H149" s="390" t="s">
        <v>1761</v>
      </c>
      <c r="I149" s="391" t="s">
        <v>1761</v>
      </c>
      <c r="J149" s="353" t="s">
        <v>3184</v>
      </c>
      <c r="K149" s="356" t="s">
        <v>3189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3305</v>
      </c>
      <c r="B150" s="393" t="s">
        <v>3306</v>
      </c>
      <c r="C150" s="394" t="s">
        <v>3186</v>
      </c>
      <c r="D150" s="395" t="s">
        <v>3307</v>
      </c>
      <c r="E150" s="411" t="s">
        <v>3308</v>
      </c>
      <c r="F150" s="396" t="s">
        <v>3182</v>
      </c>
      <c r="G150" s="396" t="s">
        <v>3183</v>
      </c>
      <c r="H150" s="397" t="s">
        <v>1761</v>
      </c>
      <c r="I150" s="899" t="s">
        <v>1761</v>
      </c>
      <c r="J150" s="353" t="s">
        <v>3184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3309</v>
      </c>
      <c r="B151" s="526" t="s">
        <v>3310</v>
      </c>
      <c r="C151" s="527">
        <v>1</v>
      </c>
      <c r="D151" s="528" t="s">
        <v>3311</v>
      </c>
      <c r="E151" s="426" t="s">
        <v>3312</v>
      </c>
      <c r="F151" s="529" t="s">
        <v>3182</v>
      </c>
      <c r="G151" s="529" t="s">
        <v>3183</v>
      </c>
      <c r="H151" s="530" t="s">
        <v>1764</v>
      </c>
      <c r="I151" s="384" t="s">
        <v>1764</v>
      </c>
      <c r="J151" s="353" t="s">
        <v>3184</v>
      </c>
      <c r="K151" s="354" t="s">
        <v>3185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3309</v>
      </c>
      <c r="B152" s="386" t="s">
        <v>3310</v>
      </c>
      <c r="C152" s="352" t="s">
        <v>3186</v>
      </c>
      <c r="D152" s="387" t="s">
        <v>3311</v>
      </c>
      <c r="E152" s="388" t="s">
        <v>3312</v>
      </c>
      <c r="F152" s="389" t="s">
        <v>3182</v>
      </c>
      <c r="G152" s="389" t="s">
        <v>3183</v>
      </c>
      <c r="H152" s="390" t="s">
        <v>1764</v>
      </c>
      <c r="I152" s="391" t="s">
        <v>1764</v>
      </c>
      <c r="J152" s="353" t="s">
        <v>3184</v>
      </c>
      <c r="K152" s="353" t="s">
        <v>3187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3309</v>
      </c>
      <c r="B153" s="386" t="s">
        <v>3310</v>
      </c>
      <c r="C153" s="392" t="s">
        <v>3186</v>
      </c>
      <c r="D153" s="387" t="s">
        <v>3311</v>
      </c>
      <c r="E153" s="388" t="s">
        <v>3312</v>
      </c>
      <c r="F153" s="389" t="s">
        <v>3182</v>
      </c>
      <c r="G153" s="389" t="s">
        <v>3183</v>
      </c>
      <c r="H153" s="390" t="s">
        <v>1764</v>
      </c>
      <c r="I153" s="391" t="s">
        <v>1764</v>
      </c>
      <c r="J153" s="353" t="s">
        <v>3184</v>
      </c>
      <c r="K153" s="355" t="s">
        <v>3188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3309</v>
      </c>
      <c r="B154" s="386" t="s">
        <v>3310</v>
      </c>
      <c r="C154" s="392" t="s">
        <v>3186</v>
      </c>
      <c r="D154" s="387" t="s">
        <v>3311</v>
      </c>
      <c r="E154" s="388" t="s">
        <v>3312</v>
      </c>
      <c r="F154" s="389" t="s">
        <v>3182</v>
      </c>
      <c r="G154" s="389" t="s">
        <v>3183</v>
      </c>
      <c r="H154" s="390" t="s">
        <v>1764</v>
      </c>
      <c r="I154" s="391" t="s">
        <v>1764</v>
      </c>
      <c r="J154" s="353" t="s">
        <v>3184</v>
      </c>
      <c r="K154" s="356" t="s">
        <v>3189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3309</v>
      </c>
      <c r="B155" s="393" t="s">
        <v>3310</v>
      </c>
      <c r="C155" s="394" t="s">
        <v>3186</v>
      </c>
      <c r="D155" s="395" t="s">
        <v>3311</v>
      </c>
      <c r="E155" s="411" t="s">
        <v>3312</v>
      </c>
      <c r="F155" s="396" t="s">
        <v>3182</v>
      </c>
      <c r="G155" s="396" t="s">
        <v>3183</v>
      </c>
      <c r="H155" s="397" t="s">
        <v>1764</v>
      </c>
      <c r="I155" s="899" t="s">
        <v>1764</v>
      </c>
      <c r="J155" s="353" t="s">
        <v>3184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3313</v>
      </c>
      <c r="B156" s="526" t="s">
        <v>3314</v>
      </c>
      <c r="C156" s="527">
        <v>1</v>
      </c>
      <c r="D156" s="528" t="s">
        <v>3315</v>
      </c>
      <c r="E156" s="426" t="s">
        <v>3316</v>
      </c>
      <c r="F156" s="529" t="s">
        <v>3182</v>
      </c>
      <c r="G156" s="529" t="s">
        <v>3183</v>
      </c>
      <c r="H156" s="530" t="s">
        <v>1768</v>
      </c>
      <c r="I156" s="384" t="s">
        <v>1768</v>
      </c>
      <c r="J156" s="353" t="s">
        <v>3184</v>
      </c>
      <c r="K156" s="354" t="s">
        <v>3185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3313</v>
      </c>
      <c r="B157" s="386" t="s">
        <v>3314</v>
      </c>
      <c r="C157" s="352" t="s">
        <v>3186</v>
      </c>
      <c r="D157" s="387" t="s">
        <v>3315</v>
      </c>
      <c r="E157" s="388" t="s">
        <v>3316</v>
      </c>
      <c r="F157" s="389" t="s">
        <v>3182</v>
      </c>
      <c r="G157" s="389" t="s">
        <v>3183</v>
      </c>
      <c r="H157" s="390" t="s">
        <v>1768</v>
      </c>
      <c r="I157" s="391" t="s">
        <v>1768</v>
      </c>
      <c r="J157" s="353" t="s">
        <v>3184</v>
      </c>
      <c r="K157" s="353" t="s">
        <v>3187</v>
      </c>
      <c r="L157" s="400"/>
      <c r="M157" s="401"/>
      <c r="N157" s="400">
        <v>3</v>
      </c>
      <c r="O157" s="401"/>
      <c r="P157" s="400">
        <v>2</v>
      </c>
      <c r="Q157" s="401"/>
      <c r="R157" s="400"/>
      <c r="S157" s="401"/>
      <c r="T157" s="400"/>
      <c r="U157" s="401"/>
      <c r="V157" s="400">
        <v>1</v>
      </c>
      <c r="W157" s="401"/>
      <c r="X157" s="400">
        <v>1</v>
      </c>
      <c r="Y157" s="401"/>
      <c r="Z157" s="400"/>
      <c r="AA157" s="401"/>
      <c r="AB157" s="400">
        <v>3</v>
      </c>
      <c r="AC157" s="401"/>
      <c r="AD157" s="400">
        <v>2</v>
      </c>
      <c r="AE157" s="401"/>
      <c r="AF157" s="400"/>
      <c r="AG157" s="401"/>
      <c r="AH157" s="400"/>
      <c r="AI157" s="401"/>
      <c r="AJ157" s="400">
        <v>1</v>
      </c>
      <c r="AK157" s="401"/>
      <c r="AL157" s="400">
        <v>1</v>
      </c>
      <c r="AM157" s="401"/>
      <c r="AN157" s="400"/>
      <c r="AO157" s="401"/>
      <c r="AP157" s="400">
        <v>3</v>
      </c>
      <c r="AQ157" s="401"/>
      <c r="AR157" s="400">
        <v>2</v>
      </c>
      <c r="AS157" s="401"/>
      <c r="AT157" s="400"/>
      <c r="AU157" s="401"/>
      <c r="AV157" s="400"/>
      <c r="AW157" s="401"/>
      <c r="AX157" s="400">
        <v>1</v>
      </c>
      <c r="AY157" s="401"/>
      <c r="AZ157" s="400">
        <v>1</v>
      </c>
      <c r="BA157" s="401"/>
      <c r="BB157" s="400"/>
      <c r="BC157" s="401"/>
      <c r="BD157" s="400">
        <v>3</v>
      </c>
      <c r="BE157" s="401"/>
      <c r="BF157" s="400">
        <v>2</v>
      </c>
      <c r="BG157" s="401"/>
      <c r="BH157" s="400"/>
      <c r="BI157" s="401"/>
      <c r="BJ157" s="400"/>
      <c r="BK157" s="401"/>
      <c r="BL157" s="400">
        <v>1</v>
      </c>
      <c r="BM157" s="401"/>
      <c r="BN157" s="400">
        <v>1</v>
      </c>
      <c r="BO157" s="401"/>
      <c r="BP157" s="400"/>
      <c r="BQ157" s="401"/>
      <c r="BR157" s="400">
        <v>3</v>
      </c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31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3313</v>
      </c>
      <c r="B158" s="386" t="s">
        <v>3314</v>
      </c>
      <c r="C158" s="392" t="s">
        <v>3186</v>
      </c>
      <c r="D158" s="387" t="s">
        <v>3315</v>
      </c>
      <c r="E158" s="388" t="s">
        <v>3316</v>
      </c>
      <c r="F158" s="389" t="s">
        <v>3182</v>
      </c>
      <c r="G158" s="389" t="s">
        <v>3183</v>
      </c>
      <c r="H158" s="390" t="s">
        <v>1768</v>
      </c>
      <c r="I158" s="391" t="s">
        <v>1768</v>
      </c>
      <c r="J158" s="353" t="s">
        <v>3184</v>
      </c>
      <c r="K158" s="355" t="s">
        <v>3188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3313</v>
      </c>
      <c r="B159" s="386" t="s">
        <v>3314</v>
      </c>
      <c r="C159" s="392" t="s">
        <v>3186</v>
      </c>
      <c r="D159" s="387" t="s">
        <v>3315</v>
      </c>
      <c r="E159" s="388" t="s">
        <v>3316</v>
      </c>
      <c r="F159" s="389" t="s">
        <v>3182</v>
      </c>
      <c r="G159" s="389" t="s">
        <v>3183</v>
      </c>
      <c r="H159" s="390" t="s">
        <v>1768</v>
      </c>
      <c r="I159" s="391" t="s">
        <v>1768</v>
      </c>
      <c r="J159" s="353" t="s">
        <v>3184</v>
      </c>
      <c r="K159" s="356" t="s">
        <v>3189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3313</v>
      </c>
      <c r="B160" s="393" t="s">
        <v>3314</v>
      </c>
      <c r="C160" s="394" t="s">
        <v>3186</v>
      </c>
      <c r="D160" s="395" t="s">
        <v>3315</v>
      </c>
      <c r="E160" s="411" t="s">
        <v>3316</v>
      </c>
      <c r="F160" s="396" t="s">
        <v>3182</v>
      </c>
      <c r="G160" s="396" t="s">
        <v>3183</v>
      </c>
      <c r="H160" s="397" t="s">
        <v>1768</v>
      </c>
      <c r="I160" s="899" t="s">
        <v>1768</v>
      </c>
      <c r="J160" s="353" t="s">
        <v>3184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3317</v>
      </c>
      <c r="B161" s="526" t="s">
        <v>3318</v>
      </c>
      <c r="C161" s="527">
        <v>1</v>
      </c>
      <c r="D161" s="528" t="s">
        <v>3319</v>
      </c>
      <c r="E161" s="426" t="s">
        <v>3320</v>
      </c>
      <c r="F161" s="529" t="s">
        <v>3182</v>
      </c>
      <c r="G161" s="529" t="s">
        <v>3183</v>
      </c>
      <c r="H161" s="530" t="s">
        <v>1769</v>
      </c>
      <c r="I161" s="384" t="s">
        <v>1769</v>
      </c>
      <c r="J161" s="353" t="s">
        <v>3184</v>
      </c>
      <c r="K161" s="354" t="s">
        <v>3185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3317</v>
      </c>
      <c r="B162" s="386" t="s">
        <v>3318</v>
      </c>
      <c r="C162" s="352" t="s">
        <v>3186</v>
      </c>
      <c r="D162" s="387" t="s">
        <v>3319</v>
      </c>
      <c r="E162" s="388" t="s">
        <v>3320</v>
      </c>
      <c r="F162" s="389" t="s">
        <v>3182</v>
      </c>
      <c r="G162" s="389" t="s">
        <v>3183</v>
      </c>
      <c r="H162" s="390" t="s">
        <v>1769</v>
      </c>
      <c r="I162" s="391" t="s">
        <v>1769</v>
      </c>
      <c r="J162" s="353" t="s">
        <v>3184</v>
      </c>
      <c r="K162" s="353" t="s">
        <v>3187</v>
      </c>
      <c r="L162" s="400"/>
      <c r="M162" s="401"/>
      <c r="N162" s="400">
        <v>3</v>
      </c>
      <c r="O162" s="401"/>
      <c r="P162" s="400">
        <v>2</v>
      </c>
      <c r="Q162" s="401"/>
      <c r="R162" s="400"/>
      <c r="S162" s="401"/>
      <c r="T162" s="400"/>
      <c r="U162" s="401"/>
      <c r="V162" s="400">
        <v>1</v>
      </c>
      <c r="W162" s="401"/>
      <c r="X162" s="400">
        <v>1</v>
      </c>
      <c r="Y162" s="401"/>
      <c r="Z162" s="400"/>
      <c r="AA162" s="401"/>
      <c r="AB162" s="400">
        <v>3</v>
      </c>
      <c r="AC162" s="401"/>
      <c r="AD162" s="400">
        <v>2</v>
      </c>
      <c r="AE162" s="401"/>
      <c r="AF162" s="400"/>
      <c r="AG162" s="401"/>
      <c r="AH162" s="400"/>
      <c r="AI162" s="401"/>
      <c r="AJ162" s="400">
        <v>1</v>
      </c>
      <c r="AK162" s="401"/>
      <c r="AL162" s="400">
        <v>1</v>
      </c>
      <c r="AM162" s="401"/>
      <c r="AN162" s="400"/>
      <c r="AO162" s="401"/>
      <c r="AP162" s="400">
        <v>3</v>
      </c>
      <c r="AQ162" s="401"/>
      <c r="AR162" s="400">
        <v>2</v>
      </c>
      <c r="AS162" s="401"/>
      <c r="AT162" s="400"/>
      <c r="AU162" s="401"/>
      <c r="AV162" s="400"/>
      <c r="AW162" s="401"/>
      <c r="AX162" s="400">
        <v>1</v>
      </c>
      <c r="AY162" s="401"/>
      <c r="AZ162" s="400">
        <v>1</v>
      </c>
      <c r="BA162" s="401"/>
      <c r="BB162" s="400"/>
      <c r="BC162" s="401"/>
      <c r="BD162" s="400">
        <v>3</v>
      </c>
      <c r="BE162" s="401"/>
      <c r="BF162" s="400">
        <v>2</v>
      </c>
      <c r="BG162" s="401"/>
      <c r="BH162" s="400"/>
      <c r="BI162" s="401"/>
      <c r="BJ162" s="400"/>
      <c r="BK162" s="401"/>
      <c r="BL162" s="400">
        <v>1</v>
      </c>
      <c r="BM162" s="401"/>
      <c r="BN162" s="400">
        <v>1</v>
      </c>
      <c r="BO162" s="401"/>
      <c r="BP162" s="400"/>
      <c r="BQ162" s="401"/>
      <c r="BR162" s="400">
        <v>3</v>
      </c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31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3317</v>
      </c>
      <c r="B163" s="386" t="s">
        <v>3318</v>
      </c>
      <c r="C163" s="392" t="s">
        <v>3186</v>
      </c>
      <c r="D163" s="387" t="s">
        <v>3319</v>
      </c>
      <c r="E163" s="388" t="s">
        <v>3320</v>
      </c>
      <c r="F163" s="389" t="s">
        <v>3182</v>
      </c>
      <c r="G163" s="389" t="s">
        <v>3183</v>
      </c>
      <c r="H163" s="390" t="s">
        <v>1769</v>
      </c>
      <c r="I163" s="391" t="s">
        <v>1769</v>
      </c>
      <c r="J163" s="353" t="s">
        <v>3184</v>
      </c>
      <c r="K163" s="355" t="s">
        <v>3188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3317</v>
      </c>
      <c r="B164" s="386" t="s">
        <v>3318</v>
      </c>
      <c r="C164" s="392" t="s">
        <v>3186</v>
      </c>
      <c r="D164" s="387" t="s">
        <v>3319</v>
      </c>
      <c r="E164" s="388" t="s">
        <v>3320</v>
      </c>
      <c r="F164" s="389" t="s">
        <v>3182</v>
      </c>
      <c r="G164" s="389" t="s">
        <v>3183</v>
      </c>
      <c r="H164" s="390" t="s">
        <v>1769</v>
      </c>
      <c r="I164" s="391" t="s">
        <v>1769</v>
      </c>
      <c r="J164" s="353" t="s">
        <v>3184</v>
      </c>
      <c r="K164" s="356" t="s">
        <v>3189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x14ac:dyDescent="0.2">
      <c r="A165" s="898" t="s">
        <v>3317</v>
      </c>
      <c r="B165" s="393" t="s">
        <v>3318</v>
      </c>
      <c r="C165" s="394" t="s">
        <v>3186</v>
      </c>
      <c r="D165" s="395" t="s">
        <v>3319</v>
      </c>
      <c r="E165" s="411" t="s">
        <v>3320</v>
      </c>
      <c r="F165" s="396" t="s">
        <v>3182</v>
      </c>
      <c r="G165" s="396" t="s">
        <v>3183</v>
      </c>
      <c r="H165" s="397" t="s">
        <v>1769</v>
      </c>
      <c r="I165" s="899" t="s">
        <v>1769</v>
      </c>
      <c r="J165" s="353" t="s">
        <v>3184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">
      <c r="A166" s="5"/>
      <c r="B166" s="5"/>
      <c r="C166" s="6"/>
      <c r="D166" s="7"/>
      <c r="E166" s="7"/>
      <c r="F166" s="7"/>
      <c r="G166" s="6"/>
      <c r="H166" s="5"/>
      <c r="I166" s="79"/>
      <c r="J166" s="5"/>
      <c r="K166" s="5"/>
      <c r="L166" s="335"/>
      <c r="M166" s="336"/>
      <c r="N166" s="335"/>
      <c r="O166" s="336"/>
      <c r="P166" s="335"/>
      <c r="Q166" s="336"/>
      <c r="R166" s="335"/>
      <c r="S166" s="336"/>
      <c r="T166" s="335"/>
      <c r="U166" s="336"/>
      <c r="V166" s="335"/>
      <c r="W166" s="336"/>
      <c r="X166" s="335"/>
      <c r="Y166" s="336"/>
      <c r="Z166" s="335"/>
      <c r="AA166" s="336"/>
      <c r="AB166" s="335"/>
      <c r="AC166" s="336"/>
      <c r="AD166" s="335"/>
      <c r="AE166" s="336"/>
      <c r="AF166" s="335"/>
      <c r="AG166" s="336"/>
      <c r="AH166" s="335"/>
      <c r="AI166" s="336"/>
      <c r="AJ166" s="335"/>
      <c r="AK166" s="336"/>
      <c r="AL166" s="335"/>
      <c r="AM166" s="336"/>
      <c r="AN166" s="335"/>
      <c r="AO166" s="336"/>
      <c r="AP166" s="335"/>
      <c r="AQ166" s="336"/>
      <c r="AR166" s="335"/>
      <c r="AS166" s="336"/>
      <c r="AT166" s="335"/>
      <c r="AU166" s="336"/>
      <c r="AV166" s="335"/>
      <c r="AW166" s="336"/>
      <c r="AX166" s="335"/>
      <c r="AY166" s="336"/>
      <c r="AZ166" s="335"/>
      <c r="BA166" s="336"/>
      <c r="BB166" s="335"/>
      <c r="BC166" s="336"/>
      <c r="BD166" s="335"/>
      <c r="BE166" s="336"/>
      <c r="BF166" s="335"/>
      <c r="BG166" s="336"/>
      <c r="BH166" s="335"/>
      <c r="BI166" s="336"/>
      <c r="BJ166" s="335"/>
      <c r="BK166" s="336"/>
      <c r="BL166" s="335"/>
      <c r="BM166" s="336"/>
      <c r="BN166" s="335"/>
      <c r="BO166" s="336"/>
      <c r="BP166" s="335"/>
      <c r="BQ166" s="336"/>
      <c r="BR166" s="335"/>
      <c r="BS166" s="336"/>
      <c r="BT166" s="335"/>
      <c r="BU166" s="336"/>
      <c r="BV166" s="337"/>
      <c r="BW166" s="337"/>
    </row>
    <row r="167" spans="1:75" s="64" customFormat="1" ht="21.95" customHeight="1" x14ac:dyDescent="0.2">
      <c r="A167" s="5"/>
      <c r="B167" s="5"/>
      <c r="C167" s="6"/>
      <c r="D167" s="7"/>
      <c r="E167" s="7"/>
      <c r="F167" s="7"/>
      <c r="G167" s="6"/>
      <c r="H167" s="5"/>
      <c r="I167" s="79"/>
      <c r="J167" s="5"/>
      <c r="K167" s="5"/>
      <c r="L167" s="335">
        <f t="shared" ref="L167:BU167" si="67">SUM(L6:L166)</f>
        <v>16</v>
      </c>
      <c r="M167" s="335">
        <f t="shared" si="67"/>
        <v>0</v>
      </c>
      <c r="N167" s="335">
        <f t="shared" si="67"/>
        <v>27</v>
      </c>
      <c r="O167" s="335">
        <f t="shared" si="67"/>
        <v>0</v>
      </c>
      <c r="P167" s="335">
        <f t="shared" si="67"/>
        <v>23</v>
      </c>
      <c r="Q167" s="335">
        <f t="shared" si="67"/>
        <v>0</v>
      </c>
      <c r="R167" s="335">
        <f t="shared" si="67"/>
        <v>0</v>
      </c>
      <c r="S167" s="335">
        <f t="shared" si="67"/>
        <v>0</v>
      </c>
      <c r="T167" s="335">
        <f t="shared" si="67"/>
        <v>0</v>
      </c>
      <c r="U167" s="335">
        <f t="shared" si="67"/>
        <v>0</v>
      </c>
      <c r="V167" s="335">
        <f t="shared" si="67"/>
        <v>22</v>
      </c>
      <c r="W167" s="335">
        <f t="shared" si="67"/>
        <v>0</v>
      </c>
      <c r="X167" s="335">
        <f t="shared" si="67"/>
        <v>28</v>
      </c>
      <c r="Y167" s="335">
        <f t="shared" si="67"/>
        <v>0</v>
      </c>
      <c r="Z167" s="335">
        <f t="shared" si="67"/>
        <v>15</v>
      </c>
      <c r="AA167" s="335">
        <f t="shared" si="67"/>
        <v>0</v>
      </c>
      <c r="AB167" s="335">
        <f t="shared" si="67"/>
        <v>23</v>
      </c>
      <c r="AC167" s="335">
        <f t="shared" si="67"/>
        <v>0</v>
      </c>
      <c r="AD167" s="335">
        <f t="shared" si="67"/>
        <v>23</v>
      </c>
      <c r="AE167" s="335">
        <f t="shared" si="67"/>
        <v>0</v>
      </c>
      <c r="AF167" s="335">
        <f t="shared" si="67"/>
        <v>0</v>
      </c>
      <c r="AG167" s="335">
        <f t="shared" si="67"/>
        <v>0</v>
      </c>
      <c r="AH167" s="335">
        <f t="shared" si="67"/>
        <v>0</v>
      </c>
      <c r="AI167" s="335">
        <f t="shared" si="67"/>
        <v>0</v>
      </c>
      <c r="AJ167" s="335">
        <f t="shared" si="67"/>
        <v>22</v>
      </c>
      <c r="AK167" s="335">
        <f t="shared" si="67"/>
        <v>0</v>
      </c>
      <c r="AL167" s="335">
        <f t="shared" si="67"/>
        <v>28</v>
      </c>
      <c r="AM167" s="335">
        <f t="shared" si="67"/>
        <v>0</v>
      </c>
      <c r="AN167" s="335">
        <f t="shared" si="67"/>
        <v>15</v>
      </c>
      <c r="AO167" s="335">
        <f t="shared" si="67"/>
        <v>0</v>
      </c>
      <c r="AP167" s="335">
        <f t="shared" si="67"/>
        <v>23</v>
      </c>
      <c r="AQ167" s="335">
        <f t="shared" si="67"/>
        <v>0</v>
      </c>
      <c r="AR167" s="335">
        <f t="shared" si="67"/>
        <v>23</v>
      </c>
      <c r="AS167" s="335">
        <f t="shared" si="67"/>
        <v>0</v>
      </c>
      <c r="AT167" s="335">
        <f t="shared" si="67"/>
        <v>0</v>
      </c>
      <c r="AU167" s="335">
        <f t="shared" si="67"/>
        <v>0</v>
      </c>
      <c r="AV167" s="335">
        <f t="shared" si="67"/>
        <v>0</v>
      </c>
      <c r="AW167" s="335">
        <f t="shared" si="67"/>
        <v>0</v>
      </c>
      <c r="AX167" s="335">
        <f t="shared" si="67"/>
        <v>22</v>
      </c>
      <c r="AY167" s="335">
        <f t="shared" si="67"/>
        <v>0</v>
      </c>
      <c r="AZ167" s="335">
        <f t="shared" si="67"/>
        <v>28</v>
      </c>
      <c r="BA167" s="335">
        <f t="shared" si="67"/>
        <v>0</v>
      </c>
      <c r="BB167" s="335">
        <f t="shared" si="67"/>
        <v>15</v>
      </c>
      <c r="BC167" s="335">
        <f t="shared" si="67"/>
        <v>0</v>
      </c>
      <c r="BD167" s="335">
        <f t="shared" si="67"/>
        <v>23</v>
      </c>
      <c r="BE167" s="335">
        <f t="shared" si="67"/>
        <v>0</v>
      </c>
      <c r="BF167" s="335">
        <f t="shared" si="67"/>
        <v>23</v>
      </c>
      <c r="BG167" s="335">
        <f t="shared" si="67"/>
        <v>0</v>
      </c>
      <c r="BH167" s="335">
        <f t="shared" si="67"/>
        <v>0</v>
      </c>
      <c r="BI167" s="335">
        <f t="shared" si="67"/>
        <v>0</v>
      </c>
      <c r="BJ167" s="335">
        <f t="shared" si="67"/>
        <v>0</v>
      </c>
      <c r="BK167" s="335">
        <f t="shared" si="67"/>
        <v>0</v>
      </c>
      <c r="BL167" s="335">
        <f t="shared" si="67"/>
        <v>22</v>
      </c>
      <c r="BM167" s="335">
        <f t="shared" si="67"/>
        <v>0</v>
      </c>
      <c r="BN167" s="335">
        <f t="shared" si="67"/>
        <v>28</v>
      </c>
      <c r="BO167" s="335">
        <f t="shared" si="67"/>
        <v>0</v>
      </c>
      <c r="BP167" s="335">
        <f t="shared" si="67"/>
        <v>18</v>
      </c>
      <c r="BQ167" s="335">
        <f t="shared" si="67"/>
        <v>0</v>
      </c>
      <c r="BR167" s="335">
        <f t="shared" si="67"/>
        <v>22</v>
      </c>
      <c r="BS167" s="335">
        <f t="shared" si="67"/>
        <v>0</v>
      </c>
      <c r="BT167" s="335">
        <f t="shared" si="67"/>
        <v>0</v>
      </c>
      <c r="BU167" s="335">
        <f t="shared" si="67"/>
        <v>0</v>
      </c>
      <c r="BV167" s="335">
        <f>SUM(BV6:BV166)</f>
        <v>489</v>
      </c>
      <c r="BW167" s="335">
        <f>SUM(BW6:BW166)</f>
        <v>0</v>
      </c>
    </row>
    <row r="168" spans="1:75" ht="21.95" customHeight="1" x14ac:dyDescent="0.25">
      <c r="A168" s="332"/>
      <c r="L168" s="335"/>
      <c r="M168" s="336"/>
      <c r="N168" s="335"/>
      <c r="O168" s="336"/>
      <c r="P168" s="335"/>
      <c r="Q168" s="336"/>
      <c r="R168" s="335"/>
      <c r="S168" s="336"/>
      <c r="T168" s="335"/>
      <c r="U168" s="336"/>
      <c r="V168" s="335"/>
      <c r="W168" s="336"/>
      <c r="X168" s="335"/>
      <c r="Y168" s="336"/>
      <c r="Z168" s="335"/>
      <c r="AA168" s="336"/>
      <c r="AB168" s="335"/>
      <c r="AC168" s="336"/>
      <c r="AD168" s="335"/>
      <c r="AE168" s="336"/>
      <c r="AF168" s="335"/>
      <c r="AG168" s="336"/>
      <c r="AH168" s="335"/>
      <c r="AI168" s="336"/>
      <c r="AJ168" s="335"/>
      <c r="AK168" s="336"/>
      <c r="AL168" s="335"/>
      <c r="AM168" s="336"/>
      <c r="AN168" s="335"/>
      <c r="AO168" s="336"/>
      <c r="AP168" s="335"/>
      <c r="AQ168" s="336"/>
      <c r="AR168" s="335"/>
      <c r="AS168" s="336"/>
      <c r="AT168" s="335"/>
      <c r="AU168" s="336"/>
      <c r="AV168" s="335"/>
      <c r="AW168" s="336"/>
      <c r="AX168" s="335"/>
      <c r="AY168" s="336"/>
      <c r="AZ168" s="335"/>
      <c r="BA168" s="336"/>
      <c r="BB168" s="335"/>
      <c r="BC168" s="336"/>
      <c r="BD168" s="335"/>
      <c r="BE168" s="336"/>
      <c r="BF168" s="335"/>
      <c r="BG168" s="336"/>
      <c r="BH168" s="335"/>
      <c r="BI168" s="336"/>
      <c r="BJ168" s="335"/>
      <c r="BK168" s="336"/>
      <c r="BL168" s="335"/>
      <c r="BM168" s="336"/>
      <c r="BN168" s="335"/>
      <c r="BO168" s="336"/>
      <c r="BP168" s="335"/>
      <c r="BQ168" s="336"/>
      <c r="BR168" s="335"/>
      <c r="BS168" s="336"/>
      <c r="BT168" s="335"/>
      <c r="BU168" s="336"/>
      <c r="BV168" s="337"/>
      <c r="BW168" s="337"/>
    </row>
    <row r="169" spans="1:75" ht="21.95" customHeight="1" x14ac:dyDescent="0.2">
      <c r="A169" s="79"/>
      <c r="B169" s="79"/>
      <c r="C169" s="331"/>
      <c r="D169" s="333"/>
      <c r="E169" s="333"/>
      <c r="F169" s="333"/>
      <c r="G169" s="331"/>
      <c r="H169" s="79"/>
      <c r="J169" s="334"/>
      <c r="K169" s="79"/>
      <c r="L169" s="335"/>
      <c r="M169" s="335"/>
      <c r="N169" s="335"/>
      <c r="O169" s="335"/>
      <c r="P169" s="335"/>
      <c r="Q169" s="335"/>
      <c r="R169" s="335"/>
      <c r="S169" s="335"/>
      <c r="T169" s="335"/>
      <c r="U169" s="335"/>
      <c r="V169" s="335"/>
      <c r="W169" s="335"/>
      <c r="X169" s="335"/>
      <c r="Y169" s="335"/>
      <c r="Z169" s="335"/>
      <c r="AA169" s="335"/>
      <c r="AB169" s="335"/>
      <c r="AC169" s="335"/>
      <c r="AD169" s="335"/>
      <c r="AE169" s="335"/>
      <c r="AF169" s="335"/>
      <c r="AG169" s="335"/>
      <c r="AH169" s="335"/>
      <c r="AI169" s="335"/>
      <c r="AJ169" s="335"/>
      <c r="AK169" s="335"/>
      <c r="AL169" s="335"/>
      <c r="AM169" s="335"/>
      <c r="AN169" s="335"/>
      <c r="AO169" s="335"/>
      <c r="AP169" s="335"/>
      <c r="AQ169" s="335"/>
      <c r="AR169" s="335"/>
      <c r="AS169" s="335"/>
      <c r="AT169" s="335"/>
      <c r="AU169" s="335"/>
      <c r="AV169" s="335"/>
      <c r="AW169" s="335"/>
      <c r="AX169" s="335"/>
      <c r="AY169" s="335"/>
      <c r="AZ169" s="335"/>
      <c r="BA169" s="335"/>
      <c r="BB169" s="335"/>
      <c r="BC169" s="335"/>
      <c r="BD169" s="335"/>
      <c r="BE169" s="335"/>
      <c r="BF169" s="335"/>
      <c r="BG169" s="335"/>
      <c r="BH169" s="335"/>
      <c r="BI169" s="335"/>
      <c r="BJ169" s="335"/>
      <c r="BK169" s="335"/>
      <c r="BL169" s="335"/>
      <c r="BM169" s="335"/>
      <c r="BN169" s="335"/>
      <c r="BO169" s="335"/>
      <c r="BP169" s="335"/>
      <c r="BQ169" s="335"/>
      <c r="BR169" s="335"/>
      <c r="BS169" s="335"/>
      <c r="BT169" s="335"/>
      <c r="BU169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166:I167">
    <cfRule type="expression" dxfId="403" priority="162227">
      <formula>C167="CSE"</formula>
    </cfRule>
    <cfRule type="expression" dxfId="402" priority="162228">
      <formula>C167="CSC"</formula>
    </cfRule>
    <cfRule type="expression" dxfId="401" priority="164023">
      <formula>C167="CSE"</formula>
    </cfRule>
    <cfRule type="expression" dxfId="400" priority="164024">
      <formula>C167="CSC"</formula>
    </cfRule>
  </conditionalFormatting>
  <conditionalFormatting sqref="I166:I167">
    <cfRule type="expression" dxfId="399" priority="162225">
      <formula>C166="CSE"</formula>
    </cfRule>
    <cfRule type="expression" dxfId="398" priority="162226">
      <formula>C166="CSC"</formula>
    </cfRule>
    <cfRule type="expression" dxfId="397" priority="164021">
      <formula>C166="CSE"</formula>
    </cfRule>
    <cfRule type="expression" dxfId="396" priority="164022">
      <formula>C166="CSC"</formula>
    </cfRule>
  </conditionalFormatting>
  <conditionalFormatting sqref="J166:J167">
    <cfRule type="cellIs" dxfId="395" priority="162187" operator="equal">
      <formula>"CRECHE"</formula>
    </cfRule>
    <cfRule type="cellIs" dxfId="394" priority="162188" operator="equal">
      <formula>"ADAPTADO"</formula>
    </cfRule>
    <cfRule type="cellIs" dxfId="393" priority="162215" operator="equal">
      <formula>"CRECHE"</formula>
    </cfRule>
    <cfRule type="cellIs" dxfId="392" priority="162216" operator="equal">
      <formula>"ADAPTADO"</formula>
    </cfRule>
  </conditionalFormatting>
  <conditionalFormatting sqref="J166:K167">
    <cfRule type="expression" dxfId="391" priority="162213" stopIfTrue="1">
      <formula>NOT(ISERROR(SEARCH("NORMAL",J166)))</formula>
    </cfRule>
    <cfRule type="expression" dxfId="390" priority="162214" stopIfTrue="1">
      <formula>NOT(ISERROR(SEARCH("ADAPTADO",J166)))</formula>
    </cfRule>
    <cfRule type="expression" dxfId="389" priority="164062" stopIfTrue="1">
      <formula>NOT(ISERROR(SEARCH("NORMAL",J166)))</formula>
    </cfRule>
    <cfRule type="expression" dxfId="388" priority="164063" stopIfTrue="1">
      <formula>NOT(ISERROR(SEARCH("ADAPTADO",J166)))</formula>
    </cfRule>
  </conditionalFormatting>
  <conditionalFormatting sqref="L166:BU166">
    <cfRule type="cellIs" dxfId="387" priority="162211" operator="lessThan">
      <formula>0</formula>
    </cfRule>
    <cfRule type="cellIs" dxfId="386" priority="162212" operator="greaterThan">
      <formula>0</formula>
    </cfRule>
  </conditionalFormatting>
  <conditionalFormatting sqref="I166:I167">
    <cfRule type="expression" dxfId="385" priority="162183">
      <formula>C167="CSE"</formula>
    </cfRule>
    <cfRule type="expression" dxfId="384" priority="162184">
      <formula>C167="CSC"</formula>
    </cfRule>
    <cfRule type="expression" dxfId="383" priority="162185">
      <formula>C167="CSE"</formula>
    </cfRule>
    <cfRule type="expression" dxfId="382" priority="162186">
      <formula>C167="CSC"</formula>
    </cfRule>
  </conditionalFormatting>
  <conditionalFormatting sqref="I166:I167">
    <cfRule type="expression" dxfId="381" priority="162179">
      <formula>C166="CSE"</formula>
    </cfRule>
    <cfRule type="expression" dxfId="380" priority="162180">
      <formula>C166="CSC"</formula>
    </cfRule>
    <cfRule type="expression" dxfId="379" priority="162181">
      <formula>C166="CSE"</formula>
    </cfRule>
    <cfRule type="expression" dxfId="378" priority="162182">
      <formula>C166="CSC"</formula>
    </cfRule>
  </conditionalFormatting>
  <conditionalFormatting sqref="J166:J167">
    <cfRule type="cellIs" dxfId="377" priority="162177" operator="equal">
      <formula>"CRECHE"</formula>
    </cfRule>
    <cfRule type="cellIs" dxfId="376" priority="162178" operator="equal">
      <formula>"ADAPTADO"</formula>
    </cfRule>
  </conditionalFormatting>
  <conditionalFormatting sqref="J166:J167">
    <cfRule type="cellIs" dxfId="375" priority="162173" operator="equal">
      <formula>"CRECHE"</formula>
    </cfRule>
    <cfRule type="cellIs" dxfId="374" priority="162174" operator="equal">
      <formula>"ADAPTADO"</formula>
    </cfRule>
    <cfRule type="cellIs" dxfId="373" priority="162175" operator="equal">
      <formula>"CRECHE"</formula>
    </cfRule>
    <cfRule type="cellIs" dxfId="372" priority="162176" operator="equal">
      <formula>"ADAPTADO"</formula>
    </cfRule>
  </conditionalFormatting>
  <conditionalFormatting sqref="J166:K167">
    <cfRule type="expression" dxfId="371" priority="162169">
      <formula>NOT(ISERROR(SEARCH("NORMAL",J166)))</formula>
    </cfRule>
    <cfRule type="expression" dxfId="370" priority="162170">
      <formula>NOT(ISERROR(SEARCH("ADAPTADO",J166)))</formula>
    </cfRule>
    <cfRule type="expression" dxfId="369" priority="162171">
      <formula>NOT(ISERROR(SEARCH("NORMAL",J166)))</formula>
    </cfRule>
    <cfRule type="expression" dxfId="368" priority="162172">
      <formula>NOT(ISERROR(SEARCH("ADAPTADO",J166)))</formula>
    </cfRule>
  </conditionalFormatting>
  <conditionalFormatting sqref="I166:I167">
    <cfRule type="expression" dxfId="367" priority="118324">
      <formula>C167="CSC"</formula>
    </cfRule>
  </conditionalFormatting>
  <conditionalFormatting sqref="I166:I167">
    <cfRule type="expression" dxfId="366" priority="118323">
      <formula>C167="CSE"</formula>
    </cfRule>
  </conditionalFormatting>
  <conditionalFormatting sqref="I166:I167">
    <cfRule type="expression" dxfId="365" priority="118322">
      <formula>C166="CSC"</formula>
    </cfRule>
  </conditionalFormatting>
  <conditionalFormatting sqref="I166:I167">
    <cfRule type="expression" dxfId="364" priority="118301">
      <formula>C166="CSE"</formula>
    </cfRule>
  </conditionalFormatting>
  <conditionalFormatting sqref="J166:J167">
    <cfRule type="cellIs" dxfId="363" priority="118299" operator="equal">
      <formula>"CRECHE"</formula>
    </cfRule>
    <cfRule type="cellIs" dxfId="362" priority="118300" operator="equal">
      <formula>"ADAPTADO"</formula>
    </cfRule>
  </conditionalFormatting>
  <conditionalFormatting sqref="J166:K167">
    <cfRule type="expression" dxfId="361" priority="118293" stopIfTrue="1">
      <formula>NOT(ISERROR(SEARCH("NORMAL",J166)))</formula>
    </cfRule>
    <cfRule type="expression" dxfId="360" priority="118294" stopIfTrue="1">
      <formula>NOT(ISERROR(SEARCH("ADAPTADO",J166)))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5">
    <cfRule type="cellIs" dxfId="359" priority="56885" operator="lessThan">
      <formula>0</formula>
    </cfRule>
    <cfRule type="cellIs" dxfId="358" priority="56886" operator="greaterThan">
      <formula>0</formula>
    </cfRule>
  </conditionalFormatting>
  <conditionalFormatting sqref="I6:I165">
    <cfRule type="expression" dxfId="357" priority="331">
      <formula>C7="CSE"</formula>
    </cfRule>
    <cfRule type="expression" dxfId="356" priority="332">
      <formula>C7="CSC"</formula>
    </cfRule>
    <cfRule type="expression" dxfId="355" priority="333">
      <formula>C7="CSE"</formula>
    </cfRule>
    <cfRule type="expression" dxfId="354" priority="334">
      <formula>C7="CSC"</formula>
    </cfRule>
  </conditionalFormatting>
  <conditionalFormatting sqref="I10">
    <cfRule type="expression" dxfId="353" priority="323">
      <formula>C10="CSE"</formula>
    </cfRule>
    <cfRule type="expression" dxfId="352" priority="324">
      <formula>C10="CSC"</formula>
    </cfRule>
    <cfRule type="expression" dxfId="351" priority="325">
      <formula>C10="CSE"</formula>
    </cfRule>
    <cfRule type="expression" dxfId="350" priority="326">
      <formula>C10="CSC"</formula>
    </cfRule>
    <cfRule type="expression" dxfId="349" priority="327">
      <formula>C10="CSE"</formula>
    </cfRule>
    <cfRule type="expression" dxfId="348" priority="328">
      <formula>C10="CSC"</formula>
    </cfRule>
    <cfRule type="expression" dxfId="347" priority="329">
      <formula>C10="CSE"</formula>
    </cfRule>
    <cfRule type="expression" dxfId="346" priority="330">
      <formula>C10="CSC"</formula>
    </cfRule>
  </conditionalFormatting>
  <conditionalFormatting sqref="I15">
    <cfRule type="expression" dxfId="345" priority="315">
      <formula>C15="CSE"</formula>
    </cfRule>
    <cfRule type="expression" dxfId="344" priority="316">
      <formula>C15="CSC"</formula>
    </cfRule>
    <cfRule type="expression" dxfId="343" priority="317">
      <formula>C15="CSE"</formula>
    </cfRule>
    <cfRule type="expression" dxfId="342" priority="318">
      <formula>C15="CSC"</formula>
    </cfRule>
    <cfRule type="expression" dxfId="341" priority="319">
      <formula>C15="CSE"</formula>
    </cfRule>
    <cfRule type="expression" dxfId="340" priority="320">
      <formula>C15="CSC"</formula>
    </cfRule>
    <cfRule type="expression" dxfId="339" priority="321">
      <formula>C15="CSE"</formula>
    </cfRule>
    <cfRule type="expression" dxfId="338" priority="322">
      <formula>C15="CSC"</formula>
    </cfRule>
  </conditionalFormatting>
  <conditionalFormatting sqref="I20">
    <cfRule type="expression" dxfId="337" priority="307">
      <formula>C20="CSE"</formula>
    </cfRule>
    <cfRule type="expression" dxfId="336" priority="308">
      <formula>C20="CSC"</formula>
    </cfRule>
    <cfRule type="expression" dxfId="335" priority="309">
      <formula>C20="CSE"</formula>
    </cfRule>
    <cfRule type="expression" dxfId="334" priority="310">
      <formula>C20="CSC"</formula>
    </cfRule>
    <cfRule type="expression" dxfId="333" priority="311">
      <formula>C20="CSE"</formula>
    </cfRule>
    <cfRule type="expression" dxfId="332" priority="312">
      <formula>C20="CSC"</formula>
    </cfRule>
    <cfRule type="expression" dxfId="331" priority="313">
      <formula>C20="CSE"</formula>
    </cfRule>
    <cfRule type="expression" dxfId="330" priority="314">
      <formula>C20="CSC"</formula>
    </cfRule>
  </conditionalFormatting>
  <conditionalFormatting sqref="I25">
    <cfRule type="expression" dxfId="329" priority="299">
      <formula>C25="CSE"</formula>
    </cfRule>
    <cfRule type="expression" dxfId="328" priority="300">
      <formula>C25="CSC"</formula>
    </cfRule>
    <cfRule type="expression" dxfId="327" priority="301">
      <formula>C25="CSE"</formula>
    </cfRule>
    <cfRule type="expression" dxfId="326" priority="302">
      <formula>C25="CSC"</formula>
    </cfRule>
    <cfRule type="expression" dxfId="325" priority="303">
      <formula>C25="CSE"</formula>
    </cfRule>
    <cfRule type="expression" dxfId="324" priority="304">
      <formula>C25="CSC"</formula>
    </cfRule>
    <cfRule type="expression" dxfId="323" priority="305">
      <formula>C25="CSE"</formula>
    </cfRule>
    <cfRule type="expression" dxfId="322" priority="306">
      <formula>C25="CSC"</formula>
    </cfRule>
  </conditionalFormatting>
  <conditionalFormatting sqref="I30">
    <cfRule type="expression" dxfId="321" priority="291">
      <formula>C30="CSE"</formula>
    </cfRule>
    <cfRule type="expression" dxfId="320" priority="292">
      <formula>C30="CSC"</formula>
    </cfRule>
    <cfRule type="expression" dxfId="319" priority="293">
      <formula>C30="CSE"</formula>
    </cfRule>
    <cfRule type="expression" dxfId="318" priority="294">
      <formula>C30="CSC"</formula>
    </cfRule>
    <cfRule type="expression" dxfId="317" priority="295">
      <formula>C30="CSE"</formula>
    </cfRule>
    <cfRule type="expression" dxfId="316" priority="296">
      <formula>C30="CSC"</formula>
    </cfRule>
    <cfRule type="expression" dxfId="315" priority="297">
      <formula>C30="CSE"</formula>
    </cfRule>
    <cfRule type="expression" dxfId="314" priority="298">
      <formula>C30="CSC"</formula>
    </cfRule>
  </conditionalFormatting>
  <conditionalFormatting sqref="I35">
    <cfRule type="expression" dxfId="313" priority="283">
      <formula>C35="CSE"</formula>
    </cfRule>
    <cfRule type="expression" dxfId="312" priority="284">
      <formula>C35="CSC"</formula>
    </cfRule>
    <cfRule type="expression" dxfId="311" priority="285">
      <formula>C35="CSE"</formula>
    </cfRule>
    <cfRule type="expression" dxfId="310" priority="286">
      <formula>C35="CSC"</formula>
    </cfRule>
    <cfRule type="expression" dxfId="309" priority="287">
      <formula>C35="CSE"</formula>
    </cfRule>
    <cfRule type="expression" dxfId="308" priority="288">
      <formula>C35="CSC"</formula>
    </cfRule>
    <cfRule type="expression" dxfId="307" priority="289">
      <formula>C35="CSE"</formula>
    </cfRule>
    <cfRule type="expression" dxfId="306" priority="290">
      <formula>C35="CSC"</formula>
    </cfRule>
  </conditionalFormatting>
  <conditionalFormatting sqref="I40">
    <cfRule type="expression" dxfId="305" priority="275">
      <formula>C40="CSE"</formula>
    </cfRule>
    <cfRule type="expression" dxfId="304" priority="276">
      <formula>C40="CSC"</formula>
    </cfRule>
    <cfRule type="expression" dxfId="303" priority="277">
      <formula>C40="CSE"</formula>
    </cfRule>
    <cfRule type="expression" dxfId="302" priority="278">
      <formula>C40="CSC"</formula>
    </cfRule>
    <cfRule type="expression" dxfId="301" priority="279">
      <formula>C40="CSE"</formula>
    </cfRule>
    <cfRule type="expression" dxfId="300" priority="280">
      <formula>C40="CSC"</formula>
    </cfRule>
    <cfRule type="expression" dxfId="299" priority="281">
      <formula>C40="CSE"</formula>
    </cfRule>
    <cfRule type="expression" dxfId="298" priority="282">
      <formula>C40="CSC"</formula>
    </cfRule>
  </conditionalFormatting>
  <conditionalFormatting sqref="I45">
    <cfRule type="expression" dxfId="297" priority="267">
      <formula>C45="CSE"</formula>
    </cfRule>
    <cfRule type="expression" dxfId="296" priority="268">
      <formula>C45="CSC"</formula>
    </cfRule>
    <cfRule type="expression" dxfId="295" priority="269">
      <formula>C45="CSE"</formula>
    </cfRule>
    <cfRule type="expression" dxfId="294" priority="270">
      <formula>C45="CSC"</formula>
    </cfRule>
    <cfRule type="expression" dxfId="293" priority="271">
      <formula>C45="CSE"</formula>
    </cfRule>
    <cfRule type="expression" dxfId="292" priority="272">
      <formula>C45="CSC"</formula>
    </cfRule>
    <cfRule type="expression" dxfId="291" priority="273">
      <formula>C45="CSE"</formula>
    </cfRule>
    <cfRule type="expression" dxfId="290" priority="274">
      <formula>C45="CSC"</formula>
    </cfRule>
  </conditionalFormatting>
  <conditionalFormatting sqref="I50">
    <cfRule type="expression" dxfId="289" priority="259">
      <formula>C50="CSE"</formula>
    </cfRule>
    <cfRule type="expression" dxfId="288" priority="260">
      <formula>C50="CSC"</formula>
    </cfRule>
    <cfRule type="expression" dxfId="287" priority="261">
      <formula>C50="CSE"</formula>
    </cfRule>
    <cfRule type="expression" dxfId="286" priority="262">
      <formula>C50="CSC"</formula>
    </cfRule>
    <cfRule type="expression" dxfId="285" priority="263">
      <formula>C50="CSE"</formula>
    </cfRule>
    <cfRule type="expression" dxfId="284" priority="264">
      <formula>C50="CSC"</formula>
    </cfRule>
    <cfRule type="expression" dxfId="283" priority="265">
      <formula>C50="CSE"</formula>
    </cfRule>
    <cfRule type="expression" dxfId="282" priority="266">
      <formula>C50="CSC"</formula>
    </cfRule>
  </conditionalFormatting>
  <conditionalFormatting sqref="I55">
    <cfRule type="expression" dxfId="281" priority="251">
      <formula>C55="CSE"</formula>
    </cfRule>
    <cfRule type="expression" dxfId="280" priority="252">
      <formula>C55="CSC"</formula>
    </cfRule>
    <cfRule type="expression" dxfId="279" priority="253">
      <formula>C55="CSE"</formula>
    </cfRule>
    <cfRule type="expression" dxfId="278" priority="254">
      <formula>C55="CSC"</formula>
    </cfRule>
    <cfRule type="expression" dxfId="277" priority="255">
      <formula>C55="CSE"</formula>
    </cfRule>
    <cfRule type="expression" dxfId="276" priority="256">
      <formula>C55="CSC"</formula>
    </cfRule>
    <cfRule type="expression" dxfId="275" priority="257">
      <formula>C55="CSE"</formula>
    </cfRule>
    <cfRule type="expression" dxfId="274" priority="258">
      <formula>C55="CSC"</formula>
    </cfRule>
  </conditionalFormatting>
  <conditionalFormatting sqref="I60">
    <cfRule type="expression" dxfId="273" priority="243">
      <formula>C60="CSE"</formula>
    </cfRule>
    <cfRule type="expression" dxfId="272" priority="244">
      <formula>C60="CSC"</formula>
    </cfRule>
    <cfRule type="expression" dxfId="271" priority="245">
      <formula>C60="CSE"</formula>
    </cfRule>
    <cfRule type="expression" dxfId="270" priority="246">
      <formula>C60="CSC"</formula>
    </cfRule>
    <cfRule type="expression" dxfId="269" priority="247">
      <formula>C60="CSE"</formula>
    </cfRule>
    <cfRule type="expression" dxfId="268" priority="248">
      <formula>C60="CSC"</formula>
    </cfRule>
    <cfRule type="expression" dxfId="267" priority="249">
      <formula>C60="CSE"</formula>
    </cfRule>
    <cfRule type="expression" dxfId="266" priority="250">
      <formula>C60="CSC"</formula>
    </cfRule>
  </conditionalFormatting>
  <conditionalFormatting sqref="I65">
    <cfRule type="expression" dxfId="265" priority="235">
      <formula>C65="CSE"</formula>
    </cfRule>
    <cfRule type="expression" dxfId="264" priority="236">
      <formula>C65="CSC"</formula>
    </cfRule>
    <cfRule type="expression" dxfId="263" priority="237">
      <formula>C65="CSE"</formula>
    </cfRule>
    <cfRule type="expression" dxfId="262" priority="238">
      <formula>C65="CSC"</formula>
    </cfRule>
    <cfRule type="expression" dxfId="261" priority="239">
      <formula>C65="CSE"</formula>
    </cfRule>
    <cfRule type="expression" dxfId="260" priority="240">
      <formula>C65="CSC"</formula>
    </cfRule>
    <cfRule type="expression" dxfId="259" priority="241">
      <formula>C65="CSE"</formula>
    </cfRule>
    <cfRule type="expression" dxfId="258" priority="242">
      <formula>C65="CSC"</formula>
    </cfRule>
  </conditionalFormatting>
  <conditionalFormatting sqref="I70">
    <cfRule type="expression" dxfId="257" priority="227">
      <formula>C70="CSE"</formula>
    </cfRule>
    <cfRule type="expression" dxfId="256" priority="228">
      <formula>C70="CSC"</formula>
    </cfRule>
    <cfRule type="expression" dxfId="255" priority="229">
      <formula>C70="CSE"</formula>
    </cfRule>
    <cfRule type="expression" dxfId="254" priority="230">
      <formula>C70="CSC"</formula>
    </cfRule>
    <cfRule type="expression" dxfId="253" priority="231">
      <formula>C70="CSE"</formula>
    </cfRule>
    <cfRule type="expression" dxfId="252" priority="232">
      <formula>C70="CSC"</formula>
    </cfRule>
    <cfRule type="expression" dxfId="251" priority="233">
      <formula>C70="CSE"</formula>
    </cfRule>
    <cfRule type="expression" dxfId="250" priority="234">
      <formula>C70="CSC"</formula>
    </cfRule>
  </conditionalFormatting>
  <conditionalFormatting sqref="I75">
    <cfRule type="expression" dxfId="249" priority="219">
      <formula>C75="CSE"</formula>
    </cfRule>
    <cfRule type="expression" dxfId="248" priority="220">
      <formula>C75="CSC"</formula>
    </cfRule>
    <cfRule type="expression" dxfId="247" priority="221">
      <formula>C75="CSE"</formula>
    </cfRule>
    <cfRule type="expression" dxfId="246" priority="222">
      <formula>C75="CSC"</formula>
    </cfRule>
    <cfRule type="expression" dxfId="245" priority="223">
      <formula>C75="CSE"</formula>
    </cfRule>
    <cfRule type="expression" dxfId="244" priority="224">
      <formula>C75="CSC"</formula>
    </cfRule>
    <cfRule type="expression" dxfId="243" priority="225">
      <formula>C75="CSE"</formula>
    </cfRule>
    <cfRule type="expression" dxfId="242" priority="226">
      <formula>C75="CSC"</formula>
    </cfRule>
  </conditionalFormatting>
  <conditionalFormatting sqref="I80">
    <cfRule type="expression" dxfId="241" priority="211">
      <formula>C80="CSE"</formula>
    </cfRule>
    <cfRule type="expression" dxfId="240" priority="212">
      <formula>C80="CSC"</formula>
    </cfRule>
    <cfRule type="expression" dxfId="239" priority="213">
      <formula>C80="CSE"</formula>
    </cfRule>
    <cfRule type="expression" dxfId="238" priority="214">
      <formula>C80="CSC"</formula>
    </cfRule>
    <cfRule type="expression" dxfId="237" priority="215">
      <formula>C80="CSE"</formula>
    </cfRule>
    <cfRule type="expression" dxfId="236" priority="216">
      <formula>C80="CSC"</formula>
    </cfRule>
    <cfRule type="expression" dxfId="235" priority="217">
      <formula>C80="CSE"</formula>
    </cfRule>
    <cfRule type="expression" dxfId="234" priority="218">
      <formula>C80="CSC"</formula>
    </cfRule>
  </conditionalFormatting>
  <conditionalFormatting sqref="I85">
    <cfRule type="expression" dxfId="233" priority="203">
      <formula>C85="CSE"</formula>
    </cfRule>
    <cfRule type="expression" dxfId="232" priority="204">
      <formula>C85="CSC"</formula>
    </cfRule>
    <cfRule type="expression" dxfId="231" priority="205">
      <formula>C85="CSE"</formula>
    </cfRule>
    <cfRule type="expression" dxfId="230" priority="206">
      <formula>C85="CSC"</formula>
    </cfRule>
    <cfRule type="expression" dxfId="229" priority="207">
      <formula>C85="CSE"</formula>
    </cfRule>
    <cfRule type="expression" dxfId="228" priority="208">
      <formula>C85="CSC"</formula>
    </cfRule>
    <cfRule type="expression" dxfId="227" priority="209">
      <formula>C85="CSE"</formula>
    </cfRule>
    <cfRule type="expression" dxfId="226" priority="210">
      <formula>C85="CSC"</formula>
    </cfRule>
  </conditionalFormatting>
  <conditionalFormatting sqref="I90">
    <cfRule type="expression" dxfId="225" priority="195">
      <formula>C90="CSE"</formula>
    </cfRule>
    <cfRule type="expression" dxfId="224" priority="196">
      <formula>C90="CSC"</formula>
    </cfRule>
    <cfRule type="expression" dxfId="223" priority="197">
      <formula>C90="CSE"</formula>
    </cfRule>
    <cfRule type="expression" dxfId="222" priority="198">
      <formula>C90="CSC"</formula>
    </cfRule>
    <cfRule type="expression" dxfId="221" priority="199">
      <formula>C90="CSE"</formula>
    </cfRule>
    <cfRule type="expression" dxfId="220" priority="200">
      <formula>C90="CSC"</formula>
    </cfRule>
    <cfRule type="expression" dxfId="219" priority="201">
      <formula>C90="CSE"</formula>
    </cfRule>
    <cfRule type="expression" dxfId="218" priority="202">
      <formula>C90="CSC"</formula>
    </cfRule>
  </conditionalFormatting>
  <conditionalFormatting sqref="I95">
    <cfRule type="expression" dxfId="217" priority="187">
      <formula>C95="CSE"</formula>
    </cfRule>
    <cfRule type="expression" dxfId="216" priority="188">
      <formula>C95="CSC"</formula>
    </cfRule>
    <cfRule type="expression" dxfId="215" priority="189">
      <formula>C95="CSE"</formula>
    </cfRule>
    <cfRule type="expression" dxfId="214" priority="190">
      <formula>C95="CSC"</formula>
    </cfRule>
    <cfRule type="expression" dxfId="213" priority="191">
      <formula>C95="CSE"</formula>
    </cfRule>
    <cfRule type="expression" dxfId="212" priority="192">
      <formula>C95="CSC"</formula>
    </cfRule>
    <cfRule type="expression" dxfId="211" priority="193">
      <formula>C95="CSE"</formula>
    </cfRule>
    <cfRule type="expression" dxfId="210" priority="194">
      <formula>C95="CSC"</formula>
    </cfRule>
  </conditionalFormatting>
  <conditionalFormatting sqref="I100">
    <cfRule type="expression" dxfId="209" priority="179">
      <formula>C100="CSE"</formula>
    </cfRule>
    <cfRule type="expression" dxfId="208" priority="180">
      <formula>C100="CSC"</formula>
    </cfRule>
    <cfRule type="expression" dxfId="207" priority="181">
      <formula>C100="CSE"</formula>
    </cfRule>
    <cfRule type="expression" dxfId="206" priority="182">
      <formula>C100="CSC"</formula>
    </cfRule>
    <cfRule type="expression" dxfId="205" priority="183">
      <formula>C100="CSE"</formula>
    </cfRule>
    <cfRule type="expression" dxfId="204" priority="184">
      <formula>C100="CSC"</formula>
    </cfRule>
    <cfRule type="expression" dxfId="203" priority="185">
      <formula>C100="CSE"</formula>
    </cfRule>
    <cfRule type="expression" dxfId="202" priority="186">
      <formula>C100="CSC"</formula>
    </cfRule>
  </conditionalFormatting>
  <conditionalFormatting sqref="I105">
    <cfRule type="expression" dxfId="201" priority="171">
      <formula>C105="CSE"</formula>
    </cfRule>
    <cfRule type="expression" dxfId="200" priority="172">
      <formula>C105="CSC"</formula>
    </cfRule>
    <cfRule type="expression" dxfId="199" priority="173">
      <formula>C105="CSE"</formula>
    </cfRule>
    <cfRule type="expression" dxfId="198" priority="174">
      <formula>C105="CSC"</formula>
    </cfRule>
    <cfRule type="expression" dxfId="197" priority="175">
      <formula>C105="CSE"</formula>
    </cfRule>
    <cfRule type="expression" dxfId="196" priority="176">
      <formula>C105="CSC"</formula>
    </cfRule>
    <cfRule type="expression" dxfId="195" priority="177">
      <formula>C105="CSE"</formula>
    </cfRule>
    <cfRule type="expression" dxfId="194" priority="178">
      <formula>C105="CSC"</formula>
    </cfRule>
  </conditionalFormatting>
  <conditionalFormatting sqref="I110">
    <cfRule type="expression" dxfId="193" priority="163">
      <formula>C110="CSE"</formula>
    </cfRule>
    <cfRule type="expression" dxfId="192" priority="164">
      <formula>C110="CSC"</formula>
    </cfRule>
    <cfRule type="expression" dxfId="191" priority="165">
      <formula>C110="CSE"</formula>
    </cfRule>
    <cfRule type="expression" dxfId="190" priority="166">
      <formula>C110="CSC"</formula>
    </cfRule>
    <cfRule type="expression" dxfId="189" priority="167">
      <formula>C110="CSE"</formula>
    </cfRule>
    <cfRule type="expression" dxfId="188" priority="168">
      <formula>C110="CSC"</formula>
    </cfRule>
    <cfRule type="expression" dxfId="187" priority="169">
      <formula>C110="CSE"</formula>
    </cfRule>
    <cfRule type="expression" dxfId="186" priority="170">
      <formula>C110="CSC"</formula>
    </cfRule>
  </conditionalFormatting>
  <conditionalFormatting sqref="I115">
    <cfRule type="expression" dxfId="185" priority="155">
      <formula>C115="CSE"</formula>
    </cfRule>
    <cfRule type="expression" dxfId="184" priority="156">
      <formula>C115="CSC"</formula>
    </cfRule>
    <cfRule type="expression" dxfId="183" priority="157">
      <formula>C115="CSE"</formula>
    </cfRule>
    <cfRule type="expression" dxfId="182" priority="158">
      <formula>C115="CSC"</formula>
    </cfRule>
    <cfRule type="expression" dxfId="181" priority="159">
      <formula>C115="CSE"</formula>
    </cfRule>
    <cfRule type="expression" dxfId="180" priority="160">
      <formula>C115="CSC"</formula>
    </cfRule>
    <cfRule type="expression" dxfId="179" priority="161">
      <formula>C115="CSE"</formula>
    </cfRule>
    <cfRule type="expression" dxfId="178" priority="162">
      <formula>C115="CSC"</formula>
    </cfRule>
  </conditionalFormatting>
  <conditionalFormatting sqref="I120">
    <cfRule type="expression" dxfId="177" priority="147">
      <formula>C120="CSE"</formula>
    </cfRule>
    <cfRule type="expression" dxfId="176" priority="148">
      <formula>C120="CSC"</formula>
    </cfRule>
    <cfRule type="expression" dxfId="175" priority="149">
      <formula>C120="CSE"</formula>
    </cfRule>
    <cfRule type="expression" dxfId="174" priority="150">
      <formula>C120="CSC"</formula>
    </cfRule>
    <cfRule type="expression" dxfId="173" priority="151">
      <formula>C120="CSE"</formula>
    </cfRule>
    <cfRule type="expression" dxfId="172" priority="152">
      <formula>C120="CSC"</formula>
    </cfRule>
    <cfRule type="expression" dxfId="171" priority="153">
      <formula>C120="CSE"</formula>
    </cfRule>
    <cfRule type="expression" dxfId="170" priority="154">
      <formula>C120="CSC"</formula>
    </cfRule>
  </conditionalFormatting>
  <conditionalFormatting sqref="I125">
    <cfRule type="expression" dxfId="169" priority="139">
      <formula>C125="CSE"</formula>
    </cfRule>
    <cfRule type="expression" dxfId="168" priority="140">
      <formula>C125="CSC"</formula>
    </cfRule>
    <cfRule type="expression" dxfId="167" priority="141">
      <formula>C125="CSE"</formula>
    </cfRule>
    <cfRule type="expression" dxfId="166" priority="142">
      <formula>C125="CSC"</formula>
    </cfRule>
    <cfRule type="expression" dxfId="165" priority="143">
      <formula>C125="CSE"</formula>
    </cfRule>
    <cfRule type="expression" dxfId="164" priority="144">
      <formula>C125="CSC"</formula>
    </cfRule>
    <cfRule type="expression" dxfId="163" priority="145">
      <formula>C125="CSE"</formula>
    </cfRule>
    <cfRule type="expression" dxfId="162" priority="146">
      <formula>C125="CSC"</formula>
    </cfRule>
  </conditionalFormatting>
  <conditionalFormatting sqref="I130">
    <cfRule type="expression" dxfId="161" priority="131">
      <formula>C130="CSE"</formula>
    </cfRule>
    <cfRule type="expression" dxfId="160" priority="132">
      <formula>C130="CSC"</formula>
    </cfRule>
    <cfRule type="expression" dxfId="159" priority="133">
      <formula>C130="CSE"</formula>
    </cfRule>
    <cfRule type="expression" dxfId="158" priority="134">
      <formula>C130="CSC"</formula>
    </cfRule>
    <cfRule type="expression" dxfId="157" priority="135">
      <formula>C130="CSE"</formula>
    </cfRule>
    <cfRule type="expression" dxfId="156" priority="136">
      <formula>C130="CSC"</formula>
    </cfRule>
    <cfRule type="expression" dxfId="155" priority="137">
      <formula>C130="CSE"</formula>
    </cfRule>
    <cfRule type="expression" dxfId="154" priority="138">
      <formula>C130="CSC"</formula>
    </cfRule>
  </conditionalFormatting>
  <conditionalFormatting sqref="I135">
    <cfRule type="expression" dxfId="153" priority="123">
      <formula>C135="CSE"</formula>
    </cfRule>
    <cfRule type="expression" dxfId="152" priority="124">
      <formula>C135="CSC"</formula>
    </cfRule>
    <cfRule type="expression" dxfId="151" priority="125">
      <formula>C135="CSE"</formula>
    </cfRule>
    <cfRule type="expression" dxfId="150" priority="126">
      <formula>C135="CSC"</formula>
    </cfRule>
    <cfRule type="expression" dxfId="149" priority="127">
      <formula>C135="CSE"</formula>
    </cfRule>
    <cfRule type="expression" dxfId="148" priority="128">
      <formula>C135="CSC"</formula>
    </cfRule>
    <cfRule type="expression" dxfId="147" priority="129">
      <formula>C135="CSE"</formula>
    </cfRule>
    <cfRule type="expression" dxfId="146" priority="130">
      <formula>C135="CSC"</formula>
    </cfRule>
  </conditionalFormatting>
  <conditionalFormatting sqref="I140">
    <cfRule type="expression" dxfId="145" priority="115">
      <formula>C140="CSE"</formula>
    </cfRule>
    <cfRule type="expression" dxfId="144" priority="116">
      <formula>C140="CSC"</formula>
    </cfRule>
    <cfRule type="expression" dxfId="143" priority="117">
      <formula>C140="CSE"</formula>
    </cfRule>
    <cfRule type="expression" dxfId="142" priority="118">
      <formula>C140="CSC"</formula>
    </cfRule>
    <cfRule type="expression" dxfId="141" priority="119">
      <formula>C140="CSE"</formula>
    </cfRule>
    <cfRule type="expression" dxfId="140" priority="120">
      <formula>C140="CSC"</formula>
    </cfRule>
    <cfRule type="expression" dxfId="139" priority="121">
      <formula>C140="CSE"</formula>
    </cfRule>
    <cfRule type="expression" dxfId="138" priority="122">
      <formula>C140="CSC"</formula>
    </cfRule>
  </conditionalFormatting>
  <conditionalFormatting sqref="I145">
    <cfRule type="expression" dxfId="137" priority="107">
      <formula>C145="CSE"</formula>
    </cfRule>
    <cfRule type="expression" dxfId="136" priority="108">
      <formula>C145="CSC"</formula>
    </cfRule>
    <cfRule type="expression" dxfId="135" priority="109">
      <formula>C145="CSE"</formula>
    </cfRule>
    <cfRule type="expression" dxfId="134" priority="110">
      <formula>C145="CSC"</formula>
    </cfRule>
    <cfRule type="expression" dxfId="133" priority="111">
      <formula>C145="CSE"</formula>
    </cfRule>
    <cfRule type="expression" dxfId="132" priority="112">
      <formula>C145="CSC"</formula>
    </cfRule>
    <cfRule type="expression" dxfId="131" priority="113">
      <formula>C145="CSE"</formula>
    </cfRule>
    <cfRule type="expression" dxfId="130" priority="114">
      <formula>C145="CSC"</formula>
    </cfRule>
  </conditionalFormatting>
  <conditionalFormatting sqref="I150">
    <cfRule type="expression" dxfId="129" priority="99">
      <formula>C150="CSE"</formula>
    </cfRule>
    <cfRule type="expression" dxfId="128" priority="100">
      <formula>C150="CSC"</formula>
    </cfRule>
    <cfRule type="expression" dxfId="127" priority="101">
      <formula>C150="CSE"</formula>
    </cfRule>
    <cfRule type="expression" dxfId="126" priority="102">
      <formula>C150="CSC"</formula>
    </cfRule>
    <cfRule type="expression" dxfId="125" priority="103">
      <formula>C150="CSE"</formula>
    </cfRule>
    <cfRule type="expression" dxfId="124" priority="104">
      <formula>C150="CSC"</formula>
    </cfRule>
    <cfRule type="expression" dxfId="123" priority="105">
      <formula>C150="CSE"</formula>
    </cfRule>
    <cfRule type="expression" dxfId="122" priority="106">
      <formula>C150="CSC"</formula>
    </cfRule>
  </conditionalFormatting>
  <conditionalFormatting sqref="I155">
    <cfRule type="expression" dxfId="121" priority="91">
      <formula>C155="CSE"</formula>
    </cfRule>
    <cfRule type="expression" dxfId="120" priority="92">
      <formula>C155="CSC"</formula>
    </cfRule>
    <cfRule type="expression" dxfId="119" priority="93">
      <formula>C155="CSE"</formula>
    </cfRule>
    <cfRule type="expression" dxfId="118" priority="94">
      <formula>C155="CSC"</formula>
    </cfRule>
    <cfRule type="expression" dxfId="117" priority="95">
      <formula>C155="CSE"</formula>
    </cfRule>
    <cfRule type="expression" dxfId="116" priority="96">
      <formula>C155="CSC"</formula>
    </cfRule>
    <cfRule type="expression" dxfId="115" priority="97">
      <formula>C155="CSE"</formula>
    </cfRule>
    <cfRule type="expression" dxfId="114" priority="98">
      <formula>C155="CSC"</formula>
    </cfRule>
  </conditionalFormatting>
  <conditionalFormatting sqref="I160">
    <cfRule type="expression" dxfId="113" priority="83">
      <formula>C160="CSE"</formula>
    </cfRule>
    <cfRule type="expression" dxfId="112" priority="84">
      <formula>C160="CSC"</formula>
    </cfRule>
    <cfRule type="expression" dxfId="111" priority="85">
      <formula>C160="CSE"</formula>
    </cfRule>
    <cfRule type="expression" dxfId="110" priority="86">
      <formula>C160="CSC"</formula>
    </cfRule>
    <cfRule type="expression" dxfId="109" priority="87">
      <formula>C160="CSE"</formula>
    </cfRule>
    <cfRule type="expression" dxfId="108" priority="88">
      <formula>C160="CSC"</formula>
    </cfRule>
    <cfRule type="expression" dxfId="107" priority="89">
      <formula>C160="CSE"</formula>
    </cfRule>
    <cfRule type="expression" dxfId="106" priority="90">
      <formula>C160="CSC"</formula>
    </cfRule>
  </conditionalFormatting>
  <conditionalFormatting sqref="I165">
    <cfRule type="expression" dxfId="105" priority="75">
      <formula>C165="CSE"</formula>
    </cfRule>
    <cfRule type="expression" dxfId="104" priority="76">
      <formula>C165="CSC"</formula>
    </cfRule>
    <cfRule type="expression" dxfId="103" priority="77">
      <formula>C165="CSE"</formula>
    </cfRule>
    <cfRule type="expression" dxfId="102" priority="78">
      <formula>C165="CSC"</formula>
    </cfRule>
    <cfRule type="expression" dxfId="101" priority="79">
      <formula>C165="CSE"</formula>
    </cfRule>
    <cfRule type="expression" dxfId="100" priority="80">
      <formula>C165="CSC"</formula>
    </cfRule>
    <cfRule type="expression" dxfId="99" priority="81">
      <formula>C165="CSE"</formula>
    </cfRule>
    <cfRule type="expression" dxfId="98" priority="82">
      <formula>C165="CSC"</formula>
    </cfRule>
  </conditionalFormatting>
  <conditionalFormatting sqref="J6:J165">
    <cfRule type="cellIs" dxfId="97" priority="69" operator="equal">
      <formula>"CRECHE"</formula>
    </cfRule>
    <cfRule type="cellIs" dxfId="96" priority="70" operator="equal">
      <formula>"ADAPTADO"</formula>
    </cfRule>
    <cfRule type="cellIs" dxfId="95" priority="71" operator="equal">
      <formula>"CRECHE"</formula>
    </cfRule>
    <cfRule type="cellIs" dxfId="94" priority="72" operator="equal">
      <formula>"ADAPTADO"</formula>
    </cfRule>
    <cfRule type="cellIs" dxfId="93" priority="73" operator="equal">
      <formula>"CRECHE"</formula>
    </cfRule>
    <cfRule type="cellIs" dxfId="92" priority="74" operator="equal">
      <formula>"ADAPTADO"</formula>
    </cfRule>
  </conditionalFormatting>
  <conditionalFormatting sqref="J6:K10">
    <cfRule type="expression" dxfId="91" priority="65">
      <formula>NOT(ISERROR(SEARCH("NORMAL",J6)))</formula>
    </cfRule>
    <cfRule type="expression" dxfId="90" priority="66">
      <formula>NOT(ISERROR(SEARCH("ADAPTADO",J6)))</formula>
    </cfRule>
    <cfRule type="expression" dxfId="89" priority="67">
      <formula>NOT(ISERROR(SEARCH("NORMAL",J6)))</formula>
    </cfRule>
    <cfRule type="expression" dxfId="88" priority="68">
      <formula>NOT(ISERROR(SEARCH("ADAPTADO",J6)))</formula>
    </cfRule>
  </conditionalFormatting>
  <conditionalFormatting sqref="J11:K15">
    <cfRule type="expression" dxfId="87" priority="63">
      <formula>NOT(ISERROR(SEARCH("NORMAL",J11)))</formula>
    </cfRule>
    <cfRule type="expression" dxfId="86" priority="64">
      <formula>NOT(ISERROR(SEARCH("ADAPTADO",J11)))</formula>
    </cfRule>
  </conditionalFormatting>
  <conditionalFormatting sqref="J11:K20">
    <cfRule type="expression" dxfId="85" priority="61">
      <formula>NOT(ISERROR(SEARCH("NORMAL",J11)))</formula>
    </cfRule>
    <cfRule type="expression" dxfId="84" priority="62">
      <formula>NOT(ISERROR(SEARCH("ADAPTADO",J11)))</formula>
    </cfRule>
  </conditionalFormatting>
  <conditionalFormatting sqref="J16:K25">
    <cfRule type="expression" dxfId="83" priority="59">
      <formula>NOT(ISERROR(SEARCH("NORMAL",J16)))</formula>
    </cfRule>
    <cfRule type="expression" dxfId="82" priority="60">
      <formula>NOT(ISERROR(SEARCH("ADAPTADO",J16)))</formula>
    </cfRule>
  </conditionalFormatting>
  <conditionalFormatting sqref="J21:K30">
    <cfRule type="expression" dxfId="81" priority="57">
      <formula>NOT(ISERROR(SEARCH("NORMAL",J21)))</formula>
    </cfRule>
    <cfRule type="expression" dxfId="80" priority="58">
      <formula>NOT(ISERROR(SEARCH("ADAPTADO",J21)))</formula>
    </cfRule>
  </conditionalFormatting>
  <conditionalFormatting sqref="J26:K35">
    <cfRule type="expression" dxfId="79" priority="55">
      <formula>NOT(ISERROR(SEARCH("NORMAL",J26)))</formula>
    </cfRule>
    <cfRule type="expression" dxfId="78" priority="56">
      <formula>NOT(ISERROR(SEARCH("ADAPTADO",J26)))</formula>
    </cfRule>
  </conditionalFormatting>
  <conditionalFormatting sqref="J31:K40">
    <cfRule type="expression" dxfId="77" priority="53">
      <formula>NOT(ISERROR(SEARCH("NORMAL",J31)))</formula>
    </cfRule>
    <cfRule type="expression" dxfId="76" priority="54">
      <formula>NOT(ISERROR(SEARCH("ADAPTADO",J31)))</formula>
    </cfRule>
  </conditionalFormatting>
  <conditionalFormatting sqref="J36:K45">
    <cfRule type="expression" dxfId="75" priority="51">
      <formula>NOT(ISERROR(SEARCH("NORMAL",J36)))</formula>
    </cfRule>
    <cfRule type="expression" dxfId="74" priority="52">
      <formula>NOT(ISERROR(SEARCH("ADAPTADO",J36)))</formula>
    </cfRule>
  </conditionalFormatting>
  <conditionalFormatting sqref="J41:K50">
    <cfRule type="expression" dxfId="73" priority="49">
      <formula>NOT(ISERROR(SEARCH("NORMAL",J41)))</formula>
    </cfRule>
    <cfRule type="expression" dxfId="72" priority="50">
      <formula>NOT(ISERROR(SEARCH("ADAPTADO",J41)))</formula>
    </cfRule>
  </conditionalFormatting>
  <conditionalFormatting sqref="J46:K55">
    <cfRule type="expression" dxfId="71" priority="47">
      <formula>NOT(ISERROR(SEARCH("NORMAL",J46)))</formula>
    </cfRule>
    <cfRule type="expression" dxfId="70" priority="48">
      <formula>NOT(ISERROR(SEARCH("ADAPTADO",J46)))</formula>
    </cfRule>
  </conditionalFormatting>
  <conditionalFormatting sqref="J51:K60">
    <cfRule type="expression" dxfId="69" priority="45">
      <formula>NOT(ISERROR(SEARCH("NORMAL",J51)))</formula>
    </cfRule>
    <cfRule type="expression" dxfId="68" priority="46">
      <formula>NOT(ISERROR(SEARCH("ADAPTADO",J51)))</formula>
    </cfRule>
  </conditionalFormatting>
  <conditionalFormatting sqref="J56:K65">
    <cfRule type="expression" dxfId="67" priority="43">
      <formula>NOT(ISERROR(SEARCH("NORMAL",J56)))</formula>
    </cfRule>
    <cfRule type="expression" dxfId="66" priority="44">
      <formula>NOT(ISERROR(SEARCH("ADAPTADO",J56)))</formula>
    </cfRule>
  </conditionalFormatting>
  <conditionalFormatting sqref="J61:K70">
    <cfRule type="expression" dxfId="65" priority="41">
      <formula>NOT(ISERROR(SEARCH("NORMAL",J61)))</formula>
    </cfRule>
    <cfRule type="expression" dxfId="64" priority="42">
      <formula>NOT(ISERROR(SEARCH("ADAPTADO",J61)))</formula>
    </cfRule>
  </conditionalFormatting>
  <conditionalFormatting sqref="J66:K75">
    <cfRule type="expression" dxfId="63" priority="39">
      <formula>NOT(ISERROR(SEARCH("NORMAL",J66)))</formula>
    </cfRule>
    <cfRule type="expression" dxfId="62" priority="40">
      <formula>NOT(ISERROR(SEARCH("ADAPTADO",J66)))</formula>
    </cfRule>
  </conditionalFormatting>
  <conditionalFormatting sqref="J71:K80">
    <cfRule type="expression" dxfId="61" priority="37">
      <formula>NOT(ISERROR(SEARCH("NORMAL",J71)))</formula>
    </cfRule>
    <cfRule type="expression" dxfId="60" priority="38">
      <formula>NOT(ISERROR(SEARCH("ADAPTADO",J71)))</formula>
    </cfRule>
  </conditionalFormatting>
  <conditionalFormatting sqref="J76:K85">
    <cfRule type="expression" dxfId="59" priority="35">
      <formula>NOT(ISERROR(SEARCH("NORMAL",J76)))</formula>
    </cfRule>
    <cfRule type="expression" dxfId="58" priority="36">
      <formula>NOT(ISERROR(SEARCH("ADAPTADO",J76)))</formula>
    </cfRule>
  </conditionalFormatting>
  <conditionalFormatting sqref="J81:K90">
    <cfRule type="expression" dxfId="57" priority="33">
      <formula>NOT(ISERROR(SEARCH("NORMAL",J81)))</formula>
    </cfRule>
    <cfRule type="expression" dxfId="56" priority="34">
      <formula>NOT(ISERROR(SEARCH("ADAPTADO",J81)))</formula>
    </cfRule>
  </conditionalFormatting>
  <conditionalFormatting sqref="J86:K95">
    <cfRule type="expression" dxfId="55" priority="31">
      <formula>NOT(ISERROR(SEARCH("NORMAL",J86)))</formula>
    </cfRule>
    <cfRule type="expression" dxfId="54" priority="32">
      <formula>NOT(ISERROR(SEARCH("ADAPTADO",J86)))</formula>
    </cfRule>
  </conditionalFormatting>
  <conditionalFormatting sqref="J91:K100">
    <cfRule type="expression" dxfId="53" priority="29">
      <formula>NOT(ISERROR(SEARCH("NORMAL",J91)))</formula>
    </cfRule>
    <cfRule type="expression" dxfId="52" priority="30">
      <formula>NOT(ISERROR(SEARCH("ADAPTADO",J91)))</formula>
    </cfRule>
  </conditionalFormatting>
  <conditionalFormatting sqref="J96:K105">
    <cfRule type="expression" dxfId="51" priority="27">
      <formula>NOT(ISERROR(SEARCH("NORMAL",J96)))</formula>
    </cfRule>
    <cfRule type="expression" dxfId="50" priority="28">
      <formula>NOT(ISERROR(SEARCH("ADAPTADO",J96)))</formula>
    </cfRule>
  </conditionalFormatting>
  <conditionalFormatting sqref="J101:K110">
    <cfRule type="expression" dxfId="49" priority="25">
      <formula>NOT(ISERROR(SEARCH("NORMAL",J101)))</formula>
    </cfRule>
    <cfRule type="expression" dxfId="48" priority="26">
      <formula>NOT(ISERROR(SEARCH("ADAPTADO",J101)))</formula>
    </cfRule>
  </conditionalFormatting>
  <conditionalFormatting sqref="J106:K115">
    <cfRule type="expression" dxfId="47" priority="23">
      <formula>NOT(ISERROR(SEARCH("NORMAL",J106)))</formula>
    </cfRule>
    <cfRule type="expression" dxfId="46" priority="24">
      <formula>NOT(ISERROR(SEARCH("ADAPTADO",J106)))</formula>
    </cfRule>
  </conditionalFormatting>
  <conditionalFormatting sqref="J111:K120">
    <cfRule type="expression" dxfId="45" priority="21">
      <formula>NOT(ISERROR(SEARCH("NORMAL",J111)))</formula>
    </cfRule>
    <cfRule type="expression" dxfId="44" priority="22">
      <formula>NOT(ISERROR(SEARCH("ADAPTADO",J111)))</formula>
    </cfRule>
  </conditionalFormatting>
  <conditionalFormatting sqref="J116:K125">
    <cfRule type="expression" dxfId="43" priority="19">
      <formula>NOT(ISERROR(SEARCH("NORMAL",J116)))</formula>
    </cfRule>
    <cfRule type="expression" dxfId="42" priority="20">
      <formula>NOT(ISERROR(SEARCH("ADAPTADO",J116)))</formula>
    </cfRule>
  </conditionalFormatting>
  <conditionalFormatting sqref="J121:K130">
    <cfRule type="expression" dxfId="41" priority="17">
      <formula>NOT(ISERROR(SEARCH("NORMAL",J121)))</formula>
    </cfRule>
    <cfRule type="expression" dxfId="40" priority="18">
      <formula>NOT(ISERROR(SEARCH("ADAPTADO",J121)))</formula>
    </cfRule>
  </conditionalFormatting>
  <conditionalFormatting sqref="J126:K135">
    <cfRule type="expression" dxfId="39" priority="15">
      <formula>NOT(ISERROR(SEARCH("NORMAL",J126)))</formula>
    </cfRule>
    <cfRule type="expression" dxfId="38" priority="16">
      <formula>NOT(ISERROR(SEARCH("ADAPTADO",J126)))</formula>
    </cfRule>
  </conditionalFormatting>
  <conditionalFormatting sqref="J131:K140">
    <cfRule type="expression" dxfId="37" priority="13">
      <formula>NOT(ISERROR(SEARCH("NORMAL",J131)))</formula>
    </cfRule>
    <cfRule type="expression" dxfId="36" priority="14">
      <formula>NOT(ISERROR(SEARCH("ADAPTADO",J131)))</formula>
    </cfRule>
  </conditionalFormatting>
  <conditionalFormatting sqref="J136:K145">
    <cfRule type="expression" dxfId="35" priority="11">
      <formula>NOT(ISERROR(SEARCH("NORMAL",J136)))</formula>
    </cfRule>
    <cfRule type="expression" dxfId="34" priority="12">
      <formula>NOT(ISERROR(SEARCH("ADAPTADO",J136)))</formula>
    </cfRule>
  </conditionalFormatting>
  <conditionalFormatting sqref="J141:K150">
    <cfRule type="expression" dxfId="33" priority="9">
      <formula>NOT(ISERROR(SEARCH("NORMAL",J141)))</formula>
    </cfRule>
    <cfRule type="expression" dxfId="32" priority="10">
      <formula>NOT(ISERROR(SEARCH("ADAPTADO",J141)))</formula>
    </cfRule>
  </conditionalFormatting>
  <conditionalFormatting sqref="J146:K155">
    <cfRule type="expression" dxfId="31" priority="7">
      <formula>NOT(ISERROR(SEARCH("NORMAL",J146)))</formula>
    </cfRule>
    <cfRule type="expression" dxfId="30" priority="8">
      <formula>NOT(ISERROR(SEARCH("ADAPTADO",J146)))</formula>
    </cfRule>
  </conditionalFormatting>
  <conditionalFormatting sqref="J151:K160">
    <cfRule type="expression" dxfId="29" priority="5">
      <formula>NOT(ISERROR(SEARCH("NORMAL",J151)))</formula>
    </cfRule>
    <cfRule type="expression" dxfId="28" priority="6">
      <formula>NOT(ISERROR(SEARCH("ADAPTADO",J151)))</formula>
    </cfRule>
  </conditionalFormatting>
  <conditionalFormatting sqref="J156:K165">
    <cfRule type="expression" dxfId="27" priority="3">
      <formula>NOT(ISERROR(SEARCH("NORMAL",J156)))</formula>
    </cfRule>
    <cfRule type="expression" dxfId="26" priority="4">
      <formula>NOT(ISERROR(SEARCH("ADAPTADO",J156)))</formula>
    </cfRule>
  </conditionalFormatting>
  <conditionalFormatting sqref="J161:K165">
    <cfRule type="expression" dxfId="25" priority="1">
      <formula>NOT(ISERROR(SEARCH("NORMAL",J161)))</formula>
    </cfRule>
    <cfRule type="expression" dxfId="24" priority="2">
      <formula>NOT(ISERROR(SEARCH("ADAPTADO",J161)))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ANTONIO JOSE DE OLIVEIRA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IQ</v>
      </c>
      <c r="D2" s="682" t="str">
        <f>UPPER('APONTAMENTO CREDENCIAMENTO'!A1)</f>
        <v>ITAQUERA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3203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ANTONIO JOSE DE OLIVEIRA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3201</v>
      </c>
      <c r="D10" s="299" t="str">
        <f>VLOOKUP($C10,'APONTAMENTO CREDENCIAMENTO'!$A:$J,8,0)</f>
        <v>ANTONIO JOSE DE OLIVEIRA</v>
      </c>
      <c r="E10" s="299" t="str">
        <f>VLOOKUP($C10,'APONTAMENTO CREDENCIAMENTO'!$A:$J,9,0)</f>
        <v>ANTONIO JOSE DE OLIVEIRA</v>
      </c>
      <c r="F10" s="300" t="str">
        <f>VLOOKUP($C10,'APONTAMENTO CREDENCIAMENTO'!$A:$P,15,0)</f>
        <v>6020.2023/0033411-1</v>
      </c>
      <c r="G10" s="301" t="str">
        <f>VLOOKUP($C10,'APONTAMENTO CREDENCIAMENTO'!$A:$P,4,0)</f>
        <v>2023/0033411</v>
      </c>
      <c r="H10" s="301" t="str">
        <f>VLOOKUP($C10,'APONTAMENTO CREDENCIAMENTO'!$A:$P,5,0)</f>
        <v>FQO5B70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ANT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2023/0033411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48</v>
      </c>
      <c r="H11" s="185" t="str">
        <f>'BASE C'!E4</f>
        <v>ABRIL</v>
      </c>
      <c r="I11" s="186" t="str">
        <f>'BASE C'!D2</f>
        <v>ITAQUERA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ANTONIO JOSE DE OLIVEIRA</v>
      </c>
      <c r="B13" s="748"/>
      <c r="C13" s="748"/>
      <c r="D13" s="748"/>
      <c r="E13" s="749"/>
      <c r="F13" s="756" t="str">
        <f>VLOOKUP(A11,ProcRel1!E2:G5000,3,FALSE)</f>
        <v>053.209.838-24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CREDENCIAMENTO'!D1:EL4047,12,FALSE)</f>
        <v>6020.2023/0033411-1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19819.88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19819.88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19819.88</v>
      </c>
      <c r="I34" s="729"/>
    </row>
    <row r="35" spans="1:12" s="12" customFormat="1" x14ac:dyDescent="0.2">
      <c r="A35" s="716" t="s">
        <v>106</v>
      </c>
      <c r="B35" s="717">
        <f>VLOOKUP(A11,'APONTAMENTO CREDENCIAMENTO'!D1:EL4047,138,FALSE)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CREDENCIAMENTO'!D1:EL4047,139,FALSE)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40"/>
  <sheetViews>
    <sheetView showGridLines="0" zoomScale="80" zoomScaleNormal="80" workbookViewId="0">
      <selection activeCell="C4" sqref="C4:C35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3195</v>
      </c>
      <c r="B4" s="413" t="s">
        <v>3321</v>
      </c>
      <c r="C4" s="432" t="s">
        <v>3353</v>
      </c>
      <c r="D4" s="430">
        <f>SUMIF('APONTAMENTO CREDENCIAMENTO'!$D$5:$D$4049,$A4,'APONTAMENTO CREDENCIAMENTO'!$FE$5:$FE$4049)</f>
        <v>25820.79</v>
      </c>
      <c r="E4" s="431">
        <f>IF(D4=0,0,IF(D4*0.2*0.11&gt;607.2,607.2,IF(D4&lt;42377.92,D4*0.2*0.11,IF(D4*0.2*0.11&gt;932.31,932.31))))</f>
        <v>568.05738000000008</v>
      </c>
      <c r="F4" s="431">
        <f>$D4*'VALORES TABELA'!$B$45*'VALORES TABELA'!$B$46</f>
        <v>129.10395000000003</v>
      </c>
      <c r="G4" s="431">
        <f t="shared" ref="G4" si="0">D4*60%</f>
        <v>15492.474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3351.7</v>
      </c>
      <c r="I4" s="431">
        <f>IF($C4=$C3,($D4+$D3)*'VALORES TABELA'!$B$50-$E3,$D4*'VALORES TABELA'!$B$50)</f>
        <v>15492.474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3195.4845705000002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3195.4845705000002</v>
      </c>
    </row>
    <row r="5" spans="1:16" ht="20.25" customHeight="1" x14ac:dyDescent="0.2">
      <c r="A5" t="s">
        <v>3199</v>
      </c>
      <c r="B5" t="s">
        <v>3322</v>
      </c>
      <c r="C5" t="s">
        <v>3354</v>
      </c>
      <c r="D5" s="430">
        <f>SUMIF('APONTAMENTO CREDENCIAMENTO'!$D$5:$D$4049,$A5,'APONTAMENTO CREDENCIAMENTO'!$FE$5:$FE$4049)</f>
        <v>23348.102000000003</v>
      </c>
      <c r="E5" s="431">
        <f t="shared" ref="E5:E35" si="1">IF(D5=0,0,IF(D5*0.2*0.11&gt;607.2,607.2,IF(D5&lt;42377.92,D5*0.2*0.11,IF(D5*0.2*0.11&gt;932.31,932.31))))</f>
        <v>513.65824400000008</v>
      </c>
      <c r="F5" s="431">
        <f>$D5*'VALORES TABELA'!$B$45*'VALORES TABELA'!$B$46</f>
        <v>116.74051000000003</v>
      </c>
      <c r="G5" s="431">
        <f t="shared" ref="G5:G35" si="2">D5*60%</f>
        <v>14008.861200000001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2943.7</v>
      </c>
      <c r="I5" s="431">
        <f>IF($C5=$C4,($D5+$D4)*'VALORES TABELA'!$B$50-$E4,$D5*'VALORES TABELA'!$B$50)</f>
        <v>14008.861200000001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2802.4508129000005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-393.03375759999972</v>
      </c>
    </row>
    <row r="6" spans="1:16" ht="20.25" customHeight="1" x14ac:dyDescent="0.2">
      <c r="A6" t="s">
        <v>3203</v>
      </c>
      <c r="B6" t="s">
        <v>3323</v>
      </c>
      <c r="C6" t="s">
        <v>3355</v>
      </c>
      <c r="D6" s="430">
        <f>SUMIF('APONTAMENTO CREDENCIAMENTO'!$D$5:$D$4049,$A6,'APONTAMENTO CREDENCIAMENTO'!$FE$5:$FE$4049)</f>
        <v>19819.88</v>
      </c>
      <c r="E6" s="431">
        <f t="shared" si="1"/>
        <v>436.03736000000009</v>
      </c>
      <c r="F6" s="431">
        <f>$D6*'VALORES TABELA'!$B$45*'VALORES TABELA'!$B$46</f>
        <v>99.099400000000017</v>
      </c>
      <c r="G6" s="431">
        <f t="shared" si="2"/>
        <v>11891.928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2361.5500000000002</v>
      </c>
      <c r="I6" s="431">
        <f>IF($C6=$C5,($D6+$D5)*'VALORES TABELA'!$B$50-$E5,$D6*'VALORES TABELA'!$B$50)</f>
        <v>11891.928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2241.6399260000003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-560.81088690000024</v>
      </c>
    </row>
    <row r="7" spans="1:16" ht="20.25" customHeight="1" x14ac:dyDescent="0.2">
      <c r="A7" t="s">
        <v>3207</v>
      </c>
      <c r="B7" t="s">
        <v>3324</v>
      </c>
      <c r="C7" t="s">
        <v>3356</v>
      </c>
      <c r="D7" s="430">
        <f>SUMIF('APONTAMENTO CREDENCIAMENTO'!$D$5:$D$4049,$A7,'APONTAMENTO CREDENCIAMENTO'!$FE$5:$FE$4049)</f>
        <v>12621.32</v>
      </c>
      <c r="E7" s="431">
        <f t="shared" si="1"/>
        <v>277.66904</v>
      </c>
      <c r="F7" s="431">
        <f>$D7*'VALORES TABELA'!$B$45*'VALORES TABELA'!$B$46</f>
        <v>63.106600000000007</v>
      </c>
      <c r="G7" s="431">
        <f t="shared" si="2"/>
        <v>7572.7919999999995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1173.78</v>
      </c>
      <c r="I7" s="431">
        <f>IF($C7=$C6,($D7+$D6)*'VALORES TABELA'!$B$50-$E6,$D7*'VALORES TABELA'!$B$50)</f>
        <v>7572.7919999999995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1097.4288140000001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-1144.2111120000002</v>
      </c>
    </row>
    <row r="8" spans="1:16" ht="20.25" customHeight="1" x14ac:dyDescent="0.2">
      <c r="A8" t="s">
        <v>3211</v>
      </c>
      <c r="B8" t="s">
        <v>3325</v>
      </c>
      <c r="C8" t="s">
        <v>3357</v>
      </c>
      <c r="D8" s="430">
        <f>SUMIF('APONTAMENTO CREDENCIAMENTO'!$D$5:$D$4049,$A8,'APONTAMENTO CREDENCIAMENTO'!$FE$5:$FE$4049)</f>
        <v>15582.35</v>
      </c>
      <c r="E8" s="431">
        <f t="shared" si="1"/>
        <v>342.81170000000003</v>
      </c>
      <c r="F8" s="431">
        <f>$D8*'VALORES TABELA'!$B$45*'VALORES TABELA'!$B$46</f>
        <v>77.911750000000012</v>
      </c>
      <c r="G8" s="431">
        <f t="shared" si="2"/>
        <v>9349.41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1662.35</v>
      </c>
      <c r="I8" s="431">
        <f>IF($C8=$C7,($D8+$D7)*'VALORES TABELA'!$B$50-$E7,$D8*'VALORES TABELA'!$B$50)</f>
        <v>9349.41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1568.0845325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470.65571849999992</v>
      </c>
    </row>
    <row r="9" spans="1:16" ht="20.25" customHeight="1" x14ac:dyDescent="0.2">
      <c r="A9" t="s">
        <v>3215</v>
      </c>
      <c r="B9" t="s">
        <v>3326</v>
      </c>
      <c r="C9" t="s">
        <v>3358</v>
      </c>
      <c r="D9" s="430">
        <f>SUMIF('APONTAMENTO CREDENCIAMENTO'!$D$5:$D$4049,$A9,'APONTAMENTO CREDENCIAMENTO'!$FE$5:$FE$4049)</f>
        <v>19984.13</v>
      </c>
      <c r="E9" s="431">
        <f t="shared" si="1"/>
        <v>439.65086000000008</v>
      </c>
      <c r="F9" s="431">
        <f>$D9*'VALORES TABELA'!$B$45*'VALORES TABELA'!$B$46</f>
        <v>99.920650000000023</v>
      </c>
      <c r="G9" s="431">
        <f t="shared" si="2"/>
        <v>11990.478000000001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2388.65</v>
      </c>
      <c r="I9" s="431">
        <f>IF($C9=$C8,($D9+$D8)*'VALORES TABELA'!$B$50-$E8,$D9*'VALORES TABELA'!$B$50)</f>
        <v>11990.478000000001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2267.7474635000008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699.66293100000075</v>
      </c>
    </row>
    <row r="10" spans="1:16" ht="20.25" customHeight="1" x14ac:dyDescent="0.2">
      <c r="A10" t="s">
        <v>3219</v>
      </c>
      <c r="B10" t="s">
        <v>3327</v>
      </c>
      <c r="C10" t="s">
        <v>3359</v>
      </c>
      <c r="D10" s="430">
        <f>SUMIF('APONTAMENTO CREDENCIAMENTO'!$D$5:$D$4049,$A10,'APONTAMENTO CREDENCIAMENTO'!$FE$5:$FE$4049)</f>
        <v>17650.120999999999</v>
      </c>
      <c r="E10" s="431">
        <f t="shared" si="1"/>
        <v>388.302662</v>
      </c>
      <c r="F10" s="431">
        <f>$D10*'VALORES TABELA'!$B$45*'VALORES TABELA'!$B$46</f>
        <v>88.250605000000007</v>
      </c>
      <c r="G10" s="431">
        <f t="shared" si="2"/>
        <v>10590.0726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2003.53</v>
      </c>
      <c r="I10" s="431">
        <f>IF($C10=$C9,($D10+$D9)*'VALORES TABELA'!$B$50-$E9,$D10*'VALORES TABELA'!$B$50)</f>
        <v>10590.0726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1896.7567329500002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-370.99073055000054</v>
      </c>
    </row>
    <row r="11" spans="1:16" ht="20.25" customHeight="1" x14ac:dyDescent="0.2">
      <c r="A11" t="s">
        <v>3223</v>
      </c>
      <c r="B11" t="s">
        <v>3328</v>
      </c>
      <c r="C11" t="s">
        <v>3360</v>
      </c>
      <c r="D11" s="430">
        <f>SUMIF('APONTAMENTO CREDENCIAMENTO'!$D$5:$D$4049,$A11,'APONTAMENTO CREDENCIAMENTO'!$FE$5:$FE$4049)</f>
        <v>16591.12</v>
      </c>
      <c r="E11" s="431">
        <f t="shared" si="1"/>
        <v>365.00463999999999</v>
      </c>
      <c r="F11" s="431">
        <f>$D11*'VALORES TABELA'!$B$45*'VALORES TABELA'!$B$46</f>
        <v>82.955600000000004</v>
      </c>
      <c r="G11" s="431">
        <f t="shared" si="2"/>
        <v>9954.6719999999987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1828.8</v>
      </c>
      <c r="I11" s="431">
        <f>IF($C11=$C10,($D11+$D10)*'VALORES TABELA'!$B$50-$E10,$D11*'VALORES TABELA'!$B$50)</f>
        <v>9954.6719999999987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1728.4285239999999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-168.32820895000032</v>
      </c>
    </row>
    <row r="12" spans="1:16" ht="20.25" customHeight="1" x14ac:dyDescent="0.2">
      <c r="A12" t="s">
        <v>3227</v>
      </c>
      <c r="B12" t="s">
        <v>3329</v>
      </c>
      <c r="C12" t="s">
        <v>3361</v>
      </c>
      <c r="D12" s="430">
        <f>SUMIF('APONTAMENTO CREDENCIAMENTO'!$D$5:$D$4049,$A12,'APONTAMENTO CREDENCIAMENTO'!$FE$5:$FE$4049)</f>
        <v>14037.289999999999</v>
      </c>
      <c r="E12" s="431">
        <f t="shared" si="1"/>
        <v>308.82038</v>
      </c>
      <c r="F12" s="431">
        <f>$D12*'VALORES TABELA'!$B$45*'VALORES TABELA'!$B$46</f>
        <v>70.186450000000008</v>
      </c>
      <c r="G12" s="431">
        <f t="shared" si="2"/>
        <v>8422.3739999999998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1407.42</v>
      </c>
      <c r="I12" s="431">
        <f>IF($C12=$C11,($D12+$D11)*'VALORES TABELA'!$B$50-$E11,$D12*'VALORES TABELA'!$B$50)</f>
        <v>8422.3739999999998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1322.4972455000002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-405.93127849999973</v>
      </c>
    </row>
    <row r="13" spans="1:16" ht="20.25" customHeight="1" x14ac:dyDescent="0.2">
      <c r="A13" t="s">
        <v>3231</v>
      </c>
      <c r="B13" t="s">
        <v>3330</v>
      </c>
      <c r="C13" t="s">
        <v>3362</v>
      </c>
      <c r="D13" s="430">
        <f>SUMIF('APONTAMENTO CREDENCIAMENTO'!$D$5:$D$4049,$A13,'APONTAMENTO CREDENCIAMENTO'!$FE$5:$FE$4049)</f>
        <v>13828.521999999999</v>
      </c>
      <c r="E13" s="431">
        <f t="shared" si="1"/>
        <v>304.227484</v>
      </c>
      <c r="F13" s="431">
        <f>$D13*'VALORES TABELA'!$B$45*'VALORES TABELA'!$B$46</f>
        <v>69.142610000000005</v>
      </c>
      <c r="G13" s="431">
        <f t="shared" si="2"/>
        <v>8297.1131999999998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1372.97</v>
      </c>
      <c r="I13" s="431">
        <f>IF($C13=$C12,($D13+$D12)*'VALORES TABELA'!$B$50-$E12,$D13*'VALORES TABELA'!$B$50)</f>
        <v>8297.1131999999998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1289.3135719000002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-33.18367360000002</v>
      </c>
    </row>
    <row r="14" spans="1:16" ht="20.25" customHeight="1" x14ac:dyDescent="0.2">
      <c r="A14" t="s">
        <v>3235</v>
      </c>
      <c r="B14" t="s">
        <v>3331</v>
      </c>
      <c r="C14" t="s">
        <v>3363</v>
      </c>
      <c r="D14" s="430">
        <f>SUMIF('APONTAMENTO CREDENCIAMENTO'!$D$5:$D$4049,$A14,'APONTAMENTO CREDENCIAMENTO'!$FE$5:$FE$4049)</f>
        <v>13391.779999999999</v>
      </c>
      <c r="E14" s="431">
        <f t="shared" si="1"/>
        <v>294.61915999999997</v>
      </c>
      <c r="F14" s="431">
        <f>$D14*'VALORES TABELA'!$B$45*'VALORES TABELA'!$B$46</f>
        <v>66.9589</v>
      </c>
      <c r="G14" s="431">
        <f t="shared" si="2"/>
        <v>8035.0679999999993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1300.9100000000001</v>
      </c>
      <c r="I14" s="431">
        <f>IF($C14=$C13,($D14+$D13)*'VALORES TABELA'!$B$50-$E13,$D14*'VALORES TABELA'!$B$50)</f>
        <v>8035.0679999999993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1219.893431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-69.420140900000206</v>
      </c>
    </row>
    <row r="15" spans="1:16" ht="20.25" customHeight="1" x14ac:dyDescent="0.2">
      <c r="A15" t="s">
        <v>3239</v>
      </c>
      <c r="B15" t="s">
        <v>3332</v>
      </c>
      <c r="C15" t="s">
        <v>3364</v>
      </c>
      <c r="D15" s="430">
        <f>SUMIF('APONTAMENTO CREDENCIAMENTO'!$D$5:$D$4049,$A15,'APONTAMENTO CREDENCIAMENTO'!$FE$5:$FE$4049)</f>
        <v>13700.259999999998</v>
      </c>
      <c r="E15" s="431">
        <f t="shared" si="1"/>
        <v>301.40571999999997</v>
      </c>
      <c r="F15" s="431">
        <f>$D15*'VALORES TABELA'!$B$45*'VALORES TABELA'!$B$46</f>
        <v>68.501300000000001</v>
      </c>
      <c r="G15" s="431">
        <f t="shared" si="2"/>
        <v>8220.155999999999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1351.81</v>
      </c>
      <c r="I15" s="431">
        <f>IF($C15=$C14,($D15+$D14)*'VALORES TABELA'!$B$50-$E14,$D15*'VALORES TABELA'!$B$50)</f>
        <v>8220.155999999999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1268.9263270000001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49.032896000000164</v>
      </c>
    </row>
    <row r="16" spans="1:16" ht="20.25" customHeight="1" x14ac:dyDescent="0.2">
      <c r="A16" t="s">
        <v>3243</v>
      </c>
      <c r="B16" t="s">
        <v>3333</v>
      </c>
      <c r="C16" t="s">
        <v>3365</v>
      </c>
      <c r="D16" s="430">
        <f>SUMIF('APONTAMENTO CREDENCIAMENTO'!$D$5:$D$4049,$A16,'APONTAMENTO CREDENCIAMENTO'!$FE$5:$FE$4049)</f>
        <v>14932.699999999999</v>
      </c>
      <c r="E16" s="431">
        <f t="shared" si="1"/>
        <v>328.51940000000002</v>
      </c>
      <c r="F16" s="431">
        <f>$D16*'VALORES TABELA'!$B$45*'VALORES TABELA'!$B$46</f>
        <v>74.663499999999999</v>
      </c>
      <c r="G16" s="431">
        <f t="shared" si="2"/>
        <v>8959.619999999999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1555.16</v>
      </c>
      <c r="I16" s="431">
        <f>IF($C16=$C15,($D16+$D15)*'VALORES TABELA'!$B$50-$E15,$D16*'VALORES TABELA'!$B$50)</f>
        <v>8959.619999999999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1464.8226650000001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195.89633800000001</v>
      </c>
    </row>
    <row r="17" spans="1:11" ht="20.25" customHeight="1" x14ac:dyDescent="0.2">
      <c r="A17" t="s">
        <v>3247</v>
      </c>
      <c r="B17" t="s">
        <v>3334</v>
      </c>
      <c r="C17" t="s">
        <v>3366</v>
      </c>
      <c r="D17" s="430">
        <f>SUMIF('APONTAMENTO CREDENCIAMENTO'!$D$5:$D$4049,$A17,'APONTAMENTO CREDENCIAMENTO'!$FE$5:$FE$4049)</f>
        <v>11366.216</v>
      </c>
      <c r="E17" s="431">
        <f t="shared" si="1"/>
        <v>250.05675200000005</v>
      </c>
      <c r="F17" s="431">
        <f>$D17*'VALORES TABELA'!$B$45*'VALORES TABELA'!$B$46</f>
        <v>56.831080000000014</v>
      </c>
      <c r="G17" s="431">
        <f t="shared" si="2"/>
        <v>6819.7295999999997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929.38</v>
      </c>
      <c r="I17" s="431">
        <f>IF($C17=$C16,($D17+$D16)*'VALORES TABELA'!$B$50-$E16,$D17*'VALORES TABELA'!$B$50)</f>
        <v>6819.7295999999997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897.93003320000003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-566.89263180000012</v>
      </c>
    </row>
    <row r="18" spans="1:11" ht="20.25" customHeight="1" x14ac:dyDescent="0.2">
      <c r="A18" t="s">
        <v>3251</v>
      </c>
      <c r="B18" t="s">
        <v>3335</v>
      </c>
      <c r="C18" t="s">
        <v>3367</v>
      </c>
      <c r="D18" s="430">
        <f>SUMIF('APONTAMENTO CREDENCIAMENTO'!$D$5:$D$4049,$A18,'APONTAMENTO CREDENCIAMENTO'!$FE$5:$FE$4049)</f>
        <v>22798.992000000002</v>
      </c>
      <c r="E18" s="431">
        <f t="shared" si="1"/>
        <v>501.57782400000008</v>
      </c>
      <c r="F18" s="431">
        <f>$D18*'VALORES TABELA'!$B$45*'VALORES TABELA'!$B$46</f>
        <v>113.99496000000002</v>
      </c>
      <c r="G18" s="431">
        <f t="shared" si="2"/>
        <v>13679.395200000001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2853.1</v>
      </c>
      <c r="I18" s="431">
        <f>IF($C18=$C17,($D18+$D17)*'VALORES TABELA'!$B$50-$E17,$D18*'VALORES TABELA'!$B$50)</f>
        <v>13679.395200000001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2715.1697784000007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1817.2397452000007</v>
      </c>
    </row>
    <row r="19" spans="1:11" ht="20.25" customHeight="1" x14ac:dyDescent="0.2">
      <c r="A19" t="s">
        <v>3255</v>
      </c>
      <c r="B19" t="s">
        <v>3336</v>
      </c>
      <c r="C19" t="s">
        <v>3368</v>
      </c>
      <c r="D19" s="430">
        <f>SUMIF('APONTAMENTO CREDENCIAMENTO'!$D$5:$D$4049,$A19,'APONTAMENTO CREDENCIAMENTO'!$FE$5:$FE$4049)</f>
        <v>13656.2</v>
      </c>
      <c r="E19" s="431">
        <f t="shared" si="1"/>
        <v>300.43640000000005</v>
      </c>
      <c r="F19" s="431">
        <f>$D19*'VALORES TABELA'!$B$45*'VALORES TABELA'!$B$46</f>
        <v>68.281000000000006</v>
      </c>
      <c r="G19" s="431">
        <f t="shared" si="2"/>
        <v>8193.7199999999993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1344.54</v>
      </c>
      <c r="I19" s="431">
        <f>IF($C19=$C18,($D19+$D18)*'VALORES TABELA'!$B$50-$E18,$D19*'VALORES TABELA'!$B$50)</f>
        <v>8193.7199999999993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1261.92299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-1453.2467884000007</v>
      </c>
    </row>
    <row r="20" spans="1:11" ht="20.25" customHeight="1" x14ac:dyDescent="0.2">
      <c r="A20" t="s">
        <v>3259</v>
      </c>
      <c r="B20" t="s">
        <v>3337</v>
      </c>
      <c r="C20" t="s">
        <v>3369</v>
      </c>
      <c r="D20" s="430">
        <f>SUMIF('APONTAMENTO CREDENCIAMENTO'!$D$5:$D$4049,$A20,'APONTAMENTO CREDENCIAMENTO'!$FE$5:$FE$4049)</f>
        <v>19031.110333333327</v>
      </c>
      <c r="E20" s="431">
        <f t="shared" si="1"/>
        <v>418.68442733333319</v>
      </c>
      <c r="F20" s="431">
        <f>$D20*'VALORES TABELA'!$B$45*'VALORES TABELA'!$B$46</f>
        <v>95.155551666666639</v>
      </c>
      <c r="G20" s="431">
        <f t="shared" si="2"/>
        <v>11418.666199999996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2231.4</v>
      </c>
      <c r="I20" s="431">
        <f>IF($C20=$C19,($D20+$D19)*'VALORES TABELA'!$B$50-$E19,$D20*'VALORES TABELA'!$B$50)</f>
        <v>11418.666199999996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2116.2649874833323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854.34199748333231</v>
      </c>
    </row>
    <row r="21" spans="1:11" ht="20.25" customHeight="1" x14ac:dyDescent="0.2">
      <c r="A21" t="s">
        <v>3263</v>
      </c>
      <c r="B21" t="s">
        <v>3338</v>
      </c>
      <c r="C21" t="s">
        <v>3370</v>
      </c>
      <c r="D21" s="430">
        <f>SUMIF('APONTAMENTO CREDENCIAMENTO'!$D$5:$D$4049,$A21,'APONTAMENTO CREDENCIAMENTO'!$FE$5:$FE$4049)</f>
        <v>15582.35</v>
      </c>
      <c r="E21" s="431">
        <f t="shared" si="1"/>
        <v>342.81170000000003</v>
      </c>
      <c r="F21" s="431">
        <f>$D21*'VALORES TABELA'!$B$45*'VALORES TABELA'!$B$46</f>
        <v>77.911750000000012</v>
      </c>
      <c r="G21" s="431">
        <f t="shared" si="2"/>
        <v>9349.41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1662.35</v>
      </c>
      <c r="I21" s="431">
        <f>IF($C21=$C20,($D21+$D20)*'VALORES TABELA'!$B$50-$E20,$D21*'VALORES TABELA'!$B$50)</f>
        <v>9349.41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1568.0845325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-548.18045498333231</v>
      </c>
    </row>
    <row r="22" spans="1:11" ht="20.25" customHeight="1" x14ac:dyDescent="0.2">
      <c r="A22" t="s">
        <v>3267</v>
      </c>
      <c r="B22" t="s">
        <v>3339</v>
      </c>
      <c r="C22" t="s">
        <v>3371</v>
      </c>
      <c r="D22" s="430">
        <f>SUMIF('APONTAMENTO CREDENCIAMENTO'!$D$5:$D$4049,$A22,'APONTAMENTO CREDENCIAMENTO'!$FE$5:$FE$4049)</f>
        <v>22706.199999999997</v>
      </c>
      <c r="E22" s="431">
        <f t="shared" si="1"/>
        <v>499.53639999999996</v>
      </c>
      <c r="F22" s="431">
        <f>$D22*'VALORES TABELA'!$B$45*'VALORES TABELA'!$B$46</f>
        <v>113.53100000000001</v>
      </c>
      <c r="G22" s="431">
        <f t="shared" si="2"/>
        <v>13623.719999999998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2837.79</v>
      </c>
      <c r="I22" s="431">
        <f>IF($C22=$C21,($D22+$D21)*'VALORES TABELA'!$B$50-$E21,$D22*'VALORES TABELA'!$B$50)</f>
        <v>13623.719999999998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2700.4204899999995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1132.3359574999995</v>
      </c>
    </row>
    <row r="23" spans="1:11" ht="20.25" customHeight="1" x14ac:dyDescent="0.2">
      <c r="A23" t="s">
        <v>3271</v>
      </c>
      <c r="B23" t="s">
        <v>3340</v>
      </c>
      <c r="C23" t="s">
        <v>3372</v>
      </c>
      <c r="D23" s="430">
        <f>SUMIF('APONTAMENTO CREDENCIAMENTO'!$D$5:$D$4049,$A23,'APONTAMENTO CREDENCIAMENTO'!$FE$5:$FE$4049)</f>
        <v>10959.59</v>
      </c>
      <c r="E23" s="431">
        <f t="shared" si="1"/>
        <v>241.11098000000001</v>
      </c>
      <c r="F23" s="431">
        <f>$D23*'VALORES TABELA'!$B$45*'VALORES TABELA'!$B$46</f>
        <v>54.797950000000007</v>
      </c>
      <c r="G23" s="431">
        <f t="shared" si="2"/>
        <v>6575.7539999999999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828.61</v>
      </c>
      <c r="I23" s="431">
        <f>IF($C23=$C22,($D23+$D22)*'VALORES TABELA'!$B$50-$E22,$D23*'VALORES TABELA'!$B$50)</f>
        <v>6575.7539999999999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833.29683049999994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-1867.1236594999996</v>
      </c>
    </row>
    <row r="24" spans="1:11" ht="20.25" customHeight="1" x14ac:dyDescent="0.2">
      <c r="A24" t="s">
        <v>3275</v>
      </c>
      <c r="B24" t="s">
        <v>3341</v>
      </c>
      <c r="C24" t="s">
        <v>3373</v>
      </c>
      <c r="D24" s="430">
        <f>SUMIF('APONTAMENTO CREDENCIAMENTO'!$D$5:$D$4049,$A24,'APONTAMENTO CREDENCIAMENTO'!$FE$5:$FE$4049)</f>
        <v>22798.992000000002</v>
      </c>
      <c r="E24" s="431">
        <f t="shared" si="1"/>
        <v>501.57782400000008</v>
      </c>
      <c r="F24" s="431">
        <f>$D24*'VALORES TABELA'!$B$45*'VALORES TABELA'!$B$46</f>
        <v>113.99496000000002</v>
      </c>
      <c r="G24" s="431">
        <f t="shared" si="2"/>
        <v>13679.395200000001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2853.1</v>
      </c>
      <c r="I24" s="431">
        <f>IF($C24=$C23,($D24+$D23)*'VALORES TABELA'!$B$50-$E23,$D24*'VALORES TABELA'!$B$50)</f>
        <v>13679.395200000001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2715.1697784000007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1881.8729479000008</v>
      </c>
    </row>
    <row r="25" spans="1:11" ht="20.25" customHeight="1" x14ac:dyDescent="0.2">
      <c r="A25" t="s">
        <v>3279</v>
      </c>
      <c r="B25" t="s">
        <v>3342</v>
      </c>
      <c r="C25" t="s">
        <v>3374</v>
      </c>
      <c r="D25" s="430">
        <f>SUMIF('APONTAMENTO CREDENCIAMENTO'!$D$5:$D$4049,$A25,'APONTAMENTO CREDENCIAMENTO'!$FE$5:$FE$4049)</f>
        <v>14551.98</v>
      </c>
      <c r="E25" s="431">
        <f t="shared" si="1"/>
        <v>320.14356000000004</v>
      </c>
      <c r="F25" s="431">
        <f>$D25*'VALORES TABELA'!$B$45*'VALORES TABELA'!$B$46</f>
        <v>72.759900000000002</v>
      </c>
      <c r="G25" s="431">
        <f t="shared" si="2"/>
        <v>8731.1880000000001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1492.34</v>
      </c>
      <c r="I25" s="431">
        <f>IF($C25=$C24,($D25+$D24)*'VALORES TABELA'!$B$50-$E24,$D25*'VALORES TABELA'!$B$50)</f>
        <v>8731.1880000000001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1404.307221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-1310.8625574000007</v>
      </c>
    </row>
    <row r="26" spans="1:11" ht="20.25" customHeight="1" x14ac:dyDescent="0.2">
      <c r="A26" t="s">
        <v>3283</v>
      </c>
      <c r="B26" t="s">
        <v>3343</v>
      </c>
      <c r="C26" t="s">
        <v>3375</v>
      </c>
      <c r="D26" s="430">
        <f>SUMIF('APONTAMENTO CREDENCIAMENTO'!$D$5:$D$4049,$A26,'APONTAMENTO CREDENCIAMENTO'!$FE$5:$FE$4049)</f>
        <v>19401.920000000002</v>
      </c>
      <c r="E26" s="431">
        <f t="shared" si="1"/>
        <v>426.84224000000006</v>
      </c>
      <c r="F26" s="431">
        <f>$D26*'VALORES TABELA'!$B$45*'VALORES TABELA'!$B$46</f>
        <v>97.00960000000002</v>
      </c>
      <c r="G26" s="431">
        <f t="shared" si="2"/>
        <v>11641.152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2292.58</v>
      </c>
      <c r="I26" s="431">
        <f>IF($C26=$C25,($D26+$D25)*'VALORES TABELA'!$B$50-$E25,$D26*'VALORES TABELA'!$B$50)</f>
        <v>11641.152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2175.2051840000004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770.89796300000035</v>
      </c>
    </row>
    <row r="27" spans="1:11" ht="20.25" customHeight="1" x14ac:dyDescent="0.2">
      <c r="A27" t="s">
        <v>3287</v>
      </c>
      <c r="B27" t="s">
        <v>3344</v>
      </c>
      <c r="C27" t="s">
        <v>3376</v>
      </c>
      <c r="D27" s="430">
        <f>SUMIF('APONTAMENTO CREDENCIAMENTO'!$D$5:$D$4049,$A27,'APONTAMENTO CREDENCIAMENTO'!$FE$5:$FE$4049)</f>
        <v>26368.79</v>
      </c>
      <c r="E27" s="431">
        <f t="shared" si="1"/>
        <v>580.11338000000012</v>
      </c>
      <c r="F27" s="431">
        <f>$D27*'VALORES TABELA'!$B$45*'VALORES TABELA'!$B$46</f>
        <v>131.84395000000004</v>
      </c>
      <c r="G27" s="431">
        <f t="shared" si="2"/>
        <v>15821.273999999999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3442.12</v>
      </c>
      <c r="I27" s="431">
        <f>IF($C27=$C26,($D27+$D26)*'VALORES TABELA'!$B$50-$E26,$D27*'VALORES TABELA'!$B$50)</f>
        <v>15821.273999999999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3282.5891704999999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1107.3839864999995</v>
      </c>
    </row>
    <row r="28" spans="1:11" ht="20.25" customHeight="1" x14ac:dyDescent="0.2">
      <c r="A28" t="s">
        <v>3291</v>
      </c>
      <c r="B28" t="s">
        <v>3345</v>
      </c>
      <c r="C28" t="s">
        <v>3377</v>
      </c>
      <c r="D28" s="430">
        <f>SUMIF('APONTAMENTO CREDENCIAMENTO'!$D$5:$D$4049,$A28,'APONTAMENTO CREDENCIAMENTO'!$FE$5:$FE$4049)</f>
        <v>18420.210999999999</v>
      </c>
      <c r="E28" s="431">
        <f t="shared" si="1"/>
        <v>405.244642</v>
      </c>
      <c r="F28" s="431">
        <f>$D28*'VALORES TABELA'!$B$45*'VALORES TABELA'!$B$46</f>
        <v>92.101055000000002</v>
      </c>
      <c r="G28" s="431">
        <f t="shared" si="2"/>
        <v>11052.1266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2130.6</v>
      </c>
      <c r="I28" s="431">
        <f>IF($C28=$C27,($D28+$D27)*'VALORES TABELA'!$B$50-$E27,$D28*'VALORES TABELA'!$B$50)</f>
        <v>11052.1266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2019.1625384500003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-1263.4266320499996</v>
      </c>
    </row>
    <row r="29" spans="1:11" ht="20.25" customHeight="1" x14ac:dyDescent="0.2">
      <c r="A29" t="s">
        <v>3295</v>
      </c>
      <c r="B29" t="s">
        <v>3346</v>
      </c>
      <c r="C29" t="s">
        <v>3378</v>
      </c>
      <c r="D29" s="430">
        <f>SUMIF('APONTAMENTO CREDENCIAMENTO'!$D$5:$D$4049,$A29,'APONTAMENTO CREDENCIAMENTO'!$FE$5:$FE$4049)</f>
        <v>22397.831000000002</v>
      </c>
      <c r="E29" s="431">
        <f t="shared" si="1"/>
        <v>492.75228200000004</v>
      </c>
      <c r="F29" s="431">
        <f>$D29*'VALORES TABELA'!$B$45*'VALORES TABELA'!$B$46</f>
        <v>111.98915500000001</v>
      </c>
      <c r="G29" s="431">
        <f t="shared" si="2"/>
        <v>13438.698600000002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2786.91</v>
      </c>
      <c r="I29" s="431">
        <f>IF($C29=$C28,($D29+$D28)*'VALORES TABELA'!$B$50-$E28,$D29*'VALORES TABELA'!$B$50)</f>
        <v>13438.698600000002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2651.4052374500006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632.24269900000036</v>
      </c>
    </row>
    <row r="30" spans="1:11" ht="20.25" customHeight="1" x14ac:dyDescent="0.2">
      <c r="A30" t="s">
        <v>3299</v>
      </c>
      <c r="B30" t="s">
        <v>3347</v>
      </c>
      <c r="C30" t="s">
        <v>3379</v>
      </c>
      <c r="D30" s="430">
        <f>SUMIF('APONTAMENTO CREDENCIAMENTO'!$D$5:$D$4049,$A30,'APONTAMENTO CREDENCIAMENTO'!$FE$5:$FE$4049)</f>
        <v>15748.380999999999</v>
      </c>
      <c r="E30" s="431">
        <f t="shared" si="1"/>
        <v>346.464382</v>
      </c>
      <c r="F30" s="431">
        <f>$D30*'VALORES TABELA'!$B$45*'VALORES TABELA'!$B$46</f>
        <v>78.741905000000003</v>
      </c>
      <c r="G30" s="431">
        <f t="shared" si="2"/>
        <v>9449.0285999999996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1689.75</v>
      </c>
      <c r="I30" s="431">
        <f>IF($C30=$C29,($D30+$D29)*'VALORES TABELA'!$B$50-$E29,$D30*'VALORES TABELA'!$B$50)</f>
        <v>9449.0285999999996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1594.47515995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-1056.9300775000006</v>
      </c>
    </row>
    <row r="31" spans="1:11" ht="20.25" customHeight="1" x14ac:dyDescent="0.2">
      <c r="A31" t="s">
        <v>3303</v>
      </c>
      <c r="B31" t="s">
        <v>3348</v>
      </c>
      <c r="C31" t="s">
        <v>3380</v>
      </c>
      <c r="D31" s="430">
        <f>SUMIF('APONTAMENTO CREDENCIAMENTO'!$D$5:$D$4049,$A31,'APONTAMENTO CREDENCIAMENTO'!$FE$5:$FE$4049)</f>
        <v>20166.883000000002</v>
      </c>
      <c r="E31" s="431">
        <f t="shared" si="1"/>
        <v>443.67142600000005</v>
      </c>
      <c r="F31" s="431">
        <f>$D31*'VALORES TABELA'!$B$45*'VALORES TABELA'!$B$46</f>
        <v>100.83441500000002</v>
      </c>
      <c r="G31" s="431">
        <f t="shared" si="2"/>
        <v>12100.129800000001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2418.8000000000002</v>
      </c>
      <c r="I31" s="431">
        <f>IF($C31=$C30,($D31+$D30)*'VALORES TABELA'!$B$50-$E30,$D31*'VALORES TABELA'!$B$50)</f>
        <v>12100.129800000001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2296.7960528500003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702.32089290000022</v>
      </c>
    </row>
    <row r="32" spans="1:11" ht="20.25" customHeight="1" x14ac:dyDescent="0.2">
      <c r="A32" t="s">
        <v>3307</v>
      </c>
      <c r="B32" t="s">
        <v>3349</v>
      </c>
      <c r="C32" t="s">
        <v>3381</v>
      </c>
      <c r="D32" s="430">
        <f>SUMIF('APONTAMENTO CREDENCIAMENTO'!$D$5:$D$4049,$A32,'APONTAMENTO CREDENCIAMENTO'!$FE$5:$FE$4049)</f>
        <v>22901.72</v>
      </c>
      <c r="E32" s="431">
        <f t="shared" si="1"/>
        <v>503.83784000000003</v>
      </c>
      <c r="F32" s="431">
        <f>$D32*'VALORES TABELA'!$B$45*'VALORES TABELA'!$B$46</f>
        <v>114.5086</v>
      </c>
      <c r="G32" s="431">
        <f t="shared" si="2"/>
        <v>13741.032000000001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2870.05</v>
      </c>
      <c r="I32" s="431">
        <f>IF($C32=$C31,($D32+$D31)*'VALORES TABELA'!$B$50-$E31,$D32*'VALORES TABELA'!$B$50)</f>
        <v>13741.032000000001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2731.4983940000006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434.70234115000039</v>
      </c>
    </row>
    <row r="33" spans="1:11" ht="20.25" customHeight="1" x14ac:dyDescent="0.2">
      <c r="A33" t="s">
        <v>3311</v>
      </c>
      <c r="B33" t="s">
        <v>3350</v>
      </c>
      <c r="C33" t="s">
        <v>3382</v>
      </c>
      <c r="D33" s="430">
        <f>SUMIF('APONTAMENTO CREDENCIAMENTO'!$D$5:$D$4049,$A33,'APONTAMENTO CREDENCIAMENTO'!$FE$5:$FE$4049)</f>
        <v>23286.95</v>
      </c>
      <c r="E33" s="431">
        <f t="shared" si="1"/>
        <v>512.31290000000001</v>
      </c>
      <c r="F33" s="431">
        <f>$D33*'VALORES TABELA'!$B$45*'VALORES TABELA'!$B$46</f>
        <v>116.43475000000001</v>
      </c>
      <c r="G33" s="431">
        <f t="shared" si="2"/>
        <v>13972.17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2933.61</v>
      </c>
      <c r="I33" s="431">
        <f>IF($C33=$C32,($D33+$D32)*'VALORES TABELA'!$B$50-$E32,$D33*'VALORES TABELA'!$B$50)</f>
        <v>13972.17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2792.7307025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61.232308499999363</v>
      </c>
    </row>
    <row r="34" spans="1:11" ht="20.25" customHeight="1" x14ac:dyDescent="0.2">
      <c r="A34" t="s">
        <v>3315</v>
      </c>
      <c r="B34" t="s">
        <v>3351</v>
      </c>
      <c r="C34" t="s">
        <v>3383</v>
      </c>
      <c r="D34" s="430">
        <f>SUMIF('APONTAMENTO CREDENCIAMENTO'!$D$5:$D$4049,$A34,'APONTAMENTO CREDENCIAMENTO'!$FE$5:$FE$4049)</f>
        <v>15149.253000000001</v>
      </c>
      <c r="E34" s="431">
        <f t="shared" si="1"/>
        <v>333.28356600000001</v>
      </c>
      <c r="F34" s="431">
        <f>$D34*'VALORES TABELA'!$B$45*'VALORES TABELA'!$B$46</f>
        <v>75.746265000000008</v>
      </c>
      <c r="G34" s="431">
        <f t="shared" si="2"/>
        <v>9089.5517999999993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1590.89</v>
      </c>
      <c r="I34" s="431">
        <f>IF($C34=$C33,($D34+$D33)*'VALORES TABELA'!$B$50-$E33,$D34*'VALORES TABELA'!$B$50)</f>
        <v>9089.5517999999993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1499.2437643499998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-1293.4869381500002</v>
      </c>
    </row>
    <row r="35" spans="1:11" ht="20.25" customHeight="1" x14ac:dyDescent="0.2">
      <c r="A35" t="s">
        <v>3319</v>
      </c>
      <c r="B35" t="s">
        <v>3352</v>
      </c>
      <c r="C35" t="s">
        <v>3384</v>
      </c>
      <c r="D35" s="430">
        <f>SUMIF('APONTAMENTO CREDENCIAMENTO'!$D$5:$D$4049,$A35,'APONTAMENTO CREDENCIAMENTO'!$FE$5:$FE$4049)</f>
        <v>14481.521000000001</v>
      </c>
      <c r="E35" s="431">
        <f t="shared" si="1"/>
        <v>318.59346200000005</v>
      </c>
      <c r="F35" s="431">
        <f>$D35*'VALORES TABELA'!$B$45*'VALORES TABELA'!$B$46</f>
        <v>72.407605000000018</v>
      </c>
      <c r="G35" s="431">
        <f t="shared" si="2"/>
        <v>8688.9125999999997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1480.72</v>
      </c>
      <c r="I35" s="431">
        <f>IF($C35=$C34,($D35+$D34)*'VALORES TABELA'!$B$50-$E34,$D35*'VALORES TABELA'!$B$50)</f>
        <v>8688.9125999999997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1393.1077629500001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-106.13600139999971</v>
      </c>
    </row>
    <row r="36" spans="1:11" ht="20.25" customHeight="1" x14ac:dyDescent="0.2">
      <c r="A36"/>
      <c r="B36"/>
      <c r="C36"/>
    </row>
    <row r="37" spans="1:11" ht="20.25" customHeight="1" x14ac:dyDescent="0.2">
      <c r="A37"/>
      <c r="B37"/>
      <c r="C37"/>
    </row>
    <row r="38" spans="1:11" ht="20.25" customHeight="1" x14ac:dyDescent="0.2">
      <c r="A38"/>
      <c r="B38"/>
      <c r="C38"/>
    </row>
    <row r="39" spans="1:11" ht="20.25" customHeight="1" x14ac:dyDescent="0.2">
      <c r="A39"/>
      <c r="B39"/>
      <c r="C39"/>
    </row>
    <row r="40" spans="1:11" ht="20.25" customHeight="1" x14ac:dyDescent="0.2">
      <c r="A40"/>
      <c r="B40"/>
      <c r="C40"/>
    </row>
    <row r="41" spans="1:11" ht="20.25" customHeight="1" x14ac:dyDescent="0.2">
      <c r="A41"/>
      <c r="B41"/>
      <c r="C41"/>
    </row>
    <row r="42" spans="1:11" ht="20.25" customHeight="1" x14ac:dyDescent="0.2">
      <c r="A42"/>
      <c r="B42"/>
      <c r="C42"/>
    </row>
    <row r="43" spans="1:11" ht="20.25" customHeight="1" x14ac:dyDescent="0.2">
      <c r="A43"/>
      <c r="B43"/>
      <c r="C43"/>
    </row>
    <row r="44" spans="1:11" ht="20.25" customHeight="1" x14ac:dyDescent="0.2">
      <c r="A44"/>
      <c r="B44"/>
      <c r="C44"/>
    </row>
    <row r="45" spans="1:11" ht="20.25" customHeight="1" x14ac:dyDescent="0.2">
      <c r="A45"/>
      <c r="B45"/>
      <c r="C45"/>
    </row>
    <row r="46" spans="1:11" ht="20.25" customHeight="1" x14ac:dyDescent="0.2">
      <c r="A46"/>
      <c r="B46"/>
      <c r="C46"/>
    </row>
    <row r="47" spans="1:11" ht="20.25" customHeight="1" x14ac:dyDescent="0.2">
      <c r="A47"/>
      <c r="B47"/>
      <c r="C47"/>
    </row>
    <row r="48" spans="1:11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4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2023/0033411</v>
      </c>
      <c r="B11" s="459"/>
      <c r="C11" s="460" t="str">
        <f>VLOOKUP(A11,ProcRel!A1:C5000,3,0)</f>
        <v>019.522-00</v>
      </c>
      <c r="D11" s="768" t="str">
        <f>VLOOKUP(A11,'APONTAMENTO CREDENCIAMENTO'!$D$6:$D$4049,1,FALSE)</f>
        <v>2023/0033411</v>
      </c>
      <c r="E11" s="768"/>
      <c r="F11" s="461">
        <f>SUMIF('APONTAMENTO CREDENCIAMENTO'!D$5:D$5152,A11,'APONTAMENTO CREDENCIAMENTO'!N$5:N$5152)</f>
        <v>0</v>
      </c>
      <c r="G11" s="462">
        <f>'EMPRESA C'!H16+'EMPRESA C'!I16+'EMPRESA C'!J16+'EMPRESA C'!K16+'EMPRESA C'!L16+'EMPRESA C'!M16</f>
        <v>48</v>
      </c>
      <c r="H11" s="463" t="str">
        <f>'BASE C'!E4</f>
        <v>ABRIL</v>
      </c>
      <c r="I11" s="464" t="str">
        <f>'BASE C'!D2</f>
        <v>ITAQUERA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CREDENCIAMENTO'!D1:J5152,6,FALSE)</f>
        <v>ANTONIO JOSE DE OLIVEIRA</v>
      </c>
      <c r="B13" s="774"/>
      <c r="C13" s="774"/>
      <c r="D13" s="774"/>
      <c r="E13" s="775"/>
      <c r="F13" s="781" t="str">
        <f>VLOOKUP(A11,ProcRel1!E2:G5000,3,FALSE)</f>
        <v>053.209.838-24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CREDENCIAMENTO'!D1:O4047,12,FALSE)</f>
        <v>6020.2023/0033411-1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CREDENCIAMENTO'!$D$6:$EW$4049,150,FALSE)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CREDENCIAMENTO'!D$5:D$5152,A11,'APONTAMENTO CREDENCIAMENTO'!EX$5:EX$5152)</f>
        <v>19819.88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CREDENCIAMENTO'!D5:D5152,A11,'APONTAMENTO CREDENCIAMENTO'!FB5:FB5152)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CREDENCIAMENTO'!D5:D5152,A11,'APONTAMENTO CREDENCIAMENTO'!EZ5:EZ5152)</f>
        <v>0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CREDENCIAMENTO'!D5:D5152,A11,'APONTAMENTO CREDENCIAMENTO'!FA5:FA5152)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CREDENCIAMENTO'!D5:D5152,A11,'APONTAMENTO CREDENCIAMENTO'!FC5:FC5152)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CREDENCIAMENTO'!D5:IA5152,230,0)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CREDENCIAMENTO'!D5:IA5152,231,0)*-1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CREDENCIAMENTO'!D5:IA5152,232,0)*-1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CREDENCIAMENTO'!D5:D5152,A11,'APONTAMENTO CREDENCIAMENTO'!L5:L5152)</f>
        <v>0</v>
      </c>
      <c r="F29" s="506" t="s">
        <v>318</v>
      </c>
      <c r="G29" s="507">
        <f>SUMIF('APONTAMENTO CREDENCIAMENTO'!D5:D5152,A11,'APONTAMENTO CREDENCIAMENTO'!M5:M5152)</f>
        <v>0</v>
      </c>
      <c r="H29" s="504" t="s">
        <v>150</v>
      </c>
      <c r="I29" s="495">
        <f>SUMIF('APONTAMENTO CREDENCIAMENTO'!D5:D5152,A11,'APONTAMENTO CREDENCIAMENTO'!EY5:EY5152)</f>
        <v>0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CREDENCIAMENTO'!D5:D5152,A11,'APONTAMENTO CREDENCIAMENTO'!FD5:FD5152)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19819.88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VLOOKUP(A11,'ATESTE-LIQ-FIS'!A4:K3898,5,0)*-1</f>
        <v>-436.03736000000009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VLOOKUP(A11,'ATESTE-LIQ-FIS'!A4:K3898,6,0)*-1</f>
        <v>-99.099400000000017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-2194.5700000000002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17090.173240000004</v>
      </c>
    </row>
    <row r="37" spans="1:12" s="12" customFormat="1" x14ac:dyDescent="0.2">
      <c r="A37" s="793" t="s">
        <v>106</v>
      </c>
      <c r="B37" s="794">
        <f>VLOOKUP(A11,'APONTAMENTO CREDENCIAMENTO'!D1:EL4047,138,FALSE)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CREDENCIAMENTO'!D1:EL4047,139,FALSE)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CREDENCIAMENTO'!D5:D5152,A11,'APONTAMENTO CREDENCIAMENTO'!EP5:EP5152)</f>
        <v>48</v>
      </c>
      <c r="B45" s="483"/>
      <c r="C45" s="484">
        <f>SUMIF('APONTAMENTO CREDENCIAMENTO'!D5:D5152,A11,'APONTAMENTO CREDENCIAMENTO'!ER5:ER5152)</f>
        <v>0</v>
      </c>
      <c r="D45" s="484"/>
      <c r="E45" s="484">
        <f>SUMIF('APONTAMENTO CREDENCIAMENTO'!D5:D5152,A11,'APONTAMENTO CREDENCIAMENTO'!ES5:ES5152)</f>
        <v>0</v>
      </c>
      <c r="F45" s="484"/>
      <c r="G45" s="484">
        <f>SUMIF('APONTAMENTO CREDENCIAMENTO'!D5:D5152,A11,'APONTAMENTO CREDENCIAMENTO'!EU5:EU5152)</f>
        <v>0</v>
      </c>
      <c r="H45" s="484"/>
      <c r="I45" s="485">
        <f>SUM(A45:H45)</f>
        <v>48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ANTONIO JOSE DE OLIVEIRA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2023/0033411</v>
      </c>
      <c r="G9" s="30" t="s">
        <v>122</v>
      </c>
      <c r="H9" s="30" t="str">
        <f>'APONTAMENTO CREDENCIAMENTO'!A1</f>
        <v>Itaquera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ANTONIO JOSE DE OLIVEIRA</v>
      </c>
      <c r="B14" s="207" t="str">
        <f>VLOOKUP(D14,'APONTAMENTO CREDENCIAMENTO'!$A$6:$F$4050,6,0)</f>
        <v>01/04/2026</v>
      </c>
      <c r="C14" s="207" t="str">
        <f>VLOOKUP(D14,'APONTAMENTO CREDENCIAMENTO'!$A$6:$G$4050,7,0)</f>
        <v>30/04/2026</v>
      </c>
      <c r="D14" s="208" t="str">
        <f>'BASE C'!C10</f>
        <v>019.522-00</v>
      </c>
      <c r="E14" s="809" t="str">
        <f>'BASE C'!H10</f>
        <v>FQO5B70</v>
      </c>
      <c r="F14" s="810"/>
      <c r="G14" s="208">
        <f>SUMIF('APONTAMENTO CREDENCIAMENTO'!$A$6:$A$4050,'EMPRESA C'!D14,'APONTAMENTO CREDENCIAMENTO'!$N$6:$N$4050)</f>
        <v>0</v>
      </c>
      <c r="H14" s="208">
        <f>SUMIF('APONTAMENTO CREDENCIAMENTO'!$A$6:$A$4050,'EMPRESA C'!D14,'APONTAMENTO CREDENCIAMENTO'!$EP$6:$EP$4050)</f>
        <v>48</v>
      </c>
      <c r="I14" s="208">
        <f>SUMIF('APONTAMENTO CREDENCIAMENTO'!$A$6:$A$4050,'EMPRESA C'!D14,'APONTAMENTO CREDENCIAMENTO'!$EQ$6:$EQ$4050)</f>
        <v>0</v>
      </c>
      <c r="J14" s="208">
        <f>SUMIF('APONTAMENTO CREDENCIAMENTO'!$A$6:$A$4050,'EMPRESA C'!D14,'APONTAMENTO CREDENCIAMENTO'!$ER$6:$ER$4050)</f>
        <v>0</v>
      </c>
      <c r="K14" s="208">
        <f>SUMIF('APONTAMENTO CREDENCIAMENTO'!$A$6:$A$4050,'EMPRESA C'!D14,'APONTAMENTO CREDENCIAMENTO'!$ES$6:$ES$4050)</f>
        <v>0</v>
      </c>
      <c r="L14" s="208">
        <f>SUMIF('APONTAMENTO CREDENCIAMENTO'!$A$6:$A$4050,'EMPRESA C'!D14,'APONTAMENTO CREDENCIAMENTO'!$ET$6:$ET$4050)</f>
        <v>0</v>
      </c>
      <c r="M14" s="208">
        <f>SUMIF('APONTAMENTO CREDENCIAMENTO'!$A$6:$A$4050,'EMPRESA C'!D14,'APONTAMENTO CREDENCIAMENTO'!$EU$6:$EU$4050)</f>
        <v>0</v>
      </c>
      <c r="N14" s="209">
        <f>SUMIF('APONTAMENTO CREDENCIAMENTO'!$A$6:$A$4050,'EMPRESA C'!D14,'APONTAMENTO CREDENCIAMENTO'!$EW$6:$EW$4050)</f>
        <v>0</v>
      </c>
      <c r="O14" s="209">
        <f>SUMIF('APONTAMENTO CREDENCIAMENTO'!$A$6:$A$4050,'EMPRESA C'!D14,'APONTAMENTO CREDENCIAMENTO'!$EX$6:$EX$4050)</f>
        <v>19819.88</v>
      </c>
      <c r="P14" s="209">
        <f>SUMIF('APONTAMENTO CREDENCIAMENTO'!$A$5:$A$4050,'EMPRESA C'!D14,'APONTAMENTO CREDENCIAMENTO'!$EY$5:$EY$4050)</f>
        <v>0</v>
      </c>
      <c r="Q14" s="209">
        <f>SUMIF('APONTAMENTO CREDENCIAMENTO'!$A$5:$A$4050,'EMPRESA C'!D14,'APONTAMENTO CREDENCIAMENTO'!$EZ$5:$EZ$4050)</f>
        <v>0</v>
      </c>
      <c r="R14" s="209">
        <f>SUMIF('APONTAMENTO CREDENCIAMENTO'!$A$5:$A$4050,'EMPRESA C'!D14,'APONTAMENTO CREDENCIAMENTO'!$FA$5:$FA$4050)</f>
        <v>0</v>
      </c>
      <c r="S14" s="209">
        <f>SUMIF('APONTAMENTO CREDENCIAMENTO'!$A$5:$A$4050,'EMPRESA C'!D14,'APONTAMENTO CREDENCIAMENTO'!$FB$5:$FB$4050)</f>
        <v>0</v>
      </c>
      <c r="T14" s="209">
        <f>SUMIF('APONTAMENTO CREDENCIAMENTO'!$A$5:$A$4050,'EMPRESA C'!D14,'APONTAMENTO CREDENCIAMENTO'!$FC$5:$FC$4050)</f>
        <v>0</v>
      </c>
      <c r="U14" s="209">
        <f>SUMIF('APONTAMENTO CREDENCIAMENTO'!$A$5:$A$4050,'EMPRESA C'!D14,'APONTAMENTO CREDENCIAMENTO'!$HY$5:$HY$4050)</f>
        <v>0</v>
      </c>
      <c r="V14" s="209">
        <f>SUMIF('APONTAMENTO CREDENCIAMENTO'!$A$5:$A$4050,'EMPRESA C'!D14,'APONTAMENTO CREDENCIAMENTO'!$HZ$5:$HZ$4050)*-1</f>
        <v>0</v>
      </c>
      <c r="W14" s="209">
        <f>SUMIF('APONTAMENTO CREDENCIAMENTO'!$A$5:$A$4050,'EMPRESA C'!D14,'APONTAMENTO CREDENCIAMENTO'!$IA$5:$IA$4050)*-1</f>
        <v>0</v>
      </c>
      <c r="X14" s="209">
        <f>SUMIF('APONTAMENTO CREDENCIAMENTO'!$A$5:$A$4050,'EMPRESA C'!D14,'APONTAMENTO CREDENCIAMENTO'!$FD$5:$FD$4050)</f>
        <v>0</v>
      </c>
      <c r="Y14" s="209">
        <f>SUMIF('APONTAMENTO CREDENCIAMENTO'!$A$5:$A$4050,'EMPRESA C'!D14,'APONTAMENTO CREDENCIAMENTO'!$GK$5:$GK$4050)*-1</f>
        <v>0</v>
      </c>
      <c r="Z14" s="209">
        <f>(N14+O14+P14+Q14+R14+S14+T14+U14+V14+W14+X14+Y14)</f>
        <v>19819.88</v>
      </c>
      <c r="AA14" s="209">
        <f t="shared" ref="AA14" si="0">Z14</f>
        <v>19819.88</v>
      </c>
      <c r="AB14" s="209">
        <f>AA14*'BASE C'!B$7</f>
        <v>0</v>
      </c>
      <c r="AC14" s="209">
        <f t="shared" ref="AC14" si="1">AA14-AB14</f>
        <v>19819.88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48</v>
      </c>
      <c r="I16" s="100">
        <f>SUM(I14:I15)</f>
        <v>0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19819.88</v>
      </c>
      <c r="P16" s="326">
        <f>SUM(P14:P15)</f>
        <v>0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19819.88</v>
      </c>
      <c r="AA16" s="326">
        <f>SUM(AA14:AA15)</f>
        <v>19819.88</v>
      </c>
      <c r="AB16" s="326">
        <f>SUM(AB14:AB15)</f>
        <v>0</v>
      </c>
      <c r="AC16" s="326">
        <f>SUM(AC14:AC15)</f>
        <v>19819.88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2023/0033411</v>
      </c>
      <c r="B14" s="217" t="str">
        <f>'BASE C'!D4</f>
        <v>ANTONIO JOSE DE OLIVEIRA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IQ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ANTONIO JOSE DE OLIVEIRA</v>
      </c>
      <c r="B18" s="231" t="str">
        <f>'BASE C'!C10</f>
        <v>019.522-00</v>
      </c>
      <c r="C18" s="231" t="str">
        <f>'BASE C'!H10</f>
        <v>FQO5B70</v>
      </c>
      <c r="D18" s="208">
        <f>SUMIF('APONTAMENTO CREDENCIAMENTO'!$A$6:$A$4050,'ATESTADO C'!B18,'APONTAMENTO CREDENCIAMENTO'!$N$6:$N$4050)</f>
        <v>0</v>
      </c>
      <c r="E18" s="208">
        <f>SUMIF('APONTAMENTO CREDENCIAMENTO'!$A$6:$A$4050,'ATESTADO C'!B18,'APONTAMENTO CREDENCIAMENTO'!$EP$6:$EP$4050)</f>
        <v>48</v>
      </c>
      <c r="F18" s="208">
        <f>SUMIF('APONTAMENTO CREDENCIAMENTO'!$A$6:$A$4050,'ATESTADO C'!B18,'APONTAMENTO CREDENCIAMENTO'!$EQ$6:$EQ$4050)</f>
        <v>0</v>
      </c>
      <c r="G18" s="208">
        <f>SUMIF('APONTAMENTO CREDENCIAMENTO'!$A$6:$A$4050,'ATESTADO C'!B18,'APONTAMENTO CREDENCIAMENTO'!$ER$6:$ER$4050)</f>
        <v>0</v>
      </c>
      <c r="H18" s="208">
        <f>SUMIF('APONTAMENTO CREDENCIAMENTO'!$A$6:$A$4050,'ATESTADO C'!B18,'APONTAMENTO CREDENCIAMENTO'!$ES$6:$ES$4050)</f>
        <v>0</v>
      </c>
      <c r="I18" s="208">
        <f>SUMIF('APONTAMENTO CREDENCIAMENTO'!$A$6:$A$4050,'ATESTADO C'!B18,'APONTAMENTO CREDENCIAMENTO'!$ET$6:$ET$4050)</f>
        <v>0</v>
      </c>
      <c r="J18" s="208">
        <f>SUMIF('APONTAMENTO CREDENCIAMENTO'!$A$6:$A$4050,'ATESTADO C'!B18,'APONTAMENTO CREDENCIAMENTO'!$EU$6:$EU$4050)</f>
        <v>0</v>
      </c>
      <c r="K18" s="232">
        <f t="shared" ref="K18" si="0">E18+F18+H18+I18+G18+J18</f>
        <v>48</v>
      </c>
      <c r="L18" s="827" t="str">
        <f>CONCATENATE(VLOOKUP(B18,'APONTAMENTO CREDENCIAMENTO'!$A$6:$EK$4050,141,0)," - ",VLOOKUP(B18,'APONTAMENTO CREDENCIAMENTO'!$A$6:$EL$4050,142,0))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32"/>
  <sheetViews>
    <sheetView topLeftCell="A243" workbookViewId="0">
      <selection activeCell="A2" sqref="A2:C16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3195</v>
      </c>
      <c r="B1" t="s">
        <v>1717</v>
      </c>
      <c r="C1" t="s">
        <v>3193</v>
      </c>
    </row>
    <row r="2" spans="1:3" x14ac:dyDescent="0.2">
      <c r="A2" t="s">
        <v>3219</v>
      </c>
      <c r="B2" t="s">
        <v>1727</v>
      </c>
      <c r="C2" t="s">
        <v>3217</v>
      </c>
    </row>
    <row r="3" spans="1:3" x14ac:dyDescent="0.2">
      <c r="A3" t="s">
        <v>3271</v>
      </c>
      <c r="B3" t="s">
        <v>1746</v>
      </c>
      <c r="C3" t="s">
        <v>3269</v>
      </c>
    </row>
    <row r="4" spans="1:3" x14ac:dyDescent="0.2">
      <c r="A4" t="s">
        <v>3227</v>
      </c>
      <c r="B4" t="s">
        <v>1729</v>
      </c>
      <c r="C4" t="s">
        <v>3225</v>
      </c>
    </row>
    <row r="5" spans="1:3" x14ac:dyDescent="0.2">
      <c r="A5" t="s">
        <v>3211</v>
      </c>
      <c r="B5" t="s">
        <v>1724</v>
      </c>
      <c r="C5" t="s">
        <v>3209</v>
      </c>
    </row>
    <row r="6" spans="1:3" x14ac:dyDescent="0.2">
      <c r="A6" t="s">
        <v>3263</v>
      </c>
      <c r="B6" t="s">
        <v>1742</v>
      </c>
      <c r="C6" t="s">
        <v>3261</v>
      </c>
    </row>
    <row r="7" spans="1:3" x14ac:dyDescent="0.2">
      <c r="A7" t="s">
        <v>3231</v>
      </c>
      <c r="B7" t="s">
        <v>1731</v>
      </c>
      <c r="C7" t="s">
        <v>3229</v>
      </c>
    </row>
    <row r="8" spans="1:3" x14ac:dyDescent="0.2">
      <c r="A8" t="s">
        <v>3287</v>
      </c>
      <c r="B8" t="s">
        <v>1750</v>
      </c>
      <c r="C8" t="s">
        <v>3285</v>
      </c>
    </row>
    <row r="9" spans="1:3" x14ac:dyDescent="0.2">
      <c r="A9" t="s">
        <v>3223</v>
      </c>
      <c r="B9" t="s">
        <v>1728</v>
      </c>
      <c r="C9" t="s">
        <v>3221</v>
      </c>
    </row>
    <row r="10" spans="1:3" x14ac:dyDescent="0.2">
      <c r="A10" t="s">
        <v>3239</v>
      </c>
      <c r="B10" t="s">
        <v>1734</v>
      </c>
      <c r="C10" t="s">
        <v>3237</v>
      </c>
    </row>
    <row r="11" spans="1:3" x14ac:dyDescent="0.2">
      <c r="A11" t="s">
        <v>3259</v>
      </c>
      <c r="B11" t="s">
        <v>1740</v>
      </c>
      <c r="C11" t="s">
        <v>3257</v>
      </c>
    </row>
    <row r="12" spans="1:3" x14ac:dyDescent="0.2">
      <c r="A12" t="s">
        <v>3255</v>
      </c>
      <c r="B12" t="s">
        <v>1739</v>
      </c>
      <c r="C12" t="s">
        <v>3253</v>
      </c>
    </row>
    <row r="13" spans="1:3" x14ac:dyDescent="0.2">
      <c r="A13" t="s">
        <v>3295</v>
      </c>
      <c r="B13" t="s">
        <v>1756</v>
      </c>
      <c r="C13" t="s">
        <v>3293</v>
      </c>
    </row>
    <row r="14" spans="1:3" x14ac:dyDescent="0.2">
      <c r="A14" t="s">
        <v>3243</v>
      </c>
      <c r="B14" t="s">
        <v>1735</v>
      </c>
      <c r="C14" t="s">
        <v>3241</v>
      </c>
    </row>
    <row r="15" spans="1:3" x14ac:dyDescent="0.2">
      <c r="A15" t="s">
        <v>3235</v>
      </c>
      <c r="B15" t="s">
        <v>1733</v>
      </c>
      <c r="C15" t="s">
        <v>3233</v>
      </c>
    </row>
    <row r="16" spans="1:3" x14ac:dyDescent="0.2">
      <c r="A16" t="s">
        <v>3299</v>
      </c>
      <c r="B16" t="s">
        <v>1759</v>
      </c>
      <c r="C16" t="s">
        <v>3297</v>
      </c>
    </row>
    <row r="17" spans="1:3" x14ac:dyDescent="0.2">
      <c r="A17" t="s">
        <v>3319</v>
      </c>
      <c r="B17" t="s">
        <v>1769</v>
      </c>
      <c r="C17" t="s">
        <v>3317</v>
      </c>
    </row>
    <row r="18" spans="1:3" x14ac:dyDescent="0.2">
      <c r="A18" t="s">
        <v>3291</v>
      </c>
      <c r="B18" t="s">
        <v>1752</v>
      </c>
      <c r="C18" t="s">
        <v>3289</v>
      </c>
    </row>
    <row r="19" spans="1:3" x14ac:dyDescent="0.2">
      <c r="A19" t="s">
        <v>3207</v>
      </c>
      <c r="B19" t="s">
        <v>1723</v>
      </c>
      <c r="C19" t="s">
        <v>3205</v>
      </c>
    </row>
    <row r="20" spans="1:3" x14ac:dyDescent="0.2">
      <c r="A20" t="s">
        <v>3279</v>
      </c>
      <c r="B20" t="s">
        <v>1748</v>
      </c>
      <c r="C20" t="s">
        <v>3277</v>
      </c>
    </row>
    <row r="21" spans="1:3" x14ac:dyDescent="0.2">
      <c r="A21" t="s">
        <v>3315</v>
      </c>
      <c r="B21" t="s">
        <v>1768</v>
      </c>
      <c r="C21" t="s">
        <v>3313</v>
      </c>
    </row>
    <row r="22" spans="1:3" x14ac:dyDescent="0.2">
      <c r="A22" t="s">
        <v>3267</v>
      </c>
      <c r="B22" t="s">
        <v>1743</v>
      </c>
      <c r="C22" t="s">
        <v>3265</v>
      </c>
    </row>
    <row r="23" spans="1:3" x14ac:dyDescent="0.2">
      <c r="A23" t="s">
        <v>3251</v>
      </c>
      <c r="B23" t="s">
        <v>1738</v>
      </c>
      <c r="C23" t="s">
        <v>3249</v>
      </c>
    </row>
    <row r="24" spans="1:3" x14ac:dyDescent="0.2">
      <c r="A24" t="s">
        <v>3199</v>
      </c>
      <c r="B24" t="s">
        <v>1719</v>
      </c>
      <c r="C24" t="s">
        <v>3197</v>
      </c>
    </row>
    <row r="25" spans="1:3" x14ac:dyDescent="0.2">
      <c r="A25" t="s">
        <v>3303</v>
      </c>
      <c r="B25" t="s">
        <v>1760</v>
      </c>
      <c r="C25" t="s">
        <v>3301</v>
      </c>
    </row>
    <row r="26" spans="1:3" x14ac:dyDescent="0.2">
      <c r="A26" t="s">
        <v>3275</v>
      </c>
      <c r="B26" t="s">
        <v>1747</v>
      </c>
      <c r="C26" t="s">
        <v>3273</v>
      </c>
    </row>
    <row r="27" spans="1:3" x14ac:dyDescent="0.2">
      <c r="A27" t="s">
        <v>3215</v>
      </c>
      <c r="B27" t="s">
        <v>1725</v>
      </c>
      <c r="C27" t="s">
        <v>3213</v>
      </c>
    </row>
    <row r="28" spans="1:3" x14ac:dyDescent="0.2">
      <c r="A28" t="s">
        <v>3247</v>
      </c>
      <c r="B28" t="s">
        <v>1736</v>
      </c>
      <c r="C28" t="s">
        <v>3245</v>
      </c>
    </row>
    <row r="29" spans="1:3" x14ac:dyDescent="0.2">
      <c r="A29" t="s">
        <v>3283</v>
      </c>
      <c r="B29" t="s">
        <v>1749</v>
      </c>
      <c r="C29" t="s">
        <v>3281</v>
      </c>
    </row>
    <row r="30" spans="1:3" x14ac:dyDescent="0.2">
      <c r="A30" t="s">
        <v>3307</v>
      </c>
      <c r="B30" t="s">
        <v>1761</v>
      </c>
      <c r="C30" t="s">
        <v>3305</v>
      </c>
    </row>
    <row r="31" spans="1:3" x14ac:dyDescent="0.2">
      <c r="A31" t="s">
        <v>3311</v>
      </c>
      <c r="B31" t="s">
        <v>1764</v>
      </c>
      <c r="C31" t="s">
        <v>3309</v>
      </c>
    </row>
    <row r="32" spans="1:3" x14ac:dyDescent="0.2">
      <c r="A32" t="s">
        <v>3203</v>
      </c>
      <c r="B32" t="s">
        <v>1721</v>
      </c>
      <c r="C32" t="s">
        <v>3201</v>
      </c>
    </row>
  </sheetData>
  <sortState xmlns:xlrd2="http://schemas.microsoft.com/office/spreadsheetml/2017/richdata2" ref="A2:C160">
    <sortCondition ref="A1:A160"/>
    <sortCondition ref="B1:B160"/>
    <sortCondition ref="C1:C16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33"/>
  <sheetViews>
    <sheetView workbookViewId="0">
      <selection activeCell="G1" sqref="G1:G33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3195</v>
      </c>
      <c r="F2" t="s">
        <v>3321</v>
      </c>
      <c r="G2" t="s">
        <v>3353</v>
      </c>
    </row>
    <row r="3" spans="5:7" x14ac:dyDescent="0.2">
      <c r="E3" t="s">
        <v>3199</v>
      </c>
      <c r="F3" t="s">
        <v>3322</v>
      </c>
      <c r="G3" t="s">
        <v>3354</v>
      </c>
    </row>
    <row r="4" spans="5:7" x14ac:dyDescent="0.2">
      <c r="E4" t="s">
        <v>3203</v>
      </c>
      <c r="F4" t="s">
        <v>3323</v>
      </c>
      <c r="G4" t="s">
        <v>3355</v>
      </c>
    </row>
    <row r="5" spans="5:7" x14ac:dyDescent="0.2">
      <c r="E5" t="s">
        <v>3207</v>
      </c>
      <c r="F5" t="s">
        <v>3324</v>
      </c>
      <c r="G5" t="s">
        <v>3356</v>
      </c>
    </row>
    <row r="6" spans="5:7" x14ac:dyDescent="0.2">
      <c r="E6" t="s">
        <v>3211</v>
      </c>
      <c r="F6" t="s">
        <v>3325</v>
      </c>
      <c r="G6" t="s">
        <v>3357</v>
      </c>
    </row>
    <row r="7" spans="5:7" x14ac:dyDescent="0.2">
      <c r="E7" t="s">
        <v>3215</v>
      </c>
      <c r="F7" t="s">
        <v>3326</v>
      </c>
      <c r="G7" t="s">
        <v>3358</v>
      </c>
    </row>
    <row r="8" spans="5:7" x14ac:dyDescent="0.2">
      <c r="E8" t="s">
        <v>3219</v>
      </c>
      <c r="F8" t="s">
        <v>3327</v>
      </c>
      <c r="G8" t="s">
        <v>3359</v>
      </c>
    </row>
    <row r="9" spans="5:7" x14ac:dyDescent="0.2">
      <c r="E9" t="s">
        <v>3223</v>
      </c>
      <c r="F9" t="s">
        <v>3328</v>
      </c>
      <c r="G9" t="s">
        <v>3360</v>
      </c>
    </row>
    <row r="10" spans="5:7" x14ac:dyDescent="0.2">
      <c r="E10" t="s">
        <v>3227</v>
      </c>
      <c r="F10" t="s">
        <v>3329</v>
      </c>
      <c r="G10" t="s">
        <v>3361</v>
      </c>
    </row>
    <row r="11" spans="5:7" x14ac:dyDescent="0.2">
      <c r="E11" t="s">
        <v>3231</v>
      </c>
      <c r="F11" t="s">
        <v>3330</v>
      </c>
      <c r="G11" t="s">
        <v>3362</v>
      </c>
    </row>
    <row r="12" spans="5:7" x14ac:dyDescent="0.2">
      <c r="E12" t="s">
        <v>3235</v>
      </c>
      <c r="F12" t="s">
        <v>3331</v>
      </c>
      <c r="G12" t="s">
        <v>3363</v>
      </c>
    </row>
    <row r="13" spans="5:7" x14ac:dyDescent="0.2">
      <c r="E13" t="s">
        <v>3239</v>
      </c>
      <c r="F13" t="s">
        <v>3332</v>
      </c>
      <c r="G13" t="s">
        <v>3364</v>
      </c>
    </row>
    <row r="14" spans="5:7" x14ac:dyDescent="0.2">
      <c r="E14" t="s">
        <v>3243</v>
      </c>
      <c r="F14" t="s">
        <v>3333</v>
      </c>
      <c r="G14" t="s">
        <v>3365</v>
      </c>
    </row>
    <row r="15" spans="5:7" x14ac:dyDescent="0.2">
      <c r="E15" t="s">
        <v>3247</v>
      </c>
      <c r="F15" t="s">
        <v>3334</v>
      </c>
      <c r="G15" t="s">
        <v>3366</v>
      </c>
    </row>
    <row r="16" spans="5:7" x14ac:dyDescent="0.2">
      <c r="E16" t="s">
        <v>3251</v>
      </c>
      <c r="F16" t="s">
        <v>3335</v>
      </c>
      <c r="G16" t="s">
        <v>3367</v>
      </c>
    </row>
    <row r="17" spans="5:7" x14ac:dyDescent="0.2">
      <c r="E17" t="s">
        <v>3255</v>
      </c>
      <c r="F17" t="s">
        <v>3336</v>
      </c>
      <c r="G17" t="s">
        <v>3368</v>
      </c>
    </row>
    <row r="18" spans="5:7" x14ac:dyDescent="0.2">
      <c r="E18" t="s">
        <v>3259</v>
      </c>
      <c r="F18" t="s">
        <v>3337</v>
      </c>
      <c r="G18" t="s">
        <v>3369</v>
      </c>
    </row>
    <row r="19" spans="5:7" x14ac:dyDescent="0.2">
      <c r="E19" t="s">
        <v>3263</v>
      </c>
      <c r="F19" t="s">
        <v>3338</v>
      </c>
      <c r="G19" t="s">
        <v>3370</v>
      </c>
    </row>
    <row r="20" spans="5:7" x14ac:dyDescent="0.2">
      <c r="E20" t="s">
        <v>3267</v>
      </c>
      <c r="F20" t="s">
        <v>3339</v>
      </c>
      <c r="G20" t="s">
        <v>3371</v>
      </c>
    </row>
    <row r="21" spans="5:7" x14ac:dyDescent="0.2">
      <c r="E21" t="s">
        <v>3271</v>
      </c>
      <c r="F21" t="s">
        <v>3340</v>
      </c>
      <c r="G21" t="s">
        <v>3372</v>
      </c>
    </row>
    <row r="22" spans="5:7" x14ac:dyDescent="0.2">
      <c r="E22" t="s">
        <v>3275</v>
      </c>
      <c r="F22" t="s">
        <v>3341</v>
      </c>
      <c r="G22" t="s">
        <v>3373</v>
      </c>
    </row>
    <row r="23" spans="5:7" x14ac:dyDescent="0.2">
      <c r="E23" t="s">
        <v>3279</v>
      </c>
      <c r="F23" t="s">
        <v>3342</v>
      </c>
      <c r="G23" t="s">
        <v>3374</v>
      </c>
    </row>
    <row r="24" spans="5:7" x14ac:dyDescent="0.2">
      <c r="E24" t="s">
        <v>3283</v>
      </c>
      <c r="F24" t="s">
        <v>3343</v>
      </c>
      <c r="G24" t="s">
        <v>3375</v>
      </c>
    </row>
    <row r="25" spans="5:7" x14ac:dyDescent="0.2">
      <c r="E25" t="s">
        <v>3287</v>
      </c>
      <c r="F25" t="s">
        <v>3344</v>
      </c>
      <c r="G25" t="s">
        <v>3376</v>
      </c>
    </row>
    <row r="26" spans="5:7" x14ac:dyDescent="0.2">
      <c r="E26" t="s">
        <v>3291</v>
      </c>
      <c r="F26" t="s">
        <v>3345</v>
      </c>
      <c r="G26" t="s">
        <v>3377</v>
      </c>
    </row>
    <row r="27" spans="5:7" x14ac:dyDescent="0.2">
      <c r="E27" t="s">
        <v>3295</v>
      </c>
      <c r="F27" t="s">
        <v>3346</v>
      </c>
      <c r="G27" t="s">
        <v>3378</v>
      </c>
    </row>
    <row r="28" spans="5:7" x14ac:dyDescent="0.2">
      <c r="E28" t="s">
        <v>3299</v>
      </c>
      <c r="F28" t="s">
        <v>3347</v>
      </c>
      <c r="G28" t="s">
        <v>3379</v>
      </c>
    </row>
    <row r="29" spans="5:7" x14ac:dyDescent="0.2">
      <c r="E29" t="s">
        <v>3303</v>
      </c>
      <c r="F29" t="s">
        <v>3348</v>
      </c>
      <c r="G29" t="s">
        <v>3380</v>
      </c>
    </row>
    <row r="30" spans="5:7" x14ac:dyDescent="0.2">
      <c r="E30" t="s">
        <v>3307</v>
      </c>
      <c r="F30" t="s">
        <v>3349</v>
      </c>
      <c r="G30" t="s">
        <v>3381</v>
      </c>
    </row>
    <row r="31" spans="5:7" x14ac:dyDescent="0.2">
      <c r="E31" t="s">
        <v>3311</v>
      </c>
      <c r="F31" t="s">
        <v>3350</v>
      </c>
      <c r="G31" t="s">
        <v>3382</v>
      </c>
    </row>
    <row r="32" spans="5:7" x14ac:dyDescent="0.2">
      <c r="E32" t="s">
        <v>3315</v>
      </c>
      <c r="F32" t="s">
        <v>3351</v>
      </c>
      <c r="G32" t="s">
        <v>3383</v>
      </c>
    </row>
    <row r="33" spans="5:7" x14ac:dyDescent="0.2">
      <c r="E33" t="s">
        <v>3319</v>
      </c>
      <c r="F33" t="s">
        <v>3352</v>
      </c>
      <c r="G33" t="s">
        <v>3384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54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33" sqref="B33:AD33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3195</v>
      </c>
      <c r="B2" s="130"/>
      <c r="C2" s="131">
        <f t="shared" ref="C2" si="0">W2</f>
        <v>0</v>
      </c>
      <c r="D2" s="132" t="str">
        <f>VLOOKUP(A2,'APONTAMENTO CREDENCIAMENTO'!$D$6:$P$3023,12,0)</f>
        <v>6020.2023/0012029-4</v>
      </c>
      <c r="E2" s="133"/>
      <c r="F2" s="134">
        <f>SUMIF('APONTAMENTO CREDENCIAMENTO'!$D$6:$D$3023,'ATESTE-LIQ'!A2,'APONTAMENTO CREDENCIAMENTO'!$FE$6:$FE$3023)</f>
        <v>25820.79</v>
      </c>
      <c r="G2" s="328" t="str">
        <f>VLOOKUP(A2,'APONTAMENTO CREDENCIAMENTO'!$D$6:$G$3023,3,0)</f>
        <v>01/04/2026</v>
      </c>
      <c r="H2" s="328" t="str">
        <f>VLOOKUP(A2,'APONTAMENTO CREDENCIAMENTO'!$D$6:$G$3023,4,0)</f>
        <v>30/04/2026</v>
      </c>
      <c r="I2" s="135" t="str">
        <f t="shared" ref="I2" si="1">CONCATENATE("PE - Pagto. Doc(s): ",E2," - Contrato nº ",A2)</f>
        <v>PE - Pagto. Doc(s):  - Contrato nº 2023/0012029</v>
      </c>
      <c r="J2" s="136">
        <f t="shared" ref="J2" si="2">F2</f>
        <v>25820.79</v>
      </c>
      <c r="K2" s="136">
        <v>0</v>
      </c>
      <c r="L2" s="137" t="str">
        <f>VLOOKUP(A2,'APONTAMENTO CREDENCIAMENTO'!$D$6:$P$3023,5,0)</f>
        <v>ADEILDO ANTONIO DE OLIVEIRA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6020.2023/0012029-4</v>
      </c>
      <c r="U2" s="144">
        <f t="shared" ref="U2" si="4">F2</f>
        <v>25820.79</v>
      </c>
      <c r="V2" s="145">
        <f t="shared" ref="V2" si="5">U2</f>
        <v>25820.79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2023/0012029 - DRE - IQ</v>
      </c>
      <c r="AB2" s="238" t="str">
        <f t="shared" ref="AB2" si="6">L2</f>
        <v>ADEILDO ANTONIO DE OLIVEIRA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3219</v>
      </c>
      <c r="B3" s="130"/>
      <c r="C3" s="131">
        <f t="shared" ref="C3:C33" si="7">W3</f>
        <v>0</v>
      </c>
      <c r="D3" s="132" t="str">
        <f>VLOOKUP(A3,'APONTAMENTO CREDENCIAMENTO'!$D$6:$P$3023,12,0)</f>
        <v>6020.2022/0026847-8</v>
      </c>
      <c r="E3" s="133"/>
      <c r="F3" s="134">
        <f>SUMIF('APONTAMENTO CREDENCIAMENTO'!$D$6:$D$3023,'ATESTE-LIQ'!A3,'APONTAMENTO CREDENCIAMENTO'!$FE$6:$FE$3023)</f>
        <v>17650.120999999999</v>
      </c>
      <c r="G3" s="328" t="str">
        <f>VLOOKUP(A3,'APONTAMENTO CREDENCIAMENTO'!$D$6:$G$3023,3,0)</f>
        <v>01/04/2026</v>
      </c>
      <c r="H3" s="328" t="str">
        <f>VLOOKUP(A3,'APONTAMENTO CREDENCIAMENTO'!$D$6:$G$3023,4,0)</f>
        <v>30/04/2026</v>
      </c>
      <c r="I3" s="135" t="str">
        <f t="shared" ref="I3:I33" si="8">CONCATENATE("PE - Pagto. Doc(s): ",E3," - Contrato nº ",A3)</f>
        <v>PE - Pagto. Doc(s):  - Contrato nº 2022/0026847</v>
      </c>
      <c r="J3" s="136">
        <f t="shared" ref="J3:J33" si="9">F3</f>
        <v>17650.120999999999</v>
      </c>
      <c r="K3" s="136">
        <v>0</v>
      </c>
      <c r="L3" s="137" t="str">
        <f>VLOOKUP(A3,'APONTAMENTO CREDENCIAMENTO'!$D$6:$P$3023,5,0)</f>
        <v>EDVALDO DANTAS DE AZEVEDO</v>
      </c>
      <c r="M3" s="138"/>
      <c r="N3" s="139"/>
      <c r="O3" s="140"/>
      <c r="P3" s="141"/>
      <c r="Q3" s="141"/>
      <c r="R3" s="141"/>
      <c r="S3" s="142"/>
      <c r="T3" s="143" t="str">
        <f t="shared" ref="T3:T33" si="10">D3</f>
        <v>6020.2022/0026847-8</v>
      </c>
      <c r="U3" s="144">
        <f t="shared" ref="U3:U33" si="11">F3</f>
        <v>17650.120999999999</v>
      </c>
      <c r="V3" s="145">
        <f t="shared" ref="V3:V33" si="12">U3</f>
        <v>17650.120999999999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2022/0026847 - DRE - IQ</v>
      </c>
      <c r="AB3" s="238" t="str">
        <f t="shared" ref="AB3:AB33" si="13">L3</f>
        <v>EDVALDO DANTAS DE AZEVEDO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3271</v>
      </c>
      <c r="B4" s="130"/>
      <c r="C4" s="131">
        <f t="shared" si="7"/>
        <v>0</v>
      </c>
      <c r="D4" s="132" t="str">
        <f>VLOOKUP(A4,'APONTAMENTO CREDENCIAMENTO'!$D$6:$P$3023,12,0)</f>
        <v>6020.2022/0028155-5</v>
      </c>
      <c r="E4" s="133"/>
      <c r="F4" s="134">
        <f>SUMIF('APONTAMENTO CREDENCIAMENTO'!$D$6:$D$3023,'ATESTE-LIQ'!A4,'APONTAMENTO CREDENCIAMENTO'!$FE$6:$FE$3023)</f>
        <v>10959.59</v>
      </c>
      <c r="G4" s="328" t="str">
        <f>VLOOKUP(A4,'APONTAMENTO CREDENCIAMENTO'!$D$6:$G$3023,3,0)</f>
        <v>01/04/2026</v>
      </c>
      <c r="H4" s="328" t="str">
        <f>VLOOKUP(A4,'APONTAMENTO CREDENCIAMENTO'!$D$6:$G$3023,4,0)</f>
        <v>30/04/2026</v>
      </c>
      <c r="I4" s="135" t="str">
        <f t="shared" si="8"/>
        <v>PE - Pagto. Doc(s):  - Contrato nº 2022/0028155</v>
      </c>
      <c r="J4" s="136">
        <f t="shared" si="9"/>
        <v>10959.59</v>
      </c>
      <c r="K4" s="136">
        <v>0</v>
      </c>
      <c r="L4" s="137" t="str">
        <f>VLOOKUP(A4,'APONTAMENTO CREDENCIAMENTO'!$D$6:$P$3023,5,0)</f>
        <v>LUIZ MARIO BRASILIENSE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6020.2022/0028155-5</v>
      </c>
      <c r="U4" s="144">
        <f t="shared" si="11"/>
        <v>10959.59</v>
      </c>
      <c r="V4" s="145">
        <f t="shared" si="12"/>
        <v>10959.59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2022/0028155 - DRE - IQ</v>
      </c>
      <c r="AB4" s="238" t="str">
        <f t="shared" si="13"/>
        <v>LUIZ MARIO BRASILIENSE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3227</v>
      </c>
      <c r="B5" s="130"/>
      <c r="C5" s="131">
        <f t="shared" si="7"/>
        <v>0</v>
      </c>
      <c r="D5" s="132" t="str">
        <f>VLOOKUP(A5,'APONTAMENTO CREDENCIAMENTO'!$D$6:$P$3023,12,0)</f>
        <v>6020.2022/0028821-5</v>
      </c>
      <c r="E5" s="133"/>
      <c r="F5" s="134">
        <f>SUMIF('APONTAMENTO CREDENCIAMENTO'!$D$6:$D$3023,'ATESTE-LIQ'!A5,'APONTAMENTO CREDENCIAMENTO'!$FE$6:$FE$3023)</f>
        <v>14037.289999999999</v>
      </c>
      <c r="G5" s="328" t="str">
        <f>VLOOKUP(A5,'APONTAMENTO CREDENCIAMENTO'!$D$6:$G$3023,3,0)</f>
        <v>01/04/2026</v>
      </c>
      <c r="H5" s="328" t="str">
        <f>VLOOKUP(A5,'APONTAMENTO CREDENCIAMENTO'!$D$6:$G$3023,4,0)</f>
        <v>30/04/2026</v>
      </c>
      <c r="I5" s="135" t="str">
        <f t="shared" si="8"/>
        <v>PE - Pagto. Doc(s):  - Contrato nº 2022/0028821</v>
      </c>
      <c r="J5" s="136">
        <f t="shared" si="9"/>
        <v>14037.289999999999</v>
      </c>
      <c r="K5" s="136">
        <v>0</v>
      </c>
      <c r="L5" s="137" t="str">
        <f>VLOOKUP(A5,'APONTAMENTO CREDENCIAMENTO'!$D$6:$P$3023,5,0)</f>
        <v>ELVIO EDUARDO FUZATTI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6020.2022/0028821-5</v>
      </c>
      <c r="U5" s="144">
        <f t="shared" si="11"/>
        <v>14037.289999999999</v>
      </c>
      <c r="V5" s="145">
        <f t="shared" si="12"/>
        <v>14037.289999999999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2022/0028821 - DRE - IQ</v>
      </c>
      <c r="AB5" s="238" t="str">
        <f t="shared" si="13"/>
        <v>ELVIO EDUARDO FUZATTI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3211</v>
      </c>
      <c r="B6" s="130"/>
      <c r="C6" s="131">
        <f t="shared" si="7"/>
        <v>0</v>
      </c>
      <c r="D6" s="132" t="str">
        <f>VLOOKUP(A6,'APONTAMENTO CREDENCIAMENTO'!$D$6:$P$3023,12,0)</f>
        <v>6020.2022/0029343-0</v>
      </c>
      <c r="E6" s="133"/>
      <c r="F6" s="134">
        <f>SUMIF('APONTAMENTO CREDENCIAMENTO'!$D$6:$D$3023,'ATESTE-LIQ'!A6,'APONTAMENTO CREDENCIAMENTO'!$FE$6:$FE$3023)</f>
        <v>15582.35</v>
      </c>
      <c r="G6" s="328" t="str">
        <f>VLOOKUP(A6,'APONTAMENTO CREDENCIAMENTO'!$D$6:$G$3023,3,0)</f>
        <v>01/04/2026</v>
      </c>
      <c r="H6" s="328" t="str">
        <f>VLOOKUP(A6,'APONTAMENTO CREDENCIAMENTO'!$D$6:$G$3023,4,0)</f>
        <v>30/04/2026</v>
      </c>
      <c r="I6" s="135" t="str">
        <f t="shared" si="8"/>
        <v>PE - Pagto. Doc(s):  - Contrato nº 2022/0029343</v>
      </c>
      <c r="J6" s="136">
        <f t="shared" si="9"/>
        <v>15582.35</v>
      </c>
      <c r="K6" s="136">
        <v>0</v>
      </c>
      <c r="L6" s="137" t="str">
        <f>VLOOKUP(A6,'APONTAMENTO CREDENCIAMENTO'!$D$6:$P$3023,5,0)</f>
        <v>ECIEL XAVIER DE LIMA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6020.2022/0029343-0</v>
      </c>
      <c r="U6" s="144">
        <f t="shared" si="11"/>
        <v>15582.35</v>
      </c>
      <c r="V6" s="145">
        <f t="shared" si="12"/>
        <v>15582.35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2022/0029343 - DRE - IQ</v>
      </c>
      <c r="AB6" s="238" t="str">
        <f t="shared" si="13"/>
        <v>ECIEL XAVIER DE LIMA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3263</v>
      </c>
      <c r="B7" s="130"/>
      <c r="C7" s="131">
        <f t="shared" si="7"/>
        <v>0</v>
      </c>
      <c r="D7" s="132" t="str">
        <f>VLOOKUP(A7,'APONTAMENTO CREDENCIAMENTO'!$D$6:$P$3023,12,0)</f>
        <v>6020.2022/0029530-0</v>
      </c>
      <c r="E7" s="133"/>
      <c r="F7" s="134">
        <f>SUMIF('APONTAMENTO CREDENCIAMENTO'!$D$6:$D$3023,'ATESTE-LIQ'!A7,'APONTAMENTO CREDENCIAMENTO'!$FE$6:$FE$3023)</f>
        <v>15582.35</v>
      </c>
      <c r="G7" s="328" t="str">
        <f>VLOOKUP(A7,'APONTAMENTO CREDENCIAMENTO'!$D$6:$G$3023,3,0)</f>
        <v>01/04/2026</v>
      </c>
      <c r="H7" s="328" t="str">
        <f>VLOOKUP(A7,'APONTAMENTO CREDENCIAMENTO'!$D$6:$G$3023,4,0)</f>
        <v>30/04/2026</v>
      </c>
      <c r="I7" s="135" t="str">
        <f t="shared" si="8"/>
        <v>PE - Pagto. Doc(s):  - Contrato nº 2022/0029530</v>
      </c>
      <c r="J7" s="136">
        <f t="shared" si="9"/>
        <v>15582.35</v>
      </c>
      <c r="K7" s="136">
        <v>0</v>
      </c>
      <c r="L7" s="137" t="str">
        <f>VLOOKUP(A7,'APONTAMENTO CREDENCIAMENTO'!$D$6:$P$3023,5,0)</f>
        <v>JURACI RODRIGUES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6020.2022/0029530-0</v>
      </c>
      <c r="U7" s="144">
        <f t="shared" si="11"/>
        <v>15582.35</v>
      </c>
      <c r="V7" s="145">
        <f t="shared" si="12"/>
        <v>15582.35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2022/0029530 - DRE - IQ</v>
      </c>
      <c r="AB7" s="238" t="str">
        <f t="shared" si="13"/>
        <v>JURACI RODRIGUES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3231</v>
      </c>
      <c r="B8" s="130"/>
      <c r="C8" s="131">
        <f t="shared" si="7"/>
        <v>0</v>
      </c>
      <c r="D8" s="132" t="str">
        <f>VLOOKUP(A8,'APONTAMENTO CREDENCIAMENTO'!$D$6:$P$3023,12,0)</f>
        <v>6020.2022/0029582-3</v>
      </c>
      <c r="E8" s="133"/>
      <c r="F8" s="134">
        <f>SUMIF('APONTAMENTO CREDENCIAMENTO'!$D$6:$D$3023,'ATESTE-LIQ'!A8,'APONTAMENTO CREDENCIAMENTO'!$FE$6:$FE$3023)</f>
        <v>13828.521999999999</v>
      </c>
      <c r="G8" s="328" t="str">
        <f>VLOOKUP(A8,'APONTAMENTO CREDENCIAMENTO'!$D$6:$G$3023,3,0)</f>
        <v>01/04/2026</v>
      </c>
      <c r="H8" s="328" t="str">
        <f>VLOOKUP(A8,'APONTAMENTO CREDENCIAMENTO'!$D$6:$G$3023,4,0)</f>
        <v>30/04/2026</v>
      </c>
      <c r="I8" s="135" t="str">
        <f t="shared" si="8"/>
        <v>PE - Pagto. Doc(s):  - Contrato nº 2022/0029582</v>
      </c>
      <c r="J8" s="136">
        <f t="shared" si="9"/>
        <v>13828.521999999999</v>
      </c>
      <c r="K8" s="136">
        <v>0</v>
      </c>
      <c r="L8" s="137" t="str">
        <f>VLOOKUP(A8,'APONTAMENTO CREDENCIAMENTO'!$D$6:$P$3023,5,0)</f>
        <v>FABIANO LEONARDO OSHIRO GONCALVES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6020.2022/0029582-3</v>
      </c>
      <c r="U8" s="144">
        <f t="shared" si="11"/>
        <v>13828.521999999999</v>
      </c>
      <c r="V8" s="145">
        <f t="shared" si="12"/>
        <v>13828.521999999999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2022/0029582 - DRE - IQ</v>
      </c>
      <c r="AB8" s="238" t="str">
        <f t="shared" si="13"/>
        <v>FABIANO LEONARDO OSHIRO GONCALVES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3287</v>
      </c>
      <c r="B9" s="130"/>
      <c r="C9" s="131">
        <f t="shared" si="7"/>
        <v>0</v>
      </c>
      <c r="D9" s="132" t="str">
        <f>VLOOKUP(A9,'APONTAMENTO CREDENCIAMENTO'!$D$6:$P$3023,12,0)</f>
        <v>6020.2022/0029666-8</v>
      </c>
      <c r="E9" s="133"/>
      <c r="F9" s="134">
        <f>SUMIF('APONTAMENTO CREDENCIAMENTO'!$D$6:$D$3023,'ATESTE-LIQ'!A9,'APONTAMENTO CREDENCIAMENTO'!$FE$6:$FE$3023)</f>
        <v>26368.79</v>
      </c>
      <c r="G9" s="328" t="str">
        <f>VLOOKUP(A9,'APONTAMENTO CREDENCIAMENTO'!$D$6:$G$3023,3,0)</f>
        <v>01/04/2026</v>
      </c>
      <c r="H9" s="328" t="str">
        <f>VLOOKUP(A9,'APONTAMENTO CREDENCIAMENTO'!$D$6:$G$3023,4,0)</f>
        <v>30/04/2026</v>
      </c>
      <c r="I9" s="135" t="str">
        <f t="shared" si="8"/>
        <v>PE - Pagto. Doc(s):  - Contrato nº 2022/0029666</v>
      </c>
      <c r="J9" s="136">
        <f t="shared" si="9"/>
        <v>26368.79</v>
      </c>
      <c r="K9" s="136">
        <v>0</v>
      </c>
      <c r="L9" s="137" t="str">
        <f>VLOOKUP(A9,'APONTAMENTO CREDENCIAMENTO'!$D$6:$P$3023,5,0)</f>
        <v>MARCOS DONIZETE DEMINCIANA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6020.2022/0029666-8</v>
      </c>
      <c r="U9" s="144">
        <f t="shared" si="11"/>
        <v>26368.79</v>
      </c>
      <c r="V9" s="145">
        <f t="shared" si="12"/>
        <v>26368.79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2022/0029666 - DRE - IQ</v>
      </c>
      <c r="AB9" s="238" t="str">
        <f t="shared" si="13"/>
        <v>MARCOS DONIZETE DEMINCIANA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3223</v>
      </c>
      <c r="B10" s="130"/>
      <c r="C10" s="131">
        <f t="shared" si="7"/>
        <v>0</v>
      </c>
      <c r="D10" s="132" t="str">
        <f>VLOOKUP(A10,'APONTAMENTO CREDENCIAMENTO'!$D$6:$P$3023,12,0)</f>
        <v>6020.2022/0030230-7</v>
      </c>
      <c r="E10" s="133"/>
      <c r="F10" s="134">
        <f>SUMIF('APONTAMENTO CREDENCIAMENTO'!$D$6:$D$3023,'ATESTE-LIQ'!A10,'APONTAMENTO CREDENCIAMENTO'!$FE$6:$FE$3023)</f>
        <v>16591.12</v>
      </c>
      <c r="G10" s="328" t="str">
        <f>VLOOKUP(A10,'APONTAMENTO CREDENCIAMENTO'!$D$6:$G$3023,3,0)</f>
        <v>01/04/2026</v>
      </c>
      <c r="H10" s="328" t="str">
        <f>VLOOKUP(A10,'APONTAMENTO CREDENCIAMENTO'!$D$6:$G$3023,4,0)</f>
        <v>30/04/2026</v>
      </c>
      <c r="I10" s="135" t="str">
        <f t="shared" si="8"/>
        <v>PE - Pagto. Doc(s):  - Contrato nº 2022/0030230</v>
      </c>
      <c r="J10" s="136">
        <f t="shared" si="9"/>
        <v>16591.12</v>
      </c>
      <c r="K10" s="136">
        <v>0</v>
      </c>
      <c r="L10" s="137" t="str">
        <f>VLOOKUP(A10,'APONTAMENTO CREDENCIAMENTO'!$D$6:$P$3023,5,0)</f>
        <v>ELIELSON FERNANDES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6020.2022/0030230-7</v>
      </c>
      <c r="U10" s="144">
        <f t="shared" si="11"/>
        <v>16591.12</v>
      </c>
      <c r="V10" s="145">
        <f t="shared" si="12"/>
        <v>16591.12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2022/0030230 - DRE - IQ</v>
      </c>
      <c r="AB10" s="238" t="str">
        <f t="shared" si="13"/>
        <v>ELIELSON FERNANDES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3239</v>
      </c>
      <c r="B11" s="130"/>
      <c r="C11" s="131">
        <f t="shared" si="7"/>
        <v>0</v>
      </c>
      <c r="D11" s="132" t="str">
        <f>VLOOKUP(A11,'APONTAMENTO CREDENCIAMENTO'!$D$6:$P$3023,12,0)</f>
        <v>6020.2022/0030454-7</v>
      </c>
      <c r="E11" s="133"/>
      <c r="F11" s="134">
        <f>SUMIF('APONTAMENTO CREDENCIAMENTO'!$D$6:$D$3023,'ATESTE-LIQ'!A11,'APONTAMENTO CREDENCIAMENTO'!$FE$6:$FE$3023)</f>
        <v>13700.259999999998</v>
      </c>
      <c r="G11" s="328" t="str">
        <f>VLOOKUP(A11,'APONTAMENTO CREDENCIAMENTO'!$D$6:$G$3023,3,0)</f>
        <v>01/04/2026</v>
      </c>
      <c r="H11" s="328" t="str">
        <f>VLOOKUP(A11,'APONTAMENTO CREDENCIAMENTO'!$D$6:$G$3023,4,0)</f>
        <v>30/04/2026</v>
      </c>
      <c r="I11" s="135" t="str">
        <f t="shared" si="8"/>
        <v>PE - Pagto. Doc(s):  - Contrato nº 2022/0030454</v>
      </c>
      <c r="J11" s="136">
        <f t="shared" si="9"/>
        <v>13700.259999999998</v>
      </c>
      <c r="K11" s="136">
        <v>0</v>
      </c>
      <c r="L11" s="137" t="str">
        <f>VLOOKUP(A11,'APONTAMENTO CREDENCIAMENTO'!$D$6:$P$3023,5,0)</f>
        <v>GEILZA TORRE CAVALCANTE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6020.2022/0030454-7</v>
      </c>
      <c r="U11" s="144">
        <f t="shared" si="11"/>
        <v>13700.259999999998</v>
      </c>
      <c r="V11" s="145">
        <f t="shared" si="12"/>
        <v>13700.259999999998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2022/0030454 - DRE - IQ</v>
      </c>
      <c r="AB11" s="238" t="str">
        <f t="shared" si="13"/>
        <v>GEILZA TORRE CAVALCANTE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3259</v>
      </c>
      <c r="B12" s="130"/>
      <c r="C12" s="131">
        <f t="shared" si="7"/>
        <v>0</v>
      </c>
      <c r="D12" s="132" t="str">
        <f>VLOOKUP(A12,'APONTAMENTO CREDENCIAMENTO'!$D$6:$P$3023,12,0)</f>
        <v>6020.2022/0030466-0</v>
      </c>
      <c r="E12" s="133"/>
      <c r="F12" s="134">
        <f>SUMIF('APONTAMENTO CREDENCIAMENTO'!$D$6:$D$3023,'ATESTE-LIQ'!A12,'APONTAMENTO CREDENCIAMENTO'!$FE$6:$FE$3023)</f>
        <v>19031.110333333327</v>
      </c>
      <c r="G12" s="328" t="str">
        <f>VLOOKUP(A12,'APONTAMENTO CREDENCIAMENTO'!$D$6:$G$3023,3,0)</f>
        <v>01/04/2026</v>
      </c>
      <c r="H12" s="328" t="str">
        <f>VLOOKUP(A12,'APONTAMENTO CREDENCIAMENTO'!$D$6:$G$3023,4,0)</f>
        <v>30/04/2026</v>
      </c>
      <c r="I12" s="135" t="str">
        <f t="shared" si="8"/>
        <v>PE - Pagto. Doc(s):  - Contrato nº 2022/0030466</v>
      </c>
      <c r="J12" s="136">
        <f t="shared" si="9"/>
        <v>19031.110333333327</v>
      </c>
      <c r="K12" s="136">
        <v>0</v>
      </c>
      <c r="L12" s="137" t="str">
        <f>VLOOKUP(A12,'APONTAMENTO CREDENCIAMENTO'!$D$6:$P$3023,5,0)</f>
        <v>JONATAS CAVALCANTE FERNANDES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6020.2022/0030466-0</v>
      </c>
      <c r="U12" s="144">
        <f t="shared" si="11"/>
        <v>19031.110333333327</v>
      </c>
      <c r="V12" s="145">
        <f t="shared" si="12"/>
        <v>19031.110333333327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2022/0030466 - DRE - IQ</v>
      </c>
      <c r="AB12" s="238" t="str">
        <f t="shared" si="13"/>
        <v>JONATAS CAVALCANTE FERNANDES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3255</v>
      </c>
      <c r="B13" s="130"/>
      <c r="C13" s="131">
        <f t="shared" si="7"/>
        <v>0</v>
      </c>
      <c r="D13" s="132" t="str">
        <f>VLOOKUP(A13,'APONTAMENTO CREDENCIAMENTO'!$D$6:$P$3023,12,0)</f>
        <v>6020.2022/0030752-0</v>
      </c>
      <c r="E13" s="133"/>
      <c r="F13" s="134">
        <f>SUMIF('APONTAMENTO CREDENCIAMENTO'!$D$6:$D$3023,'ATESTE-LIQ'!A13,'APONTAMENTO CREDENCIAMENTO'!$FE$6:$FE$3023)</f>
        <v>13656.2</v>
      </c>
      <c r="G13" s="328" t="str">
        <f>VLOOKUP(A13,'APONTAMENTO CREDENCIAMENTO'!$D$6:$G$3023,3,0)</f>
        <v>01/04/2026</v>
      </c>
      <c r="H13" s="328" t="str">
        <f>VLOOKUP(A13,'APONTAMENTO CREDENCIAMENTO'!$D$6:$G$3023,4,0)</f>
        <v>30/04/2026</v>
      </c>
      <c r="I13" s="135" t="str">
        <f t="shared" si="8"/>
        <v>PE - Pagto. Doc(s):  - Contrato nº 2022/0030752</v>
      </c>
      <c r="J13" s="136">
        <f t="shared" si="9"/>
        <v>13656.2</v>
      </c>
      <c r="K13" s="136">
        <v>0</v>
      </c>
      <c r="L13" s="137" t="str">
        <f>VLOOKUP(A13,'APONTAMENTO CREDENCIAMENTO'!$D$6:$P$3023,5,0)</f>
        <v>IVANEIDE SIQUEIRA DE ASSIS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6020.2022/0030752-0</v>
      </c>
      <c r="U13" s="144">
        <f t="shared" si="11"/>
        <v>13656.2</v>
      </c>
      <c r="V13" s="145">
        <f t="shared" si="12"/>
        <v>13656.2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2022/0030752 - DRE - IQ</v>
      </c>
      <c r="AB13" s="238" t="str">
        <f t="shared" si="13"/>
        <v>IVANEIDE SIQUEIRA DE ASSIS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3295</v>
      </c>
      <c r="B14" s="130"/>
      <c r="C14" s="131">
        <f t="shared" si="7"/>
        <v>0</v>
      </c>
      <c r="D14" s="132" t="str">
        <f>VLOOKUP(A14,'APONTAMENTO CREDENCIAMENTO'!$D$6:$P$3023,12,0)</f>
        <v>6020.2022/0031358-9</v>
      </c>
      <c r="E14" s="133"/>
      <c r="F14" s="134">
        <f>SUMIF('APONTAMENTO CREDENCIAMENTO'!$D$6:$D$3023,'ATESTE-LIQ'!A14,'APONTAMENTO CREDENCIAMENTO'!$FE$6:$FE$3023)</f>
        <v>22397.831000000002</v>
      </c>
      <c r="G14" s="328" t="str">
        <f>VLOOKUP(A14,'APONTAMENTO CREDENCIAMENTO'!$D$6:$G$3023,3,0)</f>
        <v>01/04/2026</v>
      </c>
      <c r="H14" s="328" t="str">
        <f>VLOOKUP(A14,'APONTAMENTO CREDENCIAMENTO'!$D$6:$G$3023,4,0)</f>
        <v>30/04/2026</v>
      </c>
      <c r="I14" s="135" t="str">
        <f t="shared" si="8"/>
        <v>PE - Pagto. Doc(s):  - Contrato nº 2022/0031358</v>
      </c>
      <c r="J14" s="136">
        <f t="shared" si="9"/>
        <v>22397.831000000002</v>
      </c>
      <c r="K14" s="136">
        <v>0</v>
      </c>
      <c r="L14" s="137" t="str">
        <f>VLOOKUP(A14,'APONTAMENTO CREDENCIAMENTO'!$D$6:$P$3023,5,0)</f>
        <v>NILTON VIANA DE ALCANTARA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6020.2022/0031358-9</v>
      </c>
      <c r="U14" s="144">
        <f t="shared" si="11"/>
        <v>22397.831000000002</v>
      </c>
      <c r="V14" s="145">
        <f t="shared" si="12"/>
        <v>22397.831000000002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2022/0031358 - DRE - IQ</v>
      </c>
      <c r="AB14" s="238" t="str">
        <f t="shared" si="13"/>
        <v>NILTON VIANA DE ALCANTARA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3243</v>
      </c>
      <c r="B15" s="130"/>
      <c r="C15" s="131">
        <f t="shared" si="7"/>
        <v>0</v>
      </c>
      <c r="D15" s="132" t="str">
        <f>VLOOKUP(A15,'APONTAMENTO CREDENCIAMENTO'!$D$6:$P$3023,12,0)</f>
        <v>6020.2022/0031707-0</v>
      </c>
      <c r="E15" s="133"/>
      <c r="F15" s="134">
        <f>SUMIF('APONTAMENTO CREDENCIAMENTO'!$D$6:$D$3023,'ATESTE-LIQ'!A15,'APONTAMENTO CREDENCIAMENTO'!$FE$6:$FE$3023)</f>
        <v>14932.699999999999</v>
      </c>
      <c r="G15" s="328" t="str">
        <f>VLOOKUP(A15,'APONTAMENTO CREDENCIAMENTO'!$D$6:$G$3023,3,0)</f>
        <v>01/04/2026</v>
      </c>
      <c r="H15" s="328" t="str">
        <f>VLOOKUP(A15,'APONTAMENTO CREDENCIAMENTO'!$D$6:$G$3023,4,0)</f>
        <v>30/04/2026</v>
      </c>
      <c r="I15" s="135" t="str">
        <f t="shared" si="8"/>
        <v>PE - Pagto. Doc(s):  - Contrato nº 2022/0031707</v>
      </c>
      <c r="J15" s="136">
        <f t="shared" si="9"/>
        <v>14932.699999999999</v>
      </c>
      <c r="K15" s="136">
        <v>0</v>
      </c>
      <c r="L15" s="137" t="str">
        <f>VLOOKUP(A15,'APONTAMENTO CREDENCIAMENTO'!$D$6:$P$3023,5,0)</f>
        <v>GERALDO PEREIRA FILHO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6020.2022/0031707-0</v>
      </c>
      <c r="U15" s="144">
        <f t="shared" si="11"/>
        <v>14932.699999999999</v>
      </c>
      <c r="V15" s="145">
        <f t="shared" si="12"/>
        <v>14932.699999999999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2022/0031707 - DRE - IQ</v>
      </c>
      <c r="AB15" s="238" t="str">
        <f t="shared" si="13"/>
        <v>GERALDO PEREIRA FILHO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3235</v>
      </c>
      <c r="B16" s="130"/>
      <c r="C16" s="131">
        <f t="shared" si="7"/>
        <v>0</v>
      </c>
      <c r="D16" s="132" t="str">
        <f>VLOOKUP(A16,'APONTAMENTO CREDENCIAMENTO'!$D$6:$P$3023,12,0)</f>
        <v>6020.2022/0032090-9</v>
      </c>
      <c r="E16" s="133"/>
      <c r="F16" s="134">
        <f>SUMIF('APONTAMENTO CREDENCIAMENTO'!$D$6:$D$3023,'ATESTE-LIQ'!A16,'APONTAMENTO CREDENCIAMENTO'!$FE$6:$FE$3023)</f>
        <v>13391.779999999999</v>
      </c>
      <c r="G16" s="328" t="str">
        <f>VLOOKUP(A16,'APONTAMENTO CREDENCIAMENTO'!$D$6:$G$3023,3,0)</f>
        <v>01/04/2026</v>
      </c>
      <c r="H16" s="328" t="str">
        <f>VLOOKUP(A16,'APONTAMENTO CREDENCIAMENTO'!$D$6:$G$3023,4,0)</f>
        <v>30/04/2026</v>
      </c>
      <c r="I16" s="135" t="str">
        <f t="shared" si="8"/>
        <v>PE - Pagto. Doc(s):  - Contrato nº 2022/0032090</v>
      </c>
      <c r="J16" s="136">
        <f t="shared" si="9"/>
        <v>13391.779999999999</v>
      </c>
      <c r="K16" s="136">
        <v>0</v>
      </c>
      <c r="L16" s="137" t="str">
        <f>VLOOKUP(A16,'APONTAMENTO CREDENCIAMENTO'!$D$6:$P$3023,5,0)</f>
        <v>FABIO RODRIGUES DE SOUZA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6020.2022/0032090-9</v>
      </c>
      <c r="U16" s="144">
        <f t="shared" si="11"/>
        <v>13391.779999999999</v>
      </c>
      <c r="V16" s="145">
        <f t="shared" si="12"/>
        <v>13391.779999999999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2022/0032090 - DRE - IQ</v>
      </c>
      <c r="AB16" s="238" t="str">
        <f t="shared" si="13"/>
        <v>FABIO RODRIGUES DE SOUZA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3299</v>
      </c>
      <c r="B17" s="130"/>
      <c r="C17" s="131">
        <f t="shared" si="7"/>
        <v>0</v>
      </c>
      <c r="D17" s="132" t="str">
        <f>VLOOKUP(A17,'APONTAMENTO CREDENCIAMENTO'!$D$6:$P$3023,12,0)</f>
        <v>6020.2022/0032282-0</v>
      </c>
      <c r="E17" s="133"/>
      <c r="F17" s="134">
        <f>SUMIF('APONTAMENTO CREDENCIAMENTO'!$D$6:$D$3023,'ATESTE-LIQ'!A17,'APONTAMENTO CREDENCIAMENTO'!$FE$6:$FE$3023)</f>
        <v>15748.380999999999</v>
      </c>
      <c r="G17" s="328" t="str">
        <f>VLOOKUP(A17,'APONTAMENTO CREDENCIAMENTO'!$D$6:$G$3023,3,0)</f>
        <v>01/04/2026</v>
      </c>
      <c r="H17" s="328" t="str">
        <f>VLOOKUP(A17,'APONTAMENTO CREDENCIAMENTO'!$D$6:$G$3023,4,0)</f>
        <v>30/04/2026</v>
      </c>
      <c r="I17" s="135" t="str">
        <f t="shared" si="8"/>
        <v>PE - Pagto. Doc(s):  - Contrato nº 2022/0032282</v>
      </c>
      <c r="J17" s="136">
        <f t="shared" si="9"/>
        <v>15748.380999999999</v>
      </c>
      <c r="K17" s="136">
        <v>0</v>
      </c>
      <c r="L17" s="137" t="str">
        <f>VLOOKUP(A17,'APONTAMENTO CREDENCIAMENTO'!$D$6:$P$3023,5,0)</f>
        <v>PAULO SERGIO DOS SANTOS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6020.2022/0032282-0</v>
      </c>
      <c r="U17" s="144">
        <f t="shared" si="11"/>
        <v>15748.380999999999</v>
      </c>
      <c r="V17" s="145">
        <f t="shared" si="12"/>
        <v>15748.380999999999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2022/0032282 - DRE - IQ</v>
      </c>
      <c r="AB17" s="238" t="str">
        <f t="shared" si="13"/>
        <v>PAULO SERGIO DOS SANTOS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3319</v>
      </c>
      <c r="B18" s="130"/>
      <c r="C18" s="131">
        <f t="shared" si="7"/>
        <v>0</v>
      </c>
      <c r="D18" s="132" t="str">
        <f>VLOOKUP(A18,'APONTAMENTO CREDENCIAMENTO'!$D$6:$P$3023,12,0)</f>
        <v>6020.2022/0032291-0</v>
      </c>
      <c r="E18" s="133"/>
      <c r="F18" s="134">
        <f>SUMIF('APONTAMENTO CREDENCIAMENTO'!$D$6:$D$3023,'ATESTE-LIQ'!A18,'APONTAMENTO CREDENCIAMENTO'!$FE$6:$FE$3023)</f>
        <v>14481.521000000001</v>
      </c>
      <c r="G18" s="328" t="str">
        <f>VLOOKUP(A18,'APONTAMENTO CREDENCIAMENTO'!$D$6:$G$3023,3,0)</f>
        <v>01/04/2026</v>
      </c>
      <c r="H18" s="328" t="str">
        <f>VLOOKUP(A18,'APONTAMENTO CREDENCIAMENTO'!$D$6:$G$3023,4,0)</f>
        <v>30/04/2026</v>
      </c>
      <c r="I18" s="135" t="str">
        <f t="shared" si="8"/>
        <v>PE - Pagto. Doc(s):  - Contrato nº 2022/0032291</v>
      </c>
      <c r="J18" s="136">
        <f t="shared" si="9"/>
        <v>14481.521000000001</v>
      </c>
      <c r="K18" s="136">
        <v>0</v>
      </c>
      <c r="L18" s="137" t="str">
        <f>VLOOKUP(A18,'APONTAMENTO CREDENCIAMENTO'!$D$6:$P$3023,5,0)</f>
        <v>SOLANGE SOARES DE PAULA LIMA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6020.2022/0032291-0</v>
      </c>
      <c r="U18" s="144">
        <f t="shared" si="11"/>
        <v>14481.521000000001</v>
      </c>
      <c r="V18" s="145">
        <f t="shared" si="12"/>
        <v>14481.521000000001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2022/0032291 - DRE - IQ</v>
      </c>
      <c r="AB18" s="238" t="str">
        <f t="shared" si="13"/>
        <v>SOLANGE SOARES DE PAULA LIMA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3291</v>
      </c>
      <c r="B19" s="130"/>
      <c r="C19" s="131">
        <f t="shared" si="7"/>
        <v>0</v>
      </c>
      <c r="D19" s="132" t="str">
        <f>VLOOKUP(A19,'APONTAMENTO CREDENCIAMENTO'!$D$6:$P$3023,12,0)</f>
        <v>6020.2022/0032729-6</v>
      </c>
      <c r="E19" s="133"/>
      <c r="F19" s="134">
        <f>SUMIF('APONTAMENTO CREDENCIAMENTO'!$D$6:$D$3023,'ATESTE-LIQ'!A19,'APONTAMENTO CREDENCIAMENTO'!$FE$6:$FE$3023)</f>
        <v>18420.210999999999</v>
      </c>
      <c r="G19" s="328" t="str">
        <f>VLOOKUP(A19,'APONTAMENTO CREDENCIAMENTO'!$D$6:$G$3023,3,0)</f>
        <v>01/04/2026</v>
      </c>
      <c r="H19" s="328" t="str">
        <f>VLOOKUP(A19,'APONTAMENTO CREDENCIAMENTO'!$D$6:$G$3023,4,0)</f>
        <v>30/04/2026</v>
      </c>
      <c r="I19" s="135" t="str">
        <f t="shared" si="8"/>
        <v>PE - Pagto. Doc(s):  - Contrato nº 2022/0032729</v>
      </c>
      <c r="J19" s="136">
        <f t="shared" si="9"/>
        <v>18420.210999999999</v>
      </c>
      <c r="K19" s="136">
        <v>0</v>
      </c>
      <c r="L19" s="137" t="str">
        <f>VLOOKUP(A19,'APONTAMENTO CREDENCIAMENTO'!$D$6:$P$3023,5,0)</f>
        <v>MARIA CONCEICAO GOMES LUZ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6020.2022/0032729-6</v>
      </c>
      <c r="U19" s="144">
        <f t="shared" si="11"/>
        <v>18420.210999999999</v>
      </c>
      <c r="V19" s="145">
        <f t="shared" si="12"/>
        <v>18420.210999999999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2022/0032729 - DRE - IQ</v>
      </c>
      <c r="AB19" s="238" t="str">
        <f t="shared" si="13"/>
        <v>MARIA CONCEICAO GOMES LUZ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3207</v>
      </c>
      <c r="B20" s="130"/>
      <c r="C20" s="131">
        <f t="shared" si="7"/>
        <v>0</v>
      </c>
      <c r="D20" s="132" t="str">
        <f>VLOOKUP(A20,'APONTAMENTO CREDENCIAMENTO'!$D$6:$P$3023,12,0)</f>
        <v>6020.2022/0032880-2</v>
      </c>
      <c r="E20" s="133"/>
      <c r="F20" s="134">
        <f>SUMIF('APONTAMENTO CREDENCIAMENTO'!$D$6:$D$3023,'ATESTE-LIQ'!A20,'APONTAMENTO CREDENCIAMENTO'!$FE$6:$FE$3023)</f>
        <v>12621.32</v>
      </c>
      <c r="G20" s="328" t="str">
        <f>VLOOKUP(A20,'APONTAMENTO CREDENCIAMENTO'!$D$6:$G$3023,3,0)</f>
        <v>01/04/2026</v>
      </c>
      <c r="H20" s="328" t="str">
        <f>VLOOKUP(A20,'APONTAMENTO CREDENCIAMENTO'!$D$6:$G$3023,4,0)</f>
        <v>30/04/2026</v>
      </c>
      <c r="I20" s="135" t="str">
        <f t="shared" si="8"/>
        <v>PE - Pagto. Doc(s):  - Contrato nº 2022/0032880</v>
      </c>
      <c r="J20" s="136">
        <f t="shared" si="9"/>
        <v>12621.32</v>
      </c>
      <c r="K20" s="136">
        <v>0</v>
      </c>
      <c r="L20" s="137" t="str">
        <f>VLOOKUP(A20,'APONTAMENTO CREDENCIAMENTO'!$D$6:$P$3023,5,0)</f>
        <v>DIEGO BAPTISTA DOS SANTOS SOUZA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6020.2022/0032880-2</v>
      </c>
      <c r="U20" s="144">
        <f t="shared" si="11"/>
        <v>12621.32</v>
      </c>
      <c r="V20" s="145">
        <f t="shared" si="12"/>
        <v>12621.32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2022/0032880 - DRE - IQ</v>
      </c>
      <c r="AB20" s="238" t="str">
        <f t="shared" si="13"/>
        <v>DIEGO BAPTISTA DOS SANTOS SOUZA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3279</v>
      </c>
      <c r="B21" s="130"/>
      <c r="C21" s="131">
        <f t="shared" si="7"/>
        <v>0</v>
      </c>
      <c r="D21" s="132" t="str">
        <f>VLOOKUP(A21,'APONTAMENTO CREDENCIAMENTO'!$D$6:$P$3023,12,0)</f>
        <v>6020.2022/0033624-4</v>
      </c>
      <c r="E21" s="133"/>
      <c r="F21" s="134">
        <f>SUMIF('APONTAMENTO CREDENCIAMENTO'!$D$6:$D$3023,'ATESTE-LIQ'!A21,'APONTAMENTO CREDENCIAMENTO'!$FE$6:$FE$3023)</f>
        <v>14551.98</v>
      </c>
      <c r="G21" s="328" t="str">
        <f>VLOOKUP(A21,'APONTAMENTO CREDENCIAMENTO'!$D$6:$G$3023,3,0)</f>
        <v>01/04/2026</v>
      </c>
      <c r="H21" s="328" t="str">
        <f>VLOOKUP(A21,'APONTAMENTO CREDENCIAMENTO'!$D$6:$G$3023,4,0)</f>
        <v>30/04/2026</v>
      </c>
      <c r="I21" s="135" t="str">
        <f t="shared" si="8"/>
        <v>PE - Pagto. Doc(s):  - Contrato nº 2022/0033624</v>
      </c>
      <c r="J21" s="136">
        <f t="shared" si="9"/>
        <v>14551.98</v>
      </c>
      <c r="K21" s="136">
        <v>0</v>
      </c>
      <c r="L21" s="137" t="str">
        <f>VLOOKUP(A21,'APONTAMENTO CREDENCIAMENTO'!$D$6:$P$3023,5,0)</f>
        <v>MARCELO BERNARDO DOS SANTOS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6020.2022/0033624-4</v>
      </c>
      <c r="U21" s="144">
        <f t="shared" si="11"/>
        <v>14551.98</v>
      </c>
      <c r="V21" s="145">
        <f t="shared" si="12"/>
        <v>14551.98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2022/0033624 - DRE - IQ</v>
      </c>
      <c r="AB21" s="238" t="str">
        <f t="shared" si="13"/>
        <v>MARCELO BERNARDO DOS SANTOS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3315</v>
      </c>
      <c r="B22" s="130"/>
      <c r="C22" s="131">
        <f t="shared" si="7"/>
        <v>0</v>
      </c>
      <c r="D22" s="132" t="str">
        <f>VLOOKUP(A22,'APONTAMENTO CREDENCIAMENTO'!$D$6:$P$3023,12,0)</f>
        <v>6020.2022/0033862-0</v>
      </c>
      <c r="E22" s="133"/>
      <c r="F22" s="134">
        <f>SUMIF('APONTAMENTO CREDENCIAMENTO'!$D$6:$D$3023,'ATESTE-LIQ'!A22,'APONTAMENTO CREDENCIAMENTO'!$FE$6:$FE$3023)</f>
        <v>15149.253000000001</v>
      </c>
      <c r="G22" s="328" t="str">
        <f>VLOOKUP(A22,'APONTAMENTO CREDENCIAMENTO'!$D$6:$G$3023,3,0)</f>
        <v>01/04/2026</v>
      </c>
      <c r="H22" s="328" t="str">
        <f>VLOOKUP(A22,'APONTAMENTO CREDENCIAMENTO'!$D$6:$G$3023,4,0)</f>
        <v>30/04/2026</v>
      </c>
      <c r="I22" s="135" t="str">
        <f t="shared" si="8"/>
        <v>PE - Pagto. Doc(s):  - Contrato nº 2022/0033862</v>
      </c>
      <c r="J22" s="136">
        <f t="shared" si="9"/>
        <v>15149.253000000001</v>
      </c>
      <c r="K22" s="136">
        <v>0</v>
      </c>
      <c r="L22" s="137" t="str">
        <f>VLOOKUP(A22,'APONTAMENTO CREDENCIAMENTO'!$D$6:$P$3023,5,0)</f>
        <v>SILVIO ITIZO TAKEDA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6020.2022/0033862-0</v>
      </c>
      <c r="U22" s="144">
        <f t="shared" si="11"/>
        <v>15149.253000000001</v>
      </c>
      <c r="V22" s="145">
        <f t="shared" si="12"/>
        <v>15149.253000000001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2022/0033862 - DRE - IQ</v>
      </c>
      <c r="AB22" s="238" t="str">
        <f t="shared" si="13"/>
        <v>SILVIO ITIZO TAKEDA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3267</v>
      </c>
      <c r="B23" s="130"/>
      <c r="C23" s="131">
        <f t="shared" si="7"/>
        <v>0</v>
      </c>
      <c r="D23" s="132" t="str">
        <f>VLOOKUP(A23,'APONTAMENTO CREDENCIAMENTO'!$D$6:$P$3023,12,0)</f>
        <v>6020.2022/0033963-4</v>
      </c>
      <c r="E23" s="133"/>
      <c r="F23" s="134">
        <f>SUMIF('APONTAMENTO CREDENCIAMENTO'!$D$6:$D$3023,'ATESTE-LIQ'!A23,'APONTAMENTO CREDENCIAMENTO'!$FE$6:$FE$3023)</f>
        <v>22706.199999999997</v>
      </c>
      <c r="G23" s="328" t="str">
        <f>VLOOKUP(A23,'APONTAMENTO CREDENCIAMENTO'!$D$6:$G$3023,3,0)</f>
        <v>01/04/2026</v>
      </c>
      <c r="H23" s="328" t="str">
        <f>VLOOKUP(A23,'APONTAMENTO CREDENCIAMENTO'!$D$6:$G$3023,4,0)</f>
        <v>30/04/2026</v>
      </c>
      <c r="I23" s="135" t="str">
        <f t="shared" si="8"/>
        <v>PE - Pagto. Doc(s):  - Contrato nº 2022/0033963</v>
      </c>
      <c r="J23" s="136">
        <f t="shared" si="9"/>
        <v>22706.199999999997</v>
      </c>
      <c r="K23" s="136">
        <v>0</v>
      </c>
      <c r="L23" s="137" t="str">
        <f>VLOOKUP(A23,'APONTAMENTO CREDENCIAMENTO'!$D$6:$P$3023,5,0)</f>
        <v>LAERTE SANTOS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6020.2022/0033963-4</v>
      </c>
      <c r="U23" s="144">
        <f t="shared" si="11"/>
        <v>22706.199999999997</v>
      </c>
      <c r="V23" s="145">
        <f t="shared" si="12"/>
        <v>22706.199999999997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2022/0033963 - DRE - IQ</v>
      </c>
      <c r="AB23" s="238" t="str">
        <f t="shared" si="13"/>
        <v>LAERTE SANTOS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3251</v>
      </c>
      <c r="B24" s="130"/>
      <c r="C24" s="131">
        <f t="shared" si="7"/>
        <v>0</v>
      </c>
      <c r="D24" s="132" t="str">
        <f>VLOOKUP(A24,'APONTAMENTO CREDENCIAMENTO'!$D$6:$P$3023,12,0)</f>
        <v>6020.2022/0034347-0</v>
      </c>
      <c r="E24" s="133"/>
      <c r="F24" s="134">
        <f>SUMIF('APONTAMENTO CREDENCIAMENTO'!$D$6:$D$3023,'ATESTE-LIQ'!A24,'APONTAMENTO CREDENCIAMENTO'!$FE$6:$FE$3023)</f>
        <v>22798.992000000002</v>
      </c>
      <c r="G24" s="328" t="str">
        <f>VLOOKUP(A24,'APONTAMENTO CREDENCIAMENTO'!$D$6:$G$3023,3,0)</f>
        <v>01/04/2026</v>
      </c>
      <c r="H24" s="328" t="str">
        <f>VLOOKUP(A24,'APONTAMENTO CREDENCIAMENTO'!$D$6:$G$3023,4,0)</f>
        <v>30/04/2026</v>
      </c>
      <c r="I24" s="135" t="str">
        <f t="shared" si="8"/>
        <v>PE - Pagto. Doc(s):  - Contrato nº 2022/0034347</v>
      </c>
      <c r="J24" s="136">
        <f t="shared" si="9"/>
        <v>22798.992000000002</v>
      </c>
      <c r="K24" s="136">
        <v>0</v>
      </c>
      <c r="L24" s="137" t="str">
        <f>VLOOKUP(A24,'APONTAMENTO CREDENCIAMENTO'!$D$6:$P$3023,5,0)</f>
        <v>IVALDICE BARBOSA VIEIRA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6020.2022/0034347-0</v>
      </c>
      <c r="U24" s="144">
        <f t="shared" si="11"/>
        <v>22798.992000000002</v>
      </c>
      <c r="V24" s="145">
        <f t="shared" si="12"/>
        <v>22798.992000000002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2022/0034347 - DRE - IQ</v>
      </c>
      <c r="AB24" s="238" t="str">
        <f t="shared" si="13"/>
        <v>IVALDICE BARBOSA VIEIRA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3199</v>
      </c>
      <c r="B25" s="130"/>
      <c r="C25" s="131">
        <f t="shared" si="7"/>
        <v>0</v>
      </c>
      <c r="D25" s="132" t="str">
        <f>VLOOKUP(A25,'APONTAMENTO CREDENCIAMENTO'!$D$6:$P$3023,12,0)</f>
        <v>6020.2022/0034363-1</v>
      </c>
      <c r="E25" s="133"/>
      <c r="F25" s="134">
        <f>SUMIF('APONTAMENTO CREDENCIAMENTO'!$D$6:$D$3023,'ATESTE-LIQ'!A25,'APONTAMENTO CREDENCIAMENTO'!$FE$6:$FE$3023)</f>
        <v>23348.102000000003</v>
      </c>
      <c r="G25" s="328" t="str">
        <f>VLOOKUP(A25,'APONTAMENTO CREDENCIAMENTO'!$D$6:$G$3023,3,0)</f>
        <v>01/04/2026</v>
      </c>
      <c r="H25" s="328" t="str">
        <f>VLOOKUP(A25,'APONTAMENTO CREDENCIAMENTO'!$D$6:$G$3023,4,0)</f>
        <v>30/04/2026</v>
      </c>
      <c r="I25" s="135" t="str">
        <f t="shared" si="8"/>
        <v>PE - Pagto. Doc(s):  - Contrato nº 2022/0034363</v>
      </c>
      <c r="J25" s="136">
        <f t="shared" si="9"/>
        <v>23348.102000000003</v>
      </c>
      <c r="K25" s="136">
        <v>0</v>
      </c>
      <c r="L25" s="137" t="str">
        <f>VLOOKUP(A25,'APONTAMENTO CREDENCIAMENTO'!$D$6:$P$3023,5,0)</f>
        <v>ALDEMICIO AUDALIO DOS SANTOS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6020.2022/0034363-1</v>
      </c>
      <c r="U25" s="144">
        <f t="shared" si="11"/>
        <v>23348.102000000003</v>
      </c>
      <c r="V25" s="145">
        <f t="shared" si="12"/>
        <v>23348.102000000003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2022/0034363 - DRE - IQ</v>
      </c>
      <c r="AB25" s="238" t="str">
        <f t="shared" si="13"/>
        <v>ALDEMICIO AUDALIO DOS SANTOS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3303</v>
      </c>
      <c r="B26" s="130"/>
      <c r="C26" s="131">
        <f t="shared" si="7"/>
        <v>0</v>
      </c>
      <c r="D26" s="132" t="str">
        <f>VLOOKUP(A26,'APONTAMENTO CREDENCIAMENTO'!$D$6:$P$3023,12,0)</f>
        <v>6020.2022/0034443-3</v>
      </c>
      <c r="E26" s="133"/>
      <c r="F26" s="134">
        <f>SUMIF('APONTAMENTO CREDENCIAMENTO'!$D$6:$D$3023,'ATESTE-LIQ'!A26,'APONTAMENTO CREDENCIAMENTO'!$FE$6:$FE$3023)</f>
        <v>20166.883000000002</v>
      </c>
      <c r="G26" s="328" t="str">
        <f>VLOOKUP(A26,'APONTAMENTO CREDENCIAMENTO'!$D$6:$G$3023,3,0)</f>
        <v>01/04/2026</v>
      </c>
      <c r="H26" s="328" t="str">
        <f>VLOOKUP(A26,'APONTAMENTO CREDENCIAMENTO'!$D$6:$G$3023,4,0)</f>
        <v>30/04/2026</v>
      </c>
      <c r="I26" s="135" t="str">
        <f t="shared" si="8"/>
        <v>PE - Pagto. Doc(s):  - Contrato nº 2022/0034443</v>
      </c>
      <c r="J26" s="136">
        <f t="shared" si="9"/>
        <v>20166.883000000002</v>
      </c>
      <c r="K26" s="136">
        <v>0</v>
      </c>
      <c r="L26" s="137" t="str">
        <f>VLOOKUP(A26,'APONTAMENTO CREDENCIAMENTO'!$D$6:$P$3023,5,0)</f>
        <v>PAULO SERGIO GOMES VIANA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6020.2022/0034443-3</v>
      </c>
      <c r="U26" s="144">
        <f t="shared" si="11"/>
        <v>20166.883000000002</v>
      </c>
      <c r="V26" s="145">
        <f t="shared" si="12"/>
        <v>20166.883000000002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2022/0034443 - DRE - IQ</v>
      </c>
      <c r="AB26" s="238" t="str">
        <f t="shared" si="13"/>
        <v>PAULO SERGIO GOMES VIANA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3275</v>
      </c>
      <c r="B27" s="130"/>
      <c r="C27" s="131">
        <f t="shared" si="7"/>
        <v>0</v>
      </c>
      <c r="D27" s="132" t="str">
        <f>VLOOKUP(A27,'APONTAMENTO CREDENCIAMENTO'!$D$6:$P$3023,12,0)</f>
        <v>6020.2022/0034446-8</v>
      </c>
      <c r="E27" s="133"/>
      <c r="F27" s="134">
        <f>SUMIF('APONTAMENTO CREDENCIAMENTO'!$D$6:$D$3023,'ATESTE-LIQ'!A27,'APONTAMENTO CREDENCIAMENTO'!$FE$6:$FE$3023)</f>
        <v>22798.992000000002</v>
      </c>
      <c r="G27" s="328" t="str">
        <f>VLOOKUP(A27,'APONTAMENTO CREDENCIAMENTO'!$D$6:$G$3023,3,0)</f>
        <v>01/04/2026</v>
      </c>
      <c r="H27" s="328" t="str">
        <f>VLOOKUP(A27,'APONTAMENTO CREDENCIAMENTO'!$D$6:$G$3023,4,0)</f>
        <v>30/04/2026</v>
      </c>
      <c r="I27" s="135" t="str">
        <f t="shared" si="8"/>
        <v>PE - Pagto. Doc(s):  - Contrato nº 2022/0034446</v>
      </c>
      <c r="J27" s="136">
        <f t="shared" si="9"/>
        <v>22798.992000000002</v>
      </c>
      <c r="K27" s="136">
        <v>0</v>
      </c>
      <c r="L27" s="137" t="str">
        <f>VLOOKUP(A27,'APONTAMENTO CREDENCIAMENTO'!$D$6:$P$3023,5,0)</f>
        <v>MARCEL JOSUE DA SILVA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6020.2022/0034446-8</v>
      </c>
      <c r="U27" s="144">
        <f t="shared" si="11"/>
        <v>22798.992000000002</v>
      </c>
      <c r="V27" s="145">
        <f t="shared" si="12"/>
        <v>22798.992000000002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2022/0034446 - DRE - IQ</v>
      </c>
      <c r="AB27" s="238" t="str">
        <f t="shared" si="13"/>
        <v>MARCEL JOSUE DA SILVA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3215</v>
      </c>
      <c r="B28" s="130"/>
      <c r="C28" s="131">
        <f t="shared" si="7"/>
        <v>0</v>
      </c>
      <c r="D28" s="132" t="str">
        <f>VLOOKUP(A28,'APONTAMENTO CREDENCIAMENTO'!$D$6:$P$3023,12,0)</f>
        <v>6020.2023/0024688-3</v>
      </c>
      <c r="E28" s="133"/>
      <c r="F28" s="134">
        <f>SUMIF('APONTAMENTO CREDENCIAMENTO'!$D$6:$D$3023,'ATESTE-LIQ'!A28,'APONTAMENTO CREDENCIAMENTO'!$FE$6:$FE$3023)</f>
        <v>19984.13</v>
      </c>
      <c r="G28" s="328" t="str">
        <f>VLOOKUP(A28,'APONTAMENTO CREDENCIAMENTO'!$D$6:$G$3023,3,0)</f>
        <v>01/04/2026</v>
      </c>
      <c r="H28" s="328" t="str">
        <f>VLOOKUP(A28,'APONTAMENTO CREDENCIAMENTO'!$D$6:$G$3023,4,0)</f>
        <v>30/04/2026</v>
      </c>
      <c r="I28" s="135" t="str">
        <f t="shared" si="8"/>
        <v>PE - Pagto. Doc(s):  - Contrato nº 2023/0024688</v>
      </c>
      <c r="J28" s="136">
        <f t="shared" si="9"/>
        <v>19984.13</v>
      </c>
      <c r="K28" s="136">
        <v>0</v>
      </c>
      <c r="L28" s="137" t="str">
        <f>VLOOKUP(A28,'APONTAMENTO CREDENCIAMENTO'!$D$6:$P$3023,5,0)</f>
        <v>ED CARLOS DOS SANTOS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6020.2023/0024688-3</v>
      </c>
      <c r="U28" s="144">
        <f t="shared" si="11"/>
        <v>19984.13</v>
      </c>
      <c r="V28" s="145">
        <f t="shared" si="12"/>
        <v>19984.13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2023/0024688 - DRE - IQ</v>
      </c>
      <c r="AB28" s="238" t="str">
        <f t="shared" si="13"/>
        <v>ED CARLOS DOS SANTOS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3247</v>
      </c>
      <c r="B29" s="130"/>
      <c r="C29" s="131">
        <f t="shared" si="7"/>
        <v>0</v>
      </c>
      <c r="D29" s="132" t="str">
        <f>VLOOKUP(A29,'APONTAMENTO CREDENCIAMENTO'!$D$6:$P$3023,12,0)</f>
        <v>6020.2023/0026026-6</v>
      </c>
      <c r="E29" s="133"/>
      <c r="F29" s="134">
        <f>SUMIF('APONTAMENTO CREDENCIAMENTO'!$D$6:$D$3023,'ATESTE-LIQ'!A29,'APONTAMENTO CREDENCIAMENTO'!$FE$6:$FE$3023)</f>
        <v>11366.216</v>
      </c>
      <c r="G29" s="328" t="str">
        <f>VLOOKUP(A29,'APONTAMENTO CREDENCIAMENTO'!$D$6:$G$3023,3,0)</f>
        <v>01/04/2026</v>
      </c>
      <c r="H29" s="328" t="str">
        <f>VLOOKUP(A29,'APONTAMENTO CREDENCIAMENTO'!$D$6:$G$3023,4,0)</f>
        <v>30/04/2026</v>
      </c>
      <c r="I29" s="135" t="str">
        <f t="shared" si="8"/>
        <v>PE - Pagto. Doc(s):  - Contrato nº 2023/0026026</v>
      </c>
      <c r="J29" s="136">
        <f t="shared" si="9"/>
        <v>11366.216</v>
      </c>
      <c r="K29" s="136">
        <v>0</v>
      </c>
      <c r="L29" s="137" t="str">
        <f>VLOOKUP(A29,'APONTAMENTO CREDENCIAMENTO'!$D$6:$P$3023,5,0)</f>
        <v>GILBERTO LEITE MEDEIROS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6020.2023/0026026-6</v>
      </c>
      <c r="U29" s="144">
        <f t="shared" si="11"/>
        <v>11366.216</v>
      </c>
      <c r="V29" s="145">
        <f t="shared" si="12"/>
        <v>11366.216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2023/0026026 - DRE - IQ</v>
      </c>
      <c r="AB29" s="238" t="str">
        <f t="shared" si="13"/>
        <v>GILBERTO LEITE MEDEIROS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3283</v>
      </c>
      <c r="B30" s="130"/>
      <c r="C30" s="131">
        <f t="shared" si="7"/>
        <v>0</v>
      </c>
      <c r="D30" s="132" t="str">
        <f>VLOOKUP(A30,'APONTAMENTO CREDENCIAMENTO'!$D$6:$P$3023,12,0)</f>
        <v>6020.2023/0027036-9</v>
      </c>
      <c r="E30" s="133"/>
      <c r="F30" s="134">
        <f>SUMIF('APONTAMENTO CREDENCIAMENTO'!$D$6:$D$3023,'ATESTE-LIQ'!A30,'APONTAMENTO CREDENCIAMENTO'!$FE$6:$FE$3023)</f>
        <v>19401.920000000002</v>
      </c>
      <c r="G30" s="328" t="str">
        <f>VLOOKUP(A30,'APONTAMENTO CREDENCIAMENTO'!$D$6:$G$3023,3,0)</f>
        <v>01/04/2026</v>
      </c>
      <c r="H30" s="328" t="str">
        <f>VLOOKUP(A30,'APONTAMENTO CREDENCIAMENTO'!$D$6:$G$3023,4,0)</f>
        <v>30/04/2026</v>
      </c>
      <c r="I30" s="135" t="str">
        <f t="shared" si="8"/>
        <v>PE - Pagto. Doc(s):  - Contrato nº 2023/0027036</v>
      </c>
      <c r="J30" s="136">
        <f t="shared" si="9"/>
        <v>19401.920000000002</v>
      </c>
      <c r="K30" s="136">
        <v>0</v>
      </c>
      <c r="L30" s="137" t="str">
        <f>VLOOKUP(A30,'APONTAMENTO CREDENCIAMENTO'!$D$6:$P$3023,5,0)</f>
        <v>MARCIO ROBERTO DE SANTANA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6020.2023/0027036-9</v>
      </c>
      <c r="U30" s="144">
        <f t="shared" si="11"/>
        <v>19401.920000000002</v>
      </c>
      <c r="V30" s="145">
        <f t="shared" si="12"/>
        <v>19401.920000000002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2023/0027036 - DRE - IQ</v>
      </c>
      <c r="AB30" s="238" t="str">
        <f t="shared" si="13"/>
        <v>MARCIO ROBERTO DE SANTANA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3307</v>
      </c>
      <c r="B31" s="130"/>
      <c r="C31" s="131">
        <f t="shared" si="7"/>
        <v>0</v>
      </c>
      <c r="D31" s="132" t="str">
        <f>VLOOKUP(A31,'APONTAMENTO CREDENCIAMENTO'!$D$6:$P$3023,12,0)</f>
        <v>6020.2023/0029856-5</v>
      </c>
      <c r="E31" s="133"/>
      <c r="F31" s="134">
        <f>SUMIF('APONTAMENTO CREDENCIAMENTO'!$D$6:$D$3023,'ATESTE-LIQ'!A31,'APONTAMENTO CREDENCIAMENTO'!$FE$6:$FE$3023)</f>
        <v>22901.72</v>
      </c>
      <c r="G31" s="328" t="str">
        <f>VLOOKUP(A31,'APONTAMENTO CREDENCIAMENTO'!$D$6:$G$3023,3,0)</f>
        <v>01/04/2026</v>
      </c>
      <c r="H31" s="328" t="str">
        <f>VLOOKUP(A31,'APONTAMENTO CREDENCIAMENTO'!$D$6:$G$3023,4,0)</f>
        <v>30/04/2026</v>
      </c>
      <c r="I31" s="135" t="str">
        <f t="shared" si="8"/>
        <v>PE - Pagto. Doc(s):  - Contrato nº 2023/0029856</v>
      </c>
      <c r="J31" s="136">
        <f t="shared" si="9"/>
        <v>22901.72</v>
      </c>
      <c r="K31" s="136">
        <v>0</v>
      </c>
      <c r="L31" s="137" t="str">
        <f>VLOOKUP(A31,'APONTAMENTO CREDENCIAMENTO'!$D$6:$P$3023,5,0)</f>
        <v>RAIMUNDO DE SOUZA PAULA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6020.2023/0029856-5</v>
      </c>
      <c r="U31" s="144">
        <f t="shared" si="11"/>
        <v>22901.72</v>
      </c>
      <c r="V31" s="145">
        <f t="shared" si="12"/>
        <v>22901.72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2023/0029856 - DRE - IQ</v>
      </c>
      <c r="AB31" s="238" t="str">
        <f t="shared" si="13"/>
        <v>RAIMUNDO DE SOUZA PAULA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3311</v>
      </c>
      <c r="B32" s="130"/>
      <c r="C32" s="131">
        <f t="shared" si="7"/>
        <v>0</v>
      </c>
      <c r="D32" s="132" t="str">
        <f>VLOOKUP(A32,'APONTAMENTO CREDENCIAMENTO'!$D$6:$P$3023,12,0)</f>
        <v>6020.2023/0029926-0</v>
      </c>
      <c r="E32" s="133"/>
      <c r="F32" s="134">
        <f>SUMIF('APONTAMENTO CREDENCIAMENTO'!$D$6:$D$3023,'ATESTE-LIQ'!A32,'APONTAMENTO CREDENCIAMENTO'!$FE$6:$FE$3023)</f>
        <v>23286.95</v>
      </c>
      <c r="G32" s="328" t="str">
        <f>VLOOKUP(A32,'APONTAMENTO CREDENCIAMENTO'!$D$6:$G$3023,3,0)</f>
        <v>01/04/2026</v>
      </c>
      <c r="H32" s="328" t="str">
        <f>VLOOKUP(A32,'APONTAMENTO CREDENCIAMENTO'!$D$6:$G$3023,4,0)</f>
        <v>30/04/2026</v>
      </c>
      <c r="I32" s="135" t="str">
        <f t="shared" si="8"/>
        <v>PE - Pagto. Doc(s):  - Contrato nº 2023/0029926</v>
      </c>
      <c r="J32" s="136">
        <f t="shared" si="9"/>
        <v>23286.95</v>
      </c>
      <c r="K32" s="136">
        <v>0</v>
      </c>
      <c r="L32" s="137" t="str">
        <f>VLOOKUP(A32,'APONTAMENTO CREDENCIAMENTO'!$D$6:$P$3023,5,0)</f>
        <v>ROGERIO VICENTINI JOAO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6020.2023/0029926-0</v>
      </c>
      <c r="U32" s="144">
        <f t="shared" si="11"/>
        <v>23286.95</v>
      </c>
      <c r="V32" s="145">
        <f t="shared" si="12"/>
        <v>23286.95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2023/0029926 - DRE - IQ</v>
      </c>
      <c r="AB32" s="238" t="str">
        <f t="shared" si="13"/>
        <v>ROGERIO VICENTINI JOAO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3203</v>
      </c>
      <c r="B33" s="130"/>
      <c r="C33" s="131">
        <f t="shared" si="7"/>
        <v>0</v>
      </c>
      <c r="D33" s="132" t="str">
        <f>VLOOKUP(A33,'APONTAMENTO CREDENCIAMENTO'!$D$6:$P$3023,12,0)</f>
        <v>6020.2023/0033411-1</v>
      </c>
      <c r="E33" s="133"/>
      <c r="F33" s="134">
        <f>SUMIF('APONTAMENTO CREDENCIAMENTO'!$D$6:$D$3023,'ATESTE-LIQ'!A33,'APONTAMENTO CREDENCIAMENTO'!$FE$6:$FE$3023)</f>
        <v>19819.88</v>
      </c>
      <c r="G33" s="328" t="str">
        <f>VLOOKUP(A33,'APONTAMENTO CREDENCIAMENTO'!$D$6:$G$3023,3,0)</f>
        <v>01/04/2026</v>
      </c>
      <c r="H33" s="328" t="str">
        <f>VLOOKUP(A33,'APONTAMENTO CREDENCIAMENTO'!$D$6:$G$3023,4,0)</f>
        <v>30/04/2026</v>
      </c>
      <c r="I33" s="135" t="str">
        <f t="shared" si="8"/>
        <v>PE - Pagto. Doc(s):  - Contrato nº 2023/0033411</v>
      </c>
      <c r="J33" s="136">
        <f t="shared" si="9"/>
        <v>19819.88</v>
      </c>
      <c r="K33" s="136">
        <v>0</v>
      </c>
      <c r="L33" s="137" t="str">
        <f>VLOOKUP(A33,'APONTAMENTO CREDENCIAMENTO'!$D$6:$P$3023,5,0)</f>
        <v>ANTONIO JOSE DE OLIVEIRA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6020.2023/0033411-1</v>
      </c>
      <c r="U33" s="144">
        <f t="shared" si="11"/>
        <v>19819.88</v>
      </c>
      <c r="V33" s="145">
        <f t="shared" si="12"/>
        <v>19819.88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2023/0033411 - DRE - IQ</v>
      </c>
      <c r="AB33" s="238" t="str">
        <f t="shared" si="13"/>
        <v>ANTONIO JOSE DE OLIVEIRA</v>
      </c>
      <c r="AC33" s="239"/>
      <c r="AD33" s="240"/>
      <c r="AE33" s="242"/>
      <c r="AF33" s="102"/>
    </row>
    <row r="35" spans="1:32" ht="20.25" customHeight="1" x14ac:dyDescent="0.2">
      <c r="A35" s="237"/>
      <c r="F35" s="60">
        <f>SUM(F2:F34)</f>
        <v>573083.45533333346</v>
      </c>
      <c r="J35" s="60">
        <f>SUM(J2:J34)</f>
        <v>573083.45533333346</v>
      </c>
    </row>
    <row r="36" spans="1:32" ht="20.25" customHeight="1" x14ac:dyDescent="0.2">
      <c r="A36" s="237"/>
    </row>
    <row r="37" spans="1:32" ht="20.25" customHeight="1" x14ac:dyDescent="0.2">
      <c r="A37" s="237"/>
    </row>
    <row r="38" spans="1:32" ht="20.25" customHeight="1" x14ac:dyDescent="0.2">
      <c r="A38" s="237"/>
    </row>
    <row r="39" spans="1:32" ht="20.25" customHeight="1" x14ac:dyDescent="0.2">
      <c r="A39" s="237"/>
    </row>
    <row r="40" spans="1:32" ht="20.25" customHeight="1" x14ac:dyDescent="0.2">
      <c r="A40" s="237"/>
    </row>
    <row r="41" spans="1:32" ht="20.25" customHeight="1" x14ac:dyDescent="0.2">
      <c r="A41" s="237"/>
    </row>
    <row r="42" spans="1:32" ht="20.25" customHeight="1" x14ac:dyDescent="0.2">
      <c r="A42" s="237"/>
    </row>
    <row r="43" spans="1:32" ht="20.25" customHeight="1" x14ac:dyDescent="0.2">
      <c r="A43" s="237"/>
    </row>
    <row r="44" spans="1:32" ht="20.25" customHeight="1" x14ac:dyDescent="0.2">
      <c r="A44" s="237"/>
    </row>
    <row r="45" spans="1:32" ht="20.25" customHeight="1" x14ac:dyDescent="0.2">
      <c r="A45" s="237"/>
    </row>
    <row r="46" spans="1:32" ht="20.25" customHeight="1" x14ac:dyDescent="0.2">
      <c r="A46" s="237"/>
    </row>
    <row r="47" spans="1:32" ht="20.25" customHeight="1" x14ac:dyDescent="0.2">
      <c r="A47" s="237"/>
    </row>
    <row r="48" spans="1:32" ht="20.25" customHeight="1" x14ac:dyDescent="0.2">
      <c r="A48" s="237"/>
    </row>
    <row r="49" spans="1:1" ht="20.25" customHeight="1" x14ac:dyDescent="0.2">
      <c r="A49" s="237"/>
    </row>
    <row r="50" spans="1:1" ht="20.25" customHeight="1" x14ac:dyDescent="0.2">
      <c r="A50" s="237"/>
    </row>
    <row r="51" spans="1:1" ht="20.25" customHeight="1" x14ac:dyDescent="0.2">
      <c r="A51" s="237"/>
    </row>
    <row r="52" spans="1:1" ht="20.25" customHeight="1" x14ac:dyDescent="0.2">
      <c r="A52" s="237"/>
    </row>
    <row r="53" spans="1:1" ht="20.25" customHeight="1" x14ac:dyDescent="0.2">
      <c r="A53" s="237"/>
    </row>
    <row r="54" spans="1:1" ht="20.25" customHeight="1" x14ac:dyDescent="0.2">
      <c r="A54" s="237"/>
    </row>
  </sheetData>
  <sheetProtection formatCells="0" formatColumns="0" formatRows="0" selectLockedCells="1"/>
  <sortState xmlns:xlrd2="http://schemas.microsoft.com/office/spreadsheetml/2017/richdata2" ref="B34:B66">
    <sortCondition ref="B34:B66"/>
  </sortState>
  <conditionalFormatting sqref="C1 E1:AE1">
    <cfRule type="duplicateValues" dxfId="16" priority="48"/>
  </conditionalFormatting>
  <conditionalFormatting sqref="D2:D33">
    <cfRule type="expression" dxfId="15" priority="143" stopIfTrue="1">
      <formula>AND(COUNTIF($D:$D,D2)&gt;1,NOT(ISBLANK(D2)))</formula>
    </cfRule>
  </conditionalFormatting>
  <conditionalFormatting sqref="S2:S33">
    <cfRule type="expression" dxfId="14" priority="2499" stopIfTrue="1">
      <formula>AND(COUNTIF($S$2:$S$2,S2)&gt;1,NOT(ISBLANK(S2)))</formula>
    </cfRule>
  </conditionalFormatting>
  <conditionalFormatting sqref="S35:S1048576 S2:S33">
    <cfRule type="duplicateValues" dxfId="13" priority="2503"/>
  </conditionalFormatting>
  <conditionalFormatting sqref="A1:A33">
    <cfRule type="duplicateValues" dxfId="12" priority="164066"/>
  </conditionalFormatting>
  <conditionalFormatting sqref="B2:B33">
    <cfRule type="duplicateValues" dxfId="11" priority="164067"/>
    <cfRule type="duplicateValues" dxfId="10" priority="164068"/>
    <cfRule type="duplicateValues" dxfId="9" priority="164069"/>
    <cfRule type="duplicateValues" dxfId="8" priority="164070"/>
    <cfRule type="duplicateValues" dxfId="7" priority="164071"/>
  </conditionalFormatting>
  <conditionalFormatting sqref="C2:C33">
    <cfRule type="duplicateValues" dxfId="6" priority="164072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3100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3101</v>
      </c>
      <c r="D5" s="860"/>
      <c r="E5" s="860"/>
      <c r="F5" s="860"/>
      <c r="G5" s="542"/>
    </row>
    <row r="6" spans="2:8" x14ac:dyDescent="0.25">
      <c r="B6" s="541"/>
      <c r="C6" s="861" t="s">
        <v>3102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3103</v>
      </c>
      <c r="D8" s="862"/>
      <c r="E8" s="544"/>
      <c r="G8" s="542"/>
      <c r="H8" s="536" t="str">
        <f>'BASE C'!B3</f>
        <v>2023/0033411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3104</v>
      </c>
      <c r="D10" s="864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11891.928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11891.928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3108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3109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3111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436.03736000000009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3118</v>
      </c>
      <c r="D31" s="869"/>
      <c r="E31" s="870" t="s">
        <v>3119</v>
      </c>
      <c r="F31" s="870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2241.63</v>
      </c>
      <c r="E32" s="572" t="s">
        <v>3120</v>
      </c>
      <c r="F32" s="573">
        <f>'IR Desc. Simplificado-Maio.2025'!F30</f>
        <v>2194.5700000000002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2241.63</v>
      </c>
      <c r="E33" s="572" t="s">
        <v>3121</v>
      </c>
      <c r="F33" s="573">
        <f>F32-D18</f>
        <v>2194.5700000000002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3122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2194.5700000000002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2194.5700000000002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3124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3125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3126</v>
      </c>
      <c r="D44" s="856"/>
      <c r="E44" s="857" t="s">
        <v>3127</v>
      </c>
      <c r="F44" s="85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57" t="s">
        <v>3130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3131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3132</v>
      </c>
      <c r="F47" s="858"/>
      <c r="G47" s="597"/>
      <c r="H47" s="544"/>
    </row>
    <row r="48" spans="2:8" x14ac:dyDescent="0.25">
      <c r="B48" s="541"/>
      <c r="C48" s="849" t="s">
        <v>3133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3134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3144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3145</v>
      </c>
      <c r="C2" s="887"/>
      <c r="D2" s="887"/>
      <c r="E2" s="887"/>
      <c r="F2" s="887"/>
    </row>
    <row r="3" spans="2:9" x14ac:dyDescent="0.25">
      <c r="B3" s="888">
        <f>'Cálculo IRRF -Jan.2026'!D13</f>
        <v>11891.928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3146</v>
      </c>
      <c r="C10" s="881"/>
      <c r="D10" s="881"/>
      <c r="E10" s="881"/>
      <c r="F10" s="618">
        <f>'Cálculo IRRF -Jan.2026'!D23</f>
        <v>436.03736000000009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3147</v>
      </c>
      <c r="C13" s="887"/>
      <c r="D13" s="887"/>
      <c r="E13" s="887"/>
      <c r="F13" s="887"/>
      <c r="I13" s="620"/>
    </row>
    <row r="14" spans="2:9" x14ac:dyDescent="0.25">
      <c r="B14" s="875" t="s">
        <v>3148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3149</v>
      </c>
      <c r="C15" s="875"/>
      <c r="D15" s="875"/>
      <c r="E15" s="878">
        <v>189.59</v>
      </c>
      <c r="F15" s="878"/>
      <c r="H15" s="621" t="s">
        <v>3150</v>
      </c>
      <c r="I15" s="616">
        <f>F10+I17+I18+(E14*E15)</f>
        <v>436.03736000000009</v>
      </c>
    </row>
    <row r="16" spans="2:9" x14ac:dyDescent="0.25">
      <c r="B16" s="875" t="s">
        <v>3151</v>
      </c>
      <c r="C16" s="875"/>
      <c r="D16" s="875"/>
      <c r="E16" s="879">
        <f>B3-I17-I18-F10-(E14*E15)</f>
        <v>11455.89064</v>
      </c>
      <c r="F16" s="880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2241.63</v>
      </c>
      <c r="I23" s="578"/>
    </row>
    <row r="24" spans="2:9" ht="16.5" thickTop="1" thickBot="1" x14ac:dyDescent="0.3">
      <c r="B24" s="881" t="s">
        <v>3159</v>
      </c>
      <c r="C24" s="881"/>
      <c r="D24" s="881"/>
      <c r="E24" s="882"/>
      <c r="F24" s="628">
        <f>SUM(F19:F23)</f>
        <v>2241.63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3160</v>
      </c>
      <c r="C26" s="883"/>
      <c r="D26" s="883"/>
      <c r="E26" s="883"/>
      <c r="F26" s="629">
        <f>IF(B3&lt;=C50,0,F24)</f>
        <v>2241.63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3161</v>
      </c>
      <c r="C28" s="885"/>
      <c r="D28" s="885"/>
      <c r="E28" s="885"/>
      <c r="F28" s="631">
        <f>IF(AND($B$3&gt;C50,$B$3&lt;=C51),F24-E39,IF($B$3&lt;=C50,F26,F24))</f>
        <v>2241.63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3162</v>
      </c>
      <c r="C30" s="886"/>
      <c r="D30" s="886"/>
      <c r="E30" s="886"/>
      <c r="F30" s="632">
        <f>MIN(F24,F26,F28)</f>
        <v>2241.63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3163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2241.63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2241.63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3145</v>
      </c>
      <c r="C2" s="887"/>
      <c r="D2" s="887"/>
      <c r="E2" s="887"/>
      <c r="F2" s="887"/>
    </row>
    <row r="3" spans="2:10" x14ac:dyDescent="0.25">
      <c r="B3" s="888">
        <f>'Cálculo IRRF -Jan.2026'!D13</f>
        <v>11891.928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3146</v>
      </c>
      <c r="C10" s="881"/>
      <c r="D10" s="881"/>
      <c r="E10" s="881"/>
      <c r="F10" s="618">
        <f>'Cálculo IRRF -Jan.2026'!D23</f>
        <v>436.03736000000009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3174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3175</v>
      </c>
      <c r="C14" s="875"/>
      <c r="D14" s="875"/>
      <c r="E14" s="890">
        <f>B3</f>
        <v>11891.928</v>
      </c>
      <c r="F14" s="891"/>
      <c r="I14" s="620"/>
    </row>
    <row r="15" spans="2:10" x14ac:dyDescent="0.25">
      <c r="B15" s="875" t="s">
        <v>3176</v>
      </c>
      <c r="C15" s="875"/>
      <c r="D15" s="875"/>
      <c r="E15" s="892">
        <v>607.20000000000005</v>
      </c>
      <c r="F15" s="892"/>
    </row>
    <row r="16" spans="2:10" x14ac:dyDescent="0.25">
      <c r="B16" s="875" t="s">
        <v>3151</v>
      </c>
      <c r="C16" s="875"/>
      <c r="D16" s="875"/>
      <c r="E16" s="893">
        <f>'Cálculo IRRF -Jan.2026'!D13-'Cálculo IRRF -Jan.2026'!D29</f>
        <v>11284.727999999999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2194.5700000000002</v>
      </c>
    </row>
    <row r="24" spans="2:6" x14ac:dyDescent="0.25">
      <c r="B24" s="881" t="s">
        <v>3159</v>
      </c>
      <c r="C24" s="881"/>
      <c r="D24" s="881"/>
      <c r="E24" s="881"/>
      <c r="F24" s="652">
        <f>SUM(F19:F23)</f>
        <v>2194.5700000000002</v>
      </c>
    </row>
    <row r="25" spans="2:6" ht="15.75" thickBot="1" x14ac:dyDescent="0.3"/>
    <row r="26" spans="2:6" ht="16.5" thickTop="1" thickBot="1" x14ac:dyDescent="0.3">
      <c r="B26" s="883" t="s">
        <v>3160</v>
      </c>
      <c r="C26" s="883"/>
      <c r="D26" s="883"/>
      <c r="E26" s="883"/>
      <c r="F26" s="629">
        <f>IF($B$3&lt;=$C$50,0,$F$24)</f>
        <v>2194.5700000000002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3161</v>
      </c>
      <c r="C28" s="885"/>
      <c r="D28" s="885"/>
      <c r="E28" s="885"/>
      <c r="F28" s="653">
        <f>IF(AND($B$3&gt;C50,$B$3&lt;=C51),F24-E39,IF($B$3&lt;=C50,F26,F24))</f>
        <v>2194.5700000000002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3162</v>
      </c>
      <c r="C30" s="886"/>
      <c r="D30" s="886"/>
      <c r="E30" s="886"/>
      <c r="F30" s="632">
        <f>MIN(F24,F26,F28)</f>
        <v>2194.5700000000002</v>
      </c>
    </row>
    <row r="32" spans="2:6" ht="29.1" customHeight="1" x14ac:dyDescent="0.25">
      <c r="B32" s="874" t="s">
        <v>3163</v>
      </c>
      <c r="C32" s="874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11891.928</v>
      </c>
      <c r="D39" s="622">
        <v>0.13314500000000001</v>
      </c>
      <c r="E39" s="655">
        <f>TRUNC($B$39-($C$39*$D$39),2)</f>
        <v>-604.73</v>
      </c>
    </row>
    <row r="42" spans="2:6" ht="30" x14ac:dyDescent="0.25">
      <c r="B42" s="641" t="s">
        <v>3170</v>
      </c>
      <c r="C42" s="642">
        <f>$F$24</f>
        <v>2194.5700000000002</v>
      </c>
    </row>
    <row r="43" spans="2:6" ht="30" x14ac:dyDescent="0.25">
      <c r="B43" s="641" t="s">
        <v>3171</v>
      </c>
      <c r="C43" s="643">
        <f>$E$39</f>
        <v>-604.73</v>
      </c>
    </row>
    <row r="44" spans="2:6" ht="60" x14ac:dyDescent="0.25">
      <c r="B44" s="644" t="s">
        <v>3172</v>
      </c>
      <c r="C44" s="645">
        <f>$C$42-$C$43</f>
        <v>2799.3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2026-05-13T12:16:46Z</cp:lastPrinted>
  <dcterms:created xsi:type="dcterms:W3CDTF">2019-02-08T16:49:11Z</dcterms:created>
  <dcterms:modified xsi:type="dcterms:W3CDTF">2026-05-13T12:16:55Z</dcterms:modified>
</cp:coreProperties>
</file>