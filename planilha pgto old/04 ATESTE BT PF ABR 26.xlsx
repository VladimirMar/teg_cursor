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m123690\Desktop\MACROS\Processa Producao\2026-04 Pgto\"/>
    </mc:Choice>
  </mc:AlternateContent>
  <xr:revisionPtr revIDLastSave="0" documentId="8_{97DCFD2C-A050-4EFC-A3B0-B8660EAE1A39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APONTAMENTO CREDENCIAMENTO" sheetId="64" r:id="rId1"/>
    <sheet name="APELIDOS" sheetId="88" state="hidden" r:id="rId2"/>
    <sheet name="CONTINUA" sheetId="59" r:id="rId3"/>
    <sheet name="BASE C" sheetId="6" r:id="rId4"/>
    <sheet name="DEMO C" sheetId="68" r:id="rId5"/>
    <sheet name="ATESTE-LIQ-FIS" sheetId="87" r:id="rId6"/>
    <sheet name="DEMO FIS" sheetId="86" r:id="rId7"/>
    <sheet name="EMPRESA C" sheetId="66" r:id="rId8"/>
    <sheet name="ATESTADO C" sheetId="67" r:id="rId9"/>
    <sheet name="Planilha1" sheetId="83" r:id="rId10"/>
    <sheet name="ProcRel" sheetId="79" state="hidden" r:id="rId11"/>
    <sheet name="ProcRel1" sheetId="81" state="hidden" r:id="rId12"/>
    <sheet name="ATESTE-LIQ" sheetId="13" state="hidden" r:id="rId13"/>
    <sheet name="VALORES TABELA" sheetId="74" r:id="rId14"/>
    <sheet name="REVISAO" sheetId="80" r:id="rId15"/>
    <sheet name="Plan1" sheetId="82" r:id="rId16"/>
    <sheet name="Cálculo IRRF -Jan.2026" sheetId="89" r:id="rId17"/>
    <sheet name="IR Deduções Legais-Maio.2025" sheetId="90" r:id="rId18"/>
    <sheet name="IR Desc. Simplificado-Maio.2025" sheetId="91" r:id="rId19"/>
  </sheets>
  <externalReferences>
    <externalReference r:id="rId20"/>
  </externalReferences>
  <definedNames>
    <definedName name="\a" localSheetId="5">#REF!</definedName>
    <definedName name="\a">#REF!</definedName>
    <definedName name="\p" localSheetId="5">#REF!</definedName>
    <definedName name="\p">#REF!</definedName>
    <definedName name="_______xlnm.Print_Titles">#REF!</definedName>
    <definedName name="_______xlnm_Print_Titles">NA()</definedName>
    <definedName name="______xlnm._FilterDatabase">"#ref!"</definedName>
    <definedName name="______xlnm.Print_Titles">#REF!</definedName>
    <definedName name="______xlnm__FilterDatabase">"#ref!"</definedName>
    <definedName name="______xlnm_Print_Titles">NA()</definedName>
    <definedName name="_____xlfn_BAHTTEXT">NA()</definedName>
    <definedName name="_____xlfn_SUMIFS">NA()</definedName>
    <definedName name="_____xlnm._FilterDatabase">"#ref!"</definedName>
    <definedName name="_____xlnm.Print_Titles">#REF!</definedName>
    <definedName name="_____xlnm__FilterDatabase">"#ref!"</definedName>
    <definedName name="_____xlnm_Print_Titles">NA()</definedName>
    <definedName name="____xlfn_BAHTTEXT">NA()</definedName>
    <definedName name="____xlfn_SUMIFS">NA()</definedName>
    <definedName name="____xlnm._FilterDatabase">"#ref!"</definedName>
    <definedName name="____xlnm.Print_Titles">#REF!</definedName>
    <definedName name="____xlnm__FilterDatabase">"#ref!"</definedName>
    <definedName name="____xlnm_Print_Titles">NA()</definedName>
    <definedName name="___xlfn_BAHTTEXT">NA()</definedName>
    <definedName name="___xlfn_SUMIFS">NA()</definedName>
    <definedName name="___xlnm._FilterDatabase">"#ref!"</definedName>
    <definedName name="___xlnm.Print_Titles">#REF!</definedName>
    <definedName name="___xlnm__FilterDatabase">"#ref!"</definedName>
    <definedName name="___xlnm_Print_Titles">NA()</definedName>
    <definedName name="__TAB3688">#REF!</definedName>
    <definedName name="__xlfn_BAHTTEXT">NA()</definedName>
    <definedName name="__xlfn_SUMIFS">NA()</definedName>
    <definedName name="__xlnm._FilterDatabase">"#ref!"</definedName>
    <definedName name="__xlnm.Print_Titles">#REF!</definedName>
    <definedName name="__xlnm__FilterDatabase">"#ref!"</definedName>
    <definedName name="__xlnm_Print_Titles">NA()</definedName>
    <definedName name="_xlnm._FilterDatabase" localSheetId="1" hidden="1">APELIDOS!$A$1:$B$3867</definedName>
    <definedName name="_xlnm._FilterDatabase" localSheetId="0" hidden="1">'APONTAMENTO CREDENCIAMENTO'!$A$5:$IC$112</definedName>
    <definedName name="_xlnm._FilterDatabase" localSheetId="8" hidden="1">'ATESTADO C'!$A$17:$Z$17</definedName>
    <definedName name="_xlnm._FilterDatabase" localSheetId="12" hidden="1">'ATESTE-LIQ'!$A$1:$AT$24</definedName>
    <definedName name="_xlnm._FilterDatabase" localSheetId="2" hidden="1">CONTINUA!$A$5:$BW$10</definedName>
    <definedName name="_xlnm._FilterDatabase" localSheetId="7" hidden="1">'EMPRESA C'!$A$12:$AC$16</definedName>
    <definedName name="_xlnm._FilterDatabase" localSheetId="10" hidden="1">ProcRel!$D$1:$E$174</definedName>
    <definedName name="_xlnm._FilterDatabase" localSheetId="11" hidden="1">ProcRel1!$E$1:$G$223</definedName>
    <definedName name="_xlnm._FilterDatabase">#REF!</definedName>
    <definedName name="_TAB3688" localSheetId="5">#REF!</definedName>
    <definedName name="_TAB3688">#REF!</definedName>
    <definedName name="a">#REF!</definedName>
    <definedName name="abr" localSheetId="5">#REF!</definedName>
    <definedName name="abr">#REF!</definedName>
    <definedName name="abril">#REF!</definedName>
    <definedName name="ACRESCENTAR">#REF!</definedName>
    <definedName name="ADAPTADO" localSheetId="5">'[1]APONTAMENTO CREDENCIAMENTO'!#REF!</definedName>
    <definedName name="ADAPTADO">'APONTAMENTO CREDENCIAMENTO'!$FF$7:$GJ$7</definedName>
    <definedName name="AGOSTO">#REF!</definedName>
    <definedName name="AI" localSheetId="5">#REF!</definedName>
    <definedName name="AI">#REF!</definedName>
    <definedName name="AII" localSheetId="5">#REF!</definedName>
    <definedName name="AII">#REF!</definedName>
    <definedName name="AK" localSheetId="5">#REF!</definedName>
    <definedName name="AK">#REF!</definedName>
    <definedName name="AL" localSheetId="5">#REF!</definedName>
    <definedName name="AL">#REF!</definedName>
    <definedName name="AMPLIAR" localSheetId="5">#REF!</definedName>
    <definedName name="AMPLIAR">#REF!</definedName>
    <definedName name="ApagaAtesteFis">'ATESTE-LIQ-FIS'!$A$4:$K$3898</definedName>
    <definedName name="ApagaBaseC">'BASE C'!$A$11:$N$4950</definedName>
    <definedName name="ApagaDadosA">'APONTAMENTO CREDENCIAMENTO'!$Q$6:$EL$2969</definedName>
    <definedName name="ApagaDadosC">CONTINUA!$L$6:$BU$2987</definedName>
    <definedName name="ApagarDadosDigitados">#REF!</definedName>
    <definedName name="ApagaRegistroA">'APONTAMENTO CREDENCIAMENTO'!$A$6:$K$2969</definedName>
    <definedName name="ApagaRegistroC">CONTINUA!$A$6:$K$2987</definedName>
    <definedName name="APONT">#REF!</definedName>
    <definedName name="_xlnm.Print_Area" localSheetId="0">'APONTAMENTO CREDENCIAMENTO'!$D$1:$J$4</definedName>
    <definedName name="_xlnm.Print_Area" localSheetId="8">'ATESTADO C'!$A$1:$M$25</definedName>
    <definedName name="_xlnm.Print_Area" localSheetId="5">'ATESTE-LIQ-FIS'!#REF!</definedName>
    <definedName name="_xlnm.Print_Area" localSheetId="16">'Cálculo IRRF -Jan.2026'!$B$1:$G$60</definedName>
    <definedName name="_xlnm.Print_Area" localSheetId="2">CONTINUA!$D$1:$J$4</definedName>
    <definedName name="_xlnm.Print_Area" localSheetId="4">'DEMO C'!$A$2:$I$60</definedName>
    <definedName name="_xlnm.Print_Area" localSheetId="6">'DEMO FIS'!$A$3:$I$63</definedName>
    <definedName name="ATESTE">#REF!</definedName>
    <definedName name="ATNF" localSheetId="5">#REF!</definedName>
    <definedName name="ATNF">#REF!</definedName>
    <definedName name="baseCalculo">'APONTAMENTO CREDENCIAMENTO'!$EP$6:$IB$10</definedName>
    <definedName name="BDADOS" localSheetId="5">#REF!</definedName>
    <definedName name="BDADOS">#REF!</definedName>
    <definedName name="bianca" localSheetId="5">#REF!</definedName>
    <definedName name="bianca">#REF!</definedName>
    <definedName name="BP">#REF!</definedName>
    <definedName name="Cadeirante" localSheetId="5">'[1]VALORES TABELA'!$B$4</definedName>
    <definedName name="Cadeirante">'VALORES TABELA'!$B$4</definedName>
    <definedName name="Cadeirantee" localSheetId="5">'[1]VALORES TABELA'!$B$9</definedName>
    <definedName name="Cadeirantee">'VALORES TABELA'!$B$9</definedName>
    <definedName name="CALC">#REF!</definedName>
    <definedName name="calc10" localSheetId="5">#REF!</definedName>
    <definedName name="calc10">#REF!</definedName>
    <definedName name="CALCDEZ" localSheetId="5">'ATESTE-LIQ-FIS'!#REF!</definedName>
    <definedName name="CALCDEZ">#REF!</definedName>
    <definedName name="CALCULO">#REF!</definedName>
    <definedName name="Cálculos">#REF!</definedName>
    <definedName name="CAPS" localSheetId="5">#REF!</definedName>
    <definedName name="CAPS">#REF!</definedName>
    <definedName name="capso" localSheetId="5">#REF!</definedName>
    <definedName name="capso">#REF!</definedName>
    <definedName name="carla">#REF!</definedName>
    <definedName name="CINT" localSheetId="5">#REF!</definedName>
    <definedName name="CINT">#REF!</definedName>
    <definedName name="CLIM" localSheetId="5">#REF!</definedName>
    <definedName name="CLIM">#REF!</definedName>
    <definedName name="clout" localSheetId="5">#REF!</definedName>
    <definedName name="clout">#REF!</definedName>
    <definedName name="CLSET" localSheetId="5">#REF!</definedName>
    <definedName name="CLSET">#REF!</definedName>
    <definedName name="CLSETE" localSheetId="5">#REF!</definedName>
    <definedName name="CLSETE">#REF!</definedName>
    <definedName name="cocertar2015">#REF!</definedName>
    <definedName name="cont2015">#REF!</definedName>
    <definedName name="CONTN2" localSheetId="5">#REF!</definedName>
    <definedName name="CONTN2">#REF!</definedName>
    <definedName name="contno" localSheetId="5">#REF!</definedName>
    <definedName name="contno">#REF!</definedName>
    <definedName name="contra" localSheetId="5">#REF!</definedName>
    <definedName name="contra">#REF!</definedName>
    <definedName name="CopiaDados">'APONTAMENTO CREDENCIAMENTO'!$Q$6:$EO$10</definedName>
    <definedName name="CopiaDadosC">CONTINUA!$L$6:$BU$10</definedName>
    <definedName name="CopiaFormula">'APONTAMENTO CREDENCIAMENTO'!$EP$6:$IC$10</definedName>
    <definedName name="CopiaFormulaA">'APONTAMENTO CREDENCIAMENTO'!$EP$6:$IC$10</definedName>
    <definedName name="CopiaFormulaA1">'APONTAMENTO CREDENCIAMENTO'!$L$6:$M$10</definedName>
    <definedName name="CopiaFormulaC">CONTINUA!$BV$6:$BW$10</definedName>
    <definedName name="CopiaSomaA" localSheetId="5">'[1]APONTAMENTO CREDENCIAMENTO'!#REF!</definedName>
    <definedName name="CopiaSomaA">'APONTAMENTO CREDENCIAMENTO'!$M$111</definedName>
    <definedName name="CopiaSomaC" localSheetId="5">[1]CONTINUA!#REF!</definedName>
    <definedName name="CopiaSomaC">CONTINUA!$BV$112</definedName>
    <definedName name="CPF" localSheetId="5">#REF!</definedName>
    <definedName name="CPF">#REF!</definedName>
    <definedName name="CRECHE" localSheetId="5">'[1]APONTAMENTO CREDENCIAMENTO'!#REF!</definedName>
    <definedName name="CRECHE">'APONTAMENTO CREDENCIAMENTO'!$FF$8:$GJ$8</definedName>
    <definedName name="Crechee" localSheetId="5">'[1]VALORES TABELA'!$B$5</definedName>
    <definedName name="Crechee">'VALORES TABELA'!$B$5</definedName>
    <definedName name="CRIANCA_KM">#REF!</definedName>
    <definedName name="CTRN" localSheetId="5">#REF!</definedName>
    <definedName name="CTRN">#REF!</definedName>
    <definedName name="D">#REF!</definedName>
    <definedName name="dados">#REF!</definedName>
    <definedName name="DataF">CONTINUA!$G$5</definedName>
    <definedName name="DataFinal">'APONTAMENTO CREDENCIAMENTO'!$G$5</definedName>
    <definedName name="DataI">CONTINUA!$F$5</definedName>
    <definedName name="Datainicial">'APONTAMENTO CREDENCIAMENTO'!$F$5</definedName>
    <definedName name="DDD">#REF!</definedName>
    <definedName name="DFG">#REF!</definedName>
    <definedName name="DiasFinais">'APONTAMENTO CREDENCIAMENTO'!$DY$4:$EJ$3224</definedName>
    <definedName name="DiasMes">'APONTAMENTO CREDENCIAMENTO'!$DX:$EJ</definedName>
    <definedName name="DiasMesC">CONTINUA!$BP:$BU</definedName>
    <definedName name="DIFER" localSheetId="5">#REF!</definedName>
    <definedName name="DIFER">#REF!</definedName>
    <definedName name="DIIS">#REF!</definedName>
    <definedName name="DIV">#REF!</definedName>
    <definedName name="DIV_AGO_SET">#REF!</definedName>
    <definedName name="DIV_SET_OUT">#REF!</definedName>
    <definedName name="DRE">CONTINUA!$A$1</definedName>
    <definedName name="dres" localSheetId="5">#REF!</definedName>
    <definedName name="dres">#REF!</definedName>
    <definedName name="DRET">#REF!</definedName>
    <definedName name="emp" localSheetId="5">#REF!</definedName>
    <definedName name="emp">#REF!</definedName>
    <definedName name="EMPE" localSheetId="5">#REF!</definedName>
    <definedName name="EMPE">#REF!</definedName>
    <definedName name="empen" localSheetId="5">#REF!</definedName>
    <definedName name="empen">#REF!</definedName>
    <definedName name="EMPENHO" localSheetId="5">#REF!</definedName>
    <definedName name="EMPENHO">#REF!</definedName>
    <definedName name="empenho15">#REF!</definedName>
    <definedName name="eom" localSheetId="5">#REF!</definedName>
    <definedName name="eom">#REF!</definedName>
    <definedName name="ESPECIAL" localSheetId="5">'[1]APONTAMENTO CREDENCIAMENTO'!#REF!</definedName>
    <definedName name="ESPECIAL">'APONTAMENTO CREDENCIAMENTO'!$FF$9:$GJ$9</definedName>
    <definedName name="Especiall" localSheetId="5">'[1]VALORES TABELA'!$B$6</definedName>
    <definedName name="Especiall">'VALORES TABELA'!$B$6</definedName>
    <definedName name="ETH">#REF!</definedName>
    <definedName name="Excel_BuiltIn__FilterDatabase" localSheetId="12">'ATESTE-LIQ'!$A$1:$M$2</definedName>
    <definedName name="Excel_BuiltIn__FilterDatabase">#REF!</definedName>
    <definedName name="Excel_BuiltIn_Print_Titles">NA()</definedName>
    <definedName name="fegue" localSheetId="5">#REF!</definedName>
    <definedName name="fegue">#REF!</definedName>
    <definedName name="fer" localSheetId="5">#REF!</definedName>
    <definedName name="fer">#REF!</definedName>
    <definedName name="FEVEREIRO">#REF!</definedName>
    <definedName name="FIN" localSheetId="5">#REF!</definedName>
    <definedName name="FIN">#REF!</definedName>
    <definedName name="Fixo" localSheetId="5">'[1]VALORES TABELA'!$B$3</definedName>
    <definedName name="Fixo">'VALORES TABELA'!$B$3</definedName>
    <definedName name="FormulaAtestadoC">'ATESTADO C'!$A$18:$M$18</definedName>
    <definedName name="FormulaAtesteFis">'ATESTE-LIQ-FIS'!$D$4:$K$4</definedName>
    <definedName name="FormulaAtesteLiq">'ATESTE-LIQ'!$B$2:$AD$2</definedName>
    <definedName name="FormulaBaseC">'BASE C'!$D$10:$N$10</definedName>
    <definedName name="FormulaEmpresaC">'EMPRESA C'!$A$14:$AC$14</definedName>
    <definedName name="GAGA">#REF!</definedName>
    <definedName name="GFG">#REF!</definedName>
    <definedName name="GHJJGJ">#REF!</definedName>
    <definedName name="HXHX">#REF!</definedName>
    <definedName name="IA">#REF!</definedName>
    <definedName name="IMRPRIMIR">#REF!</definedName>
    <definedName name="info">#REF!</definedName>
    <definedName name="iniab" localSheetId="5">#REF!</definedName>
    <definedName name="iniab">#REF!</definedName>
    <definedName name="IRRENDA" localSheetId="5">#REF!</definedName>
    <definedName name="IRRENDA">#REF!</definedName>
    <definedName name="ITAQ" localSheetId="5">#REF!</definedName>
    <definedName name="ITAQ">#REF!</definedName>
    <definedName name="ITAQUERA">#REF!</definedName>
    <definedName name="JURI" localSheetId="5">#REF!</definedName>
    <definedName name="JURI">#REF!</definedName>
    <definedName name="juridica">#REF!</definedName>
    <definedName name="km" localSheetId="5">'[1]VALORES TABELA'!$B$7</definedName>
    <definedName name="km">'VALORES TABELA'!$B$7</definedName>
    <definedName name="LIQUID" localSheetId="5">#REF!</definedName>
    <definedName name="LIQUID">#REF!</definedName>
    <definedName name="LIQUIDA" localSheetId="5">#REF!</definedName>
    <definedName name="LIQUIDA">#REF!</definedName>
    <definedName name="LIQUIDAÇÃO" localSheetId="5">#REF!</definedName>
    <definedName name="LIQUIDAÇÃO">#REF!</definedName>
    <definedName name="LIST" localSheetId="5">#REF!</definedName>
    <definedName name="LIST">#REF!</definedName>
    <definedName name="LISTA">#REF!</definedName>
    <definedName name="marc" localSheetId="5">#REF!</definedName>
    <definedName name="marc">#REF!</definedName>
    <definedName name="MARÇO">#REF!</definedName>
    <definedName name="MINUTA">#REF!</definedName>
    <definedName name="na">#REF!</definedName>
    <definedName name="nfis" localSheetId="5">#REF!</definedName>
    <definedName name="nfis">#REF!</definedName>
    <definedName name="nfisc" localSheetId="5">#REF!</definedName>
    <definedName name="nfisc">#REF!</definedName>
    <definedName name="NLIQ" localSheetId="5">#REF!</definedName>
    <definedName name="NLIQ">#REF!</definedName>
    <definedName name="NomeDRE">'APONTAMENTO CREDENCIAMENTO'!$A$1</definedName>
    <definedName name="NORMAL" localSheetId="5">'[1]APONTAMENTO CREDENCIAMENTO'!#REF!</definedName>
    <definedName name="NORMAL">'APONTAMENTO CREDENCIAMENTO'!$FF$6:$GJ$6</definedName>
    <definedName name="NOV" localSheetId="5">#REF!</definedName>
    <definedName name="NOV">#REF!</definedName>
    <definedName name="novaju">#REF!</definedName>
    <definedName name="NOVEMBRO">#REF!</definedName>
    <definedName name="novo" localSheetId="5">#REF!</definedName>
    <definedName name="novo">#REF!</definedName>
    <definedName name="novos" localSheetId="5">#REF!</definedName>
    <definedName name="novos">#REF!</definedName>
    <definedName name="numer">#REF!</definedName>
    <definedName name="numero">#REF!</definedName>
    <definedName name="numero1">#REF!</definedName>
    <definedName name="O">#REF!</definedName>
    <definedName name="OPERA" localSheetId="5">#REF!</definedName>
    <definedName name="OPERA">#REF!</definedName>
    <definedName name="OUT">#REF!</definedName>
    <definedName name="OUTUBRO">#REF!</definedName>
    <definedName name="P" localSheetId="5">#REF!</definedName>
    <definedName name="P">#REF!</definedName>
    <definedName name="PadraoApontamento">'[1]APONTAMENTO CREDENCIAMENTO'!#REF!</definedName>
    <definedName name="PAGTO" localSheetId="5">#REF!</definedName>
    <definedName name="PAGTO">#REF!</definedName>
    <definedName name="PARA">#REF!</definedName>
    <definedName name="PAVALOR" localSheetId="5">#REF!</definedName>
    <definedName name="PAVALOR">#REF!</definedName>
    <definedName name="Percapita" localSheetId="5">'[1]VALORES TABELA'!$B$2</definedName>
    <definedName name="Percapita">'VALORES TABELA'!$B$2</definedName>
    <definedName name="pjota" localSheetId="5">#REF!</definedName>
    <definedName name="pjota">#REF!</definedName>
    <definedName name="pju" localSheetId="5">#REF!</definedName>
    <definedName name="pju">#REF!</definedName>
    <definedName name="PontoA">'APONTAMENTO CREDENCIAMENTO'!$A$6</definedName>
    <definedName name="PontoC">CONTINUA!$A$6</definedName>
    <definedName name="PontoFormula">'APONTAMENTO CREDENCIAMENTO'!$EP$6</definedName>
    <definedName name="pp">#REF!</definedName>
    <definedName name="Q">#REF!</definedName>
    <definedName name="QUADRO1" localSheetId="5">#REF!</definedName>
    <definedName name="QUADRO1">#REF!</definedName>
    <definedName name="QUADRO2" localSheetId="5">#REF!</definedName>
    <definedName name="QUADRO2">#REF!</definedName>
    <definedName name="QUADRO3" localSheetId="5">#REF!</definedName>
    <definedName name="QUADRO3">#REF!</definedName>
    <definedName name="REF" localSheetId="5">#REF!</definedName>
    <definedName name="REF">#REF!</definedName>
    <definedName name="regular" localSheetId="5">'[1]VALORES TABELA'!$B$8</definedName>
    <definedName name="regular">'VALORES TABELA'!$B$8</definedName>
    <definedName name="reno" localSheetId="5">#REF!</definedName>
    <definedName name="reno">#REF!</definedName>
    <definedName name="RENOVA" localSheetId="5">#REF!</definedName>
    <definedName name="RENOVA">#REF!</definedName>
    <definedName name="RENOVÇ">#REF!</definedName>
    <definedName name="reser" localSheetId="5">#REF!</definedName>
    <definedName name="reser">#REF!</definedName>
    <definedName name="RESERVA">#REF!</definedName>
    <definedName name="rmar" localSheetId="5">#REF!</definedName>
    <definedName name="rmar">#REF!</definedName>
    <definedName name="S">#REF!</definedName>
    <definedName name="SALDOSOF" localSheetId="5">#REF!</definedName>
    <definedName name="SALDOSOF">#REF!</definedName>
    <definedName name="sam" localSheetId="5">#REF!</definedName>
    <definedName name="sam">#REF!</definedName>
    <definedName name="SET_OUT_NOV">#REF!</definedName>
    <definedName name="SETEMBRO">#REF!</definedName>
    <definedName name="TABC4826" localSheetId="5">#REF!</definedName>
    <definedName name="TABC4826">#REF!</definedName>
    <definedName name="TABVEIC" localSheetId="5">#REF!</definedName>
    <definedName name="TABVEIC">#REF!</definedName>
    <definedName name="TESTE1">#REF!</definedName>
    <definedName name="thiago">#REF!</definedName>
    <definedName name="_xlnm.Print_Titles">LISTA PARA #REF!</definedName>
    <definedName name="VAEMP" localSheetId="5">#REF!</definedName>
    <definedName name="VAEMP">#REF!</definedName>
    <definedName name="valor" localSheetId="5">#REF!</definedName>
    <definedName name="valor">#REF!</definedName>
    <definedName name="VALTER">#REF!</definedName>
    <definedName name="Z_011B120B_8244_4B35_8253_076E86B9088C_.wvu.Cols" localSheetId="5" hidden="1">'ATESTE-LIQ-FIS'!#REF!,'ATESTE-LIQ-FIS'!#REF!,'ATESTE-LIQ-FIS'!#REF!</definedName>
    <definedName name="Z_011B120B_8244_4B35_8253_076E86B9088C_.wvu.FilterData" localSheetId="5" hidden="1">'ATESTE-LIQ-FIS'!#REF!</definedName>
    <definedName name="Z_011B120B_8244_4B35_8253_076E86B9088C_.wvu.PrintArea" localSheetId="5" hidden="1">'ATESTE-LIQ-FIS'!#REF!</definedName>
    <definedName name="Z_011B120B_8244_4B35_8253_076E86B9088C_.wvu.PrintTitles" localSheetId="5" hidden="1">'ATESTE-LIQ-FIS'!#REF!</definedName>
    <definedName name="Z_0D231017_AD66_4D4F_B5A5_8354A60A50E6_.wvu.FilterData" localSheetId="5" hidden="1">'ATESTE-LIQ-FIS'!#REF!</definedName>
    <definedName name="Z_1D837C81_0159_4256_A026_71C371D54E44_.wvu.FilterData" localSheetId="5" hidden="1">'ATESTE-LIQ-FIS'!#REF!</definedName>
    <definedName name="Z_313D368F_AFFC_4E5E_8868_BD079C98C4D7_.wvu.FilterData" localSheetId="5" hidden="1">'ATESTE-LIQ-FIS'!#REF!</definedName>
    <definedName name="Z_3C9C7BFA_895A_4C5E_9547_3495A82BA3E1_.wvu.FilterData" localSheetId="5" hidden="1">'ATESTE-LIQ-FIS'!#REF!</definedName>
    <definedName name="Z_41922B57_5DC9_4A9B_8F25_1E4BA682F541_.wvu.FilterData" localSheetId="5" hidden="1">'ATESTE-LIQ-FIS'!#REF!</definedName>
    <definedName name="Z_61E3CF03_F5F9_4064_B280_64CB82257AFC_.wvu.FilterData" localSheetId="5" hidden="1">'ATESTE-LIQ-FIS'!#REF!</definedName>
    <definedName name="Z_63127EC2_DBBC_45FA_8174_EEBF58329133_.wvu.Cols" localSheetId="5" hidden="1">'ATESTE-LIQ-FIS'!#REF!,'ATESTE-LIQ-FIS'!#REF!</definedName>
    <definedName name="Z_63127EC2_DBBC_45FA_8174_EEBF58329133_.wvu.FilterData" localSheetId="5" hidden="1">'ATESTE-LIQ-FIS'!#REF!</definedName>
    <definedName name="Z_63127EC2_DBBC_45FA_8174_EEBF58329133_.wvu.PrintArea" localSheetId="5" hidden="1">'ATESTE-LIQ-FIS'!#REF!</definedName>
    <definedName name="Z_63127EC2_DBBC_45FA_8174_EEBF58329133_.wvu.PrintTitles" localSheetId="5" hidden="1">'ATESTE-LIQ-FIS'!#REF!</definedName>
    <definedName name="Z_6E8B9F76_6586_4A3A_B639_4D31F1AB034E_.wvu.FilterData" localSheetId="5" hidden="1">'ATESTE-LIQ-FIS'!#REF!</definedName>
    <definedName name="Z_77DA50AA_D079_4D33_A506_198857BC8104_.wvu.FilterData" localSheetId="5" hidden="1">'ATESTE-LIQ-FIS'!#REF!</definedName>
    <definedName name="Z_8B2670C0_B1DB_4F7D_845E_F2C8F3D88645_.wvu.FilterData" localSheetId="5" hidden="1">'ATESTE-LIQ-FIS'!#REF!</definedName>
    <definedName name="Z_95EB0056_9129_4778_9CF5_B2A8E8EACA38_.wvu.FilterData" localSheetId="5" hidden="1">'ATESTE-LIQ-FIS'!#REF!</definedName>
    <definedName name="Z_A132BFA3_32B6_4FCE_AE53_4F6CA7DF5DB2_.wvu.FilterData" localSheetId="5" hidden="1">'ATESTE-LIQ-FIS'!#REF!</definedName>
    <definedName name="Z_B3FF3ACF_84F9_4953_9A1E_387165B9DDC0_.wvu.FilterData" localSheetId="5" hidden="1">'ATESTE-LIQ-FIS'!#REF!</definedName>
    <definedName name="Z_C037A31A_2755_4C10_A3AE_DBB589431E79_.wvu.FilterData" localSheetId="5" hidden="1">'ATESTE-LIQ-FIS'!#REF!</definedName>
    <definedName name="Z_C9548E60_79BD_4094_A4C6_01B332AFD72C_.wvu.FilterData" localSheetId="5" hidden="1">'ATESTE-LIQ-FIS'!#REF!</definedName>
    <definedName name="Z_D3736991_F6CE_4ABF_8DDD_61D3526ACD63_.wvu.FilterData" localSheetId="5" hidden="1">'ATESTE-LIQ-FIS'!#REF!</definedName>
    <definedName name="Z_EF429097_D4EF_4B88_BBEF_58DF4E3BB1E4_.wvu.Cols" localSheetId="5" hidden="1">'ATESTE-LIQ-FIS'!#REF!</definedName>
    <definedName name="Z_EF429097_D4EF_4B88_BBEF_58DF4E3BB1E4_.wvu.FilterData" localSheetId="5" hidden="1">'ATESTE-LIQ-FIS'!#REF!</definedName>
    <definedName name="Z_EF429097_D4EF_4B88_BBEF_58DF4E3BB1E4_.wvu.PrintArea" localSheetId="5" hidden="1">'ATESTE-LIQ-FIS'!#REF!</definedName>
    <definedName name="Z_EF429097_D4EF_4B88_BBEF_58DF4E3BB1E4_.wvu.PrintTitles" localSheetId="5" hidden="1">'ATESTE-LIQ-FIS'!#REF!</definedName>
    <definedName name="Z_F9B7ACFC_8967_4F1D_A7F9_B4BD1AD90914_.wvu.FilterData" localSheetId="5" hidden="1">'ATESTE-LIQ-FIS'!#REF!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2" i="13" l="1"/>
  <c r="L22" i="13"/>
  <c r="AB22" i="13" s="1"/>
  <c r="I22" i="13"/>
  <c r="H22" i="13"/>
  <c r="G22" i="13"/>
  <c r="F22" i="13"/>
  <c r="J22" i="13" s="1"/>
  <c r="D22" i="13"/>
  <c r="T22" i="13" s="1"/>
  <c r="C22" i="13"/>
  <c r="AA21" i="13"/>
  <c r="L21" i="13"/>
  <c r="AB21" i="13" s="1"/>
  <c r="I21" i="13"/>
  <c r="H21" i="13"/>
  <c r="G21" i="13"/>
  <c r="F21" i="13"/>
  <c r="J21" i="13" s="1"/>
  <c r="D21" i="13"/>
  <c r="T21" i="13" s="1"/>
  <c r="C21" i="13"/>
  <c r="AA20" i="13"/>
  <c r="L20" i="13"/>
  <c r="AB20" i="13" s="1"/>
  <c r="I20" i="13"/>
  <c r="H20" i="13"/>
  <c r="G20" i="13"/>
  <c r="F20" i="13"/>
  <c r="U20" i="13" s="1"/>
  <c r="V20" i="13" s="1"/>
  <c r="D20" i="13"/>
  <c r="T20" i="13" s="1"/>
  <c r="C20" i="13"/>
  <c r="AA19" i="13"/>
  <c r="L19" i="13"/>
  <c r="AB19" i="13" s="1"/>
  <c r="I19" i="13"/>
  <c r="H19" i="13"/>
  <c r="G19" i="13"/>
  <c r="F19" i="13"/>
  <c r="U19" i="13" s="1"/>
  <c r="V19" i="13" s="1"/>
  <c r="D19" i="13"/>
  <c r="T19" i="13" s="1"/>
  <c r="C19" i="13"/>
  <c r="AA18" i="13"/>
  <c r="L18" i="13"/>
  <c r="AB18" i="13" s="1"/>
  <c r="I18" i="13"/>
  <c r="H18" i="13"/>
  <c r="G18" i="13"/>
  <c r="F18" i="13"/>
  <c r="U18" i="13" s="1"/>
  <c r="V18" i="13" s="1"/>
  <c r="D18" i="13"/>
  <c r="T18" i="13" s="1"/>
  <c r="C18" i="13"/>
  <c r="AA17" i="13"/>
  <c r="L17" i="13"/>
  <c r="AB17" i="13" s="1"/>
  <c r="I17" i="13"/>
  <c r="H17" i="13"/>
  <c r="G17" i="13"/>
  <c r="F17" i="13"/>
  <c r="U17" i="13" s="1"/>
  <c r="V17" i="13" s="1"/>
  <c r="D17" i="13"/>
  <c r="T17" i="13" s="1"/>
  <c r="C17" i="13"/>
  <c r="AA16" i="13"/>
  <c r="L16" i="13"/>
  <c r="AB16" i="13" s="1"/>
  <c r="I16" i="13"/>
  <c r="H16" i="13"/>
  <c r="G16" i="13"/>
  <c r="F16" i="13"/>
  <c r="U16" i="13" s="1"/>
  <c r="V16" i="13" s="1"/>
  <c r="D16" i="13"/>
  <c r="T16" i="13" s="1"/>
  <c r="C16" i="13"/>
  <c r="AA15" i="13"/>
  <c r="L15" i="13"/>
  <c r="AB15" i="13" s="1"/>
  <c r="I15" i="13"/>
  <c r="H15" i="13"/>
  <c r="G15" i="13"/>
  <c r="F15" i="13"/>
  <c r="J15" i="13" s="1"/>
  <c r="D15" i="13"/>
  <c r="T15" i="13" s="1"/>
  <c r="C15" i="13"/>
  <c r="AA14" i="13"/>
  <c r="L14" i="13"/>
  <c r="AB14" i="13" s="1"/>
  <c r="I14" i="13"/>
  <c r="H14" i="13"/>
  <c r="G14" i="13"/>
  <c r="F14" i="13"/>
  <c r="U14" i="13" s="1"/>
  <c r="V14" i="13" s="1"/>
  <c r="D14" i="13"/>
  <c r="T14" i="13" s="1"/>
  <c r="C14" i="13"/>
  <c r="AA13" i="13"/>
  <c r="L13" i="13"/>
  <c r="AB13" i="13" s="1"/>
  <c r="I13" i="13"/>
  <c r="H13" i="13"/>
  <c r="G13" i="13"/>
  <c r="F13" i="13"/>
  <c r="U13" i="13" s="1"/>
  <c r="V13" i="13" s="1"/>
  <c r="D13" i="13"/>
  <c r="T13" i="13" s="1"/>
  <c r="C13" i="13"/>
  <c r="AA12" i="13"/>
  <c r="L12" i="13"/>
  <c r="AB12" i="13" s="1"/>
  <c r="I12" i="13"/>
  <c r="H12" i="13"/>
  <c r="G12" i="13"/>
  <c r="F12" i="13"/>
  <c r="U12" i="13" s="1"/>
  <c r="V12" i="13" s="1"/>
  <c r="D12" i="13"/>
  <c r="T12" i="13" s="1"/>
  <c r="C12" i="13"/>
  <c r="AA11" i="13"/>
  <c r="L11" i="13"/>
  <c r="AB11" i="13" s="1"/>
  <c r="I11" i="13"/>
  <c r="H11" i="13"/>
  <c r="G11" i="13"/>
  <c r="F11" i="13"/>
  <c r="J11" i="13" s="1"/>
  <c r="D11" i="13"/>
  <c r="T11" i="13" s="1"/>
  <c r="C11" i="13"/>
  <c r="AA10" i="13"/>
  <c r="L10" i="13"/>
  <c r="AB10" i="13" s="1"/>
  <c r="I10" i="13"/>
  <c r="H10" i="13"/>
  <c r="G10" i="13"/>
  <c r="F10" i="13"/>
  <c r="J10" i="13" s="1"/>
  <c r="D10" i="13"/>
  <c r="T10" i="13" s="1"/>
  <c r="C10" i="13"/>
  <c r="AA9" i="13"/>
  <c r="L9" i="13"/>
  <c r="AB9" i="13" s="1"/>
  <c r="I9" i="13"/>
  <c r="H9" i="13"/>
  <c r="G9" i="13"/>
  <c r="F9" i="13"/>
  <c r="J9" i="13" s="1"/>
  <c r="D9" i="13"/>
  <c r="T9" i="13" s="1"/>
  <c r="C9" i="13"/>
  <c r="AA8" i="13"/>
  <c r="L8" i="13"/>
  <c r="AB8" i="13" s="1"/>
  <c r="I8" i="13"/>
  <c r="H8" i="13"/>
  <c r="G8" i="13"/>
  <c r="F8" i="13"/>
  <c r="J8" i="13" s="1"/>
  <c r="D8" i="13"/>
  <c r="T8" i="13" s="1"/>
  <c r="C8" i="13"/>
  <c r="AA7" i="13"/>
  <c r="L7" i="13"/>
  <c r="AB7" i="13" s="1"/>
  <c r="I7" i="13"/>
  <c r="H7" i="13"/>
  <c r="G7" i="13"/>
  <c r="F7" i="13"/>
  <c r="J7" i="13" s="1"/>
  <c r="D7" i="13"/>
  <c r="T7" i="13" s="1"/>
  <c r="C7" i="13"/>
  <c r="AA6" i="13"/>
  <c r="L6" i="13"/>
  <c r="AB6" i="13" s="1"/>
  <c r="I6" i="13"/>
  <c r="H6" i="13"/>
  <c r="G6" i="13"/>
  <c r="F6" i="13"/>
  <c r="J6" i="13" s="1"/>
  <c r="D6" i="13"/>
  <c r="T6" i="13" s="1"/>
  <c r="C6" i="13"/>
  <c r="AA5" i="13"/>
  <c r="L5" i="13"/>
  <c r="AB5" i="13" s="1"/>
  <c r="I5" i="13"/>
  <c r="H5" i="13"/>
  <c r="G5" i="13"/>
  <c r="F5" i="13"/>
  <c r="U5" i="13" s="1"/>
  <c r="V5" i="13" s="1"/>
  <c r="D5" i="13"/>
  <c r="T5" i="13" s="1"/>
  <c r="C5" i="13"/>
  <c r="AA4" i="13"/>
  <c r="L4" i="13"/>
  <c r="AB4" i="13" s="1"/>
  <c r="I4" i="13"/>
  <c r="H4" i="13"/>
  <c r="G4" i="13"/>
  <c r="F4" i="13"/>
  <c r="J4" i="13" s="1"/>
  <c r="D4" i="13"/>
  <c r="T4" i="13" s="1"/>
  <c r="C4" i="13"/>
  <c r="AA3" i="13"/>
  <c r="L3" i="13"/>
  <c r="AB3" i="13" s="1"/>
  <c r="I3" i="13"/>
  <c r="H3" i="13"/>
  <c r="G3" i="13"/>
  <c r="F3" i="13"/>
  <c r="J3" i="13" s="1"/>
  <c r="D3" i="13"/>
  <c r="T3" i="13" s="1"/>
  <c r="C3" i="13"/>
  <c r="D24" i="87"/>
  <c r="G24" i="87" s="1"/>
  <c r="D23" i="87"/>
  <c r="G23" i="87" s="1"/>
  <c r="D22" i="87"/>
  <c r="G22" i="87" s="1"/>
  <c r="D21" i="87"/>
  <c r="G21" i="87" s="1"/>
  <c r="D20" i="87"/>
  <c r="G20" i="87" s="1"/>
  <c r="D19" i="87"/>
  <c r="G19" i="87" s="1"/>
  <c r="D18" i="87"/>
  <c r="G18" i="87" s="1"/>
  <c r="D17" i="87"/>
  <c r="G17" i="87" s="1"/>
  <c r="D16" i="87"/>
  <c r="G16" i="87" s="1"/>
  <c r="D15" i="87"/>
  <c r="G15" i="87" s="1"/>
  <c r="D14" i="87"/>
  <c r="G14" i="87" s="1"/>
  <c r="D13" i="87"/>
  <c r="G13" i="87" s="1"/>
  <c r="D12" i="87"/>
  <c r="G12" i="87" s="1"/>
  <c r="D11" i="87"/>
  <c r="G11" i="87" s="1"/>
  <c r="D10" i="87"/>
  <c r="G10" i="87" s="1"/>
  <c r="D9" i="87"/>
  <c r="G9" i="87" s="1"/>
  <c r="D8" i="87"/>
  <c r="G8" i="87" s="1"/>
  <c r="D7" i="87"/>
  <c r="G7" i="87" s="1"/>
  <c r="D6" i="87"/>
  <c r="G6" i="87" s="1"/>
  <c r="D5" i="87"/>
  <c r="G5" i="87" s="1"/>
  <c r="U22" i="13" l="1"/>
  <c r="V22" i="13" s="1"/>
  <c r="U21" i="13"/>
  <c r="V21" i="13" s="1"/>
  <c r="J20" i="13"/>
  <c r="J19" i="13"/>
  <c r="J18" i="13"/>
  <c r="J17" i="13"/>
  <c r="J16" i="13"/>
  <c r="U15" i="13"/>
  <c r="V15" i="13" s="1"/>
  <c r="J14" i="13"/>
  <c r="J13" i="13"/>
  <c r="J12" i="13"/>
  <c r="U11" i="13"/>
  <c r="V11" i="13" s="1"/>
  <c r="U10" i="13"/>
  <c r="V10" i="13" s="1"/>
  <c r="U9" i="13"/>
  <c r="V9" i="13" s="1"/>
  <c r="U8" i="13"/>
  <c r="V8" i="13" s="1"/>
  <c r="U7" i="13"/>
  <c r="V7" i="13" s="1"/>
  <c r="U6" i="13"/>
  <c r="V6" i="13" s="1"/>
  <c r="J5" i="13"/>
  <c r="U4" i="13"/>
  <c r="V4" i="13" s="1"/>
  <c r="U3" i="13"/>
  <c r="V3" i="13" s="1"/>
  <c r="J6" i="87"/>
  <c r="J22" i="87"/>
  <c r="J15" i="87"/>
  <c r="J8" i="87"/>
  <c r="J24" i="87"/>
  <c r="E5" i="87"/>
  <c r="H5" i="87" s="1"/>
  <c r="I5" i="87"/>
  <c r="K5" i="87" s="1"/>
  <c r="E6" i="87"/>
  <c r="H6" i="87" s="1"/>
  <c r="I6" i="87"/>
  <c r="E7" i="87"/>
  <c r="H7" i="87" s="1"/>
  <c r="I7" i="87"/>
  <c r="E8" i="87"/>
  <c r="H8" i="87" s="1"/>
  <c r="I8" i="87"/>
  <c r="E9" i="87"/>
  <c r="H9" i="87" s="1"/>
  <c r="I9" i="87"/>
  <c r="E10" i="87"/>
  <c r="H10" i="87" s="1"/>
  <c r="I10" i="87"/>
  <c r="E11" i="87"/>
  <c r="H11" i="87" s="1"/>
  <c r="I11" i="87"/>
  <c r="E12" i="87"/>
  <c r="H12" i="87" s="1"/>
  <c r="I12" i="87"/>
  <c r="E13" i="87"/>
  <c r="H13" i="87" s="1"/>
  <c r="I13" i="87"/>
  <c r="E14" i="87"/>
  <c r="H14" i="87" s="1"/>
  <c r="I14" i="87"/>
  <c r="E15" i="87"/>
  <c r="H15" i="87" s="1"/>
  <c r="I15" i="87"/>
  <c r="E16" i="87"/>
  <c r="H16" i="87" s="1"/>
  <c r="I16" i="87"/>
  <c r="K16" i="87" s="1"/>
  <c r="E17" i="87"/>
  <c r="H17" i="87" s="1"/>
  <c r="I17" i="87"/>
  <c r="E18" i="87"/>
  <c r="H18" i="87" s="1"/>
  <c r="I18" i="87"/>
  <c r="E19" i="87"/>
  <c r="H19" i="87" s="1"/>
  <c r="I19" i="87"/>
  <c r="E20" i="87"/>
  <c r="H20" i="87" s="1"/>
  <c r="I20" i="87"/>
  <c r="E21" i="87"/>
  <c r="H21" i="87" s="1"/>
  <c r="I21" i="87"/>
  <c r="E22" i="87"/>
  <c r="H22" i="87" s="1"/>
  <c r="I22" i="87"/>
  <c r="E23" i="87"/>
  <c r="H23" i="87" s="1"/>
  <c r="I23" i="87"/>
  <c r="E24" i="87"/>
  <c r="H24" i="87" s="1"/>
  <c r="I24" i="87"/>
  <c r="F5" i="87"/>
  <c r="F6" i="87"/>
  <c r="F7" i="87"/>
  <c r="F8" i="87"/>
  <c r="F9" i="87"/>
  <c r="F10" i="87"/>
  <c r="F11" i="87"/>
  <c r="F12" i="87"/>
  <c r="F13" i="87"/>
  <c r="F14" i="87"/>
  <c r="F15" i="87"/>
  <c r="F16" i="87"/>
  <c r="F17" i="87"/>
  <c r="F18" i="87"/>
  <c r="F19" i="87"/>
  <c r="F20" i="87"/>
  <c r="F21" i="87"/>
  <c r="F22" i="87"/>
  <c r="F23" i="87"/>
  <c r="F24" i="87"/>
  <c r="K18" i="87" l="1"/>
  <c r="J20" i="87"/>
  <c r="K21" i="87" s="1"/>
  <c r="J17" i="87"/>
  <c r="J11" i="87"/>
  <c r="J18" i="87"/>
  <c r="J21" i="87"/>
  <c r="K22" i="87" s="1"/>
  <c r="K12" i="87"/>
  <c r="K23" i="87"/>
  <c r="K19" i="87"/>
  <c r="K9" i="87"/>
  <c r="K7" i="87"/>
  <c r="J16" i="87"/>
  <c r="K17" i="87" s="1"/>
  <c r="J23" i="87"/>
  <c r="K24" i="87" s="1"/>
  <c r="J7" i="87"/>
  <c r="K8" i="87" s="1"/>
  <c r="J14" i="87"/>
  <c r="K15" i="87" s="1"/>
  <c r="J9" i="87"/>
  <c r="K10" i="87"/>
  <c r="J12" i="87"/>
  <c r="K13" i="87" s="1"/>
  <c r="J19" i="87"/>
  <c r="K20" i="87" s="1"/>
  <c r="J13" i="87"/>
  <c r="K14" i="87" s="1"/>
  <c r="J10" i="87"/>
  <c r="K11" i="87" s="1"/>
  <c r="J5" i="87"/>
  <c r="K6" i="87" s="1"/>
  <c r="BU112" i="59" l="1"/>
  <c r="BT112" i="59"/>
  <c r="BS112" i="59"/>
  <c r="BR112" i="59"/>
  <c r="BQ112" i="59"/>
  <c r="BP112" i="59"/>
  <c r="BO112" i="59"/>
  <c r="BN112" i="59"/>
  <c r="BM112" i="59"/>
  <c r="BL112" i="59"/>
  <c r="BK112" i="59"/>
  <c r="BJ112" i="59"/>
  <c r="BI112" i="59"/>
  <c r="BH112" i="59"/>
  <c r="BG112" i="59"/>
  <c r="BF112" i="59"/>
  <c r="BE112" i="59"/>
  <c r="BD112" i="59"/>
  <c r="BC112" i="59"/>
  <c r="BB112" i="59"/>
  <c r="BA112" i="59"/>
  <c r="AZ112" i="59"/>
  <c r="AY112" i="59"/>
  <c r="AX112" i="59"/>
  <c r="AW112" i="59"/>
  <c r="AV112" i="59"/>
  <c r="AU112" i="59"/>
  <c r="AT112" i="59"/>
  <c r="AS112" i="59"/>
  <c r="AR112" i="59"/>
  <c r="AQ112" i="59"/>
  <c r="AP112" i="59"/>
  <c r="AO112" i="59"/>
  <c r="AN112" i="59"/>
  <c r="AM112" i="59"/>
  <c r="AL112" i="59"/>
  <c r="AK112" i="59"/>
  <c r="AJ112" i="59"/>
  <c r="AI112" i="59"/>
  <c r="AH112" i="59"/>
  <c r="AG112" i="59"/>
  <c r="AF112" i="59"/>
  <c r="AE112" i="59"/>
  <c r="AD112" i="59"/>
  <c r="AC112" i="59"/>
  <c r="AB112" i="59"/>
  <c r="AA112" i="59"/>
  <c r="Z112" i="59"/>
  <c r="Y112" i="59"/>
  <c r="X112" i="59"/>
  <c r="W112" i="59"/>
  <c r="V112" i="59"/>
  <c r="U112" i="59"/>
  <c r="T112" i="59"/>
  <c r="S112" i="59"/>
  <c r="R112" i="59"/>
  <c r="Q112" i="59"/>
  <c r="P112" i="59"/>
  <c r="O112" i="59"/>
  <c r="N112" i="59"/>
  <c r="M112" i="59"/>
  <c r="L112" i="59"/>
  <c r="BW110" i="59"/>
  <c r="BV110" i="59"/>
  <c r="BW109" i="59"/>
  <c r="BV109" i="59"/>
  <c r="L109" i="64" s="1"/>
  <c r="BW108" i="59"/>
  <c r="BV108" i="59"/>
  <c r="BW107" i="59"/>
  <c r="BV107" i="59"/>
  <c r="L107" i="64" s="1"/>
  <c r="EY107" i="64" s="1"/>
  <c r="BW106" i="59"/>
  <c r="BV106" i="59"/>
  <c r="BW105" i="59"/>
  <c r="BV105" i="59"/>
  <c r="BW104" i="59"/>
  <c r="M104" i="64" s="1"/>
  <c r="BV104" i="59"/>
  <c r="L104" i="64" s="1"/>
  <c r="EY104" i="64" s="1"/>
  <c r="BW103" i="59"/>
  <c r="BV103" i="59"/>
  <c r="BW102" i="59"/>
  <c r="M102" i="64" s="1"/>
  <c r="BV102" i="59"/>
  <c r="L102" i="64" s="1"/>
  <c r="EY102" i="64" s="1"/>
  <c r="BW101" i="59"/>
  <c r="BV101" i="59"/>
  <c r="BW100" i="59"/>
  <c r="BV100" i="59"/>
  <c r="BW99" i="59"/>
  <c r="BV99" i="59"/>
  <c r="BW98" i="59"/>
  <c r="BV98" i="59"/>
  <c r="BW97" i="59"/>
  <c r="BV97" i="59"/>
  <c r="BW96" i="59"/>
  <c r="BV96" i="59"/>
  <c r="BW95" i="59"/>
  <c r="BV95" i="59"/>
  <c r="BW94" i="59"/>
  <c r="M94" i="64" s="1"/>
  <c r="BV94" i="59"/>
  <c r="L94" i="64" s="1"/>
  <c r="EY94" i="64" s="1"/>
  <c r="BW93" i="59"/>
  <c r="BV93" i="59"/>
  <c r="BW92" i="59"/>
  <c r="M92" i="64" s="1"/>
  <c r="BV92" i="59"/>
  <c r="L92" i="64" s="1"/>
  <c r="EY92" i="64" s="1"/>
  <c r="BW91" i="59"/>
  <c r="BV91" i="59"/>
  <c r="BW90" i="59"/>
  <c r="BV90" i="59"/>
  <c r="BW89" i="59"/>
  <c r="M89" i="64" s="1"/>
  <c r="BV89" i="59"/>
  <c r="L89" i="64" s="1"/>
  <c r="EY89" i="64" s="1"/>
  <c r="BW88" i="59"/>
  <c r="BV88" i="59"/>
  <c r="BW87" i="59"/>
  <c r="M87" i="64" s="1"/>
  <c r="BV87" i="59"/>
  <c r="L87" i="64" s="1"/>
  <c r="EY87" i="64" s="1"/>
  <c r="BW86" i="59"/>
  <c r="BV86" i="59"/>
  <c r="BW85" i="59"/>
  <c r="BV85" i="59"/>
  <c r="BW84" i="59"/>
  <c r="BV84" i="59"/>
  <c r="L84" i="64" s="1"/>
  <c r="BW83" i="59"/>
  <c r="BV83" i="59"/>
  <c r="BW82" i="59"/>
  <c r="BV82" i="59"/>
  <c r="L82" i="64" s="1"/>
  <c r="EY82" i="64" s="1"/>
  <c r="BW81" i="59"/>
  <c r="BV81" i="59"/>
  <c r="BW80" i="59"/>
  <c r="BV80" i="59"/>
  <c r="BW79" i="59"/>
  <c r="M79" i="64" s="1"/>
  <c r="BV79" i="59"/>
  <c r="L79" i="64" s="1"/>
  <c r="EY79" i="64" s="1"/>
  <c r="BW78" i="59"/>
  <c r="BV78" i="59"/>
  <c r="BW77" i="59"/>
  <c r="M77" i="64" s="1"/>
  <c r="BV77" i="59"/>
  <c r="L77" i="64" s="1"/>
  <c r="EY77" i="64" s="1"/>
  <c r="BW76" i="59"/>
  <c r="BV76" i="59"/>
  <c r="BW75" i="59"/>
  <c r="BV75" i="59"/>
  <c r="BW74" i="59"/>
  <c r="M74" i="64" s="1"/>
  <c r="BV74" i="59"/>
  <c r="L74" i="64" s="1"/>
  <c r="EY74" i="64" s="1"/>
  <c r="BW73" i="59"/>
  <c r="BV73" i="59"/>
  <c r="BW72" i="59"/>
  <c r="M72" i="64" s="1"/>
  <c r="BV72" i="59"/>
  <c r="L72" i="64" s="1"/>
  <c r="EY72" i="64" s="1"/>
  <c r="BW71" i="59"/>
  <c r="BV71" i="59"/>
  <c r="BW70" i="59"/>
  <c r="BV70" i="59"/>
  <c r="BW69" i="59"/>
  <c r="BV69" i="59"/>
  <c r="L69" i="64" s="1"/>
  <c r="BW68" i="59"/>
  <c r="BV68" i="59"/>
  <c r="BW67" i="59"/>
  <c r="BV67" i="59"/>
  <c r="L67" i="64" s="1"/>
  <c r="EY67" i="64" s="1"/>
  <c r="BW66" i="59"/>
  <c r="BV66" i="59"/>
  <c r="BW65" i="59"/>
  <c r="BV65" i="59"/>
  <c r="BW64" i="59"/>
  <c r="BV64" i="59"/>
  <c r="L64" i="64" s="1"/>
  <c r="EY64" i="64" s="1"/>
  <c r="BW63" i="59"/>
  <c r="BV63" i="59"/>
  <c r="BW62" i="59"/>
  <c r="BV62" i="59"/>
  <c r="L62" i="64" s="1"/>
  <c r="EY62" i="64" s="1"/>
  <c r="BW61" i="59"/>
  <c r="BV61" i="59"/>
  <c r="BW60" i="59"/>
  <c r="BV60" i="59"/>
  <c r="BW59" i="59"/>
  <c r="BV59" i="59"/>
  <c r="L59" i="64" s="1"/>
  <c r="BW58" i="59"/>
  <c r="BV58" i="59"/>
  <c r="BW57" i="59"/>
  <c r="BV57" i="59"/>
  <c r="L57" i="64" s="1"/>
  <c r="EY57" i="64" s="1"/>
  <c r="BW56" i="59"/>
  <c r="BV56" i="59"/>
  <c r="BW55" i="59"/>
  <c r="BV55" i="59"/>
  <c r="BW54" i="59"/>
  <c r="BV54" i="59"/>
  <c r="L54" i="64" s="1"/>
  <c r="EY54" i="64" s="1"/>
  <c r="BW53" i="59"/>
  <c r="BV53" i="59"/>
  <c r="BW52" i="59"/>
  <c r="BV52" i="59"/>
  <c r="L52" i="64" s="1"/>
  <c r="BW51" i="59"/>
  <c r="BV51" i="59"/>
  <c r="BW50" i="59"/>
  <c r="BV50" i="59"/>
  <c r="BW49" i="59"/>
  <c r="BV49" i="59"/>
  <c r="L49" i="64" s="1"/>
  <c r="BW48" i="59"/>
  <c r="BV48" i="59"/>
  <c r="BW47" i="59"/>
  <c r="BV47" i="59"/>
  <c r="L47" i="64" s="1"/>
  <c r="EY47" i="64" s="1"/>
  <c r="BW46" i="59"/>
  <c r="BV46" i="59"/>
  <c r="BW45" i="59"/>
  <c r="BV45" i="59"/>
  <c r="BW44" i="59"/>
  <c r="BV44" i="59"/>
  <c r="L44" i="64" s="1"/>
  <c r="BW43" i="59"/>
  <c r="BV43" i="59"/>
  <c r="BW42" i="59"/>
  <c r="BV42" i="59"/>
  <c r="L42" i="64" s="1"/>
  <c r="BW41" i="59"/>
  <c r="BV41" i="59"/>
  <c r="BW40" i="59"/>
  <c r="BV40" i="59"/>
  <c r="BW39" i="59"/>
  <c r="BV39" i="59"/>
  <c r="L39" i="64" s="1"/>
  <c r="BW38" i="59"/>
  <c r="BV38" i="59"/>
  <c r="BW37" i="59"/>
  <c r="BV37" i="59"/>
  <c r="L37" i="64" s="1"/>
  <c r="EY37" i="64" s="1"/>
  <c r="BW36" i="59"/>
  <c r="BV36" i="59"/>
  <c r="BW35" i="59"/>
  <c r="BV35" i="59"/>
  <c r="BW34" i="59"/>
  <c r="BV34" i="59"/>
  <c r="L34" i="64" s="1"/>
  <c r="EY34" i="64" s="1"/>
  <c r="BW33" i="59"/>
  <c r="BV33" i="59"/>
  <c r="BW32" i="59"/>
  <c r="BV32" i="59"/>
  <c r="L32" i="64" s="1"/>
  <c r="EY32" i="64" s="1"/>
  <c r="BW31" i="59"/>
  <c r="BV31" i="59"/>
  <c r="BW30" i="59"/>
  <c r="BV30" i="59"/>
  <c r="BW29" i="59"/>
  <c r="BV29" i="59"/>
  <c r="L29" i="64" s="1"/>
  <c r="EY29" i="64" s="1"/>
  <c r="BW28" i="59"/>
  <c r="BV28" i="59"/>
  <c r="BW27" i="59"/>
  <c r="BV27" i="59"/>
  <c r="L27" i="64" s="1"/>
  <c r="BW26" i="59"/>
  <c r="BV26" i="59"/>
  <c r="BW25" i="59"/>
  <c r="BV25" i="59"/>
  <c r="BW24" i="59"/>
  <c r="BV24" i="59"/>
  <c r="L24" i="64" s="1"/>
  <c r="BW23" i="59"/>
  <c r="BV23" i="59"/>
  <c r="BW22" i="59"/>
  <c r="BV22" i="59"/>
  <c r="L22" i="64" s="1"/>
  <c r="EY22" i="64" s="1"/>
  <c r="BW21" i="59"/>
  <c r="BV21" i="59"/>
  <c r="BW20" i="59"/>
  <c r="BV20" i="59"/>
  <c r="BW19" i="59"/>
  <c r="M19" i="64" s="1"/>
  <c r="BV19" i="59"/>
  <c r="L19" i="64" s="1"/>
  <c r="EY19" i="64" s="1"/>
  <c r="BW18" i="59"/>
  <c r="BV18" i="59"/>
  <c r="BW17" i="59"/>
  <c r="M17" i="64" s="1"/>
  <c r="BV17" i="59"/>
  <c r="L17" i="64" s="1"/>
  <c r="EY17" i="64" s="1"/>
  <c r="BW16" i="59"/>
  <c r="BV16" i="59"/>
  <c r="BW15" i="59"/>
  <c r="BV15" i="59"/>
  <c r="BW14" i="59"/>
  <c r="BV14" i="59"/>
  <c r="BW13" i="59"/>
  <c r="BV13" i="59"/>
  <c r="BW12" i="59"/>
  <c r="BV12" i="59"/>
  <c r="BW11" i="59"/>
  <c r="BV11" i="59"/>
  <c r="Q112" i="64"/>
  <c r="R112" i="64" s="1"/>
  <c r="S112" i="64" s="1"/>
  <c r="T112" i="64" s="1"/>
  <c r="U112" i="64" s="1"/>
  <c r="V112" i="64" s="1"/>
  <c r="W112" i="64" s="1"/>
  <c r="X112" i="64" s="1"/>
  <c r="Y112" i="64" s="1"/>
  <c r="Z112" i="64" s="1"/>
  <c r="AA112" i="64" s="1"/>
  <c r="AB112" i="64" s="1"/>
  <c r="AC112" i="64" s="1"/>
  <c r="AD112" i="64" s="1"/>
  <c r="AE112" i="64" s="1"/>
  <c r="AF112" i="64" s="1"/>
  <c r="AG112" i="64" s="1"/>
  <c r="AH112" i="64" s="1"/>
  <c r="AI112" i="64" s="1"/>
  <c r="AJ112" i="64" s="1"/>
  <c r="AK112" i="64" s="1"/>
  <c r="AL112" i="64" s="1"/>
  <c r="AM112" i="64" s="1"/>
  <c r="AN112" i="64" s="1"/>
  <c r="AO112" i="64" s="1"/>
  <c r="AP112" i="64" s="1"/>
  <c r="AQ112" i="64" s="1"/>
  <c r="AR112" i="64" s="1"/>
  <c r="AS112" i="64" s="1"/>
  <c r="AT112" i="64" s="1"/>
  <c r="AU112" i="64" s="1"/>
  <c r="AV112" i="64" s="1"/>
  <c r="AW112" i="64" s="1"/>
  <c r="AX112" i="64" s="1"/>
  <c r="AY112" i="64" s="1"/>
  <c r="AZ112" i="64" s="1"/>
  <c r="BA112" i="64" s="1"/>
  <c r="BB112" i="64" s="1"/>
  <c r="BC112" i="64" s="1"/>
  <c r="BD112" i="64" s="1"/>
  <c r="BE112" i="64" s="1"/>
  <c r="BF112" i="64" s="1"/>
  <c r="BG112" i="64" s="1"/>
  <c r="BH112" i="64" s="1"/>
  <c r="BI112" i="64" s="1"/>
  <c r="BJ112" i="64" s="1"/>
  <c r="BK112" i="64" s="1"/>
  <c r="BL112" i="64" s="1"/>
  <c r="BM112" i="64" s="1"/>
  <c r="BN112" i="64" s="1"/>
  <c r="BO112" i="64" s="1"/>
  <c r="BP112" i="64" s="1"/>
  <c r="BQ112" i="64" s="1"/>
  <c r="BR112" i="64" s="1"/>
  <c r="BS112" i="64" s="1"/>
  <c r="BT112" i="64" s="1"/>
  <c r="BU112" i="64" s="1"/>
  <c r="BV112" i="64" s="1"/>
  <c r="BW112" i="64" s="1"/>
  <c r="BX112" i="64" s="1"/>
  <c r="BY112" i="64" s="1"/>
  <c r="BZ112" i="64" s="1"/>
  <c r="CA112" i="64" s="1"/>
  <c r="CB112" i="64" s="1"/>
  <c r="CC112" i="64" s="1"/>
  <c r="CD112" i="64" s="1"/>
  <c r="CE112" i="64" s="1"/>
  <c r="CF112" i="64" s="1"/>
  <c r="CG112" i="64" s="1"/>
  <c r="CH112" i="64" s="1"/>
  <c r="CI112" i="64" s="1"/>
  <c r="CJ112" i="64" s="1"/>
  <c r="CK112" i="64" s="1"/>
  <c r="CL112" i="64" s="1"/>
  <c r="CM112" i="64" s="1"/>
  <c r="CN112" i="64" s="1"/>
  <c r="CO112" i="64" s="1"/>
  <c r="CP112" i="64" s="1"/>
  <c r="CQ112" i="64" s="1"/>
  <c r="CR112" i="64" s="1"/>
  <c r="CS112" i="64" s="1"/>
  <c r="CT112" i="64" s="1"/>
  <c r="CU112" i="64" s="1"/>
  <c r="CV112" i="64" s="1"/>
  <c r="CW112" i="64" s="1"/>
  <c r="CX112" i="64" s="1"/>
  <c r="CY112" i="64" s="1"/>
  <c r="CZ112" i="64" s="1"/>
  <c r="DA112" i="64" s="1"/>
  <c r="DB112" i="64" s="1"/>
  <c r="DC112" i="64" s="1"/>
  <c r="DD112" i="64" s="1"/>
  <c r="DE112" i="64" s="1"/>
  <c r="DF112" i="64" s="1"/>
  <c r="DG112" i="64" s="1"/>
  <c r="DH112" i="64" s="1"/>
  <c r="DI112" i="64" s="1"/>
  <c r="DJ112" i="64" s="1"/>
  <c r="DK112" i="64" s="1"/>
  <c r="DL112" i="64" s="1"/>
  <c r="DM112" i="64" s="1"/>
  <c r="DN112" i="64" s="1"/>
  <c r="DO112" i="64" s="1"/>
  <c r="DP112" i="64" s="1"/>
  <c r="DQ112" i="64" s="1"/>
  <c r="DR112" i="64" s="1"/>
  <c r="DS112" i="64" s="1"/>
  <c r="DT112" i="64" s="1"/>
  <c r="DU112" i="64" s="1"/>
  <c r="DV112" i="64" s="1"/>
  <c r="DW112" i="64" s="1"/>
  <c r="DX112" i="64" s="1"/>
  <c r="DY112" i="64" s="1"/>
  <c r="DZ112" i="64" s="1"/>
  <c r="EA112" i="64" s="1"/>
  <c r="EB112" i="64" s="1"/>
  <c r="EC112" i="64" s="1"/>
  <c r="ED112" i="64" s="1"/>
  <c r="EE112" i="64" s="1"/>
  <c r="EF112" i="64" s="1"/>
  <c r="EG112" i="64" s="1"/>
  <c r="EH112" i="64" s="1"/>
  <c r="EI112" i="64" s="1"/>
  <c r="EJ112" i="64" s="1"/>
  <c r="EK112" i="64" s="1"/>
  <c r="EL112" i="64" s="1"/>
  <c r="EM112" i="64" s="1"/>
  <c r="EN112" i="64" s="1"/>
  <c r="EO112" i="64" s="1"/>
  <c r="EP112" i="64" s="1"/>
  <c r="EQ112" i="64" s="1"/>
  <c r="M110" i="64"/>
  <c r="L110" i="64"/>
  <c r="M109" i="64"/>
  <c r="M108" i="64"/>
  <c r="L108" i="64"/>
  <c r="EY108" i="64" s="1"/>
  <c r="M107" i="64"/>
  <c r="M106" i="64"/>
  <c r="L106" i="64"/>
  <c r="IA110" i="64"/>
  <c r="HZ110" i="64"/>
  <c r="HY110" i="64"/>
  <c r="GL110" i="64"/>
  <c r="GJ110" i="64"/>
  <c r="GI110" i="64"/>
  <c r="GH110" i="64"/>
  <c r="GG110" i="64"/>
  <c r="GF110" i="64"/>
  <c r="GE110" i="64"/>
  <c r="GD110" i="64"/>
  <c r="GC110" i="64"/>
  <c r="GB110" i="64"/>
  <c r="GA110" i="64"/>
  <c r="FZ110" i="64"/>
  <c r="FY110" i="64"/>
  <c r="FX110" i="64"/>
  <c r="FW110" i="64"/>
  <c r="FV110" i="64"/>
  <c r="FU110" i="64"/>
  <c r="FT110" i="64"/>
  <c r="FS110" i="64"/>
  <c r="FR110" i="64"/>
  <c r="FQ110" i="64"/>
  <c r="FP110" i="64"/>
  <c r="FO110" i="64"/>
  <c r="FN110" i="64"/>
  <c r="FM110" i="64"/>
  <c r="FL110" i="64"/>
  <c r="FK110" i="64"/>
  <c r="FJ110" i="64"/>
  <c r="FI110" i="64"/>
  <c r="FH110" i="64"/>
  <c r="FG110" i="64"/>
  <c r="FF110" i="64"/>
  <c r="FD110" i="64"/>
  <c r="FC110" i="64"/>
  <c r="EU110" i="64"/>
  <c r="ET110" i="64"/>
  <c r="ES110" i="64"/>
  <c r="ER110" i="64"/>
  <c r="EQ110" i="64"/>
  <c r="EV110" i="64" s="1"/>
  <c r="EP110" i="64"/>
  <c r="IA109" i="64"/>
  <c r="HZ109" i="64"/>
  <c r="HY109" i="64"/>
  <c r="GL109" i="64"/>
  <c r="FD109" i="64" s="1"/>
  <c r="FC109" i="64"/>
  <c r="FA109" i="64"/>
  <c r="EZ109" i="64"/>
  <c r="EX109" i="64"/>
  <c r="EU109" i="64"/>
  <c r="ET109" i="64"/>
  <c r="ES109" i="64"/>
  <c r="ER109" i="64"/>
  <c r="EQ109" i="64"/>
  <c r="EP109" i="64"/>
  <c r="IA108" i="64"/>
  <c r="HZ108" i="64"/>
  <c r="HY108" i="64"/>
  <c r="GL108" i="64"/>
  <c r="FD108" i="64"/>
  <c r="FC108" i="64"/>
  <c r="FA108" i="64"/>
  <c r="EZ108" i="64"/>
  <c r="EX108" i="64"/>
  <c r="EU108" i="64"/>
  <c r="ET108" i="64"/>
  <c r="ES108" i="64"/>
  <c r="ER108" i="64"/>
  <c r="EQ108" i="64"/>
  <c r="EP108" i="64"/>
  <c r="IA107" i="64"/>
  <c r="HZ107" i="64"/>
  <c r="HY107" i="64"/>
  <c r="GL107" i="64"/>
  <c r="FD107" i="64" s="1"/>
  <c r="FC107" i="64"/>
  <c r="FA107" i="64"/>
  <c r="EZ107" i="64"/>
  <c r="EX107" i="64"/>
  <c r="EU107" i="64"/>
  <c r="ET107" i="64"/>
  <c r="ES107" i="64"/>
  <c r="ER107" i="64"/>
  <c r="EQ107" i="64"/>
  <c r="EP107" i="64"/>
  <c r="IA106" i="64"/>
  <c r="HZ106" i="64"/>
  <c r="HY106" i="64"/>
  <c r="HP106" i="64"/>
  <c r="HO106" i="64"/>
  <c r="HN106" i="64"/>
  <c r="HM106" i="64"/>
  <c r="HL106" i="64"/>
  <c r="HK106" i="64"/>
  <c r="HJ106" i="64"/>
  <c r="HI106" i="64"/>
  <c r="HH106" i="64"/>
  <c r="HG106" i="64"/>
  <c r="HF106" i="64"/>
  <c r="HE106" i="64"/>
  <c r="HD106" i="64"/>
  <c r="HC106" i="64"/>
  <c r="HB106" i="64"/>
  <c r="HA106" i="64"/>
  <c r="GZ106" i="64"/>
  <c r="GY106" i="64"/>
  <c r="GX106" i="64"/>
  <c r="GW106" i="64"/>
  <c r="GV106" i="64"/>
  <c r="GU106" i="64"/>
  <c r="GT106" i="64"/>
  <c r="GS106" i="64"/>
  <c r="GR106" i="64"/>
  <c r="GQ106" i="64"/>
  <c r="GP106" i="64"/>
  <c r="GO106" i="64"/>
  <c r="GN106" i="64"/>
  <c r="GL106" i="64"/>
  <c r="GJ106" i="64"/>
  <c r="GI106" i="64"/>
  <c r="GH106" i="64"/>
  <c r="GG106" i="64"/>
  <c r="GF106" i="64"/>
  <c r="GE106" i="64"/>
  <c r="GD106" i="64"/>
  <c r="GC106" i="64"/>
  <c r="GB106" i="64"/>
  <c r="GA106" i="64"/>
  <c r="FZ106" i="64"/>
  <c r="FY106" i="64"/>
  <c r="FX106" i="64"/>
  <c r="FW106" i="64"/>
  <c r="FV106" i="64"/>
  <c r="FU106" i="64"/>
  <c r="FT106" i="64"/>
  <c r="FS106" i="64"/>
  <c r="FR106" i="64"/>
  <c r="FQ106" i="64"/>
  <c r="FP106" i="64"/>
  <c r="FO106" i="64"/>
  <c r="FN106" i="64"/>
  <c r="FM106" i="64"/>
  <c r="FL106" i="64"/>
  <c r="FK106" i="64"/>
  <c r="FJ106" i="64"/>
  <c r="FI106" i="64"/>
  <c r="FH106" i="64"/>
  <c r="FG106" i="64"/>
  <c r="FA106" i="64" s="1"/>
  <c r="FF106" i="64"/>
  <c r="FD106" i="64"/>
  <c r="FC106" i="64"/>
  <c r="EX106" i="64"/>
  <c r="EW106" i="64"/>
  <c r="EU106" i="64"/>
  <c r="ET106" i="64"/>
  <c r="ES106" i="64"/>
  <c r="ER106" i="64"/>
  <c r="EQ106" i="64"/>
  <c r="EP106" i="64"/>
  <c r="M105" i="64"/>
  <c r="L105" i="64"/>
  <c r="M103" i="64"/>
  <c r="L103" i="64"/>
  <c r="EY103" i="64" s="1"/>
  <c r="M101" i="64"/>
  <c r="L101" i="64"/>
  <c r="EY101" i="64" s="1"/>
  <c r="IA105" i="64"/>
  <c r="HZ105" i="64"/>
  <c r="HY105" i="64"/>
  <c r="GL105" i="64"/>
  <c r="GJ105" i="64"/>
  <c r="GI105" i="64"/>
  <c r="GH105" i="64"/>
  <c r="GG105" i="64"/>
  <c r="GF105" i="64"/>
  <c r="GE105" i="64"/>
  <c r="GD105" i="64"/>
  <c r="GC105" i="64"/>
  <c r="GB105" i="64"/>
  <c r="GA105" i="64"/>
  <c r="FZ105" i="64"/>
  <c r="FY105" i="64"/>
  <c r="FX105" i="64"/>
  <c r="FW105" i="64"/>
  <c r="FV105" i="64"/>
  <c r="FU105" i="64"/>
  <c r="FT105" i="64"/>
  <c r="FS105" i="64"/>
  <c r="FR105" i="64"/>
  <c r="FQ105" i="64"/>
  <c r="FP105" i="64"/>
  <c r="FO105" i="64"/>
  <c r="FN105" i="64"/>
  <c r="FM105" i="64"/>
  <c r="FL105" i="64"/>
  <c r="FK105" i="64"/>
  <c r="FJ105" i="64"/>
  <c r="FI105" i="64"/>
  <c r="FH105" i="64"/>
  <c r="FG105" i="64"/>
  <c r="FF105" i="64"/>
  <c r="FD105" i="64"/>
  <c r="FC105" i="64"/>
  <c r="EU105" i="64"/>
  <c r="ET105" i="64"/>
  <c r="ES105" i="64"/>
  <c r="ER105" i="64"/>
  <c r="EQ105" i="64"/>
  <c r="EP105" i="64"/>
  <c r="IA104" i="64"/>
  <c r="HZ104" i="64"/>
  <c r="HY104" i="64"/>
  <c r="GL104" i="64"/>
  <c r="FD104" i="64" s="1"/>
  <c r="FC104" i="64"/>
  <c r="FA104" i="64"/>
  <c r="EZ104" i="64"/>
  <c r="EX104" i="64"/>
  <c r="EU104" i="64"/>
  <c r="ET104" i="64"/>
  <c r="ES104" i="64"/>
  <c r="ER104" i="64"/>
  <c r="EQ104" i="64"/>
  <c r="EP104" i="64"/>
  <c r="IA103" i="64"/>
  <c r="HZ103" i="64"/>
  <c r="HY103" i="64"/>
  <c r="GL103" i="64"/>
  <c r="FD103" i="64" s="1"/>
  <c r="FC103" i="64"/>
  <c r="FA103" i="64"/>
  <c r="EZ103" i="64"/>
  <c r="EX103" i="64"/>
  <c r="EU103" i="64"/>
  <c r="ET103" i="64"/>
  <c r="ES103" i="64"/>
  <c r="ER103" i="64"/>
  <c r="EQ103" i="64"/>
  <c r="EP103" i="64"/>
  <c r="IA102" i="64"/>
  <c r="HZ102" i="64"/>
  <c r="HY102" i="64"/>
  <c r="GL102" i="64"/>
  <c r="FD102" i="64" s="1"/>
  <c r="FC102" i="64"/>
  <c r="FA102" i="64"/>
  <c r="EZ102" i="64"/>
  <c r="EX102" i="64"/>
  <c r="EU102" i="64"/>
  <c r="ET102" i="64"/>
  <c r="ES102" i="64"/>
  <c r="ER102" i="64"/>
  <c r="EQ102" i="64"/>
  <c r="EP102" i="64"/>
  <c r="IA101" i="64"/>
  <c r="HZ101" i="64"/>
  <c r="HY101" i="64"/>
  <c r="HP101" i="64"/>
  <c r="HO101" i="64"/>
  <c r="HN101" i="64"/>
  <c r="HM101" i="64"/>
  <c r="HL101" i="64"/>
  <c r="HK101" i="64"/>
  <c r="HJ101" i="64"/>
  <c r="HI101" i="64"/>
  <c r="HH101" i="64"/>
  <c r="HG101" i="64"/>
  <c r="HF101" i="64"/>
  <c r="HE101" i="64"/>
  <c r="HD101" i="64"/>
  <c r="HC101" i="64"/>
  <c r="HB101" i="64"/>
  <c r="HA101" i="64"/>
  <c r="GZ101" i="64"/>
  <c r="GY101" i="64"/>
  <c r="GX101" i="64"/>
  <c r="GW101" i="64"/>
  <c r="GV101" i="64"/>
  <c r="GU101" i="64"/>
  <c r="GT101" i="64"/>
  <c r="GS101" i="64"/>
  <c r="GR101" i="64"/>
  <c r="GQ101" i="64"/>
  <c r="GP101" i="64"/>
  <c r="GO101" i="64"/>
  <c r="GN101" i="64"/>
  <c r="GL101" i="64"/>
  <c r="GJ101" i="64"/>
  <c r="GI101" i="64"/>
  <c r="GH101" i="64"/>
  <c r="GG101" i="64"/>
  <c r="GF101" i="64"/>
  <c r="GE101" i="64"/>
  <c r="GD101" i="64"/>
  <c r="GC101" i="64"/>
  <c r="GB101" i="64"/>
  <c r="GA101" i="64"/>
  <c r="FZ101" i="64"/>
  <c r="FY101" i="64"/>
  <c r="FX101" i="64"/>
  <c r="FW101" i="64"/>
  <c r="FV101" i="64"/>
  <c r="FU101" i="64"/>
  <c r="FT101" i="64"/>
  <c r="FS101" i="64"/>
  <c r="FR101" i="64"/>
  <c r="FQ101" i="64"/>
  <c r="FP101" i="64"/>
  <c r="FO101" i="64"/>
  <c r="FN101" i="64"/>
  <c r="FM101" i="64"/>
  <c r="FL101" i="64"/>
  <c r="FK101" i="64"/>
  <c r="FJ101" i="64"/>
  <c r="FI101" i="64"/>
  <c r="FH101" i="64"/>
  <c r="FG101" i="64"/>
  <c r="FA101" i="64" s="1"/>
  <c r="FF101" i="64"/>
  <c r="FD101" i="64"/>
  <c r="FC101" i="64"/>
  <c r="EX101" i="64"/>
  <c r="EW101" i="64"/>
  <c r="EU101" i="64"/>
  <c r="ET101" i="64"/>
  <c r="ES101" i="64"/>
  <c r="ER101" i="64"/>
  <c r="EQ101" i="64"/>
  <c r="EP101" i="64"/>
  <c r="M100" i="64"/>
  <c r="L100" i="64"/>
  <c r="M99" i="64"/>
  <c r="L99" i="64"/>
  <c r="EY99" i="64" s="1"/>
  <c r="M98" i="64"/>
  <c r="L98" i="64"/>
  <c r="M97" i="64"/>
  <c r="L97" i="64"/>
  <c r="EY97" i="64" s="1"/>
  <c r="M96" i="64"/>
  <c r="L96" i="64"/>
  <c r="IA100" i="64"/>
  <c r="HZ100" i="64"/>
  <c r="HY100" i="64"/>
  <c r="GL100" i="64"/>
  <c r="GJ100" i="64"/>
  <c r="GI100" i="64"/>
  <c r="GH100" i="64"/>
  <c r="GG100" i="64"/>
  <c r="GF100" i="64"/>
  <c r="GE100" i="64"/>
  <c r="GD100" i="64"/>
  <c r="GC100" i="64"/>
  <c r="GB100" i="64"/>
  <c r="GA100" i="64"/>
  <c r="FZ100" i="64"/>
  <c r="FY100" i="64"/>
  <c r="FX100" i="64"/>
  <c r="FW100" i="64"/>
  <c r="FV100" i="64"/>
  <c r="FU100" i="64"/>
  <c r="FT100" i="64"/>
  <c r="FS100" i="64"/>
  <c r="FR100" i="64"/>
  <c r="FQ100" i="64"/>
  <c r="FP100" i="64"/>
  <c r="FO100" i="64"/>
  <c r="FN100" i="64"/>
  <c r="FM100" i="64"/>
  <c r="FL100" i="64"/>
  <c r="FK100" i="64"/>
  <c r="FJ100" i="64"/>
  <c r="FI100" i="64"/>
  <c r="FH100" i="64"/>
  <c r="FG100" i="64"/>
  <c r="FF100" i="64"/>
  <c r="FD100" i="64"/>
  <c r="FC100" i="64"/>
  <c r="EU100" i="64"/>
  <c r="ET100" i="64"/>
  <c r="ES100" i="64"/>
  <c r="ER100" i="64"/>
  <c r="EQ100" i="64"/>
  <c r="EP100" i="64"/>
  <c r="IA99" i="64"/>
  <c r="HZ99" i="64"/>
  <c r="HY99" i="64"/>
  <c r="GL99" i="64"/>
  <c r="FD99" i="64" s="1"/>
  <c r="FC99" i="64"/>
  <c r="FA99" i="64"/>
  <c r="EZ99" i="64"/>
  <c r="EX99" i="64"/>
  <c r="EU99" i="64"/>
  <c r="ET99" i="64"/>
  <c r="ES99" i="64"/>
  <c r="ER99" i="64"/>
  <c r="EQ99" i="64"/>
  <c r="EP99" i="64"/>
  <c r="IA98" i="64"/>
  <c r="HZ98" i="64"/>
  <c r="HY98" i="64"/>
  <c r="GL98" i="64"/>
  <c r="FD98" i="64" s="1"/>
  <c r="FC98" i="64"/>
  <c r="FA98" i="64"/>
  <c r="EZ98" i="64"/>
  <c r="EY98" i="64"/>
  <c r="EX98" i="64"/>
  <c r="EU98" i="64"/>
  <c r="ET98" i="64"/>
  <c r="ES98" i="64"/>
  <c r="ER98" i="64"/>
  <c r="EQ98" i="64"/>
  <c r="EP98" i="64"/>
  <c r="IA97" i="64"/>
  <c r="HZ97" i="64"/>
  <c r="HY97" i="64"/>
  <c r="GL97" i="64"/>
  <c r="FD97" i="64" s="1"/>
  <c r="FC97" i="64"/>
  <c r="FA97" i="64"/>
  <c r="EZ97" i="64"/>
  <c r="EX97" i="64"/>
  <c r="EU97" i="64"/>
  <c r="ET97" i="64"/>
  <c r="ES97" i="64"/>
  <c r="ER97" i="64"/>
  <c r="EQ97" i="64"/>
  <c r="EP97" i="64"/>
  <c r="IA96" i="64"/>
  <c r="HZ96" i="64"/>
  <c r="HY96" i="64"/>
  <c r="HP96" i="64"/>
  <c r="HO96" i="64"/>
  <c r="HN96" i="64"/>
  <c r="HM96" i="64"/>
  <c r="HL96" i="64"/>
  <c r="HK96" i="64"/>
  <c r="HJ96" i="64"/>
  <c r="HI96" i="64"/>
  <c r="HH96" i="64"/>
  <c r="HG96" i="64"/>
  <c r="HF96" i="64"/>
  <c r="HE96" i="64"/>
  <c r="HD96" i="64"/>
  <c r="HC96" i="64"/>
  <c r="HB96" i="64"/>
  <c r="HA96" i="64"/>
  <c r="GZ96" i="64"/>
  <c r="GY96" i="64"/>
  <c r="GX96" i="64"/>
  <c r="GW96" i="64"/>
  <c r="GV96" i="64"/>
  <c r="GU96" i="64"/>
  <c r="GT96" i="64"/>
  <c r="GS96" i="64"/>
  <c r="GR96" i="64"/>
  <c r="GQ96" i="64"/>
  <c r="GP96" i="64"/>
  <c r="GO96" i="64"/>
  <c r="GN96" i="64"/>
  <c r="GL96" i="64"/>
  <c r="GJ96" i="64"/>
  <c r="GI96" i="64"/>
  <c r="GH96" i="64"/>
  <c r="GG96" i="64"/>
  <c r="GF96" i="64"/>
  <c r="GE96" i="64"/>
  <c r="GD96" i="64"/>
  <c r="GC96" i="64"/>
  <c r="GB96" i="64"/>
  <c r="GA96" i="64"/>
  <c r="FZ96" i="64"/>
  <c r="FY96" i="64"/>
  <c r="FX96" i="64"/>
  <c r="FW96" i="64"/>
  <c r="FV96" i="64"/>
  <c r="FU96" i="64"/>
  <c r="FT96" i="64"/>
  <c r="FS96" i="64"/>
  <c r="FR96" i="64"/>
  <c r="FQ96" i="64"/>
  <c r="FP96" i="64"/>
  <c r="FO96" i="64"/>
  <c r="FN96" i="64"/>
  <c r="FM96" i="64"/>
  <c r="FL96" i="64"/>
  <c r="FK96" i="64"/>
  <c r="FJ96" i="64"/>
  <c r="FI96" i="64"/>
  <c r="FH96" i="64"/>
  <c r="FG96" i="64"/>
  <c r="FF96" i="64"/>
  <c r="FD96" i="64"/>
  <c r="FC96" i="64"/>
  <c r="EY96" i="64"/>
  <c r="EX96" i="64"/>
  <c r="EW96" i="64"/>
  <c r="EU96" i="64"/>
  <c r="ET96" i="64"/>
  <c r="ES96" i="64"/>
  <c r="ER96" i="64"/>
  <c r="EQ96" i="64"/>
  <c r="EP96" i="64"/>
  <c r="M95" i="64"/>
  <c r="L95" i="64"/>
  <c r="M93" i="64"/>
  <c r="L93" i="64"/>
  <c r="EY93" i="64" s="1"/>
  <c r="M91" i="64"/>
  <c r="L91" i="64"/>
  <c r="EY91" i="64" s="1"/>
  <c r="IA95" i="64"/>
  <c r="HZ95" i="64"/>
  <c r="HY95" i="64"/>
  <c r="GL95" i="64"/>
  <c r="GJ95" i="64"/>
  <c r="GI95" i="64"/>
  <c r="GH95" i="64"/>
  <c r="GG95" i="64"/>
  <c r="GF95" i="64"/>
  <c r="GE95" i="64"/>
  <c r="GD95" i="64"/>
  <c r="GC95" i="64"/>
  <c r="GB95" i="64"/>
  <c r="GA95" i="64"/>
  <c r="FZ95" i="64"/>
  <c r="FY95" i="64"/>
  <c r="FX95" i="64"/>
  <c r="FW95" i="64"/>
  <c r="FV95" i="64"/>
  <c r="FU95" i="64"/>
  <c r="FT95" i="64"/>
  <c r="FS95" i="64"/>
  <c r="FR95" i="64"/>
  <c r="FQ95" i="64"/>
  <c r="FP95" i="64"/>
  <c r="FO95" i="64"/>
  <c r="FN95" i="64"/>
  <c r="FM95" i="64"/>
  <c r="FL95" i="64"/>
  <c r="FK95" i="64"/>
  <c r="FJ95" i="64"/>
  <c r="FI95" i="64"/>
  <c r="FH95" i="64"/>
  <c r="FG95" i="64"/>
  <c r="FF95" i="64"/>
  <c r="FD95" i="64"/>
  <c r="FC95" i="64"/>
  <c r="EU95" i="64"/>
  <c r="ET95" i="64"/>
  <c r="ES95" i="64"/>
  <c r="ER95" i="64"/>
  <c r="EQ95" i="64"/>
  <c r="EV95" i="64" s="1"/>
  <c r="EP95" i="64"/>
  <c r="IA94" i="64"/>
  <c r="HZ94" i="64"/>
  <c r="HY94" i="64"/>
  <c r="GL94" i="64"/>
  <c r="FD94" i="64" s="1"/>
  <c r="FC94" i="64"/>
  <c r="FA94" i="64"/>
  <c r="EZ94" i="64"/>
  <c r="EX94" i="64"/>
  <c r="EU94" i="64"/>
  <c r="ET94" i="64"/>
  <c r="ES94" i="64"/>
  <c r="ER94" i="64"/>
  <c r="EQ94" i="64"/>
  <c r="EP94" i="64"/>
  <c r="IA93" i="64"/>
  <c r="HZ93" i="64"/>
  <c r="HY93" i="64"/>
  <c r="GL93" i="64"/>
  <c r="FD93" i="64" s="1"/>
  <c r="FC93" i="64"/>
  <c r="FA93" i="64"/>
  <c r="EZ93" i="64"/>
  <c r="EX93" i="64"/>
  <c r="EU93" i="64"/>
  <c r="ET93" i="64"/>
  <c r="ES93" i="64"/>
  <c r="ER93" i="64"/>
  <c r="EQ93" i="64"/>
  <c r="EP93" i="64"/>
  <c r="IA92" i="64"/>
  <c r="HZ92" i="64"/>
  <c r="HY92" i="64"/>
  <c r="GL92" i="64"/>
  <c r="FD92" i="64" s="1"/>
  <c r="FC92" i="64"/>
  <c r="FA92" i="64"/>
  <c r="EZ92" i="64"/>
  <c r="EX92" i="64"/>
  <c r="EU92" i="64"/>
  <c r="ET92" i="64"/>
  <c r="ES92" i="64"/>
  <c r="ER92" i="64"/>
  <c r="EQ92" i="64"/>
  <c r="EP92" i="64"/>
  <c r="IA91" i="64"/>
  <c r="HZ91" i="64"/>
  <c r="HY91" i="64"/>
  <c r="HP91" i="64"/>
  <c r="HO91" i="64"/>
  <c r="HN91" i="64"/>
  <c r="HM91" i="64"/>
  <c r="HL91" i="64"/>
  <c r="HK91" i="64"/>
  <c r="HJ91" i="64"/>
  <c r="HI91" i="64"/>
  <c r="HH91" i="64"/>
  <c r="HG91" i="64"/>
  <c r="HF91" i="64"/>
  <c r="HE91" i="64"/>
  <c r="HD91" i="64"/>
  <c r="HC91" i="64"/>
  <c r="HB91" i="64"/>
  <c r="HA91" i="64"/>
  <c r="GZ91" i="64"/>
  <c r="GY91" i="64"/>
  <c r="GX91" i="64"/>
  <c r="GW91" i="64"/>
  <c r="GV91" i="64"/>
  <c r="GU91" i="64"/>
  <c r="GT91" i="64"/>
  <c r="GS91" i="64"/>
  <c r="GR91" i="64"/>
  <c r="GQ91" i="64"/>
  <c r="GP91" i="64"/>
  <c r="GO91" i="64"/>
  <c r="GN91" i="64"/>
  <c r="GL91" i="64"/>
  <c r="GJ91" i="64"/>
  <c r="GI91" i="64"/>
  <c r="GH91" i="64"/>
  <c r="GG91" i="64"/>
  <c r="GF91" i="64"/>
  <c r="GE91" i="64"/>
  <c r="GD91" i="64"/>
  <c r="GC91" i="64"/>
  <c r="GB91" i="64"/>
  <c r="GA91" i="64"/>
  <c r="FZ91" i="64"/>
  <c r="FY91" i="64"/>
  <c r="FX91" i="64"/>
  <c r="FW91" i="64"/>
  <c r="FV91" i="64"/>
  <c r="FU91" i="64"/>
  <c r="FT91" i="64"/>
  <c r="FS91" i="64"/>
  <c r="FR91" i="64"/>
  <c r="FQ91" i="64"/>
  <c r="FP91" i="64"/>
  <c r="FO91" i="64"/>
  <c r="FN91" i="64"/>
  <c r="FM91" i="64"/>
  <c r="FL91" i="64"/>
  <c r="FK91" i="64"/>
  <c r="FJ91" i="64"/>
  <c r="FI91" i="64"/>
  <c r="FH91" i="64"/>
  <c r="FG91" i="64"/>
  <c r="FA91" i="64" s="1"/>
  <c r="FF91" i="64"/>
  <c r="FD91" i="64"/>
  <c r="FC91" i="64"/>
  <c r="EX91" i="64"/>
  <c r="EW91" i="64"/>
  <c r="EU91" i="64"/>
  <c r="ET91" i="64"/>
  <c r="ES91" i="64"/>
  <c r="ER91" i="64"/>
  <c r="EQ91" i="64"/>
  <c r="EP91" i="64"/>
  <c r="M90" i="64"/>
  <c r="L90" i="64"/>
  <c r="M88" i="64"/>
  <c r="L88" i="64"/>
  <c r="M86" i="64"/>
  <c r="EY86" i="64" s="1"/>
  <c r="L86" i="64"/>
  <c r="IA90" i="64"/>
  <c r="HZ90" i="64"/>
  <c r="HY90" i="64"/>
  <c r="GL90" i="64"/>
  <c r="GJ90" i="64"/>
  <c r="GI90" i="64"/>
  <c r="GH90" i="64"/>
  <c r="GG90" i="64"/>
  <c r="GF90" i="64"/>
  <c r="GE90" i="64"/>
  <c r="GD90" i="64"/>
  <c r="GC90" i="64"/>
  <c r="GB90" i="64"/>
  <c r="GA90" i="64"/>
  <c r="FZ90" i="64"/>
  <c r="FY90" i="64"/>
  <c r="FX90" i="64"/>
  <c r="FW90" i="64"/>
  <c r="FV90" i="64"/>
  <c r="FU90" i="64"/>
  <c r="FT90" i="64"/>
  <c r="FS90" i="64"/>
  <c r="FR90" i="64"/>
  <c r="FQ90" i="64"/>
  <c r="FP90" i="64"/>
  <c r="FO90" i="64"/>
  <c r="FN90" i="64"/>
  <c r="FM90" i="64"/>
  <c r="FL90" i="64"/>
  <c r="FK90" i="64"/>
  <c r="FJ90" i="64"/>
  <c r="FI90" i="64"/>
  <c r="FH90" i="64"/>
  <c r="FG90" i="64"/>
  <c r="FF90" i="64"/>
  <c r="FD90" i="64"/>
  <c r="FC90" i="64"/>
  <c r="EU90" i="64"/>
  <c r="ET90" i="64"/>
  <c r="ES90" i="64"/>
  <c r="ER90" i="64"/>
  <c r="EQ90" i="64"/>
  <c r="EP90" i="64"/>
  <c r="IA89" i="64"/>
  <c r="HZ89" i="64"/>
  <c r="HY89" i="64"/>
  <c r="GL89" i="64"/>
  <c r="FD89" i="64" s="1"/>
  <c r="FC89" i="64"/>
  <c r="FA89" i="64"/>
  <c r="EZ89" i="64"/>
  <c r="EX89" i="64"/>
  <c r="EU89" i="64"/>
  <c r="ET89" i="64"/>
  <c r="ES89" i="64"/>
  <c r="ER89" i="64"/>
  <c r="EQ89" i="64"/>
  <c r="EP89" i="64"/>
  <c r="IA88" i="64"/>
  <c r="HZ88" i="64"/>
  <c r="HY88" i="64"/>
  <c r="GL88" i="64"/>
  <c r="FD88" i="64" s="1"/>
  <c r="FC88" i="64"/>
  <c r="FA88" i="64"/>
  <c r="EZ88" i="64"/>
  <c r="EX88" i="64"/>
  <c r="EU88" i="64"/>
  <c r="ET88" i="64"/>
  <c r="ES88" i="64"/>
  <c r="ER88" i="64"/>
  <c r="EQ88" i="64"/>
  <c r="EP88" i="64"/>
  <c r="IA87" i="64"/>
  <c r="HZ87" i="64"/>
  <c r="HY87" i="64"/>
  <c r="GL87" i="64"/>
  <c r="FD87" i="64" s="1"/>
  <c r="FC87" i="64"/>
  <c r="FA87" i="64"/>
  <c r="EZ87" i="64"/>
  <c r="EX87" i="64"/>
  <c r="EU87" i="64"/>
  <c r="ET87" i="64"/>
  <c r="ES87" i="64"/>
  <c r="ER87" i="64"/>
  <c r="EQ87" i="64"/>
  <c r="EP87" i="64"/>
  <c r="IA86" i="64"/>
  <c r="HZ86" i="64"/>
  <c r="HY86" i="64"/>
  <c r="HP86" i="64"/>
  <c r="HO86" i="64"/>
  <c r="HN86" i="64"/>
  <c r="HM86" i="64"/>
  <c r="HL86" i="64"/>
  <c r="HK86" i="64"/>
  <c r="HJ86" i="64"/>
  <c r="HI86" i="64"/>
  <c r="HH86" i="64"/>
  <c r="HG86" i="64"/>
  <c r="HF86" i="64"/>
  <c r="HE86" i="64"/>
  <c r="HD86" i="64"/>
  <c r="HC86" i="64"/>
  <c r="HB86" i="64"/>
  <c r="HA86" i="64"/>
  <c r="GZ86" i="64"/>
  <c r="GY86" i="64"/>
  <c r="GX86" i="64"/>
  <c r="GW86" i="64"/>
  <c r="GV86" i="64"/>
  <c r="GU86" i="64"/>
  <c r="GT86" i="64"/>
  <c r="GS86" i="64"/>
  <c r="GR86" i="64"/>
  <c r="GQ86" i="64"/>
  <c r="GP86" i="64"/>
  <c r="GO86" i="64"/>
  <c r="GN86" i="64"/>
  <c r="GL86" i="64"/>
  <c r="GJ86" i="64"/>
  <c r="GI86" i="64"/>
  <c r="GH86" i="64"/>
  <c r="GG86" i="64"/>
  <c r="GF86" i="64"/>
  <c r="GE86" i="64"/>
  <c r="GD86" i="64"/>
  <c r="GC86" i="64"/>
  <c r="GB86" i="64"/>
  <c r="GA86" i="64"/>
  <c r="FZ86" i="64"/>
  <c r="FY86" i="64"/>
  <c r="FX86" i="64"/>
  <c r="FW86" i="64"/>
  <c r="FV86" i="64"/>
  <c r="FU86" i="64"/>
  <c r="FT86" i="64"/>
  <c r="FS86" i="64"/>
  <c r="FR86" i="64"/>
  <c r="FQ86" i="64"/>
  <c r="FP86" i="64"/>
  <c r="FO86" i="64"/>
  <c r="FN86" i="64"/>
  <c r="FM86" i="64"/>
  <c r="FL86" i="64"/>
  <c r="FK86" i="64"/>
  <c r="FJ86" i="64"/>
  <c r="FI86" i="64"/>
  <c r="FH86" i="64"/>
  <c r="FG86" i="64"/>
  <c r="FF86" i="64"/>
  <c r="FD86" i="64"/>
  <c r="FC86" i="64"/>
  <c r="EX86" i="64"/>
  <c r="EW86" i="64"/>
  <c r="EU86" i="64"/>
  <c r="ET86" i="64"/>
  <c r="ES86" i="64"/>
  <c r="ER86" i="64"/>
  <c r="EQ86" i="64"/>
  <c r="EP86" i="64"/>
  <c r="M85" i="64"/>
  <c r="L85" i="64"/>
  <c r="M84" i="64"/>
  <c r="M83" i="64"/>
  <c r="L83" i="64"/>
  <c r="M82" i="64"/>
  <c r="M81" i="64"/>
  <c r="EY81" i="64" s="1"/>
  <c r="L81" i="64"/>
  <c r="IA85" i="64"/>
  <c r="HZ85" i="64"/>
  <c r="HY85" i="64"/>
  <c r="GL85" i="64"/>
  <c r="GJ85" i="64"/>
  <c r="GI85" i="64"/>
  <c r="GH85" i="64"/>
  <c r="GG85" i="64"/>
  <c r="GF85" i="64"/>
  <c r="GE85" i="64"/>
  <c r="GD85" i="64"/>
  <c r="GC85" i="64"/>
  <c r="GB85" i="64"/>
  <c r="GA85" i="64"/>
  <c r="FZ85" i="64"/>
  <c r="FY85" i="64"/>
  <c r="FX85" i="64"/>
  <c r="FW85" i="64"/>
  <c r="FV85" i="64"/>
  <c r="FU85" i="64"/>
  <c r="FT85" i="64"/>
  <c r="FS85" i="64"/>
  <c r="FR85" i="64"/>
  <c r="FQ85" i="64"/>
  <c r="FP85" i="64"/>
  <c r="FO85" i="64"/>
  <c r="FN85" i="64"/>
  <c r="FM85" i="64"/>
  <c r="FL85" i="64"/>
  <c r="FK85" i="64"/>
  <c r="FJ85" i="64"/>
  <c r="FI85" i="64"/>
  <c r="FH85" i="64"/>
  <c r="FG85" i="64"/>
  <c r="FF85" i="64"/>
  <c r="FD85" i="64"/>
  <c r="FC85" i="64"/>
  <c r="EU85" i="64"/>
  <c r="ET85" i="64"/>
  <c r="ES85" i="64"/>
  <c r="ER85" i="64"/>
  <c r="EQ85" i="64"/>
  <c r="EP85" i="64"/>
  <c r="IA84" i="64"/>
  <c r="HZ84" i="64"/>
  <c r="HY84" i="64"/>
  <c r="GL84" i="64"/>
  <c r="FD84" i="64" s="1"/>
  <c r="FC84" i="64"/>
  <c r="FA84" i="64"/>
  <c r="EZ84" i="64"/>
  <c r="EX84" i="64"/>
  <c r="EU84" i="64"/>
  <c r="ET84" i="64"/>
  <c r="ES84" i="64"/>
  <c r="ER84" i="64"/>
  <c r="EQ84" i="64"/>
  <c r="EP84" i="64"/>
  <c r="IA83" i="64"/>
  <c r="HZ83" i="64"/>
  <c r="HY83" i="64"/>
  <c r="GL83" i="64"/>
  <c r="FD83" i="64" s="1"/>
  <c r="FC83" i="64"/>
  <c r="FA83" i="64"/>
  <c r="EZ83" i="64"/>
  <c r="EY83" i="64"/>
  <c r="EX83" i="64"/>
  <c r="EU83" i="64"/>
  <c r="ET83" i="64"/>
  <c r="ES83" i="64"/>
  <c r="ER83" i="64"/>
  <c r="EQ83" i="64"/>
  <c r="EP83" i="64"/>
  <c r="IA82" i="64"/>
  <c r="HZ82" i="64"/>
  <c r="HY82" i="64"/>
  <c r="GL82" i="64"/>
  <c r="FD82" i="64" s="1"/>
  <c r="FC82" i="64"/>
  <c r="FA82" i="64"/>
  <c r="EZ82" i="64"/>
  <c r="EX82" i="64"/>
  <c r="EU82" i="64"/>
  <c r="ET82" i="64"/>
  <c r="ES82" i="64"/>
  <c r="ER82" i="64"/>
  <c r="EQ82" i="64"/>
  <c r="EP82" i="64"/>
  <c r="IA81" i="64"/>
  <c r="HZ81" i="64"/>
  <c r="HY81" i="64"/>
  <c r="HP81" i="64"/>
  <c r="HO81" i="64"/>
  <c r="HN81" i="64"/>
  <c r="HM81" i="64"/>
  <c r="HL81" i="64"/>
  <c r="HK81" i="64"/>
  <c r="HJ81" i="64"/>
  <c r="HI81" i="64"/>
  <c r="HH81" i="64"/>
  <c r="HG81" i="64"/>
  <c r="HF81" i="64"/>
  <c r="HE81" i="64"/>
  <c r="HD81" i="64"/>
  <c r="HC81" i="64"/>
  <c r="HB81" i="64"/>
  <c r="HA81" i="64"/>
  <c r="GZ81" i="64"/>
  <c r="GY81" i="64"/>
  <c r="GX81" i="64"/>
  <c r="GW81" i="64"/>
  <c r="GV81" i="64"/>
  <c r="GU81" i="64"/>
  <c r="GT81" i="64"/>
  <c r="GS81" i="64"/>
  <c r="GR81" i="64"/>
  <c r="GQ81" i="64"/>
  <c r="GP81" i="64"/>
  <c r="GO81" i="64"/>
  <c r="GN81" i="64"/>
  <c r="GL81" i="64"/>
  <c r="GJ81" i="64"/>
  <c r="GI81" i="64"/>
  <c r="GH81" i="64"/>
  <c r="GG81" i="64"/>
  <c r="GF81" i="64"/>
  <c r="GE81" i="64"/>
  <c r="GD81" i="64"/>
  <c r="GC81" i="64"/>
  <c r="GB81" i="64"/>
  <c r="GA81" i="64"/>
  <c r="FZ81" i="64"/>
  <c r="FY81" i="64"/>
  <c r="FX81" i="64"/>
  <c r="FW81" i="64"/>
  <c r="FV81" i="64"/>
  <c r="FU81" i="64"/>
  <c r="FT81" i="64"/>
  <c r="FS81" i="64"/>
  <c r="FR81" i="64"/>
  <c r="FQ81" i="64"/>
  <c r="FP81" i="64"/>
  <c r="FO81" i="64"/>
  <c r="FN81" i="64"/>
  <c r="FM81" i="64"/>
  <c r="FL81" i="64"/>
  <c r="FK81" i="64"/>
  <c r="FJ81" i="64"/>
  <c r="FI81" i="64"/>
  <c r="FH81" i="64"/>
  <c r="FG81" i="64"/>
  <c r="FF81" i="64"/>
  <c r="FD81" i="64"/>
  <c r="FC81" i="64"/>
  <c r="EX81" i="64"/>
  <c r="EW81" i="64"/>
  <c r="EU81" i="64"/>
  <c r="ET81" i="64"/>
  <c r="ES81" i="64"/>
  <c r="ER81" i="64"/>
  <c r="EQ81" i="64"/>
  <c r="EP81" i="64"/>
  <c r="M80" i="64"/>
  <c r="L80" i="64"/>
  <c r="M78" i="64"/>
  <c r="L78" i="64"/>
  <c r="M76" i="64"/>
  <c r="EY76" i="64" s="1"/>
  <c r="L76" i="64"/>
  <c r="IA80" i="64"/>
  <c r="HZ80" i="64"/>
  <c r="HY80" i="64"/>
  <c r="GL80" i="64"/>
  <c r="FD80" i="64" s="1"/>
  <c r="GJ80" i="64"/>
  <c r="GI80" i="64"/>
  <c r="GH80" i="64"/>
  <c r="GG80" i="64"/>
  <c r="GF80" i="64"/>
  <c r="GE80" i="64"/>
  <c r="GD80" i="64"/>
  <c r="GC80" i="64"/>
  <c r="GB80" i="64"/>
  <c r="GA80" i="64"/>
  <c r="FZ80" i="64"/>
  <c r="FY80" i="64"/>
  <c r="FX80" i="64"/>
  <c r="FW80" i="64"/>
  <c r="FV80" i="64"/>
  <c r="FU80" i="64"/>
  <c r="FT80" i="64"/>
  <c r="FS80" i="64"/>
  <c r="FR80" i="64"/>
  <c r="FQ80" i="64"/>
  <c r="FP80" i="64"/>
  <c r="FO80" i="64"/>
  <c r="FN80" i="64"/>
  <c r="FM80" i="64"/>
  <c r="FL80" i="64"/>
  <c r="FK80" i="64"/>
  <c r="FJ80" i="64"/>
  <c r="FI80" i="64"/>
  <c r="FH80" i="64"/>
  <c r="FG80" i="64"/>
  <c r="FF80" i="64"/>
  <c r="FC80" i="64"/>
  <c r="EU80" i="64"/>
  <c r="ET80" i="64"/>
  <c r="ES80" i="64"/>
  <c r="ER80" i="64"/>
  <c r="EQ80" i="64"/>
  <c r="EP80" i="64"/>
  <c r="IA79" i="64"/>
  <c r="HZ79" i="64"/>
  <c r="HY79" i="64"/>
  <c r="GL79" i="64"/>
  <c r="FD79" i="64" s="1"/>
  <c r="FC79" i="64"/>
  <c r="FA79" i="64"/>
  <c r="EZ79" i="64"/>
  <c r="EX79" i="64"/>
  <c r="EU79" i="64"/>
  <c r="ET79" i="64"/>
  <c r="ES79" i="64"/>
  <c r="ER79" i="64"/>
  <c r="EV79" i="64" s="1"/>
  <c r="EQ79" i="64"/>
  <c r="EP79" i="64"/>
  <c r="IA78" i="64"/>
  <c r="HZ78" i="64"/>
  <c r="HY78" i="64"/>
  <c r="GL78" i="64"/>
  <c r="FD78" i="64" s="1"/>
  <c r="FC78" i="64"/>
  <c r="FA78" i="64"/>
  <c r="EZ78" i="64"/>
  <c r="EX78" i="64"/>
  <c r="EU78" i="64"/>
  <c r="ET78" i="64"/>
  <c r="ES78" i="64"/>
  <c r="ER78" i="64"/>
  <c r="EQ78" i="64"/>
  <c r="EP78" i="64"/>
  <c r="IA77" i="64"/>
  <c r="HZ77" i="64"/>
  <c r="HY77" i="64"/>
  <c r="GL77" i="64"/>
  <c r="FD77" i="64" s="1"/>
  <c r="FC77" i="64"/>
  <c r="FA77" i="64"/>
  <c r="EZ77" i="64"/>
  <c r="EX77" i="64"/>
  <c r="EU77" i="64"/>
  <c r="ET77" i="64"/>
  <c r="ES77" i="64"/>
  <c r="ER77" i="64"/>
  <c r="EQ77" i="64"/>
  <c r="EP77" i="64"/>
  <c r="IA76" i="64"/>
  <c r="HZ76" i="64"/>
  <c r="HY76" i="64"/>
  <c r="HP76" i="64"/>
  <c r="HO76" i="64"/>
  <c r="HN76" i="64"/>
  <c r="HM76" i="64"/>
  <c r="HL76" i="64"/>
  <c r="HK76" i="64"/>
  <c r="HJ76" i="64"/>
  <c r="HI76" i="64"/>
  <c r="HH76" i="64"/>
  <c r="HG76" i="64"/>
  <c r="HF76" i="64"/>
  <c r="HE76" i="64"/>
  <c r="HD76" i="64"/>
  <c r="HC76" i="64"/>
  <c r="HB76" i="64"/>
  <c r="HA76" i="64"/>
  <c r="GZ76" i="64"/>
  <c r="GY76" i="64"/>
  <c r="GX76" i="64"/>
  <c r="GW76" i="64"/>
  <c r="GV76" i="64"/>
  <c r="GU76" i="64"/>
  <c r="GT76" i="64"/>
  <c r="GS76" i="64"/>
  <c r="GR76" i="64"/>
  <c r="GQ76" i="64"/>
  <c r="GP76" i="64"/>
  <c r="GO76" i="64"/>
  <c r="GN76" i="64"/>
  <c r="GL76" i="64"/>
  <c r="GJ76" i="64"/>
  <c r="GI76" i="64"/>
  <c r="GH76" i="64"/>
  <c r="GG76" i="64"/>
  <c r="GF76" i="64"/>
  <c r="GE76" i="64"/>
  <c r="GD76" i="64"/>
  <c r="GC76" i="64"/>
  <c r="GB76" i="64"/>
  <c r="GA76" i="64"/>
  <c r="FZ76" i="64"/>
  <c r="FY76" i="64"/>
  <c r="FX76" i="64"/>
  <c r="FW76" i="64"/>
  <c r="FV76" i="64"/>
  <c r="FU76" i="64"/>
  <c r="FT76" i="64"/>
  <c r="FS76" i="64"/>
  <c r="FR76" i="64"/>
  <c r="FQ76" i="64"/>
  <c r="FP76" i="64"/>
  <c r="FO76" i="64"/>
  <c r="FN76" i="64"/>
  <c r="FM76" i="64"/>
  <c r="FL76" i="64"/>
  <c r="FK76" i="64"/>
  <c r="FJ76" i="64"/>
  <c r="FI76" i="64"/>
  <c r="FH76" i="64"/>
  <c r="FG76" i="64"/>
  <c r="FF76" i="64"/>
  <c r="EX76" i="64" s="1"/>
  <c r="FD76" i="64"/>
  <c r="FC76" i="64"/>
  <c r="EW76" i="64"/>
  <c r="EU76" i="64"/>
  <c r="ET76" i="64"/>
  <c r="ES76" i="64"/>
  <c r="ER76" i="64"/>
  <c r="EQ76" i="64"/>
  <c r="EP76" i="64"/>
  <c r="M75" i="64"/>
  <c r="L75" i="64"/>
  <c r="M73" i="64"/>
  <c r="L73" i="64"/>
  <c r="M71" i="64"/>
  <c r="EY71" i="64" s="1"/>
  <c r="L71" i="64"/>
  <c r="IA75" i="64"/>
  <c r="HZ75" i="64"/>
  <c r="HY75" i="64"/>
  <c r="GL75" i="64"/>
  <c r="GJ75" i="64"/>
  <c r="GI75" i="64"/>
  <c r="GH75" i="64"/>
  <c r="GG75" i="64"/>
  <c r="GF75" i="64"/>
  <c r="GE75" i="64"/>
  <c r="GD75" i="64"/>
  <c r="GC75" i="64"/>
  <c r="GB75" i="64"/>
  <c r="GA75" i="64"/>
  <c r="FZ75" i="64"/>
  <c r="FY75" i="64"/>
  <c r="FX75" i="64"/>
  <c r="FW75" i="64"/>
  <c r="FV75" i="64"/>
  <c r="FU75" i="64"/>
  <c r="FT75" i="64"/>
  <c r="FS75" i="64"/>
  <c r="FR75" i="64"/>
  <c r="FQ75" i="64"/>
  <c r="FP75" i="64"/>
  <c r="FO75" i="64"/>
  <c r="FN75" i="64"/>
  <c r="FM75" i="64"/>
  <c r="FL75" i="64"/>
  <c r="FK75" i="64"/>
  <c r="FJ75" i="64"/>
  <c r="FI75" i="64"/>
  <c r="FH75" i="64"/>
  <c r="FG75" i="64"/>
  <c r="FF75" i="64"/>
  <c r="FD75" i="64"/>
  <c r="FC75" i="64"/>
  <c r="EU75" i="64"/>
  <c r="ET75" i="64"/>
  <c r="ES75" i="64"/>
  <c r="ER75" i="64"/>
  <c r="EQ75" i="64"/>
  <c r="EP75" i="64"/>
  <c r="IA74" i="64"/>
  <c r="HZ74" i="64"/>
  <c r="HY74" i="64"/>
  <c r="GL74" i="64"/>
  <c r="FD74" i="64" s="1"/>
  <c r="FC74" i="64"/>
  <c r="FA74" i="64"/>
  <c r="EZ74" i="64"/>
  <c r="EX74" i="64"/>
  <c r="EU74" i="64"/>
  <c r="ET74" i="64"/>
  <c r="ES74" i="64"/>
  <c r="ER74" i="64"/>
  <c r="EQ74" i="64"/>
  <c r="EP74" i="64"/>
  <c r="IA73" i="64"/>
  <c r="HZ73" i="64"/>
  <c r="HY73" i="64"/>
  <c r="GL73" i="64"/>
  <c r="FD73" i="64" s="1"/>
  <c r="FC73" i="64"/>
  <c r="FA73" i="64"/>
  <c r="EZ73" i="64"/>
  <c r="EX73" i="64"/>
  <c r="EU73" i="64"/>
  <c r="ET73" i="64"/>
  <c r="ES73" i="64"/>
  <c r="ER73" i="64"/>
  <c r="EQ73" i="64"/>
  <c r="EP73" i="64"/>
  <c r="IA72" i="64"/>
  <c r="HZ72" i="64"/>
  <c r="HY72" i="64"/>
  <c r="GL72" i="64"/>
  <c r="FD72" i="64" s="1"/>
  <c r="FC72" i="64"/>
  <c r="FA72" i="64"/>
  <c r="EZ72" i="64"/>
  <c r="EX72" i="64"/>
  <c r="EU72" i="64"/>
  <c r="ET72" i="64"/>
  <c r="ES72" i="64"/>
  <c r="ER72" i="64"/>
  <c r="EQ72" i="64"/>
  <c r="EP72" i="64"/>
  <c r="IA71" i="64"/>
  <c r="HZ71" i="64"/>
  <c r="HY71" i="64"/>
  <c r="HP71" i="64"/>
  <c r="HO71" i="64"/>
  <c r="HN71" i="64"/>
  <c r="HM71" i="64"/>
  <c r="HL71" i="64"/>
  <c r="HK71" i="64"/>
  <c r="HJ71" i="64"/>
  <c r="HI71" i="64"/>
  <c r="HH71" i="64"/>
  <c r="HG71" i="64"/>
  <c r="HF71" i="64"/>
  <c r="HE71" i="64"/>
  <c r="HD71" i="64"/>
  <c r="HC71" i="64"/>
  <c r="HB71" i="64"/>
  <c r="HA71" i="64"/>
  <c r="GZ71" i="64"/>
  <c r="GY71" i="64"/>
  <c r="GX71" i="64"/>
  <c r="GW71" i="64"/>
  <c r="GV71" i="64"/>
  <c r="GU71" i="64"/>
  <c r="GT71" i="64"/>
  <c r="GS71" i="64"/>
  <c r="GR71" i="64"/>
  <c r="GQ71" i="64"/>
  <c r="GP71" i="64"/>
  <c r="GO71" i="64"/>
  <c r="GN71" i="64"/>
  <c r="GL71" i="64"/>
  <c r="GJ71" i="64"/>
  <c r="GI71" i="64"/>
  <c r="GH71" i="64"/>
  <c r="GG71" i="64"/>
  <c r="GF71" i="64"/>
  <c r="GE71" i="64"/>
  <c r="GD71" i="64"/>
  <c r="GC71" i="64"/>
  <c r="GB71" i="64"/>
  <c r="GA71" i="64"/>
  <c r="FZ71" i="64"/>
  <c r="FY71" i="64"/>
  <c r="FX71" i="64"/>
  <c r="FW71" i="64"/>
  <c r="FV71" i="64"/>
  <c r="FU71" i="64"/>
  <c r="FT71" i="64"/>
  <c r="FS71" i="64"/>
  <c r="FR71" i="64"/>
  <c r="FQ71" i="64"/>
  <c r="FP71" i="64"/>
  <c r="FO71" i="64"/>
  <c r="FN71" i="64"/>
  <c r="FM71" i="64"/>
  <c r="FL71" i="64"/>
  <c r="FK71" i="64"/>
  <c r="FJ71" i="64"/>
  <c r="FI71" i="64"/>
  <c r="FH71" i="64"/>
  <c r="FG71" i="64"/>
  <c r="FA71" i="64" s="1"/>
  <c r="FF71" i="64"/>
  <c r="FD71" i="64"/>
  <c r="FC71" i="64"/>
  <c r="EX71" i="64"/>
  <c r="EW71" i="64"/>
  <c r="EU71" i="64"/>
  <c r="ET71" i="64"/>
  <c r="ES71" i="64"/>
  <c r="ER71" i="64"/>
  <c r="EQ71" i="64"/>
  <c r="EP71" i="64"/>
  <c r="M70" i="64"/>
  <c r="L70" i="64"/>
  <c r="M69" i="64"/>
  <c r="M68" i="64"/>
  <c r="EY68" i="64" s="1"/>
  <c r="L68" i="64"/>
  <c r="M67" i="64"/>
  <c r="M66" i="64"/>
  <c r="L66" i="64"/>
  <c r="IA70" i="64"/>
  <c r="HZ70" i="64"/>
  <c r="HY70" i="64"/>
  <c r="GL70" i="64"/>
  <c r="GJ70" i="64"/>
  <c r="GI70" i="64"/>
  <c r="GH70" i="64"/>
  <c r="GG70" i="64"/>
  <c r="GF70" i="64"/>
  <c r="GE70" i="64"/>
  <c r="GD70" i="64"/>
  <c r="GC70" i="64"/>
  <c r="GB70" i="64"/>
  <c r="GA70" i="64"/>
  <c r="FZ70" i="64"/>
  <c r="FY70" i="64"/>
  <c r="FX70" i="64"/>
  <c r="FW70" i="64"/>
  <c r="FV70" i="64"/>
  <c r="FU70" i="64"/>
  <c r="FT70" i="64"/>
  <c r="FS70" i="64"/>
  <c r="FR70" i="64"/>
  <c r="FQ70" i="64"/>
  <c r="FP70" i="64"/>
  <c r="FO70" i="64"/>
  <c r="FN70" i="64"/>
  <c r="FM70" i="64"/>
  <c r="FL70" i="64"/>
  <c r="FK70" i="64"/>
  <c r="FJ70" i="64"/>
  <c r="FI70" i="64"/>
  <c r="FH70" i="64"/>
  <c r="FG70" i="64"/>
  <c r="FF70" i="64"/>
  <c r="FD70" i="64"/>
  <c r="FC70" i="64"/>
  <c r="EU70" i="64"/>
  <c r="ET70" i="64"/>
  <c r="ES70" i="64"/>
  <c r="ER70" i="64"/>
  <c r="EQ70" i="64"/>
  <c r="EP70" i="64"/>
  <c r="IA69" i="64"/>
  <c r="HZ69" i="64"/>
  <c r="HY69" i="64"/>
  <c r="GL69" i="64"/>
  <c r="FD69" i="64" s="1"/>
  <c r="FC69" i="64"/>
  <c r="FA69" i="64"/>
  <c r="EZ69" i="64"/>
  <c r="EX69" i="64"/>
  <c r="EU69" i="64"/>
  <c r="ET69" i="64"/>
  <c r="ES69" i="64"/>
  <c r="ER69" i="64"/>
  <c r="EQ69" i="64"/>
  <c r="EP69" i="64"/>
  <c r="IA68" i="64"/>
  <c r="HZ68" i="64"/>
  <c r="HY68" i="64"/>
  <c r="GL68" i="64"/>
  <c r="FD68" i="64" s="1"/>
  <c r="FC68" i="64"/>
  <c r="FA68" i="64"/>
  <c r="EZ68" i="64"/>
  <c r="EX68" i="64"/>
  <c r="EU68" i="64"/>
  <c r="ET68" i="64"/>
  <c r="ES68" i="64"/>
  <c r="ER68" i="64"/>
  <c r="EQ68" i="64"/>
  <c r="EP68" i="64"/>
  <c r="IA67" i="64"/>
  <c r="HZ67" i="64"/>
  <c r="HY67" i="64"/>
  <c r="GL67" i="64"/>
  <c r="FD67" i="64" s="1"/>
  <c r="FC67" i="64"/>
  <c r="FA67" i="64"/>
  <c r="EZ67" i="64"/>
  <c r="EX67" i="64"/>
  <c r="EU67" i="64"/>
  <c r="ET67" i="64"/>
  <c r="ES67" i="64"/>
  <c r="ER67" i="64"/>
  <c r="EQ67" i="64"/>
  <c r="EP67" i="64"/>
  <c r="IA66" i="64"/>
  <c r="HZ66" i="64"/>
  <c r="HY66" i="64"/>
  <c r="HP66" i="64"/>
  <c r="HO66" i="64"/>
  <c r="HN66" i="64"/>
  <c r="HM66" i="64"/>
  <c r="HL66" i="64"/>
  <c r="HK66" i="64"/>
  <c r="HJ66" i="64"/>
  <c r="HI66" i="64"/>
  <c r="HH66" i="64"/>
  <c r="HG66" i="64"/>
  <c r="HF66" i="64"/>
  <c r="HE66" i="64"/>
  <c r="HD66" i="64"/>
  <c r="HC66" i="64"/>
  <c r="HB66" i="64"/>
  <c r="HA66" i="64"/>
  <c r="GZ66" i="64"/>
  <c r="GY66" i="64"/>
  <c r="GX66" i="64"/>
  <c r="GW66" i="64"/>
  <c r="GV66" i="64"/>
  <c r="GU66" i="64"/>
  <c r="GT66" i="64"/>
  <c r="GS66" i="64"/>
  <c r="GR66" i="64"/>
  <c r="GQ66" i="64"/>
  <c r="GP66" i="64"/>
  <c r="GO66" i="64"/>
  <c r="GN66" i="64"/>
  <c r="GL66" i="64"/>
  <c r="GJ66" i="64"/>
  <c r="GI66" i="64"/>
  <c r="GH66" i="64"/>
  <c r="GG66" i="64"/>
  <c r="GF66" i="64"/>
  <c r="GE66" i="64"/>
  <c r="GD66" i="64"/>
  <c r="GC66" i="64"/>
  <c r="GB66" i="64"/>
  <c r="GA66" i="64"/>
  <c r="FZ66" i="64"/>
  <c r="FY66" i="64"/>
  <c r="FX66" i="64"/>
  <c r="FW66" i="64"/>
  <c r="FV66" i="64"/>
  <c r="FU66" i="64"/>
  <c r="FT66" i="64"/>
  <c r="FS66" i="64"/>
  <c r="FR66" i="64"/>
  <c r="FQ66" i="64"/>
  <c r="FP66" i="64"/>
  <c r="FO66" i="64"/>
  <c r="FN66" i="64"/>
  <c r="FM66" i="64"/>
  <c r="FL66" i="64"/>
  <c r="FK66" i="64"/>
  <c r="FJ66" i="64"/>
  <c r="FI66" i="64"/>
  <c r="FH66" i="64"/>
  <c r="FG66" i="64"/>
  <c r="FA66" i="64" s="1"/>
  <c r="FF66" i="64"/>
  <c r="FD66" i="64"/>
  <c r="FC66" i="64"/>
  <c r="EX66" i="64"/>
  <c r="EW66" i="64"/>
  <c r="EU66" i="64"/>
  <c r="ET66" i="64"/>
  <c r="ES66" i="64"/>
  <c r="ER66" i="64"/>
  <c r="EQ66" i="64"/>
  <c r="EP66" i="64"/>
  <c r="M65" i="64"/>
  <c r="L65" i="64"/>
  <c r="M64" i="64"/>
  <c r="M63" i="64"/>
  <c r="L63" i="64"/>
  <c r="M62" i="64"/>
  <c r="M61" i="64"/>
  <c r="L61" i="64"/>
  <c r="IA65" i="64"/>
  <c r="HZ65" i="64"/>
  <c r="HY65" i="64"/>
  <c r="GL65" i="64"/>
  <c r="GJ65" i="64"/>
  <c r="GI65" i="64"/>
  <c r="GH65" i="64"/>
  <c r="GG65" i="64"/>
  <c r="GF65" i="64"/>
  <c r="GE65" i="64"/>
  <c r="GD65" i="64"/>
  <c r="GC65" i="64"/>
  <c r="GB65" i="64"/>
  <c r="GA65" i="64"/>
  <c r="FZ65" i="64"/>
  <c r="FY65" i="64"/>
  <c r="FX65" i="64"/>
  <c r="FW65" i="64"/>
  <c r="FV65" i="64"/>
  <c r="FU65" i="64"/>
  <c r="FT65" i="64"/>
  <c r="FS65" i="64"/>
  <c r="FR65" i="64"/>
  <c r="FQ65" i="64"/>
  <c r="FP65" i="64"/>
  <c r="FO65" i="64"/>
  <c r="FN65" i="64"/>
  <c r="FM65" i="64"/>
  <c r="FL65" i="64"/>
  <c r="FK65" i="64"/>
  <c r="FJ65" i="64"/>
  <c r="FI65" i="64"/>
  <c r="FH65" i="64"/>
  <c r="FG65" i="64"/>
  <c r="FF65" i="64"/>
  <c r="FD65" i="64"/>
  <c r="FC65" i="64"/>
  <c r="EU65" i="64"/>
  <c r="ET65" i="64"/>
  <c r="ES65" i="64"/>
  <c r="ER65" i="64"/>
  <c r="EQ65" i="64"/>
  <c r="EP65" i="64"/>
  <c r="IA64" i="64"/>
  <c r="HZ64" i="64"/>
  <c r="HY64" i="64"/>
  <c r="GL64" i="64"/>
  <c r="FD64" i="64" s="1"/>
  <c r="FC64" i="64"/>
  <c r="FA64" i="64"/>
  <c r="EZ64" i="64"/>
  <c r="EX64" i="64"/>
  <c r="EU64" i="64"/>
  <c r="ET64" i="64"/>
  <c r="ES64" i="64"/>
  <c r="ER64" i="64"/>
  <c r="EQ64" i="64"/>
  <c r="EP64" i="64"/>
  <c r="IA63" i="64"/>
  <c r="HZ63" i="64"/>
  <c r="HY63" i="64"/>
  <c r="GL63" i="64"/>
  <c r="FD63" i="64" s="1"/>
  <c r="FC63" i="64"/>
  <c r="FA63" i="64"/>
  <c r="EZ63" i="64"/>
  <c r="EX63" i="64"/>
  <c r="EU63" i="64"/>
  <c r="ET63" i="64"/>
  <c r="ES63" i="64"/>
  <c r="ER63" i="64"/>
  <c r="EQ63" i="64"/>
  <c r="EP63" i="64"/>
  <c r="IA62" i="64"/>
  <c r="HZ62" i="64"/>
  <c r="HY62" i="64"/>
  <c r="GL62" i="64"/>
  <c r="FD62" i="64" s="1"/>
  <c r="FC62" i="64"/>
  <c r="FA62" i="64"/>
  <c r="EZ62" i="64"/>
  <c r="EX62" i="64"/>
  <c r="EU62" i="64"/>
  <c r="ET62" i="64"/>
  <c r="ES62" i="64"/>
  <c r="ER62" i="64"/>
  <c r="EQ62" i="64"/>
  <c r="EP62" i="64"/>
  <c r="IA61" i="64"/>
  <c r="HZ61" i="64"/>
  <c r="HY61" i="64"/>
  <c r="HP61" i="64"/>
  <c r="HO61" i="64"/>
  <c r="HN61" i="64"/>
  <c r="HM61" i="64"/>
  <c r="HL61" i="64"/>
  <c r="HK61" i="64"/>
  <c r="HJ61" i="64"/>
  <c r="HI61" i="64"/>
  <c r="HH61" i="64"/>
  <c r="HG61" i="64"/>
  <c r="HF61" i="64"/>
  <c r="HE61" i="64"/>
  <c r="HD61" i="64"/>
  <c r="HC61" i="64"/>
  <c r="HB61" i="64"/>
  <c r="HA61" i="64"/>
  <c r="GZ61" i="64"/>
  <c r="GY61" i="64"/>
  <c r="GX61" i="64"/>
  <c r="GW61" i="64"/>
  <c r="GV61" i="64"/>
  <c r="GU61" i="64"/>
  <c r="GT61" i="64"/>
  <c r="GS61" i="64"/>
  <c r="GR61" i="64"/>
  <c r="GQ61" i="64"/>
  <c r="GP61" i="64"/>
  <c r="GO61" i="64"/>
  <c r="GN61" i="64"/>
  <c r="GL61" i="64"/>
  <c r="GJ61" i="64"/>
  <c r="GI61" i="64"/>
  <c r="GH61" i="64"/>
  <c r="GG61" i="64"/>
  <c r="GF61" i="64"/>
  <c r="GE61" i="64"/>
  <c r="GD61" i="64"/>
  <c r="GC61" i="64"/>
  <c r="GB61" i="64"/>
  <c r="GA61" i="64"/>
  <c r="FZ61" i="64"/>
  <c r="FY61" i="64"/>
  <c r="FX61" i="64"/>
  <c r="FW61" i="64"/>
  <c r="FV61" i="64"/>
  <c r="FU61" i="64"/>
  <c r="FT61" i="64"/>
  <c r="FS61" i="64"/>
  <c r="FR61" i="64"/>
  <c r="FQ61" i="64"/>
  <c r="FP61" i="64"/>
  <c r="FO61" i="64"/>
  <c r="FN61" i="64"/>
  <c r="FM61" i="64"/>
  <c r="FL61" i="64"/>
  <c r="FK61" i="64"/>
  <c r="FJ61" i="64"/>
  <c r="FI61" i="64"/>
  <c r="FH61" i="64"/>
  <c r="FG61" i="64"/>
  <c r="FF61" i="64"/>
  <c r="FD61" i="64"/>
  <c r="FC61" i="64"/>
  <c r="EX61" i="64"/>
  <c r="EW61" i="64"/>
  <c r="EU61" i="64"/>
  <c r="ET61" i="64"/>
  <c r="ES61" i="64"/>
  <c r="ER61" i="64"/>
  <c r="EQ61" i="64"/>
  <c r="EP61" i="64"/>
  <c r="M60" i="64"/>
  <c r="L60" i="64"/>
  <c r="M59" i="64"/>
  <c r="M58" i="64"/>
  <c r="L58" i="64"/>
  <c r="M57" i="64"/>
  <c r="M56" i="64"/>
  <c r="EY56" i="64" s="1"/>
  <c r="L56" i="64"/>
  <c r="IA60" i="64"/>
  <c r="HZ60" i="64"/>
  <c r="HY60" i="64"/>
  <c r="GL60" i="64"/>
  <c r="GJ60" i="64"/>
  <c r="GI60" i="64"/>
  <c r="GH60" i="64"/>
  <c r="GG60" i="64"/>
  <c r="GF60" i="64"/>
  <c r="GE60" i="64"/>
  <c r="GD60" i="64"/>
  <c r="GC60" i="64"/>
  <c r="GB60" i="64"/>
  <c r="GA60" i="64"/>
  <c r="FZ60" i="64"/>
  <c r="FY60" i="64"/>
  <c r="FX60" i="64"/>
  <c r="FW60" i="64"/>
  <c r="FV60" i="64"/>
  <c r="FU60" i="64"/>
  <c r="FT60" i="64"/>
  <c r="FS60" i="64"/>
  <c r="FR60" i="64"/>
  <c r="FQ60" i="64"/>
  <c r="FP60" i="64"/>
  <c r="FO60" i="64"/>
  <c r="FN60" i="64"/>
  <c r="FM60" i="64"/>
  <c r="FL60" i="64"/>
  <c r="FK60" i="64"/>
  <c r="FJ60" i="64"/>
  <c r="FI60" i="64"/>
  <c r="FH60" i="64"/>
  <c r="FG60" i="64"/>
  <c r="FF60" i="64"/>
  <c r="FD60" i="64"/>
  <c r="FC60" i="64"/>
  <c r="EU60" i="64"/>
  <c r="ET60" i="64"/>
  <c r="ES60" i="64"/>
  <c r="ER60" i="64"/>
  <c r="EQ60" i="64"/>
  <c r="EP60" i="64"/>
  <c r="IA59" i="64"/>
  <c r="HZ59" i="64"/>
  <c r="HY59" i="64"/>
  <c r="GL59" i="64"/>
  <c r="FD59" i="64" s="1"/>
  <c r="FC59" i="64"/>
  <c r="FA59" i="64"/>
  <c r="EZ59" i="64"/>
  <c r="EX59" i="64"/>
  <c r="EU59" i="64"/>
  <c r="ET59" i="64"/>
  <c r="ES59" i="64"/>
  <c r="ER59" i="64"/>
  <c r="EQ59" i="64"/>
  <c r="EP59" i="64"/>
  <c r="IA58" i="64"/>
  <c r="HZ58" i="64"/>
  <c r="HY58" i="64"/>
  <c r="GL58" i="64"/>
  <c r="FD58" i="64" s="1"/>
  <c r="FC58" i="64"/>
  <c r="FA58" i="64"/>
  <c r="EZ58" i="64"/>
  <c r="EY58" i="64"/>
  <c r="EX58" i="64"/>
  <c r="EU58" i="64"/>
  <c r="ET58" i="64"/>
  <c r="ES58" i="64"/>
  <c r="ER58" i="64"/>
  <c r="EQ58" i="64"/>
  <c r="EP58" i="64"/>
  <c r="IA57" i="64"/>
  <c r="HZ57" i="64"/>
  <c r="HY57" i="64"/>
  <c r="GL57" i="64"/>
  <c r="FD57" i="64" s="1"/>
  <c r="FC57" i="64"/>
  <c r="FA57" i="64"/>
  <c r="EZ57" i="64"/>
  <c r="EX57" i="64"/>
  <c r="EU57" i="64"/>
  <c r="ET57" i="64"/>
  <c r="ES57" i="64"/>
  <c r="ER57" i="64"/>
  <c r="EQ57" i="64"/>
  <c r="EP57" i="64"/>
  <c r="IA56" i="64"/>
  <c r="HZ56" i="64"/>
  <c r="HY56" i="64"/>
  <c r="HP56" i="64"/>
  <c r="HO56" i="64"/>
  <c r="HN56" i="64"/>
  <c r="HM56" i="64"/>
  <c r="HL56" i="64"/>
  <c r="HK56" i="64"/>
  <c r="HJ56" i="64"/>
  <c r="HI56" i="64"/>
  <c r="HH56" i="64"/>
  <c r="HG56" i="64"/>
  <c r="HF56" i="64"/>
  <c r="HE56" i="64"/>
  <c r="HD56" i="64"/>
  <c r="HC56" i="64"/>
  <c r="HB56" i="64"/>
  <c r="HA56" i="64"/>
  <c r="GZ56" i="64"/>
  <c r="GY56" i="64"/>
  <c r="GX56" i="64"/>
  <c r="GW56" i="64"/>
  <c r="GV56" i="64"/>
  <c r="GU56" i="64"/>
  <c r="GT56" i="64"/>
  <c r="GS56" i="64"/>
  <c r="GR56" i="64"/>
  <c r="GQ56" i="64"/>
  <c r="GP56" i="64"/>
  <c r="GO56" i="64"/>
  <c r="GN56" i="64"/>
  <c r="GL56" i="64"/>
  <c r="FD56" i="64" s="1"/>
  <c r="GJ56" i="64"/>
  <c r="GI56" i="64"/>
  <c r="GH56" i="64"/>
  <c r="GG56" i="64"/>
  <c r="GF56" i="64"/>
  <c r="GE56" i="64"/>
  <c r="GD56" i="64"/>
  <c r="GC56" i="64"/>
  <c r="GB56" i="64"/>
  <c r="GA56" i="64"/>
  <c r="FZ56" i="64"/>
  <c r="FY56" i="64"/>
  <c r="FX56" i="64"/>
  <c r="FW56" i="64"/>
  <c r="FV56" i="64"/>
  <c r="FU56" i="64"/>
  <c r="FT56" i="64"/>
  <c r="FS56" i="64"/>
  <c r="FR56" i="64"/>
  <c r="FQ56" i="64"/>
  <c r="FP56" i="64"/>
  <c r="FO56" i="64"/>
  <c r="FN56" i="64"/>
  <c r="FM56" i="64"/>
  <c r="FL56" i="64"/>
  <c r="FK56" i="64"/>
  <c r="FJ56" i="64"/>
  <c r="FI56" i="64"/>
  <c r="FH56" i="64"/>
  <c r="FG56" i="64"/>
  <c r="FF56" i="64"/>
  <c r="FC56" i="64"/>
  <c r="EX56" i="64"/>
  <c r="EW56" i="64"/>
  <c r="EU56" i="64"/>
  <c r="ET56" i="64"/>
  <c r="ES56" i="64"/>
  <c r="ER56" i="64"/>
  <c r="EQ56" i="64"/>
  <c r="EP56" i="64"/>
  <c r="M55" i="64"/>
  <c r="L55" i="64"/>
  <c r="M54" i="64"/>
  <c r="M53" i="64"/>
  <c r="L53" i="64"/>
  <c r="EY53" i="64" s="1"/>
  <c r="M52" i="64"/>
  <c r="M51" i="64"/>
  <c r="L51" i="64"/>
  <c r="EY51" i="64" s="1"/>
  <c r="IA55" i="64"/>
  <c r="HZ55" i="64"/>
  <c r="HY55" i="64"/>
  <c r="GL55" i="64"/>
  <c r="GJ55" i="64"/>
  <c r="GI55" i="64"/>
  <c r="GH55" i="64"/>
  <c r="GG55" i="64"/>
  <c r="GF55" i="64"/>
  <c r="GE55" i="64"/>
  <c r="GD55" i="64"/>
  <c r="GC55" i="64"/>
  <c r="GB55" i="64"/>
  <c r="GA55" i="64"/>
  <c r="FZ55" i="64"/>
  <c r="FY55" i="64"/>
  <c r="FX55" i="64"/>
  <c r="FW55" i="64"/>
  <c r="FV55" i="64"/>
  <c r="FU55" i="64"/>
  <c r="FT55" i="64"/>
  <c r="FS55" i="64"/>
  <c r="FR55" i="64"/>
  <c r="FQ55" i="64"/>
  <c r="FP55" i="64"/>
  <c r="FO55" i="64"/>
  <c r="FN55" i="64"/>
  <c r="FM55" i="64"/>
  <c r="FL55" i="64"/>
  <c r="FK55" i="64"/>
  <c r="FJ55" i="64"/>
  <c r="FI55" i="64"/>
  <c r="FH55" i="64"/>
  <c r="FG55" i="64"/>
  <c r="FF55" i="64"/>
  <c r="FD55" i="64"/>
  <c r="FC55" i="64"/>
  <c r="EU55" i="64"/>
  <c r="ET55" i="64"/>
  <c r="ES55" i="64"/>
  <c r="ER55" i="64"/>
  <c r="EQ55" i="64"/>
  <c r="EV55" i="64" s="1"/>
  <c r="EP55" i="64"/>
  <c r="IA54" i="64"/>
  <c r="HZ54" i="64"/>
  <c r="HY54" i="64"/>
  <c r="GL54" i="64"/>
  <c r="FD54" i="64" s="1"/>
  <c r="FC54" i="64"/>
  <c r="FA54" i="64"/>
  <c r="EZ54" i="64"/>
  <c r="EX54" i="64"/>
  <c r="EU54" i="64"/>
  <c r="ET54" i="64"/>
  <c r="ES54" i="64"/>
  <c r="ER54" i="64"/>
  <c r="EQ54" i="64"/>
  <c r="EP54" i="64"/>
  <c r="IA53" i="64"/>
  <c r="HZ53" i="64"/>
  <c r="HY53" i="64"/>
  <c r="GL53" i="64"/>
  <c r="FD53" i="64"/>
  <c r="FC53" i="64"/>
  <c r="FA53" i="64"/>
  <c r="EZ53" i="64"/>
  <c r="EX53" i="64"/>
  <c r="EU53" i="64"/>
  <c r="ET53" i="64"/>
  <c r="ES53" i="64"/>
  <c r="ER53" i="64"/>
  <c r="EQ53" i="64"/>
  <c r="EP53" i="64"/>
  <c r="IA52" i="64"/>
  <c r="HZ52" i="64"/>
  <c r="HY52" i="64"/>
  <c r="GL52" i="64"/>
  <c r="FD52" i="64"/>
  <c r="FC52" i="64"/>
  <c r="FA52" i="64"/>
  <c r="EZ52" i="64"/>
  <c r="EX52" i="64"/>
  <c r="EU52" i="64"/>
  <c r="ET52" i="64"/>
  <c r="ES52" i="64"/>
  <c r="ER52" i="64"/>
  <c r="EQ52" i="64"/>
  <c r="EP52" i="64"/>
  <c r="IA51" i="64"/>
  <c r="HZ51" i="64"/>
  <c r="HY51" i="64"/>
  <c r="HP51" i="64"/>
  <c r="HO51" i="64"/>
  <c r="HN51" i="64"/>
  <c r="HM51" i="64"/>
  <c r="HL51" i="64"/>
  <c r="HK51" i="64"/>
  <c r="HJ51" i="64"/>
  <c r="HI51" i="64"/>
  <c r="HH51" i="64"/>
  <c r="HG51" i="64"/>
  <c r="HF51" i="64"/>
  <c r="HE51" i="64"/>
  <c r="HD51" i="64"/>
  <c r="HC51" i="64"/>
  <c r="HB51" i="64"/>
  <c r="HA51" i="64"/>
  <c r="GZ51" i="64"/>
  <c r="GY51" i="64"/>
  <c r="GX51" i="64"/>
  <c r="GW51" i="64"/>
  <c r="GV51" i="64"/>
  <c r="GU51" i="64"/>
  <c r="GT51" i="64"/>
  <c r="GS51" i="64"/>
  <c r="GR51" i="64"/>
  <c r="GQ51" i="64"/>
  <c r="GP51" i="64"/>
  <c r="GO51" i="64"/>
  <c r="GN51" i="64"/>
  <c r="GL51" i="64"/>
  <c r="GJ51" i="64"/>
  <c r="GI51" i="64"/>
  <c r="GH51" i="64"/>
  <c r="GG51" i="64"/>
  <c r="GF51" i="64"/>
  <c r="GE51" i="64"/>
  <c r="GD51" i="64"/>
  <c r="GC51" i="64"/>
  <c r="GB51" i="64"/>
  <c r="GA51" i="64"/>
  <c r="FZ51" i="64"/>
  <c r="FY51" i="64"/>
  <c r="FX51" i="64"/>
  <c r="FW51" i="64"/>
  <c r="FV51" i="64"/>
  <c r="FU51" i="64"/>
  <c r="FT51" i="64"/>
  <c r="FS51" i="64"/>
  <c r="FR51" i="64"/>
  <c r="FQ51" i="64"/>
  <c r="FP51" i="64"/>
  <c r="FO51" i="64"/>
  <c r="FN51" i="64"/>
  <c r="FM51" i="64"/>
  <c r="FL51" i="64"/>
  <c r="FK51" i="64"/>
  <c r="FJ51" i="64"/>
  <c r="FI51" i="64"/>
  <c r="FH51" i="64"/>
  <c r="FG51" i="64"/>
  <c r="FF51" i="64"/>
  <c r="FD51" i="64"/>
  <c r="FC51" i="64"/>
  <c r="EX51" i="64"/>
  <c r="EW51" i="64"/>
  <c r="EU51" i="64"/>
  <c r="ET51" i="64"/>
  <c r="ES51" i="64"/>
  <c r="ER51" i="64"/>
  <c r="EQ51" i="64"/>
  <c r="EP51" i="64"/>
  <c r="M50" i="64"/>
  <c r="L50" i="64"/>
  <c r="M49" i="64"/>
  <c r="M48" i="64"/>
  <c r="L48" i="64"/>
  <c r="EY48" i="64" s="1"/>
  <c r="M47" i="64"/>
  <c r="M46" i="64"/>
  <c r="EY46" i="64" s="1"/>
  <c r="L46" i="64"/>
  <c r="IA50" i="64"/>
  <c r="HZ50" i="64"/>
  <c r="HY50" i="64"/>
  <c r="GL50" i="64"/>
  <c r="GJ50" i="64"/>
  <c r="GI50" i="64"/>
  <c r="GH50" i="64"/>
  <c r="GG50" i="64"/>
  <c r="GF50" i="64"/>
  <c r="GE50" i="64"/>
  <c r="GD50" i="64"/>
  <c r="GC50" i="64"/>
  <c r="GB50" i="64"/>
  <c r="GA50" i="64"/>
  <c r="FZ50" i="64"/>
  <c r="FY50" i="64"/>
  <c r="FX50" i="64"/>
  <c r="FW50" i="64"/>
  <c r="FV50" i="64"/>
  <c r="FU50" i="64"/>
  <c r="FT50" i="64"/>
  <c r="FS50" i="64"/>
  <c r="FR50" i="64"/>
  <c r="FQ50" i="64"/>
  <c r="FP50" i="64"/>
  <c r="FO50" i="64"/>
  <c r="FN50" i="64"/>
  <c r="FM50" i="64"/>
  <c r="FL50" i="64"/>
  <c r="FK50" i="64"/>
  <c r="FJ50" i="64"/>
  <c r="FI50" i="64"/>
  <c r="FH50" i="64"/>
  <c r="FG50" i="64"/>
  <c r="FF50" i="64"/>
  <c r="FD50" i="64"/>
  <c r="FC50" i="64"/>
  <c r="EU50" i="64"/>
  <c r="ET50" i="64"/>
  <c r="ES50" i="64"/>
  <c r="ER50" i="64"/>
  <c r="EQ50" i="64"/>
  <c r="EV50" i="64" s="1"/>
  <c r="EP50" i="64"/>
  <c r="IA49" i="64"/>
  <c r="HZ49" i="64"/>
  <c r="HY49" i="64"/>
  <c r="GL49" i="64"/>
  <c r="FD49" i="64" s="1"/>
  <c r="FC49" i="64"/>
  <c r="FA49" i="64"/>
  <c r="EZ49" i="64"/>
  <c r="EX49" i="64"/>
  <c r="EU49" i="64"/>
  <c r="ET49" i="64"/>
  <c r="ES49" i="64"/>
  <c r="ER49" i="64"/>
  <c r="EQ49" i="64"/>
  <c r="EP49" i="64"/>
  <c r="IA48" i="64"/>
  <c r="HZ48" i="64"/>
  <c r="HY48" i="64"/>
  <c r="GL48" i="64"/>
  <c r="FD48" i="64" s="1"/>
  <c r="FC48" i="64"/>
  <c r="FA48" i="64"/>
  <c r="EZ48" i="64"/>
  <c r="EX48" i="64"/>
  <c r="EU48" i="64"/>
  <c r="ET48" i="64"/>
  <c r="ES48" i="64"/>
  <c r="ER48" i="64"/>
  <c r="EQ48" i="64"/>
  <c r="EP48" i="64"/>
  <c r="IA47" i="64"/>
  <c r="HZ47" i="64"/>
  <c r="HY47" i="64"/>
  <c r="GL47" i="64"/>
  <c r="FD47" i="64" s="1"/>
  <c r="FC47" i="64"/>
  <c r="FA47" i="64"/>
  <c r="EZ47" i="64"/>
  <c r="EX47" i="64"/>
  <c r="EU47" i="64"/>
  <c r="ET47" i="64"/>
  <c r="ES47" i="64"/>
  <c r="ER47" i="64"/>
  <c r="EQ47" i="64"/>
  <c r="EP47" i="64"/>
  <c r="IA46" i="64"/>
  <c r="HZ46" i="64"/>
  <c r="HY46" i="64"/>
  <c r="HP46" i="64"/>
  <c r="HO46" i="64"/>
  <c r="HN46" i="64"/>
  <c r="HM46" i="64"/>
  <c r="HL46" i="64"/>
  <c r="HK46" i="64"/>
  <c r="HJ46" i="64"/>
  <c r="HI46" i="64"/>
  <c r="HH46" i="64"/>
  <c r="HG46" i="64"/>
  <c r="HF46" i="64"/>
  <c r="HE46" i="64"/>
  <c r="HD46" i="64"/>
  <c r="HC46" i="64"/>
  <c r="HB46" i="64"/>
  <c r="HA46" i="64"/>
  <c r="GZ46" i="64"/>
  <c r="GY46" i="64"/>
  <c r="GX46" i="64"/>
  <c r="GW46" i="64"/>
  <c r="GV46" i="64"/>
  <c r="GU46" i="64"/>
  <c r="GT46" i="64"/>
  <c r="GS46" i="64"/>
  <c r="GR46" i="64"/>
  <c r="GQ46" i="64"/>
  <c r="GP46" i="64"/>
  <c r="GO46" i="64"/>
  <c r="GN46" i="64"/>
  <c r="GL46" i="64"/>
  <c r="GJ46" i="64"/>
  <c r="GI46" i="64"/>
  <c r="GH46" i="64"/>
  <c r="GG46" i="64"/>
  <c r="GF46" i="64"/>
  <c r="GE46" i="64"/>
  <c r="GD46" i="64"/>
  <c r="GC46" i="64"/>
  <c r="GB46" i="64"/>
  <c r="GA46" i="64"/>
  <c r="FZ46" i="64"/>
  <c r="FY46" i="64"/>
  <c r="FX46" i="64"/>
  <c r="FW46" i="64"/>
  <c r="FV46" i="64"/>
  <c r="FU46" i="64"/>
  <c r="FT46" i="64"/>
  <c r="FS46" i="64"/>
  <c r="FR46" i="64"/>
  <c r="FQ46" i="64"/>
  <c r="FP46" i="64"/>
  <c r="FO46" i="64"/>
  <c r="FN46" i="64"/>
  <c r="FM46" i="64"/>
  <c r="FL46" i="64"/>
  <c r="FK46" i="64"/>
  <c r="FJ46" i="64"/>
  <c r="FI46" i="64"/>
  <c r="FH46" i="64"/>
  <c r="FG46" i="64"/>
  <c r="FA46" i="64" s="1"/>
  <c r="FF46" i="64"/>
  <c r="FD46" i="64"/>
  <c r="FC46" i="64"/>
  <c r="EX46" i="64"/>
  <c r="EW46" i="64"/>
  <c r="EU46" i="64"/>
  <c r="ET46" i="64"/>
  <c r="ES46" i="64"/>
  <c r="ER46" i="64"/>
  <c r="EQ46" i="64"/>
  <c r="EP46" i="64"/>
  <c r="M45" i="64"/>
  <c r="L45" i="64"/>
  <c r="M44" i="64"/>
  <c r="M43" i="64"/>
  <c r="L43" i="64"/>
  <c r="M42" i="64"/>
  <c r="M41" i="64"/>
  <c r="L41" i="64"/>
  <c r="EY41" i="64" s="1"/>
  <c r="IA45" i="64"/>
  <c r="HZ45" i="64"/>
  <c r="HY45" i="64"/>
  <c r="GL45" i="64"/>
  <c r="GJ45" i="64"/>
  <c r="GI45" i="64"/>
  <c r="GH45" i="64"/>
  <c r="GG45" i="64"/>
  <c r="GF45" i="64"/>
  <c r="GE45" i="64"/>
  <c r="GD45" i="64"/>
  <c r="GC45" i="64"/>
  <c r="GB45" i="64"/>
  <c r="GA45" i="64"/>
  <c r="FZ45" i="64"/>
  <c r="FY45" i="64"/>
  <c r="FX45" i="64"/>
  <c r="FW45" i="64"/>
  <c r="FV45" i="64"/>
  <c r="FU45" i="64"/>
  <c r="FT45" i="64"/>
  <c r="FS45" i="64"/>
  <c r="FR45" i="64"/>
  <c r="FQ45" i="64"/>
  <c r="FP45" i="64"/>
  <c r="FO45" i="64"/>
  <c r="FN45" i="64"/>
  <c r="FM45" i="64"/>
  <c r="FL45" i="64"/>
  <c r="FK45" i="64"/>
  <c r="FJ45" i="64"/>
  <c r="FI45" i="64"/>
  <c r="FH45" i="64"/>
  <c r="FG45" i="64"/>
  <c r="FF45" i="64"/>
  <c r="FD45" i="64"/>
  <c r="FC45" i="64"/>
  <c r="EU45" i="64"/>
  <c r="ET45" i="64"/>
  <c r="ES45" i="64"/>
  <c r="ER45" i="64"/>
  <c r="EQ45" i="64"/>
  <c r="EV45" i="64" s="1"/>
  <c r="EP45" i="64"/>
  <c r="IA44" i="64"/>
  <c r="HZ44" i="64"/>
  <c r="HY44" i="64"/>
  <c r="GL44" i="64"/>
  <c r="FD44" i="64" s="1"/>
  <c r="FC44" i="64"/>
  <c r="FA44" i="64"/>
  <c r="EZ44" i="64"/>
  <c r="EX44" i="64"/>
  <c r="EU44" i="64"/>
  <c r="ET44" i="64"/>
  <c r="ES44" i="64"/>
  <c r="ER44" i="64"/>
  <c r="EQ44" i="64"/>
  <c r="EP44" i="64"/>
  <c r="IA43" i="64"/>
  <c r="HZ43" i="64"/>
  <c r="HY43" i="64"/>
  <c r="GL43" i="64"/>
  <c r="FD43" i="64"/>
  <c r="FC43" i="64"/>
  <c r="FA43" i="64"/>
  <c r="EZ43" i="64"/>
  <c r="EX43" i="64"/>
  <c r="EU43" i="64"/>
  <c r="ET43" i="64"/>
  <c r="ES43" i="64"/>
  <c r="ER43" i="64"/>
  <c r="EQ43" i="64"/>
  <c r="EP43" i="64"/>
  <c r="IA42" i="64"/>
  <c r="HZ42" i="64"/>
  <c r="HY42" i="64"/>
  <c r="GL42" i="64"/>
  <c r="FD42" i="64"/>
  <c r="FC42" i="64"/>
  <c r="FA42" i="64"/>
  <c r="EZ42" i="64"/>
  <c r="EX42" i="64"/>
  <c r="EU42" i="64"/>
  <c r="ET42" i="64"/>
  <c r="ES42" i="64"/>
  <c r="ER42" i="64"/>
  <c r="EQ42" i="64"/>
  <c r="EP42" i="64"/>
  <c r="IA41" i="64"/>
  <c r="HZ41" i="64"/>
  <c r="HY41" i="64"/>
  <c r="HP41" i="64"/>
  <c r="HO41" i="64"/>
  <c r="HN41" i="64"/>
  <c r="HM41" i="64"/>
  <c r="HL41" i="64"/>
  <c r="HK41" i="64"/>
  <c r="HJ41" i="64"/>
  <c r="HI41" i="64"/>
  <c r="HH41" i="64"/>
  <c r="HG41" i="64"/>
  <c r="HF41" i="64"/>
  <c r="HE41" i="64"/>
  <c r="HD41" i="64"/>
  <c r="HC41" i="64"/>
  <c r="HB41" i="64"/>
  <c r="HA41" i="64"/>
  <c r="GZ41" i="64"/>
  <c r="GY41" i="64"/>
  <c r="GX41" i="64"/>
  <c r="GW41" i="64"/>
  <c r="GV41" i="64"/>
  <c r="GU41" i="64"/>
  <c r="GT41" i="64"/>
  <c r="GS41" i="64"/>
  <c r="GR41" i="64"/>
  <c r="GQ41" i="64"/>
  <c r="GP41" i="64"/>
  <c r="GO41" i="64"/>
  <c r="GN41" i="64"/>
  <c r="GL41" i="64"/>
  <c r="GJ41" i="64"/>
  <c r="GI41" i="64"/>
  <c r="GH41" i="64"/>
  <c r="GG41" i="64"/>
  <c r="GF41" i="64"/>
  <c r="GE41" i="64"/>
  <c r="GD41" i="64"/>
  <c r="GC41" i="64"/>
  <c r="GB41" i="64"/>
  <c r="GA41" i="64"/>
  <c r="FZ41" i="64"/>
  <c r="FY41" i="64"/>
  <c r="FX41" i="64"/>
  <c r="FW41" i="64"/>
  <c r="FV41" i="64"/>
  <c r="FU41" i="64"/>
  <c r="FT41" i="64"/>
  <c r="FS41" i="64"/>
  <c r="FR41" i="64"/>
  <c r="FQ41" i="64"/>
  <c r="FP41" i="64"/>
  <c r="FO41" i="64"/>
  <c r="FN41" i="64"/>
  <c r="FM41" i="64"/>
  <c r="FL41" i="64"/>
  <c r="FK41" i="64"/>
  <c r="FJ41" i="64"/>
  <c r="FI41" i="64"/>
  <c r="FH41" i="64"/>
  <c r="FG41" i="64"/>
  <c r="FF41" i="64"/>
  <c r="FD41" i="64"/>
  <c r="FC41" i="64"/>
  <c r="EX41" i="64"/>
  <c r="EW41" i="64"/>
  <c r="EU41" i="64"/>
  <c r="ET41" i="64"/>
  <c r="ES41" i="64"/>
  <c r="ER41" i="64"/>
  <c r="EQ41" i="64"/>
  <c r="EP41" i="64"/>
  <c r="M40" i="64"/>
  <c r="L40" i="64"/>
  <c r="M39" i="64"/>
  <c r="M38" i="64"/>
  <c r="L38" i="64"/>
  <c r="EY38" i="64" s="1"/>
  <c r="M37" i="64"/>
  <c r="M36" i="64"/>
  <c r="L36" i="64"/>
  <c r="IA40" i="64"/>
  <c r="HZ40" i="64"/>
  <c r="HY40" i="64"/>
  <c r="GL40" i="64"/>
  <c r="GJ40" i="64"/>
  <c r="GI40" i="64"/>
  <c r="GH40" i="64"/>
  <c r="GG40" i="64"/>
  <c r="GF40" i="64"/>
  <c r="GE40" i="64"/>
  <c r="GD40" i="64"/>
  <c r="GC40" i="64"/>
  <c r="GB40" i="64"/>
  <c r="GA40" i="64"/>
  <c r="FZ40" i="64"/>
  <c r="FY40" i="64"/>
  <c r="FX40" i="64"/>
  <c r="FW40" i="64"/>
  <c r="FV40" i="64"/>
  <c r="FU40" i="64"/>
  <c r="FT40" i="64"/>
  <c r="FS40" i="64"/>
  <c r="FR40" i="64"/>
  <c r="FQ40" i="64"/>
  <c r="FP40" i="64"/>
  <c r="FO40" i="64"/>
  <c r="FN40" i="64"/>
  <c r="FM40" i="64"/>
  <c r="FL40" i="64"/>
  <c r="FK40" i="64"/>
  <c r="FJ40" i="64"/>
  <c r="FI40" i="64"/>
  <c r="FH40" i="64"/>
  <c r="FG40" i="64"/>
  <c r="FF40" i="64"/>
  <c r="FD40" i="64"/>
  <c r="FC40" i="64"/>
  <c r="EU40" i="64"/>
  <c r="ET40" i="64"/>
  <c r="ES40" i="64"/>
  <c r="ER40" i="64"/>
  <c r="EQ40" i="64"/>
  <c r="EV40" i="64" s="1"/>
  <c r="EP40" i="64"/>
  <c r="IA39" i="64"/>
  <c r="HZ39" i="64"/>
  <c r="HY39" i="64"/>
  <c r="GL39" i="64"/>
  <c r="FD39" i="64" s="1"/>
  <c r="FC39" i="64"/>
  <c r="FA39" i="64"/>
  <c r="EZ39" i="64"/>
  <c r="EX39" i="64"/>
  <c r="EU39" i="64"/>
  <c r="ET39" i="64"/>
  <c r="ES39" i="64"/>
  <c r="ER39" i="64"/>
  <c r="EQ39" i="64"/>
  <c r="EP39" i="64"/>
  <c r="IA38" i="64"/>
  <c r="HZ38" i="64"/>
  <c r="HY38" i="64"/>
  <c r="GL38" i="64"/>
  <c r="FD38" i="64"/>
  <c r="FC38" i="64"/>
  <c r="FA38" i="64"/>
  <c r="EZ38" i="64"/>
  <c r="EX38" i="64"/>
  <c r="EU38" i="64"/>
  <c r="ET38" i="64"/>
  <c r="ES38" i="64"/>
  <c r="ER38" i="64"/>
  <c r="EQ38" i="64"/>
  <c r="EP38" i="64"/>
  <c r="IA37" i="64"/>
  <c r="HZ37" i="64"/>
  <c r="HY37" i="64"/>
  <c r="GL37" i="64"/>
  <c r="FD37" i="64"/>
  <c r="FC37" i="64"/>
  <c r="FA37" i="64"/>
  <c r="EZ37" i="64"/>
  <c r="EX37" i="64"/>
  <c r="EU37" i="64"/>
  <c r="ET37" i="64"/>
  <c r="ES37" i="64"/>
  <c r="ER37" i="64"/>
  <c r="EQ37" i="64"/>
  <c r="EP37" i="64"/>
  <c r="IA36" i="64"/>
  <c r="HZ36" i="64"/>
  <c r="HY36" i="64"/>
  <c r="HP36" i="64"/>
  <c r="HO36" i="64"/>
  <c r="HN36" i="64"/>
  <c r="HM36" i="64"/>
  <c r="HL36" i="64"/>
  <c r="HK36" i="64"/>
  <c r="HJ36" i="64"/>
  <c r="HI36" i="64"/>
  <c r="HH36" i="64"/>
  <c r="HG36" i="64"/>
  <c r="HF36" i="64"/>
  <c r="HE36" i="64"/>
  <c r="HD36" i="64"/>
  <c r="HC36" i="64"/>
  <c r="HB36" i="64"/>
  <c r="HA36" i="64"/>
  <c r="GZ36" i="64"/>
  <c r="GY36" i="64"/>
  <c r="GX36" i="64"/>
  <c r="GW36" i="64"/>
  <c r="GV36" i="64"/>
  <c r="GU36" i="64"/>
  <c r="GT36" i="64"/>
  <c r="GS36" i="64"/>
  <c r="GR36" i="64"/>
  <c r="GQ36" i="64"/>
  <c r="GP36" i="64"/>
  <c r="GO36" i="64"/>
  <c r="GN36" i="64"/>
  <c r="GL36" i="64"/>
  <c r="GJ36" i="64"/>
  <c r="GI36" i="64"/>
  <c r="GH36" i="64"/>
  <c r="GG36" i="64"/>
  <c r="GF36" i="64"/>
  <c r="GE36" i="64"/>
  <c r="GD36" i="64"/>
  <c r="GC36" i="64"/>
  <c r="GB36" i="64"/>
  <c r="GA36" i="64"/>
  <c r="FZ36" i="64"/>
  <c r="FY36" i="64"/>
  <c r="FX36" i="64"/>
  <c r="FW36" i="64"/>
  <c r="FV36" i="64"/>
  <c r="FU36" i="64"/>
  <c r="FT36" i="64"/>
  <c r="FS36" i="64"/>
  <c r="FR36" i="64"/>
  <c r="FQ36" i="64"/>
  <c r="FP36" i="64"/>
  <c r="FO36" i="64"/>
  <c r="FN36" i="64"/>
  <c r="FM36" i="64"/>
  <c r="FL36" i="64"/>
  <c r="FK36" i="64"/>
  <c r="FJ36" i="64"/>
  <c r="FI36" i="64"/>
  <c r="FH36" i="64"/>
  <c r="FG36" i="64"/>
  <c r="FA36" i="64" s="1"/>
  <c r="FF36" i="64"/>
  <c r="FD36" i="64"/>
  <c r="FC36" i="64"/>
  <c r="EX36" i="64"/>
  <c r="EW36" i="64"/>
  <c r="EU36" i="64"/>
  <c r="ET36" i="64"/>
  <c r="ES36" i="64"/>
  <c r="ER36" i="64"/>
  <c r="EQ36" i="64"/>
  <c r="EP36" i="64"/>
  <c r="EV36" i="64" s="1"/>
  <c r="M35" i="64"/>
  <c r="L35" i="64"/>
  <c r="M34" i="64"/>
  <c r="M33" i="64"/>
  <c r="L33" i="64"/>
  <c r="M32" i="64"/>
  <c r="M31" i="64"/>
  <c r="L31" i="64"/>
  <c r="IA35" i="64"/>
  <c r="HZ35" i="64"/>
  <c r="HY35" i="64"/>
  <c r="GL35" i="64"/>
  <c r="GJ35" i="64"/>
  <c r="GI35" i="64"/>
  <c r="GH35" i="64"/>
  <c r="GG35" i="64"/>
  <c r="GF35" i="64"/>
  <c r="GE35" i="64"/>
  <c r="GD35" i="64"/>
  <c r="GC35" i="64"/>
  <c r="GB35" i="64"/>
  <c r="GA35" i="64"/>
  <c r="FZ35" i="64"/>
  <c r="FY35" i="64"/>
  <c r="FX35" i="64"/>
  <c r="FW35" i="64"/>
  <c r="FV35" i="64"/>
  <c r="FU35" i="64"/>
  <c r="FT35" i="64"/>
  <c r="FS35" i="64"/>
  <c r="FR35" i="64"/>
  <c r="FQ35" i="64"/>
  <c r="FP35" i="64"/>
  <c r="FO35" i="64"/>
  <c r="FN35" i="64"/>
  <c r="FM35" i="64"/>
  <c r="FL35" i="64"/>
  <c r="FK35" i="64"/>
  <c r="FJ35" i="64"/>
  <c r="FI35" i="64"/>
  <c r="FH35" i="64"/>
  <c r="FG35" i="64"/>
  <c r="FF35" i="64"/>
  <c r="FD35" i="64"/>
  <c r="FC35" i="64"/>
  <c r="EU35" i="64"/>
  <c r="ET35" i="64"/>
  <c r="ES35" i="64"/>
  <c r="ER35" i="64"/>
  <c r="EQ35" i="64"/>
  <c r="EV35" i="64" s="1"/>
  <c r="EP35" i="64"/>
  <c r="IA34" i="64"/>
  <c r="HZ34" i="64"/>
  <c r="HY34" i="64"/>
  <c r="GL34" i="64"/>
  <c r="FD34" i="64" s="1"/>
  <c r="FC34" i="64"/>
  <c r="FA34" i="64"/>
  <c r="EZ34" i="64"/>
  <c r="EX34" i="64"/>
  <c r="EU34" i="64"/>
  <c r="ET34" i="64"/>
  <c r="ES34" i="64"/>
  <c r="ER34" i="64"/>
  <c r="EQ34" i="64"/>
  <c r="EP34" i="64"/>
  <c r="IA33" i="64"/>
  <c r="HZ33" i="64"/>
  <c r="HY33" i="64"/>
  <c r="GL33" i="64"/>
  <c r="FD33" i="64"/>
  <c r="FC33" i="64"/>
  <c r="FA33" i="64"/>
  <c r="EZ33" i="64"/>
  <c r="EX33" i="64"/>
  <c r="EU33" i="64"/>
  <c r="ET33" i="64"/>
  <c r="ES33" i="64"/>
  <c r="ER33" i="64"/>
  <c r="EQ33" i="64"/>
  <c r="EP33" i="64"/>
  <c r="IA32" i="64"/>
  <c r="HZ32" i="64"/>
  <c r="HY32" i="64"/>
  <c r="GL32" i="64"/>
  <c r="FD32" i="64"/>
  <c r="FC32" i="64"/>
  <c r="FA32" i="64"/>
  <c r="EZ32" i="64"/>
  <c r="EX32" i="64"/>
  <c r="EU32" i="64"/>
  <c r="ET32" i="64"/>
  <c r="ES32" i="64"/>
  <c r="ER32" i="64"/>
  <c r="EQ32" i="64"/>
  <c r="EP32" i="64"/>
  <c r="IA31" i="64"/>
  <c r="HZ31" i="64"/>
  <c r="HY31" i="64"/>
  <c r="HP31" i="64"/>
  <c r="HO31" i="64"/>
  <c r="HN31" i="64"/>
  <c r="HM31" i="64"/>
  <c r="HL31" i="64"/>
  <c r="HK31" i="64"/>
  <c r="HJ31" i="64"/>
  <c r="HI31" i="64"/>
  <c r="HH31" i="64"/>
  <c r="HG31" i="64"/>
  <c r="HF31" i="64"/>
  <c r="HE31" i="64"/>
  <c r="HD31" i="64"/>
  <c r="HC31" i="64"/>
  <c r="HB31" i="64"/>
  <c r="HA31" i="64"/>
  <c r="GZ31" i="64"/>
  <c r="GY31" i="64"/>
  <c r="GX31" i="64"/>
  <c r="GW31" i="64"/>
  <c r="GV31" i="64"/>
  <c r="GU31" i="64"/>
  <c r="GT31" i="64"/>
  <c r="GS31" i="64"/>
  <c r="GR31" i="64"/>
  <c r="GQ31" i="64"/>
  <c r="GP31" i="64"/>
  <c r="GO31" i="64"/>
  <c r="GN31" i="64"/>
  <c r="GL31" i="64"/>
  <c r="GJ31" i="64"/>
  <c r="GI31" i="64"/>
  <c r="GH31" i="64"/>
  <c r="GG31" i="64"/>
  <c r="GF31" i="64"/>
  <c r="GE31" i="64"/>
  <c r="GD31" i="64"/>
  <c r="GC31" i="64"/>
  <c r="GB31" i="64"/>
  <c r="GA31" i="64"/>
  <c r="FZ31" i="64"/>
  <c r="FY31" i="64"/>
  <c r="FX31" i="64"/>
  <c r="FW31" i="64"/>
  <c r="FV31" i="64"/>
  <c r="FU31" i="64"/>
  <c r="FT31" i="64"/>
  <c r="FS31" i="64"/>
  <c r="FR31" i="64"/>
  <c r="FQ31" i="64"/>
  <c r="FP31" i="64"/>
  <c r="FO31" i="64"/>
  <c r="FN31" i="64"/>
  <c r="FM31" i="64"/>
  <c r="FL31" i="64"/>
  <c r="FK31" i="64"/>
  <c r="FJ31" i="64"/>
  <c r="FI31" i="64"/>
  <c r="FH31" i="64"/>
  <c r="FG31" i="64"/>
  <c r="FF31" i="64"/>
  <c r="FD31" i="64"/>
  <c r="FC31" i="64"/>
  <c r="EY31" i="64"/>
  <c r="EX31" i="64"/>
  <c r="EW31" i="64"/>
  <c r="EU31" i="64"/>
  <c r="ET31" i="64"/>
  <c r="ES31" i="64"/>
  <c r="ER31" i="64"/>
  <c r="EQ31" i="64"/>
  <c r="EP31" i="64"/>
  <c r="M30" i="64"/>
  <c r="L30" i="64"/>
  <c r="M29" i="64"/>
  <c r="M28" i="64"/>
  <c r="L28" i="64"/>
  <c r="EY28" i="64" s="1"/>
  <c r="M27" i="64"/>
  <c r="M26" i="64"/>
  <c r="L26" i="64"/>
  <c r="EY26" i="64" s="1"/>
  <c r="IA30" i="64"/>
  <c r="HZ30" i="64"/>
  <c r="HY30" i="64"/>
  <c r="GL30" i="64"/>
  <c r="GJ30" i="64"/>
  <c r="GI30" i="64"/>
  <c r="GH30" i="64"/>
  <c r="GG30" i="64"/>
  <c r="GF30" i="64"/>
  <c r="GE30" i="64"/>
  <c r="GD30" i="64"/>
  <c r="GC30" i="64"/>
  <c r="GB30" i="64"/>
  <c r="GA30" i="64"/>
  <c r="FZ30" i="64"/>
  <c r="FY30" i="64"/>
  <c r="FX30" i="64"/>
  <c r="FW30" i="64"/>
  <c r="FV30" i="64"/>
  <c r="FU30" i="64"/>
  <c r="FT30" i="64"/>
  <c r="FS30" i="64"/>
  <c r="FR30" i="64"/>
  <c r="FQ30" i="64"/>
  <c r="FP30" i="64"/>
  <c r="FO30" i="64"/>
  <c r="FN30" i="64"/>
  <c r="FM30" i="64"/>
  <c r="FL30" i="64"/>
  <c r="FK30" i="64"/>
  <c r="FJ30" i="64"/>
  <c r="FI30" i="64"/>
  <c r="FH30" i="64"/>
  <c r="FG30" i="64"/>
  <c r="FF30" i="64"/>
  <c r="FD30" i="64"/>
  <c r="FC30" i="64"/>
  <c r="EU30" i="64"/>
  <c r="ET30" i="64"/>
  <c r="ES30" i="64"/>
  <c r="ER30" i="64"/>
  <c r="EQ30" i="64"/>
  <c r="EV30" i="64" s="1"/>
  <c r="EP30" i="64"/>
  <c r="IA29" i="64"/>
  <c r="HZ29" i="64"/>
  <c r="HY29" i="64"/>
  <c r="GL29" i="64"/>
  <c r="FD29" i="64" s="1"/>
  <c r="FC29" i="64"/>
  <c r="FA29" i="64"/>
  <c r="EZ29" i="64"/>
  <c r="EX29" i="64"/>
  <c r="EU29" i="64"/>
  <c r="ET29" i="64"/>
  <c r="ES29" i="64"/>
  <c r="ER29" i="64"/>
  <c r="EQ29" i="64"/>
  <c r="EP29" i="64"/>
  <c r="IA28" i="64"/>
  <c r="HZ28" i="64"/>
  <c r="HY28" i="64"/>
  <c r="GL28" i="64"/>
  <c r="FD28" i="64"/>
  <c r="FC28" i="64"/>
  <c r="FA28" i="64"/>
  <c r="EZ28" i="64"/>
  <c r="EX28" i="64"/>
  <c r="EU28" i="64"/>
  <c r="ET28" i="64"/>
  <c r="ES28" i="64"/>
  <c r="ER28" i="64"/>
  <c r="EQ28" i="64"/>
  <c r="EP28" i="64"/>
  <c r="IA27" i="64"/>
  <c r="HZ27" i="64"/>
  <c r="HY27" i="64"/>
  <c r="GL27" i="64"/>
  <c r="FD27" i="64"/>
  <c r="FC27" i="64"/>
  <c r="FA27" i="64"/>
  <c r="EZ27" i="64"/>
  <c r="EX27" i="64"/>
  <c r="EU27" i="64"/>
  <c r="ET27" i="64"/>
  <c r="ES27" i="64"/>
  <c r="ER27" i="64"/>
  <c r="EQ27" i="64"/>
  <c r="EP27" i="64"/>
  <c r="IA26" i="64"/>
  <c r="HZ26" i="64"/>
  <c r="HY26" i="64"/>
  <c r="HP26" i="64"/>
  <c r="HO26" i="64"/>
  <c r="HN26" i="64"/>
  <c r="HM26" i="64"/>
  <c r="HL26" i="64"/>
  <c r="HK26" i="64"/>
  <c r="HJ26" i="64"/>
  <c r="HI26" i="64"/>
  <c r="HH26" i="64"/>
  <c r="HG26" i="64"/>
  <c r="HF26" i="64"/>
  <c r="HE26" i="64"/>
  <c r="HD26" i="64"/>
  <c r="HC26" i="64"/>
  <c r="HB26" i="64"/>
  <c r="HA26" i="64"/>
  <c r="GZ26" i="64"/>
  <c r="GY26" i="64"/>
  <c r="GX26" i="64"/>
  <c r="GW26" i="64"/>
  <c r="GV26" i="64"/>
  <c r="GU26" i="64"/>
  <c r="GT26" i="64"/>
  <c r="GS26" i="64"/>
  <c r="GR26" i="64"/>
  <c r="GQ26" i="64"/>
  <c r="GP26" i="64"/>
  <c r="GO26" i="64"/>
  <c r="GN26" i="64"/>
  <c r="GL26" i="64"/>
  <c r="GJ26" i="64"/>
  <c r="GI26" i="64"/>
  <c r="GH26" i="64"/>
  <c r="GG26" i="64"/>
  <c r="GF26" i="64"/>
  <c r="GE26" i="64"/>
  <c r="GD26" i="64"/>
  <c r="GC26" i="64"/>
  <c r="GB26" i="64"/>
  <c r="GA26" i="64"/>
  <c r="FZ26" i="64"/>
  <c r="FY26" i="64"/>
  <c r="FX26" i="64"/>
  <c r="FW26" i="64"/>
  <c r="FV26" i="64"/>
  <c r="FU26" i="64"/>
  <c r="FT26" i="64"/>
  <c r="FS26" i="64"/>
  <c r="FR26" i="64"/>
  <c r="FQ26" i="64"/>
  <c r="FP26" i="64"/>
  <c r="FO26" i="64"/>
  <c r="FN26" i="64"/>
  <c r="FM26" i="64"/>
  <c r="FL26" i="64"/>
  <c r="FK26" i="64"/>
  <c r="FJ26" i="64"/>
  <c r="FI26" i="64"/>
  <c r="FH26" i="64"/>
  <c r="FG26" i="64"/>
  <c r="FF26" i="64"/>
  <c r="FD26" i="64"/>
  <c r="FC26" i="64"/>
  <c r="EX26" i="64"/>
  <c r="EW26" i="64"/>
  <c r="EU26" i="64"/>
  <c r="ET26" i="64"/>
  <c r="ES26" i="64"/>
  <c r="ER26" i="64"/>
  <c r="EQ26" i="64"/>
  <c r="EP26" i="64"/>
  <c r="M25" i="64"/>
  <c r="L25" i="64"/>
  <c r="M24" i="64"/>
  <c r="M23" i="64"/>
  <c r="EY23" i="64" s="1"/>
  <c r="L23" i="64"/>
  <c r="M22" i="64"/>
  <c r="M21" i="64"/>
  <c r="L21" i="64"/>
  <c r="IA25" i="64"/>
  <c r="HZ25" i="64"/>
  <c r="HY25" i="64"/>
  <c r="GL25" i="64"/>
  <c r="GJ25" i="64"/>
  <c r="GI25" i="64"/>
  <c r="GH25" i="64"/>
  <c r="GG25" i="64"/>
  <c r="GF25" i="64"/>
  <c r="GE25" i="64"/>
  <c r="GD25" i="64"/>
  <c r="GC25" i="64"/>
  <c r="GB25" i="64"/>
  <c r="GA25" i="64"/>
  <c r="FZ25" i="64"/>
  <c r="FY25" i="64"/>
  <c r="FX25" i="64"/>
  <c r="FW25" i="64"/>
  <c r="FV25" i="64"/>
  <c r="FU25" i="64"/>
  <c r="FT25" i="64"/>
  <c r="FS25" i="64"/>
  <c r="FR25" i="64"/>
  <c r="FQ25" i="64"/>
  <c r="FP25" i="64"/>
  <c r="FO25" i="64"/>
  <c r="FN25" i="64"/>
  <c r="FM25" i="64"/>
  <c r="FL25" i="64"/>
  <c r="FK25" i="64"/>
  <c r="FJ25" i="64"/>
  <c r="FI25" i="64"/>
  <c r="FH25" i="64"/>
  <c r="FG25" i="64"/>
  <c r="FF25" i="64"/>
  <c r="FD25" i="64"/>
  <c r="FC25" i="64"/>
  <c r="EU25" i="64"/>
  <c r="ET25" i="64"/>
  <c r="ES25" i="64"/>
  <c r="ER25" i="64"/>
  <c r="EQ25" i="64"/>
  <c r="EP25" i="64"/>
  <c r="IA24" i="64"/>
  <c r="HZ24" i="64"/>
  <c r="HY24" i="64"/>
  <c r="GL24" i="64"/>
  <c r="FD24" i="64" s="1"/>
  <c r="FC24" i="64"/>
  <c r="FA24" i="64"/>
  <c r="EZ24" i="64"/>
  <c r="EX24" i="64"/>
  <c r="EU24" i="64"/>
  <c r="ET24" i="64"/>
  <c r="ES24" i="64"/>
  <c r="ER24" i="64"/>
  <c r="EQ24" i="64"/>
  <c r="EP24" i="64"/>
  <c r="IA23" i="64"/>
  <c r="HZ23" i="64"/>
  <c r="HY23" i="64"/>
  <c r="GL23" i="64"/>
  <c r="FD23" i="64" s="1"/>
  <c r="FC23" i="64"/>
  <c r="FA23" i="64"/>
  <c r="EZ23" i="64"/>
  <c r="EX23" i="64"/>
  <c r="EU23" i="64"/>
  <c r="ET23" i="64"/>
  <c r="ES23" i="64"/>
  <c r="ER23" i="64"/>
  <c r="EQ23" i="64"/>
  <c r="EP23" i="64"/>
  <c r="IA22" i="64"/>
  <c r="HZ22" i="64"/>
  <c r="HY22" i="64"/>
  <c r="GL22" i="64"/>
  <c r="FD22" i="64" s="1"/>
  <c r="FC22" i="64"/>
  <c r="FA22" i="64"/>
  <c r="EZ22" i="64"/>
  <c r="EX22" i="64"/>
  <c r="EU22" i="64"/>
  <c r="ET22" i="64"/>
  <c r="ES22" i="64"/>
  <c r="ER22" i="64"/>
  <c r="EQ22" i="64"/>
  <c r="EP22" i="64"/>
  <c r="IA21" i="64"/>
  <c r="HZ21" i="64"/>
  <c r="HY21" i="64"/>
  <c r="HP21" i="64"/>
  <c r="HO21" i="64"/>
  <c r="HN21" i="64"/>
  <c r="HM21" i="64"/>
  <c r="HL21" i="64"/>
  <c r="HK21" i="64"/>
  <c r="HJ21" i="64"/>
  <c r="HI21" i="64"/>
  <c r="HH21" i="64"/>
  <c r="HG21" i="64"/>
  <c r="HF21" i="64"/>
  <c r="HE21" i="64"/>
  <c r="HD21" i="64"/>
  <c r="HC21" i="64"/>
  <c r="HB21" i="64"/>
  <c r="HA21" i="64"/>
  <c r="GZ21" i="64"/>
  <c r="GY21" i="64"/>
  <c r="GX21" i="64"/>
  <c r="GW21" i="64"/>
  <c r="GV21" i="64"/>
  <c r="GU21" i="64"/>
  <c r="GT21" i="64"/>
  <c r="GS21" i="64"/>
  <c r="GR21" i="64"/>
  <c r="GQ21" i="64"/>
  <c r="GP21" i="64"/>
  <c r="GO21" i="64"/>
  <c r="GN21" i="64"/>
  <c r="GL21" i="64"/>
  <c r="GJ21" i="64"/>
  <c r="GI21" i="64"/>
  <c r="GH21" i="64"/>
  <c r="GG21" i="64"/>
  <c r="GF21" i="64"/>
  <c r="GE21" i="64"/>
  <c r="GD21" i="64"/>
  <c r="GC21" i="64"/>
  <c r="GB21" i="64"/>
  <c r="GA21" i="64"/>
  <c r="FZ21" i="64"/>
  <c r="FY21" i="64"/>
  <c r="FX21" i="64"/>
  <c r="FW21" i="64"/>
  <c r="FV21" i="64"/>
  <c r="FU21" i="64"/>
  <c r="FT21" i="64"/>
  <c r="FS21" i="64"/>
  <c r="FR21" i="64"/>
  <c r="FQ21" i="64"/>
  <c r="FP21" i="64"/>
  <c r="FO21" i="64"/>
  <c r="FN21" i="64"/>
  <c r="FM21" i="64"/>
  <c r="FL21" i="64"/>
  <c r="FK21" i="64"/>
  <c r="FJ21" i="64"/>
  <c r="FI21" i="64"/>
  <c r="FH21" i="64"/>
  <c r="FG21" i="64"/>
  <c r="FA21" i="64" s="1"/>
  <c r="FF21" i="64"/>
  <c r="FD21" i="64"/>
  <c r="FC21" i="64"/>
  <c r="EX21" i="64"/>
  <c r="EW21" i="64"/>
  <c r="EU21" i="64"/>
  <c r="ET21" i="64"/>
  <c r="ES21" i="64"/>
  <c r="ER21" i="64"/>
  <c r="EQ21" i="64"/>
  <c r="EP21" i="64"/>
  <c r="M20" i="64"/>
  <c r="L20" i="64"/>
  <c r="M18" i="64"/>
  <c r="L18" i="64"/>
  <c r="M16" i="64"/>
  <c r="EY16" i="64" s="1"/>
  <c r="L16" i="64"/>
  <c r="IA20" i="64"/>
  <c r="HZ20" i="64"/>
  <c r="HY20" i="64"/>
  <c r="GL20" i="64"/>
  <c r="GJ20" i="64"/>
  <c r="GI20" i="64"/>
  <c r="GH20" i="64"/>
  <c r="GG20" i="64"/>
  <c r="GF20" i="64"/>
  <c r="GE20" i="64"/>
  <c r="GD20" i="64"/>
  <c r="GC20" i="64"/>
  <c r="GB20" i="64"/>
  <c r="GA20" i="64"/>
  <c r="FZ20" i="64"/>
  <c r="FY20" i="64"/>
  <c r="FX20" i="64"/>
  <c r="FW20" i="64"/>
  <c r="FV20" i="64"/>
  <c r="FU20" i="64"/>
  <c r="FT20" i="64"/>
  <c r="FS20" i="64"/>
  <c r="FR20" i="64"/>
  <c r="FQ20" i="64"/>
  <c r="FP20" i="64"/>
  <c r="FO20" i="64"/>
  <c r="FN20" i="64"/>
  <c r="FM20" i="64"/>
  <c r="FL20" i="64"/>
  <c r="FK20" i="64"/>
  <c r="FJ20" i="64"/>
  <c r="FI20" i="64"/>
  <c r="FH20" i="64"/>
  <c r="FG20" i="64"/>
  <c r="FF20" i="64"/>
  <c r="FD20" i="64"/>
  <c r="FC20" i="64"/>
  <c r="EU20" i="64"/>
  <c r="ET20" i="64"/>
  <c r="ES20" i="64"/>
  <c r="ER20" i="64"/>
  <c r="EQ20" i="64"/>
  <c r="EP20" i="64"/>
  <c r="IA19" i="64"/>
  <c r="HZ19" i="64"/>
  <c r="HY19" i="64"/>
  <c r="GL19" i="64"/>
  <c r="FD19" i="64" s="1"/>
  <c r="FC19" i="64"/>
  <c r="FA19" i="64"/>
  <c r="EZ19" i="64"/>
  <c r="EX19" i="64"/>
  <c r="EU19" i="64"/>
  <c r="ET19" i="64"/>
  <c r="ES19" i="64"/>
  <c r="ER19" i="64"/>
  <c r="EQ19" i="64"/>
  <c r="EP19" i="64"/>
  <c r="IA18" i="64"/>
  <c r="HZ18" i="64"/>
  <c r="HY18" i="64"/>
  <c r="GL18" i="64"/>
  <c r="FD18" i="64" s="1"/>
  <c r="FC18" i="64"/>
  <c r="FA18" i="64"/>
  <c r="EZ18" i="64"/>
  <c r="EX18" i="64"/>
  <c r="EU18" i="64"/>
  <c r="ET18" i="64"/>
  <c r="ES18" i="64"/>
  <c r="ER18" i="64"/>
  <c r="EQ18" i="64"/>
  <c r="EP18" i="64"/>
  <c r="IA17" i="64"/>
  <c r="HZ17" i="64"/>
  <c r="HY17" i="64"/>
  <c r="GL17" i="64"/>
  <c r="FD17" i="64" s="1"/>
  <c r="FC17" i="64"/>
  <c r="FA17" i="64"/>
  <c r="EZ17" i="64"/>
  <c r="EX17" i="64"/>
  <c r="EU17" i="64"/>
  <c r="ET17" i="64"/>
  <c r="ES17" i="64"/>
  <c r="ER17" i="64"/>
  <c r="EQ17" i="64"/>
  <c r="EP17" i="64"/>
  <c r="IA16" i="64"/>
  <c r="HZ16" i="64"/>
  <c r="HY16" i="64"/>
  <c r="HP16" i="64"/>
  <c r="HO16" i="64"/>
  <c r="HN16" i="64"/>
  <c r="HM16" i="64"/>
  <c r="HL16" i="64"/>
  <c r="HK16" i="64"/>
  <c r="HJ16" i="64"/>
  <c r="HI16" i="64"/>
  <c r="HH16" i="64"/>
  <c r="HG16" i="64"/>
  <c r="HF16" i="64"/>
  <c r="HE16" i="64"/>
  <c r="HD16" i="64"/>
  <c r="HC16" i="64"/>
  <c r="HB16" i="64"/>
  <c r="HA16" i="64"/>
  <c r="GZ16" i="64"/>
  <c r="GY16" i="64"/>
  <c r="GX16" i="64"/>
  <c r="GW16" i="64"/>
  <c r="GV16" i="64"/>
  <c r="GU16" i="64"/>
  <c r="GT16" i="64"/>
  <c r="GS16" i="64"/>
  <c r="GR16" i="64"/>
  <c r="GQ16" i="64"/>
  <c r="GP16" i="64"/>
  <c r="GO16" i="64"/>
  <c r="GN16" i="64"/>
  <c r="GL16" i="64"/>
  <c r="FD16" i="64" s="1"/>
  <c r="GJ16" i="64"/>
  <c r="GI16" i="64"/>
  <c r="GH16" i="64"/>
  <c r="GG16" i="64"/>
  <c r="GF16" i="64"/>
  <c r="GE16" i="64"/>
  <c r="GD16" i="64"/>
  <c r="GC16" i="64"/>
  <c r="GB16" i="64"/>
  <c r="GA16" i="64"/>
  <c r="FZ16" i="64"/>
  <c r="FY16" i="64"/>
  <c r="FX16" i="64"/>
  <c r="FW16" i="64"/>
  <c r="FV16" i="64"/>
  <c r="FU16" i="64"/>
  <c r="FT16" i="64"/>
  <c r="FS16" i="64"/>
  <c r="FR16" i="64"/>
  <c r="FQ16" i="64"/>
  <c r="FP16" i="64"/>
  <c r="FO16" i="64"/>
  <c r="FN16" i="64"/>
  <c r="FM16" i="64"/>
  <c r="FL16" i="64"/>
  <c r="FK16" i="64"/>
  <c r="FJ16" i="64"/>
  <c r="FI16" i="64"/>
  <c r="FH16" i="64"/>
  <c r="FG16" i="64"/>
  <c r="FF16" i="64"/>
  <c r="FC16" i="64"/>
  <c r="EX16" i="64"/>
  <c r="EW16" i="64"/>
  <c r="EU16" i="64"/>
  <c r="ET16" i="64"/>
  <c r="ES16" i="64"/>
  <c r="ER16" i="64"/>
  <c r="EQ16" i="64"/>
  <c r="EP16" i="64"/>
  <c r="M15" i="64"/>
  <c r="L15" i="64"/>
  <c r="M14" i="64"/>
  <c r="L14" i="64"/>
  <c r="EY14" i="64" s="1"/>
  <c r="M13" i="64"/>
  <c r="L13" i="64"/>
  <c r="M12" i="64"/>
  <c r="L12" i="64"/>
  <c r="EY12" i="64" s="1"/>
  <c r="M11" i="64"/>
  <c r="L11" i="64"/>
  <c r="IA15" i="64"/>
  <c r="HZ15" i="64"/>
  <c r="HY15" i="64"/>
  <c r="GL15" i="64"/>
  <c r="GJ15" i="64"/>
  <c r="GI15" i="64"/>
  <c r="GH15" i="64"/>
  <c r="GG15" i="64"/>
  <c r="GF15" i="64"/>
  <c r="GE15" i="64"/>
  <c r="GD15" i="64"/>
  <c r="GC15" i="64"/>
  <c r="GB15" i="64"/>
  <c r="GA15" i="64"/>
  <c r="FZ15" i="64"/>
  <c r="FY15" i="64"/>
  <c r="FX15" i="64"/>
  <c r="FW15" i="64"/>
  <c r="FV15" i="64"/>
  <c r="FU15" i="64"/>
  <c r="FT15" i="64"/>
  <c r="FS15" i="64"/>
  <c r="FR15" i="64"/>
  <c r="FQ15" i="64"/>
  <c r="FP15" i="64"/>
  <c r="FO15" i="64"/>
  <c r="FN15" i="64"/>
  <c r="FM15" i="64"/>
  <c r="FL15" i="64"/>
  <c r="FK15" i="64"/>
  <c r="FJ15" i="64"/>
  <c r="FI15" i="64"/>
  <c r="FH15" i="64"/>
  <c r="FG15" i="64"/>
  <c r="FF15" i="64"/>
  <c r="FD15" i="64"/>
  <c r="FC15" i="64"/>
  <c r="EU15" i="64"/>
  <c r="ET15" i="64"/>
  <c r="ES15" i="64"/>
  <c r="ER15" i="64"/>
  <c r="EQ15" i="64"/>
  <c r="EP15" i="64"/>
  <c r="IA14" i="64"/>
  <c r="HZ14" i="64"/>
  <c r="HY14" i="64"/>
  <c r="GL14" i="64"/>
  <c r="FD14" i="64" s="1"/>
  <c r="FC14" i="64"/>
  <c r="FA14" i="64"/>
  <c r="EZ14" i="64"/>
  <c r="EX14" i="64"/>
  <c r="EU14" i="64"/>
  <c r="ET14" i="64"/>
  <c r="ES14" i="64"/>
  <c r="ER14" i="64"/>
  <c r="EQ14" i="64"/>
  <c r="EP14" i="64"/>
  <c r="IA13" i="64"/>
  <c r="HZ13" i="64"/>
  <c r="HY13" i="64"/>
  <c r="GL13" i="64"/>
  <c r="FD13" i="64" s="1"/>
  <c r="FC13" i="64"/>
  <c r="FA13" i="64"/>
  <c r="EZ13" i="64"/>
  <c r="EY13" i="64"/>
  <c r="EX13" i="64"/>
  <c r="EU13" i="64"/>
  <c r="ET13" i="64"/>
  <c r="ES13" i="64"/>
  <c r="ER13" i="64"/>
  <c r="EV13" i="64" s="1"/>
  <c r="EQ13" i="64"/>
  <c r="EP13" i="64"/>
  <c r="IA12" i="64"/>
  <c r="HZ12" i="64"/>
  <c r="HY12" i="64"/>
  <c r="GL12" i="64"/>
  <c r="FD12" i="64"/>
  <c r="FC12" i="64"/>
  <c r="FA12" i="64"/>
  <c r="EZ12" i="64"/>
  <c r="EX12" i="64"/>
  <c r="EU12" i="64"/>
  <c r="ET12" i="64"/>
  <c r="ES12" i="64"/>
  <c r="ER12" i="64"/>
  <c r="EQ12" i="64"/>
  <c r="EP12" i="64"/>
  <c r="IA11" i="64"/>
  <c r="HZ11" i="64"/>
  <c r="HY11" i="64"/>
  <c r="HP11" i="64"/>
  <c r="HO11" i="64"/>
  <c r="HN11" i="64"/>
  <c r="HM11" i="64"/>
  <c r="HL11" i="64"/>
  <c r="HK11" i="64"/>
  <c r="HJ11" i="64"/>
  <c r="HI11" i="64"/>
  <c r="HH11" i="64"/>
  <c r="HG11" i="64"/>
  <c r="HF11" i="64"/>
  <c r="HE11" i="64"/>
  <c r="HD11" i="64"/>
  <c r="HC11" i="64"/>
  <c r="HB11" i="64"/>
  <c r="HA11" i="64"/>
  <c r="GZ11" i="64"/>
  <c r="GY11" i="64"/>
  <c r="GX11" i="64"/>
  <c r="GW11" i="64"/>
  <c r="GV11" i="64"/>
  <c r="GU11" i="64"/>
  <c r="GT11" i="64"/>
  <c r="GS11" i="64"/>
  <c r="GR11" i="64"/>
  <c r="GQ11" i="64"/>
  <c r="GP11" i="64"/>
  <c r="GO11" i="64"/>
  <c r="GN11" i="64"/>
  <c r="GL11" i="64"/>
  <c r="FD11" i="64" s="1"/>
  <c r="GJ11" i="64"/>
  <c r="GI11" i="64"/>
  <c r="GH11" i="64"/>
  <c r="GG11" i="64"/>
  <c r="GF11" i="64"/>
  <c r="GE11" i="64"/>
  <c r="GD11" i="64"/>
  <c r="GC11" i="64"/>
  <c r="GB11" i="64"/>
  <c r="GA11" i="64"/>
  <c r="FZ11" i="64"/>
  <c r="FY11" i="64"/>
  <c r="FX11" i="64"/>
  <c r="FW11" i="64"/>
  <c r="FV11" i="64"/>
  <c r="FU11" i="64"/>
  <c r="FT11" i="64"/>
  <c r="FS11" i="64"/>
  <c r="FR11" i="64"/>
  <c r="FQ11" i="64"/>
  <c r="FP11" i="64"/>
  <c r="FO11" i="64"/>
  <c r="FN11" i="64"/>
  <c r="FM11" i="64"/>
  <c r="FL11" i="64"/>
  <c r="FK11" i="64"/>
  <c r="FJ11" i="64"/>
  <c r="FI11" i="64"/>
  <c r="FH11" i="64"/>
  <c r="FA11" i="64" s="1"/>
  <c r="FG11" i="64"/>
  <c r="FF11" i="64"/>
  <c r="EX11" i="64" s="1"/>
  <c r="FC11" i="64"/>
  <c r="EY11" i="64"/>
  <c r="EW11" i="64"/>
  <c r="EU11" i="64"/>
  <c r="ET11" i="64"/>
  <c r="ES11" i="64"/>
  <c r="ER11" i="64"/>
  <c r="EQ11" i="64"/>
  <c r="EP11" i="64"/>
  <c r="EY106" i="64" l="1"/>
  <c r="EY109" i="64"/>
  <c r="EY88" i="64"/>
  <c r="EY84" i="64"/>
  <c r="EY78" i="64"/>
  <c r="EY73" i="64"/>
  <c r="EY66" i="64"/>
  <c r="EY69" i="64"/>
  <c r="EY61" i="64"/>
  <c r="EY63" i="64"/>
  <c r="EY59" i="64"/>
  <c r="EY52" i="64"/>
  <c r="EY49" i="64"/>
  <c r="EY42" i="64"/>
  <c r="EY44" i="64"/>
  <c r="EY43" i="64"/>
  <c r="EY36" i="64"/>
  <c r="EY39" i="64"/>
  <c r="EY33" i="64"/>
  <c r="EY27" i="64"/>
  <c r="EY21" i="64"/>
  <c r="EY24" i="64"/>
  <c r="EY18" i="64"/>
  <c r="EV106" i="64"/>
  <c r="EV108" i="64"/>
  <c r="EV107" i="64"/>
  <c r="EV109" i="64"/>
  <c r="FB110" i="64"/>
  <c r="EZ106" i="64"/>
  <c r="FE106" i="64" s="1"/>
  <c r="IB106" i="64" s="1"/>
  <c r="EV101" i="64"/>
  <c r="EV103" i="64"/>
  <c r="FB105" i="64"/>
  <c r="EV102" i="64"/>
  <c r="EV104" i="64"/>
  <c r="EV105" i="64"/>
  <c r="EZ101" i="64"/>
  <c r="FE101" i="64" s="1"/>
  <c r="IB101" i="64" s="1"/>
  <c r="EV98" i="64"/>
  <c r="EV97" i="64"/>
  <c r="FB100" i="64"/>
  <c r="EV96" i="64"/>
  <c r="FA96" i="64"/>
  <c r="EV99" i="64"/>
  <c r="EV100" i="64"/>
  <c r="EZ96" i="64"/>
  <c r="FE96" i="64" s="1"/>
  <c r="IB96" i="64" s="1"/>
  <c r="EV93" i="64"/>
  <c r="EV94" i="64"/>
  <c r="EV91" i="64"/>
  <c r="EV92" i="64"/>
  <c r="FB95" i="64"/>
  <c r="EZ91" i="64"/>
  <c r="FE91" i="64" s="1"/>
  <c r="IB91" i="64" s="1"/>
  <c r="EV88" i="64"/>
  <c r="EV87" i="64"/>
  <c r="FB90" i="64"/>
  <c r="EV86" i="64"/>
  <c r="FA86" i="64"/>
  <c r="EV89" i="64"/>
  <c r="EV90" i="64"/>
  <c r="EZ86" i="64"/>
  <c r="FE86" i="64" s="1"/>
  <c r="IB86" i="64" s="1"/>
  <c r="EV83" i="64"/>
  <c r="EV82" i="64"/>
  <c r="FB85" i="64"/>
  <c r="EV81" i="64"/>
  <c r="FA81" i="64"/>
  <c r="EV84" i="64"/>
  <c r="EV85" i="64"/>
  <c r="EZ81" i="64"/>
  <c r="FE81" i="64" s="1"/>
  <c r="IB81" i="64" s="1"/>
  <c r="EV76" i="64"/>
  <c r="FA76" i="64"/>
  <c r="EV78" i="64"/>
  <c r="FB80" i="64"/>
  <c r="EV77" i="64"/>
  <c r="EV80" i="64"/>
  <c r="EZ76" i="64"/>
  <c r="EV73" i="64"/>
  <c r="EV71" i="64"/>
  <c r="FB75" i="64"/>
  <c r="EV72" i="64"/>
  <c r="EV74" i="64"/>
  <c r="EV75" i="64"/>
  <c r="EZ71" i="64"/>
  <c r="FE71" i="64" s="1"/>
  <c r="IB71" i="64" s="1"/>
  <c r="EV68" i="64"/>
  <c r="EV66" i="64"/>
  <c r="FB70" i="64"/>
  <c r="EV67" i="64"/>
  <c r="EV69" i="64"/>
  <c r="EV70" i="64"/>
  <c r="EZ66" i="64"/>
  <c r="EV63" i="64"/>
  <c r="EV62" i="64"/>
  <c r="FB65" i="64"/>
  <c r="EV61" i="64"/>
  <c r="FA61" i="64"/>
  <c r="EV64" i="64"/>
  <c r="EV65" i="64"/>
  <c r="EZ61" i="64"/>
  <c r="FE61" i="64" s="1"/>
  <c r="IB61" i="64" s="1"/>
  <c r="EV58" i="64"/>
  <c r="EV57" i="64"/>
  <c r="FB60" i="64"/>
  <c r="EV56" i="64"/>
  <c r="FA56" i="64"/>
  <c r="EV59" i="64"/>
  <c r="EV60" i="64"/>
  <c r="EZ56" i="64"/>
  <c r="FE56" i="64" s="1"/>
  <c r="IB56" i="64" s="1"/>
  <c r="EV52" i="64"/>
  <c r="EV53" i="64"/>
  <c r="EV51" i="64"/>
  <c r="FA51" i="64"/>
  <c r="EV54" i="64"/>
  <c r="FB55" i="64"/>
  <c r="EZ51" i="64"/>
  <c r="EV48" i="64"/>
  <c r="EV46" i="64"/>
  <c r="EV49" i="64"/>
  <c r="EV47" i="64"/>
  <c r="FB50" i="64"/>
  <c r="EZ46" i="64"/>
  <c r="FE46" i="64" s="1"/>
  <c r="IB46" i="64" s="1"/>
  <c r="EV43" i="64"/>
  <c r="EV42" i="64"/>
  <c r="EV41" i="64"/>
  <c r="FA41" i="64"/>
  <c r="EV44" i="64"/>
  <c r="FB45" i="64"/>
  <c r="EZ41" i="64"/>
  <c r="EV38" i="64"/>
  <c r="EV37" i="64"/>
  <c r="EV39" i="64"/>
  <c r="FB40" i="64"/>
  <c r="EZ36" i="64"/>
  <c r="EV32" i="64"/>
  <c r="EV33" i="64"/>
  <c r="EV31" i="64"/>
  <c r="FA31" i="64"/>
  <c r="EV34" i="64"/>
  <c r="FB35" i="64"/>
  <c r="EZ31" i="64"/>
  <c r="EV28" i="64"/>
  <c r="EV27" i="64"/>
  <c r="EV26" i="64"/>
  <c r="FA26" i="64"/>
  <c r="EV29" i="64"/>
  <c r="FB30" i="64"/>
  <c r="EZ26" i="64"/>
  <c r="EV23" i="64"/>
  <c r="EV21" i="64"/>
  <c r="FB25" i="64"/>
  <c r="EV22" i="64"/>
  <c r="EV24" i="64"/>
  <c r="EV25" i="64"/>
  <c r="EZ21" i="64"/>
  <c r="FE21" i="64" s="1"/>
  <c r="IB21" i="64" s="1"/>
  <c r="EV18" i="64"/>
  <c r="EV16" i="64"/>
  <c r="EV17" i="64"/>
  <c r="FB20" i="64"/>
  <c r="FA16" i="64"/>
  <c r="EV19" i="64"/>
  <c r="EV20" i="64"/>
  <c r="EZ16" i="64"/>
  <c r="FE16" i="64" s="1"/>
  <c r="IB16" i="64" s="1"/>
  <c r="FB15" i="64"/>
  <c r="EZ11" i="64"/>
  <c r="FE11" i="64" s="1"/>
  <c r="IB11" i="64" s="1"/>
  <c r="EV12" i="64"/>
  <c r="EV14" i="64"/>
  <c r="EV11" i="64"/>
  <c r="EV15" i="64"/>
  <c r="FE66" i="64" l="1"/>
  <c r="IB66" i="64" s="1"/>
  <c r="FE76" i="64"/>
  <c r="IB76" i="64" s="1"/>
  <c r="FE51" i="64"/>
  <c r="IB51" i="64" s="1"/>
  <c r="FE41" i="64"/>
  <c r="IB41" i="64" s="1"/>
  <c r="FE36" i="64"/>
  <c r="IB36" i="64" s="1"/>
  <c r="FE31" i="64"/>
  <c r="IB31" i="64" s="1"/>
  <c r="FE26" i="64"/>
  <c r="IB26" i="64" s="1"/>
  <c r="GN6" i="64"/>
  <c r="H8" i="89"/>
  <c r="D11" i="89" s="1"/>
  <c r="I18" i="90"/>
  <c r="I17" i="90"/>
  <c r="E14" i="90"/>
  <c r="D25" i="89"/>
  <c r="D23" i="89" l="1"/>
  <c r="F10" i="91" s="1"/>
  <c r="D13" i="89"/>
  <c r="E16" i="91" s="1"/>
  <c r="F10" i="90" l="1"/>
  <c r="I15" i="90" s="1"/>
  <c r="B3" i="91"/>
  <c r="E14" i="91" s="1"/>
  <c r="B3" i="90"/>
  <c r="F20" i="91"/>
  <c r="F23" i="91"/>
  <c r="F22" i="91"/>
  <c r="F21" i="91"/>
  <c r="E16" i="90" l="1"/>
  <c r="F20" i="90" s="1"/>
  <c r="C34" i="91"/>
  <c r="C39" i="91"/>
  <c r="E39" i="91" s="1"/>
  <c r="C43" i="91" s="1"/>
  <c r="C34" i="90"/>
  <c r="C39" i="90" s="1"/>
  <c r="E39" i="90" s="1"/>
  <c r="C43" i="90" s="1"/>
  <c r="F24" i="91"/>
  <c r="C42" i="91" s="1"/>
  <c r="F26" i="91" l="1"/>
  <c r="F28" i="91" s="1"/>
  <c r="F21" i="90"/>
  <c r="F22" i="90"/>
  <c r="F23" i="90"/>
  <c r="C44" i="91"/>
  <c r="F24" i="90" l="1"/>
  <c r="F26" i="90" s="1"/>
  <c r="F30" i="91"/>
  <c r="F32" i="89" s="1"/>
  <c r="F33" i="89" s="1"/>
  <c r="F28" i="90" l="1"/>
  <c r="F30" i="90" s="1"/>
  <c r="D32" i="89" s="1"/>
  <c r="D37" i="89" s="1"/>
  <c r="C42" i="90"/>
  <c r="C44" i="90" s="1"/>
  <c r="D36" i="89" l="1"/>
  <c r="C36" i="89"/>
  <c r="D33" i="89"/>
  <c r="I34" i="86" s="1"/>
  <c r="EN3" i="64"/>
  <c r="EO3" i="64" s="1"/>
  <c r="EP3" i="64" s="1"/>
  <c r="EQ3" i="64" s="1"/>
  <c r="ER3" i="64" s="1"/>
  <c r="ES3" i="64" s="1"/>
  <c r="ET3" i="64" s="1"/>
  <c r="EU3" i="64" s="1"/>
  <c r="EV3" i="64" s="1"/>
  <c r="EW3" i="64" s="1"/>
  <c r="EX3" i="64" s="1"/>
  <c r="EY3" i="64" s="1"/>
  <c r="EZ3" i="64" s="1"/>
  <c r="FA3" i="64" s="1"/>
  <c r="FB3" i="64" s="1"/>
  <c r="FC3" i="64" s="1"/>
  <c r="FD3" i="64" s="1"/>
  <c r="FE3" i="64" s="1"/>
  <c r="FF3" i="64" s="1"/>
  <c r="FG3" i="64" s="1"/>
  <c r="FH3" i="64" s="1"/>
  <c r="FI3" i="64" s="1"/>
  <c r="FJ3" i="64" s="1"/>
  <c r="FK3" i="64" s="1"/>
  <c r="FL3" i="64" s="1"/>
  <c r="FM3" i="64" s="1"/>
  <c r="FN3" i="64" s="1"/>
  <c r="FO3" i="64" s="1"/>
  <c r="FP3" i="64" s="1"/>
  <c r="FQ3" i="64" s="1"/>
  <c r="FR3" i="64" s="1"/>
  <c r="FS3" i="64" s="1"/>
  <c r="FT3" i="64" s="1"/>
  <c r="FU3" i="64" s="1"/>
  <c r="FV3" i="64" s="1"/>
  <c r="FW3" i="64" s="1"/>
  <c r="FX3" i="64" s="1"/>
  <c r="FY3" i="64" s="1"/>
  <c r="FZ3" i="64" s="1"/>
  <c r="GA3" i="64" s="1"/>
  <c r="GB3" i="64" s="1"/>
  <c r="GC3" i="64" s="1"/>
  <c r="GD3" i="64" s="1"/>
  <c r="GE3" i="64" s="1"/>
  <c r="GF3" i="64" s="1"/>
  <c r="GG3" i="64" s="1"/>
  <c r="GH3" i="64" s="1"/>
  <c r="GI3" i="64" s="1"/>
  <c r="GJ3" i="64" s="1"/>
  <c r="GK3" i="64" s="1"/>
  <c r="GL3" i="64" s="1"/>
  <c r="GM3" i="64" s="1"/>
  <c r="GN3" i="64" s="1"/>
  <c r="GO3" i="64" s="1"/>
  <c r="GP3" i="64" s="1"/>
  <c r="GQ3" i="64" s="1"/>
  <c r="GR3" i="64" s="1"/>
  <c r="GS3" i="64" s="1"/>
  <c r="GT3" i="64" s="1"/>
  <c r="GU3" i="64" s="1"/>
  <c r="GV3" i="64" s="1"/>
  <c r="GW3" i="64" s="1"/>
  <c r="GX3" i="64" s="1"/>
  <c r="GY3" i="64" s="1"/>
  <c r="GZ3" i="64" s="1"/>
  <c r="HA3" i="64" s="1"/>
  <c r="HB3" i="64" s="1"/>
  <c r="HC3" i="64" s="1"/>
  <c r="HD3" i="64" s="1"/>
  <c r="HE3" i="64" s="1"/>
  <c r="HF3" i="64" s="1"/>
  <c r="HG3" i="64" s="1"/>
  <c r="HH3" i="64" s="1"/>
  <c r="HI3" i="64" s="1"/>
  <c r="HJ3" i="64" s="1"/>
  <c r="HK3" i="64" s="1"/>
  <c r="HL3" i="64" s="1"/>
  <c r="HM3" i="64" s="1"/>
  <c r="HN3" i="64" s="1"/>
  <c r="HO3" i="64" s="1"/>
  <c r="HP3" i="64" s="1"/>
  <c r="HQ3" i="64" s="1"/>
  <c r="HR3" i="64" s="1"/>
  <c r="HS3" i="64" s="1"/>
  <c r="HT3" i="64" s="1"/>
  <c r="HU3" i="64" s="1"/>
  <c r="HV3" i="64" s="1"/>
  <c r="HW3" i="64" s="1"/>
  <c r="HX3" i="64" s="1"/>
  <c r="HY3" i="64" s="1"/>
  <c r="HZ3" i="64" s="1"/>
  <c r="IA3" i="64" s="1"/>
  <c r="IA10" i="64"/>
  <c r="HZ10" i="64"/>
  <c r="HY10" i="64"/>
  <c r="IA9" i="64"/>
  <c r="HZ9" i="64"/>
  <c r="HY9" i="64"/>
  <c r="IA8" i="64"/>
  <c r="HZ8" i="64"/>
  <c r="HY8" i="64"/>
  <c r="IA7" i="64"/>
  <c r="HZ7" i="64"/>
  <c r="HY7" i="64"/>
  <c r="IA6" i="64"/>
  <c r="HZ6" i="64"/>
  <c r="HY6" i="64"/>
  <c r="EW6" i="64" l="1"/>
  <c r="A11" i="86"/>
  <c r="L112" i="64"/>
  <c r="M112" i="64" s="1"/>
  <c r="N112" i="64" s="1"/>
  <c r="O112" i="64" s="1"/>
  <c r="P112" i="64" s="1"/>
  <c r="I26" i="86" l="1"/>
  <c r="I28" i="86"/>
  <c r="I27" i="86"/>
  <c r="B37" i="86"/>
  <c r="B39" i="86"/>
  <c r="D11" i="86"/>
  <c r="ER112" i="64"/>
  <c r="ES112" i="64" s="1"/>
  <c r="ET112" i="64" s="1"/>
  <c r="EU112" i="64" s="1"/>
  <c r="EV112" i="64" s="1"/>
  <c r="EW112" i="64" s="1"/>
  <c r="EX112" i="64" s="1"/>
  <c r="EY112" i="64" s="1"/>
  <c r="EZ112" i="64" s="1"/>
  <c r="FA112" i="64" s="1"/>
  <c r="FB112" i="64" s="1"/>
  <c r="FC112" i="64" s="1"/>
  <c r="FD112" i="64" s="1"/>
  <c r="FE112" i="64" s="1"/>
  <c r="FF112" i="64" s="1"/>
  <c r="FG112" i="64" s="1"/>
  <c r="FH112" i="64" s="1"/>
  <c r="FI112" i="64" s="1"/>
  <c r="FJ112" i="64" s="1"/>
  <c r="FK112" i="64" s="1"/>
  <c r="FL112" i="64" s="1"/>
  <c r="FM112" i="64" s="1"/>
  <c r="FN112" i="64" s="1"/>
  <c r="FO112" i="64" s="1"/>
  <c r="FP112" i="64" s="1"/>
  <c r="FQ112" i="64" s="1"/>
  <c r="FR112" i="64" s="1"/>
  <c r="FS112" i="64" s="1"/>
  <c r="FT112" i="64" s="1"/>
  <c r="FU112" i="64" s="1"/>
  <c r="FV112" i="64" s="1"/>
  <c r="FW112" i="64" s="1"/>
  <c r="FX112" i="64" s="1"/>
  <c r="FY112" i="64" s="1"/>
  <c r="F11" i="86"/>
  <c r="I20" i="86"/>
  <c r="C11" i="86"/>
  <c r="A11" i="68"/>
  <c r="F15" i="68" l="1"/>
  <c r="B35" i="68"/>
  <c r="B37" i="68"/>
  <c r="J3" i="87"/>
  <c r="I3" i="87" l="1"/>
  <c r="K3" i="87" s="1"/>
  <c r="L111" i="64" l="1"/>
  <c r="M111" i="64" s="1"/>
  <c r="N111" i="64" s="1"/>
  <c r="O111" i="64" s="1"/>
  <c r="P111" i="64" s="1"/>
  <c r="EM111" i="64" s="1"/>
  <c r="EN111" i="64" s="1"/>
  <c r="EO111" i="64" s="1"/>
  <c r="EP111" i="64" s="1"/>
  <c r="EQ111" i="64" s="1"/>
  <c r="ER111" i="64" l="1"/>
  <c r="ES111" i="64" s="1"/>
  <c r="ET111" i="64" s="1"/>
  <c r="EU111" i="64" s="1"/>
  <c r="EV111" i="64" s="1"/>
  <c r="EW111" i="64" s="1"/>
  <c r="EX111" i="64" s="1"/>
  <c r="EY111" i="64" s="1"/>
  <c r="EZ111" i="64" s="1"/>
  <c r="FA111" i="64" s="1"/>
  <c r="FB111" i="64" s="1"/>
  <c r="FC111" i="64" s="1"/>
  <c r="FD111" i="64" s="1"/>
  <c r="FE111" i="64" s="1"/>
  <c r="FF111" i="64" s="1"/>
  <c r="FG111" i="64" s="1"/>
  <c r="FH111" i="64" s="1"/>
  <c r="FI111" i="64" s="1"/>
  <c r="FJ111" i="64" s="1"/>
  <c r="FK111" i="64" s="1"/>
  <c r="FL111" i="64" s="1"/>
  <c r="FM111" i="64" s="1"/>
  <c r="FN111" i="64" s="1"/>
  <c r="FO111" i="64" s="1"/>
  <c r="FP111" i="64" s="1"/>
  <c r="FQ111" i="64" s="1"/>
  <c r="FR111" i="64" s="1"/>
  <c r="FS111" i="64" s="1"/>
  <c r="FT111" i="64" s="1"/>
  <c r="FU111" i="64" s="1"/>
  <c r="FV111" i="64" s="1"/>
  <c r="FW111" i="64" s="1"/>
  <c r="FX111" i="64" s="1"/>
  <c r="FY111" i="64" s="1"/>
  <c r="FZ111" i="64" s="1"/>
  <c r="GA111" i="64" s="1"/>
  <c r="GB111" i="64" s="1"/>
  <c r="GC111" i="64" s="1"/>
  <c r="GD111" i="64" s="1"/>
  <c r="GE111" i="64" s="1"/>
  <c r="GF111" i="64" s="1"/>
  <c r="GG111" i="64" s="1"/>
  <c r="GH111" i="64" s="1"/>
  <c r="GI111" i="64" s="1"/>
  <c r="GJ111" i="64" s="1"/>
  <c r="GK111" i="64" s="1"/>
  <c r="GL111" i="64" s="1"/>
  <c r="GM111" i="64" s="1"/>
  <c r="GN111" i="64" s="1"/>
  <c r="GO111" i="64" s="1"/>
  <c r="GP111" i="64" s="1"/>
  <c r="GQ111" i="64" s="1"/>
  <c r="GR111" i="64" s="1"/>
  <c r="GS111" i="64" s="1"/>
  <c r="GT111" i="64" s="1"/>
  <c r="GU111" i="64" s="1"/>
  <c r="GV111" i="64" s="1"/>
  <c r="GW111" i="64" s="1"/>
  <c r="GX111" i="64" s="1"/>
  <c r="GY111" i="64" s="1"/>
  <c r="GZ111" i="64" s="1"/>
  <c r="HA111" i="64" s="1"/>
  <c r="HB111" i="64" s="1"/>
  <c r="HC111" i="64" s="1"/>
  <c r="HD111" i="64" s="1"/>
  <c r="HE111" i="64" s="1"/>
  <c r="HF111" i="64" s="1"/>
  <c r="HG111" i="64" s="1"/>
  <c r="HH111" i="64" s="1"/>
  <c r="HI111" i="64" s="1"/>
  <c r="HJ111" i="64" s="1"/>
  <c r="HK111" i="64" s="1"/>
  <c r="HL111" i="64" s="1"/>
  <c r="HM111" i="64" s="1"/>
  <c r="HN111" i="64" s="1"/>
  <c r="HO111" i="64" s="1"/>
  <c r="HP111" i="64" s="1"/>
  <c r="HQ111" i="64" s="1"/>
  <c r="HR111" i="64" s="1"/>
  <c r="HS111" i="64" s="1"/>
  <c r="HT111" i="64" s="1"/>
  <c r="HU111" i="64" s="1"/>
  <c r="HV111" i="64" s="1"/>
  <c r="HW111" i="64" s="1"/>
  <c r="HX111" i="64" s="1"/>
  <c r="HY111" i="64" s="1"/>
  <c r="HZ111" i="64" s="1"/>
  <c r="IA111" i="64" s="1"/>
  <c r="H15" i="86" l="1"/>
  <c r="F13" i="86" l="1"/>
  <c r="H15" i="68" l="1"/>
  <c r="G5" i="59" l="1"/>
  <c r="F5" i="59"/>
  <c r="B13" i="74"/>
  <c r="J10" i="6" l="1"/>
  <c r="A1" i="59" l="1"/>
  <c r="BW10" i="59"/>
  <c r="M10" i="64" s="1"/>
  <c r="BV10" i="59"/>
  <c r="L10" i="64" s="1"/>
  <c r="BW9" i="59"/>
  <c r="M9" i="64" s="1"/>
  <c r="BV9" i="59"/>
  <c r="L9" i="64" s="1"/>
  <c r="BW8" i="59"/>
  <c r="M8" i="64" s="1"/>
  <c r="BV8" i="59"/>
  <c r="L8" i="64" s="1"/>
  <c r="BW7" i="59"/>
  <c r="M7" i="64" s="1"/>
  <c r="BV7" i="59"/>
  <c r="L7" i="64" s="1"/>
  <c r="BW6" i="59"/>
  <c r="BV6" i="59"/>
  <c r="M6" i="64" l="1"/>
  <c r="G29" i="86" s="1"/>
  <c r="BW112" i="59"/>
  <c r="L6" i="64"/>
  <c r="E29" i="86" s="1"/>
  <c r="BV112" i="59"/>
  <c r="D2" i="13" l="1"/>
  <c r="L2" i="13"/>
  <c r="H2" i="13"/>
  <c r="G2" i="13"/>
  <c r="B3" i="64"/>
  <c r="C3" i="64" s="1"/>
  <c r="H9" i="66"/>
  <c r="H10" i="6"/>
  <c r="E14" i="66" s="1"/>
  <c r="G9" i="6"/>
  <c r="I10" i="6"/>
  <c r="N9" i="6"/>
  <c r="K9" i="6"/>
  <c r="F9" i="6"/>
  <c r="E9" i="6"/>
  <c r="D9" i="6"/>
  <c r="M9" i="6" s="1"/>
  <c r="K10" i="6"/>
  <c r="D2" i="6"/>
  <c r="I11" i="86" s="1"/>
  <c r="C2" i="6"/>
  <c r="F10" i="6"/>
  <c r="G10" i="6"/>
  <c r="A13" i="86" l="1"/>
  <c r="F15" i="86"/>
  <c r="E3" i="64"/>
  <c r="F3" i="64" s="1"/>
  <c r="G3" i="64" s="1"/>
  <c r="H3" i="64" s="1"/>
  <c r="I3" i="64" s="1"/>
  <c r="J3" i="64" s="1"/>
  <c r="K3" i="64" s="1"/>
  <c r="L3" i="64" s="1"/>
  <c r="M3" i="64" s="1"/>
  <c r="O3" i="64" s="1"/>
  <c r="Q3" i="64" s="1"/>
  <c r="R3" i="64" s="1"/>
  <c r="S3" i="64" s="1"/>
  <c r="T3" i="64" s="1"/>
  <c r="U3" i="64" s="1"/>
  <c r="V3" i="64" s="1"/>
  <c r="W3" i="64" s="1"/>
  <c r="X3" i="64" s="1"/>
  <c r="Y3" i="64" s="1"/>
  <c r="Z3" i="64" s="1"/>
  <c r="AA3" i="64" s="1"/>
  <c r="AB3" i="64" s="1"/>
  <c r="AC3" i="64" s="1"/>
  <c r="AD3" i="64" s="1"/>
  <c r="AE3" i="64" s="1"/>
  <c r="AF3" i="64" s="1"/>
  <c r="AG3" i="64" s="1"/>
  <c r="AH3" i="64" s="1"/>
  <c r="AI3" i="64" s="1"/>
  <c r="AJ3" i="64" s="1"/>
  <c r="AK3" i="64" s="1"/>
  <c r="AL3" i="64" s="1"/>
  <c r="AM3" i="64" s="1"/>
  <c r="AN3" i="64" s="1"/>
  <c r="AO3" i="64" s="1"/>
  <c r="AP3" i="64" s="1"/>
  <c r="AQ3" i="64" s="1"/>
  <c r="AR3" i="64" s="1"/>
  <c r="AS3" i="64" s="1"/>
  <c r="AT3" i="64" s="1"/>
  <c r="AU3" i="64" s="1"/>
  <c r="AV3" i="64" s="1"/>
  <c r="AW3" i="64" s="1"/>
  <c r="AX3" i="64" s="1"/>
  <c r="AY3" i="64" s="1"/>
  <c r="AZ3" i="64" s="1"/>
  <c r="BA3" i="64" s="1"/>
  <c r="BB3" i="64" s="1"/>
  <c r="BC3" i="64" s="1"/>
  <c r="BD3" i="64" s="1"/>
  <c r="BE3" i="64" s="1"/>
  <c r="BF3" i="64" s="1"/>
  <c r="BG3" i="64" s="1"/>
  <c r="BH3" i="64" s="1"/>
  <c r="BI3" i="64" s="1"/>
  <c r="BJ3" i="64" s="1"/>
  <c r="BK3" i="64" s="1"/>
  <c r="BL3" i="64" s="1"/>
  <c r="BM3" i="64" s="1"/>
  <c r="BN3" i="64" s="1"/>
  <c r="BO3" i="64" s="1"/>
  <c r="BP3" i="64" s="1"/>
  <c r="BQ3" i="64" s="1"/>
  <c r="BR3" i="64" s="1"/>
  <c r="BS3" i="64" s="1"/>
  <c r="BT3" i="64" s="1"/>
  <c r="BU3" i="64" s="1"/>
  <c r="BV3" i="64" s="1"/>
  <c r="BW3" i="64" s="1"/>
  <c r="BX3" i="64" s="1"/>
  <c r="BY3" i="64" s="1"/>
  <c r="BZ3" i="64" s="1"/>
  <c r="CA3" i="64" s="1"/>
  <c r="CB3" i="64" s="1"/>
  <c r="CC3" i="64" s="1"/>
  <c r="CD3" i="64" s="1"/>
  <c r="CE3" i="64" s="1"/>
  <c r="CF3" i="64" s="1"/>
  <c r="CG3" i="64" s="1"/>
  <c r="CH3" i="64" s="1"/>
  <c r="CI3" i="64" s="1"/>
  <c r="CJ3" i="64" s="1"/>
  <c r="CK3" i="64" s="1"/>
  <c r="CL3" i="64" s="1"/>
  <c r="CM3" i="64" s="1"/>
  <c r="CN3" i="64" s="1"/>
  <c r="CO3" i="64" s="1"/>
  <c r="CP3" i="64" s="1"/>
  <c r="CQ3" i="64" s="1"/>
  <c r="CR3" i="64" s="1"/>
  <c r="CS3" i="64" s="1"/>
  <c r="CT3" i="64" s="1"/>
  <c r="CU3" i="64" s="1"/>
  <c r="CV3" i="64" s="1"/>
  <c r="CW3" i="64" s="1"/>
  <c r="CX3" i="64" s="1"/>
  <c r="CY3" i="64" s="1"/>
  <c r="CZ3" i="64" s="1"/>
  <c r="DA3" i="64" s="1"/>
  <c r="DB3" i="64" s="1"/>
  <c r="DC3" i="64" s="1"/>
  <c r="DD3" i="64" s="1"/>
  <c r="DE3" i="64" s="1"/>
  <c r="DF3" i="64" s="1"/>
  <c r="DG3" i="64" s="1"/>
  <c r="DH3" i="64" s="1"/>
  <c r="DI3" i="64" s="1"/>
  <c r="DJ3" i="64" s="1"/>
  <c r="DK3" i="64" s="1"/>
  <c r="DL3" i="64" s="1"/>
  <c r="DM3" i="64" s="1"/>
  <c r="DN3" i="64" s="1"/>
  <c r="DO3" i="64" s="1"/>
  <c r="DP3" i="64" s="1"/>
  <c r="DQ3" i="64" s="1"/>
  <c r="DR3" i="64" s="1"/>
  <c r="DS3" i="64" s="1"/>
  <c r="DT3" i="64" s="1"/>
  <c r="DU3" i="64" s="1"/>
  <c r="DV3" i="64" s="1"/>
  <c r="DW3" i="64" s="1"/>
  <c r="DX3" i="64" s="1"/>
  <c r="DY3" i="64" s="1"/>
  <c r="DZ3" i="64" s="1"/>
  <c r="EA3" i="64" s="1"/>
  <c r="EB3" i="64" s="1"/>
  <c r="EC3" i="64" s="1"/>
  <c r="ED3" i="64" s="1"/>
  <c r="EE3" i="64" s="1"/>
  <c r="EF3" i="64" s="1"/>
  <c r="EG3" i="64" s="1"/>
  <c r="EH3" i="64" s="1"/>
  <c r="EI3" i="64" s="1"/>
  <c r="EJ3" i="64" s="1"/>
  <c r="EK3" i="64" s="1"/>
  <c r="EL3" i="64" s="1"/>
  <c r="AA2" i="13"/>
  <c r="C18" i="67"/>
  <c r="N10" i="6"/>
  <c r="B7" i="6" s="1"/>
  <c r="L10" i="6"/>
  <c r="E10" i="6" l="1"/>
  <c r="D10" i="6"/>
  <c r="M10" i="6" l="1"/>
  <c r="G7" i="66"/>
  <c r="O3" i="6"/>
  <c r="N3" i="6"/>
  <c r="FC10" i="64" l="1"/>
  <c r="FC9" i="64"/>
  <c r="FC8" i="64"/>
  <c r="FC7" i="64"/>
  <c r="FC6" i="64"/>
  <c r="GJ10" i="64"/>
  <c r="FF10" i="64"/>
  <c r="I25" i="86" l="1"/>
  <c r="H3" i="59"/>
  <c r="I3" i="59" s="1"/>
  <c r="J3" i="59" s="1"/>
  <c r="K3" i="59" s="1"/>
  <c r="F3" i="59"/>
  <c r="B3" i="59"/>
  <c r="I2" i="13" l="1"/>
  <c r="GL6" i="64" l="1"/>
  <c r="L4" i="59"/>
  <c r="N4" i="59" s="1"/>
  <c r="P4" i="59" s="1"/>
  <c r="R4" i="59" s="1"/>
  <c r="T4" i="59" s="1"/>
  <c r="V4" i="59" s="1"/>
  <c r="X4" i="59" s="1"/>
  <c r="Z4" i="59" s="1"/>
  <c r="AB4" i="59" s="1"/>
  <c r="AD4" i="59" s="1"/>
  <c r="AF4" i="59" s="1"/>
  <c r="AH4" i="59" s="1"/>
  <c r="AJ4" i="59" s="1"/>
  <c r="AL4" i="59" s="1"/>
  <c r="AN4" i="59" s="1"/>
  <c r="AP4" i="59" s="1"/>
  <c r="AR4" i="59" s="1"/>
  <c r="AT4" i="59" s="1"/>
  <c r="AV4" i="59" s="1"/>
  <c r="AX4" i="59" s="1"/>
  <c r="AZ4" i="59" s="1"/>
  <c r="BB4" i="59" s="1"/>
  <c r="BD4" i="59" s="1"/>
  <c r="BF4" i="59" s="1"/>
  <c r="BH4" i="59" s="1"/>
  <c r="BJ4" i="59" s="1"/>
  <c r="BL4" i="59" s="1"/>
  <c r="BN4" i="59" s="1"/>
  <c r="BP4" i="59" s="1"/>
  <c r="BR4" i="59" s="1"/>
  <c r="EU10" i="64"/>
  <c r="ET10" i="64"/>
  <c r="ES10" i="64"/>
  <c r="ER10" i="64"/>
  <c r="EQ10" i="64"/>
  <c r="EP10" i="64"/>
  <c r="FA9" i="64"/>
  <c r="EZ9" i="64"/>
  <c r="EX9" i="64"/>
  <c r="EU9" i="64"/>
  <c r="ET9" i="64"/>
  <c r="ES9" i="64"/>
  <c r="ER9" i="64"/>
  <c r="EQ9" i="64"/>
  <c r="EP9" i="64"/>
  <c r="FA8" i="64"/>
  <c r="EZ8" i="64"/>
  <c r="EX8" i="64"/>
  <c r="EU8" i="64"/>
  <c r="ET8" i="64"/>
  <c r="ES8" i="64"/>
  <c r="ER8" i="64"/>
  <c r="EQ8" i="64"/>
  <c r="EP8" i="64"/>
  <c r="FA7" i="64"/>
  <c r="EZ7" i="64"/>
  <c r="EX7" i="64"/>
  <c r="EU7" i="64"/>
  <c r="ET7" i="64"/>
  <c r="ES7" i="64"/>
  <c r="ER7" i="64"/>
  <c r="EQ7" i="64"/>
  <c r="EP7" i="64"/>
  <c r="EU6" i="64"/>
  <c r="G45" i="86" s="1"/>
  <c r="ET6" i="64"/>
  <c r="ES6" i="64"/>
  <c r="E45" i="86" s="1"/>
  <c r="ER6" i="64"/>
  <c r="C45" i="86" s="1"/>
  <c r="EQ6" i="64"/>
  <c r="EP6" i="64"/>
  <c r="A45" i="86" s="1"/>
  <c r="GO4" i="64"/>
  <c r="GO6" i="64" s="1"/>
  <c r="FG4" i="64"/>
  <c r="I45" i="86" l="1"/>
  <c r="EY7" i="64"/>
  <c r="EY9" i="64"/>
  <c r="EY8" i="64"/>
  <c r="FG10" i="64"/>
  <c r="GP4" i="64"/>
  <c r="GP6" i="64" s="1"/>
  <c r="FD6" i="64"/>
  <c r="Q4" i="64"/>
  <c r="U4" i="64" s="1"/>
  <c r="Y4" i="64" s="1"/>
  <c r="AC4" i="64" s="1"/>
  <c r="AG4" i="64" s="1"/>
  <c r="AK4" i="64" s="1"/>
  <c r="AO4" i="64" s="1"/>
  <c r="AS4" i="64" s="1"/>
  <c r="AW4" i="64" s="1"/>
  <c r="BA4" i="64" s="1"/>
  <c r="BE4" i="64" s="1"/>
  <c r="BI4" i="64" s="1"/>
  <c r="BM4" i="64" s="1"/>
  <c r="BQ4" i="64" s="1"/>
  <c r="BU4" i="64" s="1"/>
  <c r="BY4" i="64" s="1"/>
  <c r="CC4" i="64" s="1"/>
  <c r="CG4" i="64" s="1"/>
  <c r="CK4" i="64" s="1"/>
  <c r="CO4" i="64" s="1"/>
  <c r="CS4" i="64" s="1"/>
  <c r="CW4" i="64" s="1"/>
  <c r="DA4" i="64" s="1"/>
  <c r="DE4" i="64" s="1"/>
  <c r="DI4" i="64" s="1"/>
  <c r="DM4" i="64" s="1"/>
  <c r="DQ4" i="64" s="1"/>
  <c r="DU4" i="64" s="1"/>
  <c r="DY4" i="64" s="1"/>
  <c r="EC4" i="64" s="1"/>
  <c r="EV7" i="64"/>
  <c r="GL9" i="64"/>
  <c r="EV9" i="64"/>
  <c r="GL8" i="64"/>
  <c r="GL7" i="64"/>
  <c r="GL10" i="64"/>
  <c r="EV8" i="64"/>
  <c r="EV10" i="64"/>
  <c r="FH4" i="64"/>
  <c r="EV6" i="64"/>
  <c r="FH10" i="64" l="1"/>
  <c r="EY6" i="64"/>
  <c r="GQ4" i="64"/>
  <c r="GQ6" i="64" s="1"/>
  <c r="FD7" i="64"/>
  <c r="FD8" i="64"/>
  <c r="FD10" i="64"/>
  <c r="FD9" i="64"/>
  <c r="FI4" i="64"/>
  <c r="I30" i="86" l="1"/>
  <c r="I29" i="86"/>
  <c r="GR4" i="64"/>
  <c r="GR6" i="64" s="1"/>
  <c r="FI10" i="64"/>
  <c r="FJ4" i="64"/>
  <c r="GS4" i="64" l="1"/>
  <c r="GS6" i="64" s="1"/>
  <c r="FJ10" i="64"/>
  <c r="FK4" i="64"/>
  <c r="GT4" i="64" l="1"/>
  <c r="GT6" i="64" s="1"/>
  <c r="FK10" i="64"/>
  <c r="FL4" i="64"/>
  <c r="GU4" i="64" l="1"/>
  <c r="GU6" i="64" s="1"/>
  <c r="FL10" i="64"/>
  <c r="FM4" i="64"/>
  <c r="GV4" i="64" l="1"/>
  <c r="GV6" i="64" s="1"/>
  <c r="FM10" i="64"/>
  <c r="FN4" i="64"/>
  <c r="GW4" i="64" l="1"/>
  <c r="GW6" i="64" s="1"/>
  <c r="FN10" i="64"/>
  <c r="FO4" i="64"/>
  <c r="B30" i="68"/>
  <c r="GX4" i="64" l="1"/>
  <c r="GX6" i="64" s="1"/>
  <c r="FO10" i="64"/>
  <c r="FP4" i="64"/>
  <c r="GY4" i="64" l="1"/>
  <c r="GY6" i="64" s="1"/>
  <c r="FP10" i="64"/>
  <c r="FQ4" i="64"/>
  <c r="GZ4" i="64" l="1"/>
  <c r="GZ6" i="64" s="1"/>
  <c r="FQ10" i="64"/>
  <c r="FR4" i="64"/>
  <c r="HA4" i="64" l="1"/>
  <c r="HA6" i="64" s="1"/>
  <c r="FR10" i="64"/>
  <c r="FS4" i="64"/>
  <c r="HB4" i="64" l="1"/>
  <c r="HB6" i="64" s="1"/>
  <c r="FS10" i="64"/>
  <c r="FT4" i="64"/>
  <c r="HC4" i="64" l="1"/>
  <c r="HC6" i="64" s="1"/>
  <c r="FT10" i="64"/>
  <c r="FU4" i="64"/>
  <c r="HD4" i="64"/>
  <c r="HD6" i="64" s="1"/>
  <c r="FU10" i="64" l="1"/>
  <c r="FV4" i="64"/>
  <c r="HE4" i="64"/>
  <c r="HE6" i="64" s="1"/>
  <c r="FV10" i="64" l="1"/>
  <c r="FU6" i="64"/>
  <c r="FQ6" i="64"/>
  <c r="FM6" i="64"/>
  <c r="FI6" i="64"/>
  <c r="FV6" i="64"/>
  <c r="FR6" i="64"/>
  <c r="FN6" i="64"/>
  <c r="FJ6" i="64"/>
  <c r="FF6" i="64"/>
  <c r="FS6" i="64"/>
  <c r="FO6" i="64"/>
  <c r="FK6" i="64"/>
  <c r="FG6" i="64"/>
  <c r="FL6" i="64"/>
  <c r="FP6" i="64"/>
  <c r="GJ6" i="64"/>
  <c r="FT6" i="64"/>
  <c r="FH6" i="64"/>
  <c r="HF4" i="64"/>
  <c r="HF6" i="64" s="1"/>
  <c r="FW4" i="64"/>
  <c r="FW10" i="64" l="1"/>
  <c r="FW6" i="64"/>
  <c r="EX6" i="64"/>
  <c r="FX4" i="64"/>
  <c r="HG4" i="64"/>
  <c r="HG6" i="64" s="1"/>
  <c r="I21" i="86" l="1"/>
  <c r="FX10" i="64"/>
  <c r="FX6" i="64"/>
  <c r="FY4" i="64"/>
  <c r="HH4" i="64"/>
  <c r="HH6" i="64" s="1"/>
  <c r="FY10" i="64" l="1"/>
  <c r="FY6" i="64"/>
  <c r="FZ4" i="64"/>
  <c r="HI4" i="64"/>
  <c r="HI6" i="64" s="1"/>
  <c r="FZ10" i="64" l="1"/>
  <c r="FZ6" i="64"/>
  <c r="GA4" i="64"/>
  <c r="HJ4" i="64"/>
  <c r="HJ6" i="64" s="1"/>
  <c r="GA10" i="64" l="1"/>
  <c r="GA6" i="64"/>
  <c r="HK4" i="64"/>
  <c r="HK6" i="64" s="1"/>
  <c r="GB4" i="64"/>
  <c r="GB10" i="64" l="1"/>
  <c r="GB6" i="64"/>
  <c r="GC4" i="64"/>
  <c r="HL4" i="64"/>
  <c r="HL6" i="64" s="1"/>
  <c r="GC10" i="64" l="1"/>
  <c r="GC6" i="64"/>
  <c r="GD4" i="64"/>
  <c r="HM4" i="64"/>
  <c r="HM6" i="64" s="1"/>
  <c r="GD10" i="64" l="1"/>
  <c r="GD6" i="64"/>
  <c r="GE4" i="64"/>
  <c r="HN4" i="64"/>
  <c r="HN6" i="64" s="1"/>
  <c r="GE10" i="64" l="1"/>
  <c r="GE6" i="64"/>
  <c r="HO4" i="64"/>
  <c r="HO6" i="64" s="1"/>
  <c r="GF4" i="64"/>
  <c r="GF10" i="64" l="1"/>
  <c r="GF6" i="64"/>
  <c r="HP4" i="64"/>
  <c r="HP6" i="64" s="1"/>
  <c r="GG4" i="64"/>
  <c r="GG10" i="64" l="1"/>
  <c r="GG6" i="64"/>
  <c r="GH4" i="64"/>
  <c r="GH10" i="64" l="1"/>
  <c r="GH6" i="64"/>
  <c r="GI4" i="64"/>
  <c r="I11" i="68"/>
  <c r="B29" i="68"/>
  <c r="B28" i="68"/>
  <c r="B27" i="68"/>
  <c r="B26" i="68"/>
  <c r="B23" i="68"/>
  <c r="B20" i="68"/>
  <c r="B18" i="67"/>
  <c r="M14" i="67"/>
  <c r="D14" i="66"/>
  <c r="T13" i="66"/>
  <c r="R13" i="66"/>
  <c r="B24" i="68" s="1"/>
  <c r="Q13" i="66"/>
  <c r="P13" i="66"/>
  <c r="B22" i="68" s="1"/>
  <c r="O13" i="66"/>
  <c r="B21" i="68" s="1"/>
  <c r="J10" i="66"/>
  <c r="H10" i="66"/>
  <c r="J14" i="67" s="1"/>
  <c r="V14" i="66" l="1"/>
  <c r="U14" i="66"/>
  <c r="W14" i="66"/>
  <c r="N14" i="66"/>
  <c r="H14" i="66"/>
  <c r="Y14" i="66"/>
  <c r="Y16" i="66" s="1"/>
  <c r="M14" i="66"/>
  <c r="G14" i="66"/>
  <c r="G16" i="66" s="1"/>
  <c r="X14" i="66"/>
  <c r="L14" i="66"/>
  <c r="A14" i="66"/>
  <c r="K14" i="66"/>
  <c r="C14" i="66"/>
  <c r="O14" i="66"/>
  <c r="I14" i="66"/>
  <c r="T14" i="66"/>
  <c r="P14" i="66"/>
  <c r="J14" i="66"/>
  <c r="B14" i="66"/>
  <c r="G18" i="67"/>
  <c r="L18" i="67"/>
  <c r="E18" i="67"/>
  <c r="J18" i="67"/>
  <c r="D18" i="67"/>
  <c r="I18" i="67"/>
  <c r="A18" i="67"/>
  <c r="F18" i="67"/>
  <c r="H18" i="67"/>
  <c r="S14" i="66"/>
  <c r="GI10" i="64"/>
  <c r="FB10" i="64" s="1"/>
  <c r="I22" i="86" s="1"/>
  <c r="GI6" i="64"/>
  <c r="R14" i="66" l="1"/>
  <c r="Q14" i="66"/>
  <c r="S16" i="66"/>
  <c r="FA6" i="64"/>
  <c r="EZ6" i="64"/>
  <c r="Z14" i="66" l="1"/>
  <c r="FE6" i="64"/>
  <c r="D4" i="87" s="1"/>
  <c r="I24" i="86"/>
  <c r="I23" i="86"/>
  <c r="T16" i="66"/>
  <c r="V16" i="66"/>
  <c r="U16" i="66"/>
  <c r="X16" i="66"/>
  <c r="G4" i="87" l="1"/>
  <c r="E4" i="87"/>
  <c r="I4" i="87"/>
  <c r="I31" i="86"/>
  <c r="I16" i="66"/>
  <c r="M16" i="66"/>
  <c r="J16" i="66"/>
  <c r="L16" i="66"/>
  <c r="H16" i="66"/>
  <c r="K16" i="66"/>
  <c r="H30" i="68"/>
  <c r="H26" i="68"/>
  <c r="H27" i="68"/>
  <c r="H28" i="68"/>
  <c r="H4" i="87" l="1"/>
  <c r="K4" i="87"/>
  <c r="J4" i="87"/>
  <c r="G11" i="86"/>
  <c r="W16" i="66"/>
  <c r="K18" i="67"/>
  <c r="G11" i="68"/>
  <c r="N16" i="66" l="1"/>
  <c r="O16" i="66" l="1"/>
  <c r="H20" i="68"/>
  <c r="H29" i="68"/>
  <c r="H21" i="68" l="1"/>
  <c r="C2" i="13" l="1"/>
  <c r="H31" i="68" l="1"/>
  <c r="H25" i="68" l="1"/>
  <c r="Q16" i="66"/>
  <c r="R16" i="66"/>
  <c r="H24" i="68" l="1"/>
  <c r="H23" i="68"/>
  <c r="P16" i="66" l="1"/>
  <c r="H22" i="68" l="1"/>
  <c r="Z16" i="66"/>
  <c r="H32" i="68" l="1"/>
  <c r="AA14" i="66"/>
  <c r="AA16" i="66" s="1"/>
  <c r="J3" i="6" l="1"/>
  <c r="I3" i="6"/>
  <c r="C4" i="6" l="1"/>
  <c r="I13" i="86" s="1"/>
  <c r="B4" i="6"/>
  <c r="E4" i="6" l="1"/>
  <c r="H11" i="86" s="1"/>
  <c r="H13" i="86"/>
  <c r="G53" i="86" s="1"/>
  <c r="H13" i="68"/>
  <c r="G49" i="68" s="1"/>
  <c r="I13" i="68"/>
  <c r="L14" i="67"/>
  <c r="H11" i="68" l="1"/>
  <c r="E14" i="67"/>
  <c r="E10" i="66"/>
  <c r="G1" i="64"/>
  <c r="G1" i="59"/>
  <c r="G54" i="86"/>
  <c r="G51" i="68"/>
  <c r="I50" i="68"/>
  <c r="D4" i="6"/>
  <c r="F1" i="6" s="1"/>
  <c r="B14" i="67" l="1"/>
  <c r="A13" i="68"/>
  <c r="D9" i="66"/>
  <c r="A14" i="67"/>
  <c r="Z1" i="67" s="1"/>
  <c r="F13" i="68" l="1"/>
  <c r="AB14" i="66" l="1"/>
  <c r="AB16" i="66" s="1"/>
  <c r="H33" i="68" l="1"/>
  <c r="H34" i="68" s="1"/>
  <c r="AC14" i="66"/>
  <c r="AC16" i="66" s="1"/>
  <c r="T2" i="13" l="1"/>
  <c r="AB2" i="13" l="1"/>
  <c r="F4" i="87" l="1"/>
  <c r="I33" i="86" s="1"/>
  <c r="F2" i="13"/>
  <c r="IB6" i="64"/>
  <c r="F11" i="68"/>
  <c r="I32" i="86" l="1"/>
  <c r="F24" i="13"/>
  <c r="J2" i="13"/>
  <c r="J24" i="13" s="1"/>
  <c r="U2" i="13"/>
  <c r="V2" i="13" s="1"/>
  <c r="I36" i="8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I15" authorId="0" shapeId="0" xr:uid="{7502E313-272F-4205-BA3D-21D079D7C757}">
      <text>
        <r>
          <rPr>
            <b/>
            <sz val="9"/>
            <color indexed="81"/>
            <rFont val="Segoe UI"/>
            <family val="2"/>
          </rPr>
          <t xml:space="preserve">Vantagem para o Empregado:
</t>
        </r>
        <r>
          <rPr>
            <sz val="9"/>
            <color indexed="81"/>
            <rFont val="Segoe UI"/>
            <family val="2"/>
          </rPr>
          <t>Somente quando as deduções forem superior a R$528,00 (dedução fixa do modo simpificado)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E15" authorId="0" shapeId="0" xr:uid="{7F256B6E-7EE3-4C18-8BE3-A086AB0A2F82}">
      <text>
        <r>
          <rPr>
            <b/>
            <sz val="9"/>
            <color indexed="81"/>
            <rFont val="Segoe UI"/>
            <family val="2"/>
          </rPr>
          <t xml:space="preserve">Dica: </t>
        </r>
        <r>
          <rPr>
            <sz val="9"/>
            <color indexed="81"/>
            <rFont val="Segoe UI"/>
            <family val="2"/>
          </rPr>
          <t xml:space="preserve">Quando as deduções legais forem superiores a R$528,00, a forma antiga é mais viável)
</t>
        </r>
      </text>
    </comment>
  </commentList>
</comments>
</file>

<file path=xl/sharedStrings.xml><?xml version="1.0" encoding="utf-8"?>
<sst xmlns="http://schemas.openxmlformats.org/spreadsheetml/2006/main" count="11007" uniqueCount="3316">
  <si>
    <t>DRE</t>
  </si>
  <si>
    <t>PERÍODO REALIZAÇÃO</t>
  </si>
  <si>
    <t>FERIADOS</t>
  </si>
  <si>
    <t>Obs: Digitar feriados apenas quando forem entre 2ª e 6ª feira</t>
  </si>
  <si>
    <t>Contrato</t>
  </si>
  <si>
    <t>Empresa:</t>
  </si>
  <si>
    <t>Período</t>
  </si>
  <si>
    <t>Crédito</t>
  </si>
  <si>
    <t>Tipo</t>
  </si>
  <si>
    <t>IR</t>
  </si>
  <si>
    <t>Apenas para Cooperativas (1,5%)</t>
  </si>
  <si>
    <t>CRMC</t>
  </si>
  <si>
    <t>EMPRESA</t>
  </si>
  <si>
    <t>PA</t>
  </si>
  <si>
    <t>CONTRATO</t>
  </si>
  <si>
    <t>EMPENHO</t>
  </si>
  <si>
    <t>PERÍODO</t>
  </si>
  <si>
    <t>OS</t>
  </si>
  <si>
    <t>VALOR</t>
  </si>
  <si>
    <t>Fixo</t>
  </si>
  <si>
    <t>LIQUIDAÇÃO</t>
  </si>
  <si>
    <t xml:space="preserve">EMPENHO </t>
  </si>
  <si>
    <t>NF</t>
  </si>
  <si>
    <t>PER. REALIZAÇÃO</t>
  </si>
  <si>
    <t>LIQUIDADO</t>
  </si>
  <si>
    <t>SOF</t>
  </si>
  <si>
    <t>CONF</t>
  </si>
  <si>
    <t>RESERVA</t>
  </si>
  <si>
    <t>SUB</t>
  </si>
  <si>
    <t>EL</t>
  </si>
  <si>
    <t>REFERÊNCIA</t>
  </si>
  <si>
    <t>TOTAL</t>
  </si>
  <si>
    <t>SETEMBRO</t>
  </si>
  <si>
    <t>HISTÓRICO / ANEXO</t>
  </si>
  <si>
    <t>NOME</t>
  </si>
  <si>
    <t>CONFERÊNCIA</t>
  </si>
  <si>
    <t>ANO</t>
  </si>
  <si>
    <t>APONTAMENTO CREDENCIAMENTO</t>
  </si>
  <si>
    <t xml:space="preserve"> </t>
  </si>
  <si>
    <t>ATENÇÃO</t>
  </si>
  <si>
    <t>DIAS LETIVOS</t>
  </si>
  <si>
    <t>PLACA</t>
  </si>
  <si>
    <t>NOME CONDUTOR</t>
  </si>
  <si>
    <t>TIPO DE VEÍCULO (NORMAL, ADAPTADO)</t>
  </si>
  <si>
    <t>TIPO DE ATENDIMENTO</t>
  </si>
  <si>
    <t>TOTAL CONT REG</t>
  </si>
  <si>
    <t>TOTAL CONT CAD</t>
  </si>
  <si>
    <t>KM ADICIONAL</t>
  </si>
  <si>
    <t>FALTAS - APONTAR AS DATAS</t>
  </si>
  <si>
    <t>OBSERVAÇÕES ALUNO PRESENCIAL COLUNAS FINAIS</t>
  </si>
  <si>
    <t>TOTAL ALUNOS N CAD PRESENCIAIS (30 DIAS)</t>
  </si>
  <si>
    <t>TOTAL ALUNOS ATIV.COMPL. N CAD</t>
  </si>
  <si>
    <t>TOTAL ALUNOS CAD PRESENCIAIS (30 DIAS)</t>
  </si>
  <si>
    <t>TOTAL ALUNOS ATIV.COMPL. CAD</t>
  </si>
  <si>
    <t>TOTAL GERAL</t>
  </si>
  <si>
    <t>Contratos Especiais (Valor fixo)</t>
  </si>
  <si>
    <t>Valor total alunos presenciais (30 dias)</t>
  </si>
  <si>
    <t>Ativ.Complementar Continuada</t>
  </si>
  <si>
    <t>Valor alunos presenciais (menos de 30 dias)</t>
  </si>
  <si>
    <t>Saida de alunos ao longo do mês</t>
  </si>
  <si>
    <t>CCA</t>
  </si>
  <si>
    <t xml:space="preserve">Valor km adicional
</t>
  </si>
  <si>
    <t>Ajuste positivo</t>
  </si>
  <si>
    <t>Ajuste negativo</t>
  </si>
  <si>
    <t>Desconto faltas</t>
  </si>
  <si>
    <t>Multa Contratual</t>
  </si>
  <si>
    <t>VALOR ATESTE</t>
  </si>
  <si>
    <t>CÁLCULO</t>
  </si>
  <si>
    <t>DIAS</t>
  </si>
  <si>
    <t>N CAD presencial</t>
  </si>
  <si>
    <t xml:space="preserve">CAD </t>
  </si>
  <si>
    <t>AT. COMPL. N CAD</t>
  </si>
  <si>
    <t>AT. COMPL. CAD</t>
  </si>
  <si>
    <t>DADOS DO CONTRATO LICITADO</t>
  </si>
  <si>
    <t>CONTRATO Nº</t>
  </si>
  <si>
    <t>Tipo de Operação</t>
  </si>
  <si>
    <t>Km/dia</t>
  </si>
  <si>
    <t>Total Alunos</t>
  </si>
  <si>
    <t>Mês base</t>
  </si>
  <si>
    <t>D.R.E</t>
  </si>
  <si>
    <t>Nome do Contratado</t>
  </si>
  <si>
    <t>CNPJ</t>
  </si>
  <si>
    <t>Processo SEI!</t>
  </si>
  <si>
    <t>Previsão de Crédito</t>
  </si>
  <si>
    <t xml:space="preserve">                                    DEMONSTRATIVO DE PAGAMENTO</t>
  </si>
  <si>
    <t>Descrição</t>
  </si>
  <si>
    <t>Valor ( em Reais )</t>
  </si>
  <si>
    <t>( A )</t>
  </si>
  <si>
    <t>( B )</t>
  </si>
  <si>
    <t>( C )</t>
  </si>
  <si>
    <t>( D )</t>
  </si>
  <si>
    <t>( E )</t>
  </si>
  <si>
    <t>( F )</t>
  </si>
  <si>
    <t>( G )</t>
  </si>
  <si>
    <t>( H )</t>
  </si>
  <si>
    <t>( I )</t>
  </si>
  <si>
    <t>( J )</t>
  </si>
  <si>
    <t>( L )</t>
  </si>
  <si>
    <t>( M )</t>
  </si>
  <si>
    <t>Desconto por multa Contratual - Enquadramento</t>
  </si>
  <si>
    <t>( N )</t>
  </si>
  <si>
    <t>Remuneração Bruta  ( A+B+C+D+E+F+I+J) - (G+H )</t>
  </si>
  <si>
    <t>( O )</t>
  </si>
  <si>
    <t>Imposto de Renda Retido na Fonte</t>
  </si>
  <si>
    <t>( P )</t>
  </si>
  <si>
    <t>Remuneração Líquida  ( J-K-L )</t>
  </si>
  <si>
    <t>OBS FIN:</t>
  </si>
  <si>
    <t>OBS DRE:</t>
  </si>
  <si>
    <t>Declaro pelo presente, estar de acordo com as informações e valores aqui demonstrados, cujo crédito será efetuado na conta corrente por mim indicada, operando-se a quitação plena, geral e irrestrita, no ato da efetivação do crédito referenciado.</t>
  </si>
  <si>
    <t>São Paulo,______/______/______     Assinatura do Contratado__________________________________</t>
  </si>
  <si>
    <t>Documentos necessários para liquidação</t>
  </si>
  <si>
    <t>Informações importantes</t>
  </si>
  <si>
    <t>Link Cadin:</t>
  </si>
  <si>
    <t>http://www3.prefeitura.sp.gov.br/cadin/Pesq_Deb.aspx</t>
  </si>
  <si>
    <t>Link para consulta de pagamento:</t>
  </si>
  <si>
    <t>http://sfemp.prefeitura.sp.gov.br/cons_pagto.aspx</t>
  </si>
  <si>
    <t>Para declaração de IRRF, favor utilizarem este CNPJ - Secretaria Municipal da Fazenda (Fonte Pagadora)  46.392.130/0003-80</t>
  </si>
  <si>
    <t>Link Informe de rendimentos IR:</t>
  </si>
  <si>
    <t>https://sofconsulta.prefeitura.sp.gov.br/ir</t>
  </si>
  <si>
    <t>Para emissão das notas fiscais, favor utilizarem este CNPJ - Secretaria Municipal de Mobilidade e Transp. 46.392.155/0001-11</t>
  </si>
  <si>
    <t>Obs. O número do seu processo SEI! encontra-se na parte superior do demonstrativo</t>
  </si>
  <si>
    <t xml:space="preserve">Contrato : </t>
  </si>
  <si>
    <t xml:space="preserve">CE:    </t>
  </si>
  <si>
    <t xml:space="preserve">Mês:       </t>
  </si>
  <si>
    <t>à</t>
  </si>
  <si>
    <t>OPERAÇÃO DO CONDUTOR</t>
  </si>
  <si>
    <t>VEICULO</t>
  </si>
  <si>
    <t>Operação/ Mês</t>
  </si>
  <si>
    <t>Valores/Mês</t>
  </si>
  <si>
    <t>Valor Bruto</t>
  </si>
  <si>
    <t>Base de Cálculo IR</t>
  </si>
  <si>
    <t>Valor Liquido</t>
  </si>
  <si>
    <t>TOTAL ALUNOS N CAD PRESENCIAIS ( MENOS DE 30 DIAS)</t>
  </si>
  <si>
    <t>TOTAL ALUNOS CAD PRESENCIAIS (MENOS DE 30 DIAS</t>
  </si>
  <si>
    <t>Atestado pela CE através da planilha de compromisso a pagar - processo de pagamento</t>
  </si>
  <si>
    <t>ATESTADO DE PRESTAÇÃO DE SERVIÇOS</t>
  </si>
  <si>
    <t>C.E.</t>
  </si>
  <si>
    <t>a</t>
  </si>
  <si>
    <t>CREDENCIAMENTO</t>
  </si>
  <si>
    <t>OBSERVAÇÕES</t>
  </si>
  <si>
    <t>Diretor da DRE</t>
  </si>
  <si>
    <t>Responsável pelo Ateste do Serviço na DRE</t>
  </si>
  <si>
    <t>Responsável pelo TEG na DRE</t>
  </si>
  <si>
    <t>Nome:</t>
  </si>
  <si>
    <t>RF:</t>
  </si>
  <si>
    <t>Cargo:</t>
  </si>
  <si>
    <t>TOTAL GERAL REG</t>
  </si>
  <si>
    <t>TOTAL GERAL CAD</t>
  </si>
  <si>
    <t>Cont N CAD</t>
  </si>
  <si>
    <t xml:space="preserve">Cont CAD </t>
  </si>
  <si>
    <t>Cadeirante</t>
  </si>
  <si>
    <t>multa</t>
  </si>
  <si>
    <t>Recesso escolar desconto de 10 dias nas atividades complementares</t>
  </si>
  <si>
    <t>Outros apontamentos</t>
  </si>
  <si>
    <t>Enviar os documentos na ordem informada abaixo em um único arquivo PDF.</t>
  </si>
  <si>
    <t>1 - Demonstrativo assinado.</t>
  </si>
  <si>
    <t>2 - Nota fiscal referente ao valor bruto.</t>
  </si>
  <si>
    <t>5 - Relatório do FGTS digital.</t>
  </si>
  <si>
    <t>Atual</t>
  </si>
  <si>
    <t>Km</t>
  </si>
  <si>
    <t>2,5% Regular</t>
  </si>
  <si>
    <t>Anterior COM AUMENTO 4,91</t>
  </si>
  <si>
    <t>Anterior ANTES DO AUMENTO</t>
  </si>
  <si>
    <t>Percapita</t>
  </si>
  <si>
    <t>Crechee</t>
  </si>
  <si>
    <t>Especiall</t>
  </si>
  <si>
    <t>2,5% Cadeirantee</t>
  </si>
  <si>
    <t>01/06 a 30/06/2025</t>
  </si>
  <si>
    <t>SEI</t>
  </si>
  <si>
    <t>Tipo Optante</t>
  </si>
  <si>
    <t>Optante</t>
  </si>
  <si>
    <t>Cooperativa</t>
  </si>
  <si>
    <t>Outros</t>
  </si>
  <si>
    <t>Período Inicial</t>
  </si>
  <si>
    <t>Período Final</t>
  </si>
  <si>
    <t>Mês</t>
  </si>
  <si>
    <t>Base de Calculo para as Demais Planilhas</t>
  </si>
  <si>
    <t>Legenda</t>
  </si>
  <si>
    <t>Quantidade</t>
  </si>
  <si>
    <t>não  e processado por tipo segundo o thiago</t>
  </si>
  <si>
    <t>Periodo Operacional</t>
  </si>
  <si>
    <t>Veículo</t>
  </si>
  <si>
    <t>Placa</t>
  </si>
  <si>
    <t xml:space="preserve">Demonstrativo de Pagamento: </t>
  </si>
  <si>
    <t>pdf2</t>
  </si>
  <si>
    <t>limpeza de variaveis com erro</t>
  </si>
  <si>
    <t>PDF3</t>
  </si>
  <si>
    <t>mudança salar com wtemp</t>
  </si>
  <si>
    <t>mudança pasta gravacao pdf criando  o subdiretorio da dre</t>
  </si>
  <si>
    <t>mudança verificando se deve gerar pdf</t>
  </si>
  <si>
    <t>COOP DE TRANSP ESC DA Z SUL DE SP - COOPERTRES</t>
  </si>
  <si>
    <t>COOP DE TRANSP ESC NORTE SAO PAULO - COOPERNORTE</t>
  </si>
  <si>
    <t>COOP TRANSP ESC CAP SOC COOPERCAPS</t>
  </si>
  <si>
    <t>COOPER MAIS - COOPERATIVA DE TRANSPORTES</t>
  </si>
  <si>
    <t>COOPER SAO PAULO C T C P ESC E T DE SP</t>
  </si>
  <si>
    <t>COOPERARTE - COOPERATIVA DE TRANSPORTES DE SAO PAULO</t>
  </si>
  <si>
    <t>COOPERATIVA BRASILEIRA DE TRANSPORTE - COBRATE</t>
  </si>
  <si>
    <t>COOPERATIVA DE T. E. C. M. - COOTRECM</t>
  </si>
  <si>
    <t>COOPERVANS - COOP TRANS CAR DE PASS ESC E TUR</t>
  </si>
  <si>
    <t>COOPER-X - COOP. SERV. TRANSP. ESCOLAR SP</t>
  </si>
  <si>
    <t>COOTRECESP COOP DE TRANSP ROD ESC COL DO E DE SP</t>
  </si>
  <si>
    <t>DBL TRANSPORTES EIRELI</t>
  </si>
  <si>
    <t>HIGOR JOAO PAULO APARECIDO GOMES - ME</t>
  </si>
  <si>
    <t>LP TRANSPORTES LTDA</t>
  </si>
  <si>
    <t>SANS TRANSPORTES LTDA - ME</t>
  </si>
  <si>
    <t>TRANSPEVE TRANSPORTES LTDA</t>
  </si>
  <si>
    <t>pdf4</t>
  </si>
  <si>
    <t>mudou sai para xlsx</t>
  </si>
  <si>
    <t>muda a formula do contrato especial</t>
  </si>
  <si>
    <t>=especial/30 * (=SE(($G6-$F6)=($G$5-$F$5);30;($G6-$F6)+1))</t>
  </si>
  <si>
    <t>pdf5</t>
  </si>
  <si>
    <t>Dias Letivos</t>
  </si>
  <si>
    <t>Periodo de Operação</t>
  </si>
  <si>
    <t>a digitar</t>
  </si>
  <si>
    <t>A.C.G. TRANSPORTE ESCOLAR LTDA</t>
  </si>
  <si>
    <t>AME TRANSPORTE LTDA</t>
  </si>
  <si>
    <t>AMIGOS TRANS LTDA</t>
  </si>
  <si>
    <t>AMINADABE TRANSPORTES LTDA - ME</t>
  </si>
  <si>
    <t>ARCA ENCANTADA TRANSPORTES LTDA - ME</t>
  </si>
  <si>
    <t>CASSIO ALVES XAVIER 37856680822</t>
  </si>
  <si>
    <t>COOP DE TR DA CAP DE SP - COOPER CAPITAL</t>
  </si>
  <si>
    <t>COOPER MK - COOPERATIVA DE TRANSPORTES</t>
  </si>
  <si>
    <t>COOPER TRANS MOBILY - C DE T D E M URBANA</t>
  </si>
  <si>
    <t>COOPERBUTANTA - COOPERATIVA DE TRANSP ESC DO BUTANTA</t>
  </si>
  <si>
    <t>CRISTIANO DE OLIVEIRA BRITO 16619400809</t>
  </si>
  <si>
    <t>D.J.PORCINO TRANSPORTE ESCOLAR - ME</t>
  </si>
  <si>
    <t>DE &amp; DI TRANSPORTE LTDA</t>
  </si>
  <si>
    <t>DELUZ TRANSPORTES LTDA</t>
  </si>
  <si>
    <t>EDILSON DA LUZ CARVALHO - ME</t>
  </si>
  <si>
    <t>EDSON LUIZ FERNANDES 28310204841</t>
  </si>
  <si>
    <t>ELLOS TRANSPORTE ESCOLAR E LOCACAO DE VEICULOS LTDA - ME</t>
  </si>
  <si>
    <t>EVOLUTION TRANSPORTES LTDA - ME</t>
  </si>
  <si>
    <t>FERNANDO PEREIRA TRANSPORTE</t>
  </si>
  <si>
    <t>FF TRANSPORTE ESCOLAR LTDA - ME</t>
  </si>
  <si>
    <t>FM TRANSPORTE ESCOLAR LTDA</t>
  </si>
  <si>
    <t>GENA TRANSPORTE ESCOLAR LTDA - ME</t>
  </si>
  <si>
    <t>HOREBE TRANSPORTE E TURISMO LTDA - ME</t>
  </si>
  <si>
    <t>J.S. LOCADORA E TRANSPORTES LTDA - ME</t>
  </si>
  <si>
    <t>JULIEDRY TRANSPORTES LTDA - ME</t>
  </si>
  <si>
    <t>KATHIA HELENA SILVA - ME</t>
  </si>
  <si>
    <t>L.C.M DA SILVA - TRANSPORTES ESCOLAR -ME</t>
  </si>
  <si>
    <t>LAERCIO ALVES DA CUNHA TRANSPORTES ESCOLARES LTDA</t>
  </si>
  <si>
    <t>LUNI TRANSPORTES LTDA - ME</t>
  </si>
  <si>
    <t>LWG SERVICOS LTDA - ME</t>
  </si>
  <si>
    <t>MARCIA REGINA DE SOUZA TRANSPORTE - ME</t>
  </si>
  <si>
    <t>MARIA FERNANDA TRANSPORTES LTDA</t>
  </si>
  <si>
    <t>ONITUTAM - TRANSPORTE ESCOLAR LTDA - ME</t>
  </si>
  <si>
    <t>OSMAR ALVES JUNIOR TRANSPORTES - ME</t>
  </si>
  <si>
    <t>RBS TRANSPORTE ESCOLAR LTDA</t>
  </si>
  <si>
    <t>RP TRANSPORTE ESCOLAR LTDA</t>
  </si>
  <si>
    <t>SAPECA S TRANSPORTES E LOCACAO LTDA</t>
  </si>
  <si>
    <t>TIO MARCIO &amp; TIA ANA TRANSPORTES ESCOLAR LTDA - ME</t>
  </si>
  <si>
    <t>TRANSPAC TRANSPORTE ESCOLAR E TURISMO LTDA - ME</t>
  </si>
  <si>
    <t>TRANSPORTE ESCOLAR DANDALE LTDA - ME</t>
  </si>
  <si>
    <t>Termo_de_adesao</t>
  </si>
  <si>
    <t>CNPJ_CPF</t>
  </si>
  <si>
    <t>Previsao de Crédito</t>
  </si>
  <si>
    <t>IR ACUMULA</t>
  </si>
  <si>
    <t>IR NORMAL</t>
  </si>
  <si>
    <t>NOVA BASE</t>
  </si>
  <si>
    <t>IR Retido</t>
  </si>
  <si>
    <t xml:space="preserve">RetenCAo Sest/ Senat </t>
  </si>
  <si>
    <t>RetenCAo de INSS</t>
  </si>
  <si>
    <t>CPF</t>
  </si>
  <si>
    <t>Acima de 4.664,68</t>
  </si>
  <si>
    <t>De 3.751,06 até 4.664,68</t>
  </si>
  <si>
    <t>De 2.826,66 até 3.751,05</t>
  </si>
  <si>
    <t>De 2.428,81 até 2.826,65</t>
  </si>
  <si>
    <t>Até 2.428,80</t>
  </si>
  <si>
    <t>Desconto</t>
  </si>
  <si>
    <t>% Retenção</t>
  </si>
  <si>
    <t>Valor base</t>
  </si>
  <si>
    <t>Nova base de cálculo IRRF</t>
  </si>
  <si>
    <t>Remuneração Líquida  (L-M-N-O-P)</t>
  </si>
  <si>
    <t>Desconto por Multa Contratual - Enquadramento</t>
  </si>
  <si>
    <t>( Q )</t>
  </si>
  <si>
    <t>SEST/SENAT 2,5%</t>
  </si>
  <si>
    <t>INSS 11%</t>
  </si>
  <si>
    <t>Remuneração bruta (A+B+C+D+E+F+G+H+I) - (H-J)</t>
  </si>
  <si>
    <t>Outros Apontamentos</t>
  </si>
  <si>
    <t>( K )</t>
  </si>
  <si>
    <t>Atividade Complementar Continuada</t>
  </si>
  <si>
    <t xml:space="preserve">Descontos por Faltas </t>
  </si>
  <si>
    <t>Ajustes Negativos</t>
  </si>
  <si>
    <t>Remuneração Variável Medida  km adicional</t>
  </si>
  <si>
    <t>Saida de Alunos ao longo do mês</t>
  </si>
  <si>
    <t>Remuneração transporte alunos presenciais valor proporconial (menos de 30 dias)</t>
  </si>
  <si>
    <t>Remuneração CCA</t>
  </si>
  <si>
    <t>Remuneração transporte alunos presenciais</t>
  </si>
  <si>
    <t>Remuneração Fixa integral</t>
  </si>
  <si>
    <t>Alunos/Mês</t>
  </si>
  <si>
    <t>Placas</t>
  </si>
  <si>
    <t>Km/mês</t>
  </si>
  <si>
    <t>Retenção INSS</t>
  </si>
  <si>
    <t>indice A</t>
  </si>
  <si>
    <t>indice B</t>
  </si>
  <si>
    <t>retençao</t>
  </si>
  <si>
    <t>Nova Base</t>
  </si>
  <si>
    <t>ANDREIA PEREIRA DA SILVA</t>
  </si>
  <si>
    <t>MARCELO PEREIRA DA SILVA</t>
  </si>
  <si>
    <t>EDSON DE ARAUJO MOREIRA</t>
  </si>
  <si>
    <t>FERNANDO PEREIRA</t>
  </si>
  <si>
    <t>LAERCIO ALVES DA CUNHA</t>
  </si>
  <si>
    <t>JOSENILDO RODRIGUES DE SOUZA</t>
  </si>
  <si>
    <t>ROBSON MANOEL FERNANDES</t>
  </si>
  <si>
    <t>IVANILDO ALVES LIMA</t>
  </si>
  <si>
    <t>APELIDO:</t>
  </si>
  <si>
    <t>6 - Relatório do FGTS digital.</t>
  </si>
  <si>
    <t>N CAD PRES</t>
  </si>
  <si>
    <t>AT COMP N CAD PRES</t>
  </si>
  <si>
    <t>CAD PRES</t>
  </si>
  <si>
    <t>AT COMP CAD PRES</t>
  </si>
  <si>
    <t>São Paulo,______/______/______     Assinatura do Responsável na D.R.E__________________________________</t>
  </si>
  <si>
    <t>3 - Guia do INSS e comprovante de pagamento referente a competência:</t>
  </si>
  <si>
    <t>4 - Guia do ISS (ou DAS em caso de optante pelo SIMPLES) e comprovante de pagamento ref. a competência:</t>
  </si>
  <si>
    <t>5 - Guia do FGTS e comprovante de pagamento referente a competência:</t>
  </si>
  <si>
    <t>4 - Guia do FGTS e comprovante de pagamento referente a competência:</t>
  </si>
  <si>
    <t/>
  </si>
  <si>
    <t>Regular</t>
  </si>
  <si>
    <t>CREDENCIADO</t>
  </si>
  <si>
    <t>APELIDO</t>
  </si>
  <si>
    <t>COOPER CAPITAL</t>
  </si>
  <si>
    <t>COOPERTRES</t>
  </si>
  <si>
    <t>COOPERNORTE</t>
  </si>
  <si>
    <t>COOPERCAPS</t>
  </si>
  <si>
    <t>COOPER MAIS</t>
  </si>
  <si>
    <t>COOPER MK</t>
  </si>
  <si>
    <t>COOPER SAO PAULO</t>
  </si>
  <si>
    <t>COOPER MOBILY</t>
  </si>
  <si>
    <t>COOPERARTE</t>
  </si>
  <si>
    <t>COBRATE</t>
  </si>
  <si>
    <t>COOTRECM</t>
  </si>
  <si>
    <t>COOP BUTANTA</t>
  </si>
  <si>
    <t>COOPERVANS</t>
  </si>
  <si>
    <t>COOPERX</t>
  </si>
  <si>
    <t>COOTRECESP</t>
  </si>
  <si>
    <t>CARIVALDO DE JESUS</t>
  </si>
  <si>
    <t>DAVID LOPES BATISTA</t>
  </si>
  <si>
    <t>EDMILSON JOSE DE OLIVEIRA</t>
  </si>
  <si>
    <t>ELIENE ROCHA DE SANTANA</t>
  </si>
  <si>
    <t>FABIANO JACINTO SILVA</t>
  </si>
  <si>
    <t>FABIO DE FAUSTO FERREIRA</t>
  </si>
  <si>
    <t>GILDSLAINE CANUTO</t>
  </si>
  <si>
    <t>HELTON DE SOUZA LEITE</t>
  </si>
  <si>
    <t>HENRIQUE DA SILVA ALFERES</t>
  </si>
  <si>
    <t>JACYARA DOS SANTOS SILVA</t>
  </si>
  <si>
    <t>JOAO PAULO DA SILVA</t>
  </si>
  <si>
    <t>JOEL DE SOUZA FLORENCIO</t>
  </si>
  <si>
    <t>JOSE ANDRE DOS SANTOS</t>
  </si>
  <si>
    <t>LUCAS PEREIRA DO NASCIMENTO</t>
  </si>
  <si>
    <t>MARCIO JOSE SANTANA</t>
  </si>
  <si>
    <t>MARIA DA PAZ COELHO FEITOSA</t>
  </si>
  <si>
    <t>MAYKON WILKOVESKI FERREIRA</t>
  </si>
  <si>
    <t>NILSON SOUSA OLIVEIRA</t>
  </si>
  <si>
    <t>RAFAEL MARTINS DE LIMA</t>
  </si>
  <si>
    <t>REJANE MARIA DE SANTANA SANTOS</t>
  </si>
  <si>
    <t>ROGERIO SIQUEIRA DA SILVA</t>
  </si>
  <si>
    <t>TARCISIO DE ALMEIDA SANCHO</t>
  </si>
  <si>
    <t>VALDEMIR DE CARVALHO SANTOS</t>
  </si>
  <si>
    <t>VALDEMIR DE FAUSTO FERREIRA</t>
  </si>
  <si>
    <t>VARLEI ALMEIDA DOS SANTOS</t>
  </si>
  <si>
    <t>WILLIAN MACHADO DA SILVA</t>
  </si>
  <si>
    <t>ACG</t>
  </si>
  <si>
    <t>AME</t>
  </si>
  <si>
    <t>AMIGOS</t>
  </si>
  <si>
    <t>AMINADABE</t>
  </si>
  <si>
    <t>ARCA</t>
  </si>
  <si>
    <t>CASSIO ALVES</t>
  </si>
  <si>
    <t>CRISTIANO DE OLIVEIRA</t>
  </si>
  <si>
    <t>D.J.PORCINO</t>
  </si>
  <si>
    <t>DBL</t>
  </si>
  <si>
    <t>DE E DI</t>
  </si>
  <si>
    <t>DELUZ</t>
  </si>
  <si>
    <t>EDILSON DA LUZ</t>
  </si>
  <si>
    <t>EDSON LUIZ</t>
  </si>
  <si>
    <t>ELLOS</t>
  </si>
  <si>
    <t>EVOLUTION</t>
  </si>
  <si>
    <t>FF</t>
  </si>
  <si>
    <t>FM</t>
  </si>
  <si>
    <t>GENA</t>
  </si>
  <si>
    <t xml:space="preserve">HIGOR </t>
  </si>
  <si>
    <t>HOREBE</t>
  </si>
  <si>
    <t>JS</t>
  </si>
  <si>
    <t>JAIME VITORIO DOS SANTOS NETO - ME</t>
  </si>
  <si>
    <t>JAIME VITORIO</t>
  </si>
  <si>
    <t>JULIEDRY</t>
  </si>
  <si>
    <t>KATHIA</t>
  </si>
  <si>
    <t xml:space="preserve">LCM DA SILVA </t>
  </si>
  <si>
    <t>LAERCIO</t>
  </si>
  <si>
    <t>LP</t>
  </si>
  <si>
    <t>LUNI</t>
  </si>
  <si>
    <t>LWG</t>
  </si>
  <si>
    <t>MARCIA REGINA</t>
  </si>
  <si>
    <t xml:space="preserve">MARIA JOSE </t>
  </si>
  <si>
    <t>MILLA TRANSPORTE E TURISMO LTDA - EPP</t>
  </si>
  <si>
    <t>MILLA</t>
  </si>
  <si>
    <t>ONITUTAM</t>
  </si>
  <si>
    <t>OSMAR ALVES</t>
  </si>
  <si>
    <t>RBS</t>
  </si>
  <si>
    <t>RP</t>
  </si>
  <si>
    <t>SANS</t>
  </si>
  <si>
    <t>SAPECA</t>
  </si>
  <si>
    <t>TIO MARCIO E TIA ANA</t>
  </si>
  <si>
    <t xml:space="preserve">TRANSPAC </t>
  </si>
  <si>
    <t>TRANSPEVE</t>
  </si>
  <si>
    <t>DANDALE</t>
  </si>
  <si>
    <t>CL</t>
  </si>
  <si>
    <t>COOPER - CET COOP. C. E. TRANSP. GERAIS</t>
  </si>
  <si>
    <t>COOPER CET</t>
  </si>
  <si>
    <t>COOPER CAPAO COOPERATIVA DE TRANSPORTES</t>
  </si>
  <si>
    <t>COOPER CAPAO</t>
  </si>
  <si>
    <t>COOPER LIVRE - COOPERATIVA DE TRANSPORTE ESCOLAR</t>
  </si>
  <si>
    <t>COOPER LIVRE</t>
  </si>
  <si>
    <t>COOPERATIVA DE TRANSPORTE NOVA ERA</t>
  </si>
  <si>
    <t>COOPER NOVA ERA</t>
  </si>
  <si>
    <t>ACACIO AMORIM DA SILVA</t>
  </si>
  <si>
    <t>ADAIR JOSE COSTA</t>
  </si>
  <si>
    <t>ADALTON ANACLETO DE JESUS</t>
  </si>
  <si>
    <t>ADEILDA MARIA DOS REIS</t>
  </si>
  <si>
    <t>ADELITA PEREIRA DOS ANJOS</t>
  </si>
  <si>
    <t>ADEMIR PIMENTEL DA SILVA</t>
  </si>
  <si>
    <t>ADRIANA CONCEICAO DO NASCIMENTO LIRA</t>
  </si>
  <si>
    <t>AILTON HONORATO DE SOUSA</t>
  </si>
  <si>
    <t>ALBERTO YUKIO ITINO</t>
  </si>
  <si>
    <t>ALESSANDRA BRANDOLIN AVANSO</t>
  </si>
  <si>
    <t>ALEX CERQUEIRA DA SILVA</t>
  </si>
  <si>
    <t>ALEXANDRE ARANDAS FERREIRA</t>
  </si>
  <si>
    <t>ALINE APARECIDA GONCALVES DE OLIVEIRA</t>
  </si>
  <si>
    <t>ANA APARECIDA BITENCOURT LOPES</t>
  </si>
  <si>
    <t>ANA CLAUDIA MORIYAMA GAMBOA SANTOS</t>
  </si>
  <si>
    <t>ANA CRISTINA LEAL NERY DA SILVA</t>
  </si>
  <si>
    <t>ANDERSON ANTUNES RIBEIRO</t>
  </si>
  <si>
    <t>ANDERSON DE ANDRADE GOMES</t>
  </si>
  <si>
    <t>ANDERSON GONCALVES MONTEIRO</t>
  </si>
  <si>
    <t>ANDERSON MOREIRA GUEDES</t>
  </si>
  <si>
    <t>ANDERSON TALES E SILVA</t>
  </si>
  <si>
    <t>ANDRE APARECIDO FREIRE</t>
  </si>
  <si>
    <t>ANDRE DA FONSECA</t>
  </si>
  <si>
    <t>ANDREA CARDOSO</t>
  </si>
  <si>
    <t>ANTONIO COIMBRA DE SOUSA</t>
  </si>
  <si>
    <t>ANTONIO GONCALVES DE OLIVEIRA</t>
  </si>
  <si>
    <t>ANTONIO VIVALDO DA SILVA PEREIRA</t>
  </si>
  <si>
    <t>ARIOVALDO DE JESUS LUCIO</t>
  </si>
  <si>
    <t>BENEDITO CANDIDO DA SILVA FILHO</t>
  </si>
  <si>
    <t>BRUNO DE LIMA LOPES</t>
  </si>
  <si>
    <t>CARLOS ALBERTO DOS SANTOS</t>
  </si>
  <si>
    <t>CATIA DO CARMO NUNES</t>
  </si>
  <si>
    <t>CELSO JOSIAS DA SILVA</t>
  </si>
  <si>
    <t>CICERA CORREIA NERI FONSECA</t>
  </si>
  <si>
    <t>CICERA RODRIGUES DE SOUZA</t>
  </si>
  <si>
    <t>CLAUDIO AMAURY RIBEIRO HAHN</t>
  </si>
  <si>
    <t>CLAUDIO LUIS DA SILVA</t>
  </si>
  <si>
    <t>CRISTIANE ARAUJO DO CARMO ALMEIDA</t>
  </si>
  <si>
    <t>CRISTIANI RIGHI</t>
  </si>
  <si>
    <t>CRISTIANO DAMASCENO FERNANDES</t>
  </si>
  <si>
    <t>DANIEL INACIO DA SILVA</t>
  </si>
  <si>
    <t>DANIELA CRISTINA BASTOS</t>
  </si>
  <si>
    <t>DANIELA ROCHA DE ALMEIDA</t>
  </si>
  <si>
    <t>DAVID SOUZA DIAS</t>
  </si>
  <si>
    <t>DEGMAR SENA DE JESUS</t>
  </si>
  <si>
    <t>DJALMA DELFINO DA COSTA</t>
  </si>
  <si>
    <t>DOMINGOS NASCIMENTO DE JESUS</t>
  </si>
  <si>
    <t>DOMINICIO ROSENDO DE FREITAS</t>
  </si>
  <si>
    <t>EDERSON SOARES FERREIRA</t>
  </si>
  <si>
    <t>EDICLAUDIO COSTA DA SILVA</t>
  </si>
  <si>
    <t>EDINEIA ROCHA LIMA</t>
  </si>
  <si>
    <t>EDMILSON MONTEIRO CAVALCANTE</t>
  </si>
  <si>
    <t>EDMILSON TAVARES DE OLIVEIRA</t>
  </si>
  <si>
    <t>EDNA PEREIRA DA SILVA SERPA</t>
  </si>
  <si>
    <t>EDSON AMORIM DA SILVA</t>
  </si>
  <si>
    <t>EDSON FERNANDES DA FONSECA</t>
  </si>
  <si>
    <t>EDSON FERREIRA DA ROCHA</t>
  </si>
  <si>
    <t>EDVALDO JOSE NOGUEIRA</t>
  </si>
  <si>
    <t>ELIANA BARBOSA DA SILVA</t>
  </si>
  <si>
    <t>ELIAS CALIXTO SAMORA</t>
  </si>
  <si>
    <t>ELIZABETE VARGAS ALVES</t>
  </si>
  <si>
    <t>ELIZANGELA GONCALVES DANIEL</t>
  </si>
  <si>
    <t>FABIANA D AVILA OLIVEIRA</t>
  </si>
  <si>
    <t>FABIO ALVES DA CRUZ</t>
  </si>
  <si>
    <t>FABIO JACINTO</t>
  </si>
  <si>
    <t>FELIPE CASSIM DE FRANCA</t>
  </si>
  <si>
    <t>FELIPE LIMA LOPES</t>
  </si>
  <si>
    <t>FERNANDA MARTA GONCALVES DO NASCIMENTO</t>
  </si>
  <si>
    <t>FERNANDO DA SILVA DE ABREU</t>
  </si>
  <si>
    <t>FRANCISCO LOPES DA SILVA</t>
  </si>
  <si>
    <t>FRANCISCO VILBERLANIO ALMEIDA FELIX</t>
  </si>
  <si>
    <t>GERSIONILO NUNES AMORIM</t>
  </si>
  <si>
    <t>GERSON CIRILO DE LIRA</t>
  </si>
  <si>
    <t>GERSON RODRIGUES DE ARAUJO</t>
  </si>
  <si>
    <t>GICELIA MINERVINO GERING</t>
  </si>
  <si>
    <t>GILBERTO VIEIRA DA ROCHA</t>
  </si>
  <si>
    <t>GIOVANI NORBERTO PEREIRA</t>
  </si>
  <si>
    <t>GUILHERME JOSE DE SANTANA</t>
  </si>
  <si>
    <t>HUGO RODRIGUES DE FREITAS</t>
  </si>
  <si>
    <t>IVALDO MENDONCA DO NASCIMENTO</t>
  </si>
  <si>
    <t>IVONALDO FERREIRA ESTIMA</t>
  </si>
  <si>
    <t>JAIME DOS REIS GOULART</t>
  </si>
  <si>
    <t>JAQUES DANIEL PEREIRA DE SOUZA</t>
  </si>
  <si>
    <t>JEFERSON ROBERTO MOTA MONTEIRO</t>
  </si>
  <si>
    <t>JEFFERSON APARECIDO MELO DE OLIVEIRA</t>
  </si>
  <si>
    <t>JEFFERSON FIGUEIREDO CABRAL</t>
  </si>
  <si>
    <t>JOAO BATISTA DA SILVA GOMES</t>
  </si>
  <si>
    <t>JOAO DA CRUZ MERCES</t>
  </si>
  <si>
    <t>JOAO RAIMUNDO DE SOUSA</t>
  </si>
  <si>
    <t>JOAO ROBERTO DE ALMEIDA ALVES</t>
  </si>
  <si>
    <t>JOEL GAUDENCIO DE SOUZA</t>
  </si>
  <si>
    <t>JOEL SILVA DE SOUZA</t>
  </si>
  <si>
    <t>JOSE AUGUSTO DE JESUS FERREIRA</t>
  </si>
  <si>
    <t>JOSE CARLOS MATOS DA SILVA</t>
  </si>
  <si>
    <t>JOSE CARLOS OLIVEIRA FERREIRA</t>
  </si>
  <si>
    <t>JOSE CLAUDIO DE ALMEIDA</t>
  </si>
  <si>
    <t>JOSE DE OLIVEIRA GOMES RIBEIRO</t>
  </si>
  <si>
    <t>JOSE DO CARMO SANTANA</t>
  </si>
  <si>
    <t>JOSE DOS ANJOS ASSIS</t>
  </si>
  <si>
    <t>JOSE EDIVALDO BEZERRA</t>
  </si>
  <si>
    <t>JOSE LUIZ DA CONCEICAO TEIXEIRA</t>
  </si>
  <si>
    <t>JOSE NILDO DE JESUS OLIVEIRA DIAS</t>
  </si>
  <si>
    <t>JOSE SILMAR FERREIRA DE SOUSA</t>
  </si>
  <si>
    <t>JOSIANO JOSE DOS SANTOS</t>
  </si>
  <si>
    <t>JOSIAS BARBOSA DE ALMEIDA</t>
  </si>
  <si>
    <t>JUSSARA THEODORO KUGUYAMA</t>
  </si>
  <si>
    <t>JUSSELMA DOS SANTOS</t>
  </si>
  <si>
    <t>KARIN PEREIRA DE SOUZA</t>
  </si>
  <si>
    <t>KELLY APARECIDA ALVES CAETANO</t>
  </si>
  <si>
    <t>LILIAN APARECIDA COSTA SAMORA</t>
  </si>
  <si>
    <t>LUCIA HELENA CONSTANTINO</t>
  </si>
  <si>
    <t>LUIZ ANTONIO DOS SANTOS</t>
  </si>
  <si>
    <t>LUIZ RODRIGUES MOREIRA</t>
  </si>
  <si>
    <t>MANUEL CARLOS FONSECA NORMANDIA</t>
  </si>
  <si>
    <t>MARA ALESSANDRA BARBOSA RODRIGUES</t>
  </si>
  <si>
    <t>MARCEL PAULINO</t>
  </si>
  <si>
    <t>MARCELO BRANDI</t>
  </si>
  <si>
    <t>MARCELO BRITO RODRIGUES</t>
  </si>
  <si>
    <t>MARCELO ROSA DA ROCHA</t>
  </si>
  <si>
    <t>MARCOS GOMES DOS REIS</t>
  </si>
  <si>
    <t>MARCOS PAULO DA SILVA SANTOS</t>
  </si>
  <si>
    <t>MARCOS PEREIRA DE OLIVEIRA</t>
  </si>
  <si>
    <t>MARIA APARECIDA GOMES VIDAL</t>
  </si>
  <si>
    <t>MARIA CRISTINA DA CRUZ CINTRA SANTOS</t>
  </si>
  <si>
    <t>MARIA DE FATIMA DE SOUZA SILVA</t>
  </si>
  <si>
    <t>MARIA DEUSA DE SANTANA SANTOS</t>
  </si>
  <si>
    <t>MARIA DO CARMO RAULINO LOPES</t>
  </si>
  <si>
    <t>MAURICIO ALVES DE SOUZA</t>
  </si>
  <si>
    <t>MAURICIO APARECIDO CAETANO</t>
  </si>
  <si>
    <t>MAURICIO APARECIDO RODRIGUES</t>
  </si>
  <si>
    <t>MAURINO AMBROSIO DO NASCIMENTO</t>
  </si>
  <si>
    <t>MAURIZA VIEIRA MACHADO MAGALHAES</t>
  </si>
  <si>
    <t>MILTON DE ARRUDA BRITO</t>
  </si>
  <si>
    <t>MIRALDA DUTRA FAGUNDES DA SILVA</t>
  </si>
  <si>
    <t>NARCISO LUCIANO DOS SANTOS</t>
  </si>
  <si>
    <t>NELSON AZEVEDO OLIVEIRA</t>
  </si>
  <si>
    <t>NIVALDO SATURNINO</t>
  </si>
  <si>
    <t>OLAVO RODRIGUES DA SILVA</t>
  </si>
  <si>
    <t>OSMAR NASCIMENTO DE JESUS</t>
  </si>
  <si>
    <t>PATRICIA DE LIMA CANGUCU</t>
  </si>
  <si>
    <t>PAULINO PEREIRA DE MORAIS</t>
  </si>
  <si>
    <t>PAULO ALEXANDRE FERREIRA DOS SANTOS</t>
  </si>
  <si>
    <t>PAULO CELSO ZABARELLI</t>
  </si>
  <si>
    <t>PAULO CEZAR BONFIM BARBOSA</t>
  </si>
  <si>
    <t>PAULO JOSE DA SILVA</t>
  </si>
  <si>
    <t>PAULO ROGERIO DE SOUZA</t>
  </si>
  <si>
    <t>RAIMUNDO NONATO PEREIRA LIMA</t>
  </si>
  <si>
    <t>RAQUEL DANTAS BARRETO DA SILVA</t>
  </si>
  <si>
    <t>RENATO SIMPLICIO DA SILVA</t>
  </si>
  <si>
    <t>RICARDO ALVES</t>
  </si>
  <si>
    <t>RICARDO HENRIQUE DA CONCEICAO</t>
  </si>
  <si>
    <t>RITA DE CASSIA REIS</t>
  </si>
  <si>
    <t>ROBERTO DE CAMPOS</t>
  </si>
  <si>
    <t>ROBERTO MILAN GONCALVES CORREA</t>
  </si>
  <si>
    <t>ROBERTO MORORO DO NASCIMENTO</t>
  </si>
  <si>
    <t>ROBSON DE SOUSA SILVA</t>
  </si>
  <si>
    <t>RODNEY FERREIRA SILVA</t>
  </si>
  <si>
    <t>RODRIGO FERREIRA MORAES</t>
  </si>
  <si>
    <t>RODRIGO SIMPLICIO DE OLIVEIRA MARTINS</t>
  </si>
  <si>
    <t>ROGERIO JOSE DOS SANTOS</t>
  </si>
  <si>
    <t>RONALDO BATISTA COSTA</t>
  </si>
  <si>
    <t>RONALDO FERREIRA COSTA</t>
  </si>
  <si>
    <t>ROSA APARECIDA GUIMARAES</t>
  </si>
  <si>
    <t>ROSANA RAMOS DA SILVA</t>
  </si>
  <si>
    <t>RUI BARBOSA DE LIMA SANTOS</t>
  </si>
  <si>
    <t>SALVELINA LELES DE OLIVEIRA SILVA</t>
  </si>
  <si>
    <t>SAMUEL SANTOS MIRANDA</t>
  </si>
  <si>
    <t>SANDRA MARIA RIBAS GOMES</t>
  </si>
  <si>
    <t>SEBASTIAO DE SOUZA SERPA</t>
  </si>
  <si>
    <t>SERGIO NOGUEIRA DA SILVA</t>
  </si>
  <si>
    <t>SEVERINA DE ANDRADE MEDEIROS MIRANDA</t>
  </si>
  <si>
    <t>SHIRLEY DE SOUZA FRANCISCO VELHO</t>
  </si>
  <si>
    <t>SILVIA REGINA DE SOUZA</t>
  </si>
  <si>
    <t>SILVIO VIANA DE OLIVEIRA</t>
  </si>
  <si>
    <t>SIMEIRE CAMARA ASCANHO</t>
  </si>
  <si>
    <t>SIMONE CAMARA ASCANHO DE JESUS</t>
  </si>
  <si>
    <t>SOLIMAR FERREIRA DOS SANTOS</t>
  </si>
  <si>
    <t>SORAIA MARIA MOUTA</t>
  </si>
  <si>
    <t>SUELEN MARIA HEMERICH</t>
  </si>
  <si>
    <t>TADEU VIEIRA BRANCO</t>
  </si>
  <si>
    <t>TANIA MARIA DOS SANTOS</t>
  </si>
  <si>
    <t>TIAGO DOS SANTOS FERREIRA</t>
  </si>
  <si>
    <t>VALTER NUNES DOS SANTOS</t>
  </si>
  <si>
    <t>WAGNER SILVA RAMOS</t>
  </si>
  <si>
    <t>WALTER DA MOTTA</t>
  </si>
  <si>
    <t>WELTON DE SOUZA ALVES</t>
  </si>
  <si>
    <t>1000K TRANSPORTES EIRELI - ME</t>
  </si>
  <si>
    <t>1000K</t>
  </si>
  <si>
    <t>17.893.846 SAMUEL GOES DA SILVA</t>
  </si>
  <si>
    <t>SAMUEL GOES</t>
  </si>
  <si>
    <t>3RI TRANSPORTES LTDA</t>
  </si>
  <si>
    <t>3RI</t>
  </si>
  <si>
    <t>52.277.422 CICERA CORREIA NERI FONSECA</t>
  </si>
  <si>
    <t>CICERA CORREIA</t>
  </si>
  <si>
    <t>AC DA SILVA - ME</t>
  </si>
  <si>
    <t>AC DA SILVA</t>
  </si>
  <si>
    <t>ADEILDA REIS TRANSPORTES LTDA</t>
  </si>
  <si>
    <t>ADEILDA REIS</t>
  </si>
  <si>
    <t>AF TRANSPORTE ESCOLAR LTDA</t>
  </si>
  <si>
    <t>AF</t>
  </si>
  <si>
    <t>AFS TRANSPORTE ESCOLAR LTDA ME</t>
  </si>
  <si>
    <t>AFS</t>
  </si>
  <si>
    <t>AGAPE TRANSPORTES LTDA</t>
  </si>
  <si>
    <t>AGAPE</t>
  </si>
  <si>
    <t>AK TRANSPORTES LTDA</t>
  </si>
  <si>
    <t>AK</t>
  </si>
  <si>
    <t>ALFHA TRANSPORTES ESCOLAR E FRETAMENTOS EIRELI - ME</t>
  </si>
  <si>
    <t>ALFHA</t>
  </si>
  <si>
    <t>ALLISON EDUARDO DIAS 35166841867</t>
  </si>
  <si>
    <t>ALLISON EDUARDO DIAS</t>
  </si>
  <si>
    <t>AMG D AVILA TRANSPORTES LTDA</t>
  </si>
  <si>
    <t>AMG D AVILA</t>
  </si>
  <si>
    <t>ANA LUCIA FERREIRA DA SILVA 33021717810</t>
  </si>
  <si>
    <t>ANA LUCIA FERREIRA</t>
  </si>
  <si>
    <t>ANGI TRANSPORTE ESCOLAR LTDA</t>
  </si>
  <si>
    <t>ANGI</t>
  </si>
  <si>
    <t>ARTFRAN TRANSPORTES LTDA - ME</t>
  </si>
  <si>
    <t>ARTFRAN</t>
  </si>
  <si>
    <t>AUREO ALVES TEIXEIRA - ME</t>
  </si>
  <si>
    <t>AUREO ALVES</t>
  </si>
  <si>
    <t>BELLA TRANSPORTES LTDA - ME</t>
  </si>
  <si>
    <t>BELLA TRANSPORTES</t>
  </si>
  <si>
    <t>BETO NATHY TRANSPORTES LTDA</t>
  </si>
  <si>
    <t>BETO NATHY</t>
  </si>
  <si>
    <t>BRUNO &amp; CARLA TRANSP. ESCOLAR E TUR. LTDA</t>
  </si>
  <si>
    <t>BRUNO &amp; CARLA</t>
  </si>
  <si>
    <t>CAETANO´S TRANSPORTE ESCOLAR</t>
  </si>
  <si>
    <t>CAETANO´S</t>
  </si>
  <si>
    <t>CALIXTO BACCO TRANSPORTES LTDA</t>
  </si>
  <si>
    <t>CALIXTO BACCO</t>
  </si>
  <si>
    <t>CANAA TRANSPORTE ESCOLAR LTDA - ME</t>
  </si>
  <si>
    <t>CANAA</t>
  </si>
  <si>
    <t>CARDOSO OLIVEIRA TRANSPORTES LTDA</t>
  </si>
  <si>
    <t>CARDOSO OLIVEIRA</t>
  </si>
  <si>
    <t>CASSIM TRANSPORTE ESCOLAR LTDA</t>
  </si>
  <si>
    <t>CASSIM</t>
  </si>
  <si>
    <t>CELSO JOSIAS DA SILVA JJM TRANSPORTES ESCOLARES - ME</t>
  </si>
  <si>
    <t>CELSO JOSIAS</t>
  </si>
  <si>
    <t>CENTRAL DO TRANSPORTE - EIRELI - ME</t>
  </si>
  <si>
    <t>CENTRAL DO TRANSPORTE</t>
  </si>
  <si>
    <t>CHSI BRASIL TRANSPORTES LTDA</t>
  </si>
  <si>
    <t>CHSI</t>
  </si>
  <si>
    <t>COIMBRA TRANSPORTE LTDA</t>
  </si>
  <si>
    <t>COIMBRA</t>
  </si>
  <si>
    <t>CRISTIANE ARAUJO DO CARMO ALMEIDA 32526324890</t>
  </si>
  <si>
    <t>CRISTIANE ARAUJO</t>
  </si>
  <si>
    <t>DAMASCENO FERNANDES TRANSPORTES LTDA</t>
  </si>
  <si>
    <t>DAMASCENO</t>
  </si>
  <si>
    <t>DAVI TRANSPORTES ESCOLAR E FRETAMENTOS EIRELI</t>
  </si>
  <si>
    <t>DAVI TRANSPORTES</t>
  </si>
  <si>
    <t>DENAVANS TRANSPORTES - ME</t>
  </si>
  <si>
    <t>DENAVANS</t>
  </si>
  <si>
    <t>DNC VANS TRANSPORTES LTDA</t>
  </si>
  <si>
    <t>DNC</t>
  </si>
  <si>
    <t>EDGAR VIEIRA DA SILVA 28246947850</t>
  </si>
  <si>
    <t>EDGAR VIEIRA</t>
  </si>
  <si>
    <t>EDIVALDO TRANSPORTES LTDA</t>
  </si>
  <si>
    <t>EDIVALDO TRANSP</t>
  </si>
  <si>
    <t>EDMILSON B. DO NASCIMENTO 94492360549</t>
  </si>
  <si>
    <t>EDMILSON B.</t>
  </si>
  <si>
    <t>EDUARDO DE AMORIM OLIVEIRA - ME</t>
  </si>
  <si>
    <t>EDUARDO DE AMORIM</t>
  </si>
  <si>
    <t>EL GADIL TRANSPORTES LTDA - ME</t>
  </si>
  <si>
    <t>EL GADIL</t>
  </si>
  <si>
    <t>ELIAS DOS SANTOS VIANA TRANSPORTES</t>
  </si>
  <si>
    <t>ELIAS VIANA</t>
  </si>
  <si>
    <t>EMC TRANSPORTES E LOCACAO LTDA</t>
  </si>
  <si>
    <t>EMC</t>
  </si>
  <si>
    <t>F&amp;J TRANSPORTE LTDA</t>
  </si>
  <si>
    <t>F&amp;J</t>
  </si>
  <si>
    <t>F.A.S.E TRANSPORTE ESCOLAR LTDA</t>
  </si>
  <si>
    <t>FASE</t>
  </si>
  <si>
    <t>FABI TRANSPORTES LTDA</t>
  </si>
  <si>
    <t>FABI TRANSPORTES</t>
  </si>
  <si>
    <t>FAISCA TRANSPORTE ESCOLAR LTDA - ME</t>
  </si>
  <si>
    <t>FAISCA</t>
  </si>
  <si>
    <t>FELIPE E INGRID TRANSPORTE ESCOLAR E TURISMO LTDA</t>
  </si>
  <si>
    <t>FELIPE E INGRID</t>
  </si>
  <si>
    <t>FELIPE TRANSPORTES EIRELI - ME</t>
  </si>
  <si>
    <t>FELIPE TRANSPORTES</t>
  </si>
  <si>
    <t>FJ TRANSPORTES LTDA</t>
  </si>
  <si>
    <t>FJ</t>
  </si>
  <si>
    <t>G T DE MACEDO TRANSPORTES LTDA - ME</t>
  </si>
  <si>
    <t xml:space="preserve">G T DE MACEDO </t>
  </si>
  <si>
    <t>GAJETHI TRANSPORTES LTDA</t>
  </si>
  <si>
    <t>GAJETHI</t>
  </si>
  <si>
    <t>GARA TRANSPORTES LTDA</t>
  </si>
  <si>
    <t>GARA</t>
  </si>
  <si>
    <t>GILBERTO VIEIRA DA ROCHA 96143657491</t>
  </si>
  <si>
    <t>GILBERTO VIEIRA</t>
  </si>
  <si>
    <t>H.C. RIBEIRO - TRANSPORTES - ME</t>
  </si>
  <si>
    <t>H.C. RIBEIRO</t>
  </si>
  <si>
    <t>HERON PELEGRINI FELICIANO DA SILVA - ME</t>
  </si>
  <si>
    <t>HERON PELEGRINI</t>
  </si>
  <si>
    <t>HIDEKI TRANSPORTES E TURISMO LTDA - ME</t>
  </si>
  <si>
    <t>HIDEKI</t>
  </si>
  <si>
    <t>IFE TRANSPORTES LTDA</t>
  </si>
  <si>
    <t>IFE</t>
  </si>
  <si>
    <t>INGRYD DO CARMO CONCEICAO SARAIVA 45013464854</t>
  </si>
  <si>
    <t>INGRYD DO CARMO</t>
  </si>
  <si>
    <t>IRMAOS MENDES TRANSPORTE ESCOLAR LTDA - ME</t>
  </si>
  <si>
    <t>IRMAOS MENDES</t>
  </si>
  <si>
    <t>J&amp;N TRANSPORTES LTDA</t>
  </si>
  <si>
    <t>J&amp;N</t>
  </si>
  <si>
    <t>JACA VANS TRANSPORTE ESCOLAR LTDA</t>
  </si>
  <si>
    <t>JACA VANS</t>
  </si>
  <si>
    <t>JC TRANSPORTES LTDA - ME</t>
  </si>
  <si>
    <t xml:space="preserve">JC TRANS </t>
  </si>
  <si>
    <t>JESSICA TUR TRANSPORTES LTDA - ME</t>
  </si>
  <si>
    <t>JESSICA TUR</t>
  </si>
  <si>
    <t>JTI TRANSPORTES LTDA - ME</t>
  </si>
  <si>
    <t>JTI</t>
  </si>
  <si>
    <t>KL TRANSPORTE PAIS E FILHOS LTDA</t>
  </si>
  <si>
    <t>KL</t>
  </si>
  <si>
    <t>L. F. DO NASCIMENTO - ME</t>
  </si>
  <si>
    <t>L. F. DO NASCIMENTO</t>
  </si>
  <si>
    <t>LBW TRANSPORTES LTDA</t>
  </si>
  <si>
    <t>LBW</t>
  </si>
  <si>
    <t>LMP DE SOUZA TRANSPORTES - ME</t>
  </si>
  <si>
    <t>LMP DE SOUZA</t>
  </si>
  <si>
    <t>LTB TRANSPORTES LTDA - ME</t>
  </si>
  <si>
    <t>LTB</t>
  </si>
  <si>
    <t>LUCIANO FERREIRA DA SILVA 95482962504</t>
  </si>
  <si>
    <t>LUCIANO FERREIRA</t>
  </si>
  <si>
    <t>LUPRECINA MARIA DE OLIVEIRA ARAUJO - ME</t>
  </si>
  <si>
    <t>LUPRECINA</t>
  </si>
  <si>
    <t>M &amp; R TRANSPORTES LTDA - ME</t>
  </si>
  <si>
    <t>M &amp; R</t>
  </si>
  <si>
    <t>M3 TRANSPORTE ESCOLAR LTDA</t>
  </si>
  <si>
    <t>M3</t>
  </si>
  <si>
    <t>MAMUAN TRANSPORTES LTDA</t>
  </si>
  <si>
    <t>MAMUAN</t>
  </si>
  <si>
    <t>MARCOS PAULO TRANSPORTES LTDA</t>
  </si>
  <si>
    <t>MARCOS PAULO</t>
  </si>
  <si>
    <t>MAURICIO ALVES DE SOUZA TRANSPORTES</t>
  </si>
  <si>
    <t>MAURICIO ALVES</t>
  </si>
  <si>
    <t>MBR3 TRANSPORTES LTDA</t>
  </si>
  <si>
    <t>MBR3</t>
  </si>
  <si>
    <t>MCC FRET TRANSP E LOC DE VEICULOS LTDA</t>
  </si>
  <si>
    <t>MCC FRET</t>
  </si>
  <si>
    <t>MFL TRANSPORTE ESCOLAR LTDA</t>
  </si>
  <si>
    <t>MFL</t>
  </si>
  <si>
    <t>MGD TRANSPORTES LTDA</t>
  </si>
  <si>
    <t>MGD</t>
  </si>
  <si>
    <t>MICRO E VANS TRANSPORTES LTDA - ME</t>
  </si>
  <si>
    <t>MICRO E VANS</t>
  </si>
  <si>
    <t>MKS REIS TRANSPORTES LTDA</t>
  </si>
  <si>
    <t>MKS REIS</t>
  </si>
  <si>
    <t>MORORO TRANSPORTE ESCOLAR LTDA</t>
  </si>
  <si>
    <t>MORORO</t>
  </si>
  <si>
    <t>MR2 TRANSPORTE ESCOLAR LTDA</t>
  </si>
  <si>
    <t>MR2</t>
  </si>
  <si>
    <t>MR3 TRANSPORTE ESCOLAR LTDA</t>
  </si>
  <si>
    <t>MR3</t>
  </si>
  <si>
    <t>MURANGA TRANSPORTES LTDA</t>
  </si>
  <si>
    <t>MURANGA</t>
  </si>
  <si>
    <t>NATALIA AP A DE BORBA MOURA 32803726823</t>
  </si>
  <si>
    <t>NATALIA AP</t>
  </si>
  <si>
    <t>NICA TRANSPORTES LTDA</t>
  </si>
  <si>
    <t>NICA</t>
  </si>
  <si>
    <t>NILO TRANSPORTES LTDA</t>
  </si>
  <si>
    <t>NILO</t>
  </si>
  <si>
    <t>NORMANDIA TRANSPORTES LTDA</t>
  </si>
  <si>
    <t>NORMANDIA</t>
  </si>
  <si>
    <t>OCEANTUR TRANSPORTES E LOCADORA LTDA</t>
  </si>
  <si>
    <t>OCEANTUR</t>
  </si>
  <si>
    <t>ODETE DA SILVA MEIRA 03519232847</t>
  </si>
  <si>
    <t>ODETE DA SILVA</t>
  </si>
  <si>
    <t>ODETE MEIRA TRANSPORTE ESCOLAR LTDA</t>
  </si>
  <si>
    <t>ODETE MEIRA</t>
  </si>
  <si>
    <t>OLHOS DE AGUIA LOCADORA DE VEICULOS LTDA - ME</t>
  </si>
  <si>
    <t>OLHOS DE AGUIA</t>
  </si>
  <si>
    <t>OPG TRANSPORTES LTDA</t>
  </si>
  <si>
    <t>OPG</t>
  </si>
  <si>
    <t>PARIS TRANSPORTE ESCOLAR LTDA</t>
  </si>
  <si>
    <t>PARIS</t>
  </si>
  <si>
    <t>PCBB ESCOLAR TRANSPORTES PASSAGEIROS LTDA</t>
  </si>
  <si>
    <t>PCBB</t>
  </si>
  <si>
    <t>PONTUAL ESCOLAR E LOC EM TRANSP LTDA - ME</t>
  </si>
  <si>
    <t>PONTUAL</t>
  </si>
  <si>
    <t>REINALDO SANTOS CERQUEIRA 01116048507</t>
  </si>
  <si>
    <t>REINALDO SANTOS CERQUEIRA</t>
  </si>
  <si>
    <t>RENATO APARECIDO COSTA SANTOS 2597881989</t>
  </si>
  <si>
    <t>RENATO APARECIDO</t>
  </si>
  <si>
    <t>RM TRANSPORTE ESCOLAR E SERVICOS LTDA</t>
  </si>
  <si>
    <t>RM</t>
  </si>
  <si>
    <t>RMS TRANSPORTES LTDA</t>
  </si>
  <si>
    <t xml:space="preserve">RMS TRANS </t>
  </si>
  <si>
    <t>RODA LEGAL W. A. T. TRANSPORTES LTDA - ME</t>
  </si>
  <si>
    <t>RODA LEGAL</t>
  </si>
  <si>
    <t>RODASIL TRANSPORTES LTDA</t>
  </si>
  <si>
    <t>RODASIL</t>
  </si>
  <si>
    <t>ROSCHEL R.V. TRANSPORTES LTDA - ME</t>
  </si>
  <si>
    <t>ROSCHEL</t>
  </si>
  <si>
    <t>ROZANA DALVA DE MELO 32023198844</t>
  </si>
  <si>
    <t>ROZANA DALVA</t>
  </si>
  <si>
    <t>RTM DA HORA TRANSPORTE ESCOLAR LTDA</t>
  </si>
  <si>
    <t>RTM</t>
  </si>
  <si>
    <t>RUI BARBOSA TRANSPORTES LTDA</t>
  </si>
  <si>
    <t>RUI BARBOSA</t>
  </si>
  <si>
    <t>S. G. DA SILVA - TRANSPORTES</t>
  </si>
  <si>
    <t>S. G. DA SILVA</t>
  </si>
  <si>
    <t>SANPIN TRANSPORTES LTDA</t>
  </si>
  <si>
    <t>SAPIN</t>
  </si>
  <si>
    <t>SATUR TRANSPORTE E TURISMO LTDA - ME</t>
  </si>
  <si>
    <t>SATUR</t>
  </si>
  <si>
    <t>SERGIO NOGUEIRA DA SILVA ESCOLAR</t>
  </si>
  <si>
    <t>SERGIO NOGUEIRA</t>
  </si>
  <si>
    <t>SHIRLEY DE SOUZA VELHO - ME</t>
  </si>
  <si>
    <t>SHIRLEY DE SOUZA</t>
  </si>
  <si>
    <t>SILIGUI-VANS LOCACAO E TRANSPORTES EIRELI - ME</t>
  </si>
  <si>
    <t>SILIGUI-VANS</t>
  </si>
  <si>
    <t>SPEEDBUS TUR LTDA - ME</t>
  </si>
  <si>
    <t>SPEEDBUS</t>
  </si>
  <si>
    <t>SR TRANSPORTES LTDA</t>
  </si>
  <si>
    <t>SR</t>
  </si>
  <si>
    <t>SRP DE SOUZA TRANSPORTES - ME</t>
  </si>
  <si>
    <t>SRP DE SOUZA</t>
  </si>
  <si>
    <t>TALES TRANSPORTES LTDA</t>
  </si>
  <si>
    <t>TALES TRANSPORTES</t>
  </si>
  <si>
    <t>TRANS TIO´S TRANSPORTE RODOVIÁRIO DE PASSAGEIROS LTDA - ME</t>
  </si>
  <si>
    <t>TRANS TIOS</t>
  </si>
  <si>
    <t>TRANSGRILO TRANSPORTES LTDA - ME</t>
  </si>
  <si>
    <t>TRANSGRILO</t>
  </si>
  <si>
    <t>TRANSPORTE ESCOLAR - TRANSPORTANDO O FUTURO LTDA</t>
  </si>
  <si>
    <t>TRANSPORTANDO O FUTURO</t>
  </si>
  <si>
    <t>TRANSPORTE ESCOLAR KUGUYAMA LTDA</t>
  </si>
  <si>
    <t>KUGUYAMA</t>
  </si>
  <si>
    <t>TRANSPORTES NORMANDIA LTDA - ME</t>
  </si>
  <si>
    <t>TRANSPORTES TRES IRMAOS LTDA</t>
  </si>
  <si>
    <t>TRES IRMAOS</t>
  </si>
  <si>
    <t>V C ALVES TRANSPORTE</t>
  </si>
  <si>
    <t>V C ALVES</t>
  </si>
  <si>
    <t>V.N. TRANSPORTES ESCOLAR LTDA</t>
  </si>
  <si>
    <t>V.N.</t>
  </si>
  <si>
    <t>VALMIR ALVES DE ASSIS 06210197809</t>
  </si>
  <si>
    <t>VALMIR ALVES</t>
  </si>
  <si>
    <t>VINICAR TRANSPORTES LTDA</t>
  </si>
  <si>
    <t>VINICAR</t>
  </si>
  <si>
    <t>VS TRANSPORTE ESCOLAR LTDA</t>
  </si>
  <si>
    <t>VS</t>
  </si>
  <si>
    <t>W.E SOUSA TRANSPORTES LTDA</t>
  </si>
  <si>
    <t>W.E SOUZA</t>
  </si>
  <si>
    <t>WANDERSON G. ALVES DE SOUZA TRANSPORTES - ME</t>
  </si>
  <si>
    <t>WANDERSON G. ALVES</t>
  </si>
  <si>
    <t>WBL TRANSPORTES LTDA</t>
  </si>
  <si>
    <t>WBL</t>
  </si>
  <si>
    <t>WEST VANS LOCADORA DE VEICULOS LTDA - ME</t>
  </si>
  <si>
    <t>WEST VANS</t>
  </si>
  <si>
    <t>ZABARELLI TRANSPORTES LTDA</t>
  </si>
  <si>
    <t>ZABARELLI</t>
  </si>
  <si>
    <t>COOPERATIVA DE TRAB EM TRANSP DE PASS - UNISEL</t>
  </si>
  <si>
    <t>COOP UNISEL</t>
  </si>
  <si>
    <t>COOPERATIVA DE TRANSPORTE PARA TODOS - COOPERTODOS</t>
  </si>
  <si>
    <t>COOPERTODOS</t>
  </si>
  <si>
    <t>ADAIL JOSE GUIMARAES</t>
  </si>
  <si>
    <t>ADEMICIO LINS DE ARAUJO</t>
  </si>
  <si>
    <t>AGNALDO COSMO DA SILVA</t>
  </si>
  <si>
    <t>AILTON ANTONIO DO NASCIMENTO</t>
  </si>
  <si>
    <t>ALAN KARDEC DAMASCENO DE OLIVEIRA</t>
  </si>
  <si>
    <t>ALESSANDRO ANTONIO DA SILVA</t>
  </si>
  <si>
    <t>ALEX SANDRO DE SOUSA BRAGA</t>
  </si>
  <si>
    <t>ALEX SANDRO PEREIRA</t>
  </si>
  <si>
    <t>ALVERI JOSE DE FRANCA</t>
  </si>
  <si>
    <t>ALVIMAR BATISTA DE SOUSA</t>
  </si>
  <si>
    <t>AMANDA EVA DA SILVA ESTEVES</t>
  </si>
  <si>
    <t>ANDERSON DOS SANTOS HENRIQUE</t>
  </si>
  <si>
    <t>ANGELA KELLY GUIMARAES ALVES</t>
  </si>
  <si>
    <t>ANGELA MARIA SANTANA DE LIMA BASILIO</t>
  </si>
  <si>
    <t>ANTONIO CARLOS CAVALCANTE</t>
  </si>
  <si>
    <t>ANTONIO CARLOS DE PAULA</t>
  </si>
  <si>
    <t>ANTONIO FERREIRA DOS ANJOS</t>
  </si>
  <si>
    <t>ANTONIO MARIA DE SOUZA</t>
  </si>
  <si>
    <t>ANTONIO RIBEIRO MONTEIRO</t>
  </si>
  <si>
    <t>APARECIDA DE LOURDES DOS SANTOS</t>
  </si>
  <si>
    <t>AVELINO SAMPAIO DE SOUZA FILHO</t>
  </si>
  <si>
    <t>BENEDITO ROMAO PARIS FILHO</t>
  </si>
  <si>
    <t>CARLITO SANTANA SOUZA NETO</t>
  </si>
  <si>
    <t>CARLOS ALBERTO GOMES</t>
  </si>
  <si>
    <t>CARLOS ALBERTO LEAL</t>
  </si>
  <si>
    <t>CARLOS ROBERTO DA SILVA OLIVEIRA</t>
  </si>
  <si>
    <t>CARLOS ROBERTO PIERRE</t>
  </si>
  <si>
    <t>CELSO ALVES BATISTA</t>
  </si>
  <si>
    <t>CELSO FERNANDES TRINDADE</t>
  </si>
  <si>
    <t>CLAUDIA ARAUJO DE ALMEIDA</t>
  </si>
  <si>
    <t>CLAUDINEI ALBERTO CALIXTO</t>
  </si>
  <si>
    <t>CLAUDINEI APARECIDO DOS REIS</t>
  </si>
  <si>
    <t>CLAUDIO ALEXANDRE SILVA</t>
  </si>
  <si>
    <t>CLAYTON CHARLES HONORIO</t>
  </si>
  <si>
    <t>CLAYTON RIBEIRO</t>
  </si>
  <si>
    <t>CLEUSA MARIA DE MORAIS</t>
  </si>
  <si>
    <t>CLOVES JOSE DE ALMEIDA</t>
  </si>
  <si>
    <t>CRISTIANO MARTINIANO DE OLIVEIRA</t>
  </si>
  <si>
    <t>DALVA ISILDA UDINAL DOS SANTOS</t>
  </si>
  <si>
    <t>DANIEL DE SOUSA RODRIGUES</t>
  </si>
  <si>
    <t>DAVID HESSEL PONTES</t>
  </si>
  <si>
    <t>DELVAI CANGUSSU DA SILVA</t>
  </si>
  <si>
    <t>DENIVALDO ALVES DE ARAUJO</t>
  </si>
  <si>
    <t>EDIELSON JOSE DO NASCIMENTO</t>
  </si>
  <si>
    <t>EDIGAR BENEVIDES DA COSTA</t>
  </si>
  <si>
    <t>EDILEUZA SOUZA DA PAZ</t>
  </si>
  <si>
    <t>EDILSON DE AGUIAR SANTOS</t>
  </si>
  <si>
    <t>EDMILSON DOS SANTOS GOIS</t>
  </si>
  <si>
    <t>EDSON BATISTA DE LIMA</t>
  </si>
  <si>
    <t>EDSON MOREIRA DE CASTRO</t>
  </si>
  <si>
    <t>EDUARDO APARECIDO DE ALBUQUERQUE</t>
  </si>
  <si>
    <t>EDUARDO BASTOS CERQUEIRA</t>
  </si>
  <si>
    <t>ELAINE CRISTINA GUTIERRES ESTREMERA GONCALVES</t>
  </si>
  <si>
    <t>ELIAS BISPO DA SILVA NETO</t>
  </si>
  <si>
    <t>EMERVAL DE BRITO GOMES</t>
  </si>
  <si>
    <t>EVANDRO GOMES SOARES</t>
  </si>
  <si>
    <t>FABIANO ALVES DOS SANTOS</t>
  </si>
  <si>
    <t>FABIO DA COSTA FARIA</t>
  </si>
  <si>
    <t>FLAVIA MARIA DELFINO DOS SANTOS</t>
  </si>
  <si>
    <t>FLAVIO ARAUJO MARQUES</t>
  </si>
  <si>
    <t>FLAVIO MILTON PRADO</t>
  </si>
  <si>
    <t>FRANCIMAR LEANDRO</t>
  </si>
  <si>
    <t>FRANCISCO ERIVANDO VIANA BRAZ</t>
  </si>
  <si>
    <t>FRANCISCO WENDELL SOUSA VIANA</t>
  </si>
  <si>
    <t>FRANK SANTOS DE MIRANDA</t>
  </si>
  <si>
    <t>GERALDO ADMAR DA SILVEIRA</t>
  </si>
  <si>
    <t>GERALDO CORREA DE MELO</t>
  </si>
  <si>
    <t>GERALDO DE FREITAS SILVA</t>
  </si>
  <si>
    <t>GERMANO LOURENCO SIQUEIRA</t>
  </si>
  <si>
    <t>GILBERTO DO CARMO SANTOS</t>
  </si>
  <si>
    <t>GILBERTO JOSE GOMES</t>
  </si>
  <si>
    <t>GILENO SIMAO DOS SANTOS</t>
  </si>
  <si>
    <t>GILVANETE ROQUE DA CRUZ</t>
  </si>
  <si>
    <t>HERINALDO JOAQUIM DE SANTANA</t>
  </si>
  <si>
    <t>IRACILDO FRANCISCO DA SILVA</t>
  </si>
  <si>
    <t>IVAN DE ANDRADE GOUVEIA</t>
  </si>
  <si>
    <t>IVANILDO DE ANDRADE</t>
  </si>
  <si>
    <t>IVONALDO CAVALCANTI DE OLIVEIRA</t>
  </si>
  <si>
    <t>JACINTA MARIA DA CONCEICAO</t>
  </si>
  <si>
    <t>JEFERSON ALVES</t>
  </si>
  <si>
    <t>JEFFERSON PEREIRA SANTOS FEITOSA</t>
  </si>
  <si>
    <t>JESSICA OLIVEIRA DOS SANTOS SILVA</t>
  </si>
  <si>
    <t>JOAO CESAR DOS SANTOS</t>
  </si>
  <si>
    <t>JOAO DANTAS DE MENDONCA</t>
  </si>
  <si>
    <t>JOAO ELIEZER DA SILVA</t>
  </si>
  <si>
    <t>JOAO EVANGELISTA PIRES</t>
  </si>
  <si>
    <t>JOAO VELOSO COSTA</t>
  </si>
  <si>
    <t>JOEL FERREIRA DA SILVA</t>
  </si>
  <si>
    <t>JOHNNY DOS SANTOS TAVARES</t>
  </si>
  <si>
    <t>JONES HONORIO DA CUNHA</t>
  </si>
  <si>
    <t>JOSE ALBERTO SANTANA DE LIMA</t>
  </si>
  <si>
    <t>JOSE AMORIM NOVAIS</t>
  </si>
  <si>
    <t>JOSE CARDOSO DE ARAUJO</t>
  </si>
  <si>
    <t>JOSE CRISTIANO FILHO</t>
  </si>
  <si>
    <t>JOSE FERREIRA DA SILVA FILHO</t>
  </si>
  <si>
    <t>JOSE GILMAR ROSCHEL LOPES</t>
  </si>
  <si>
    <t>JOSE LINO DOS REIS</t>
  </si>
  <si>
    <t>JOSE LOPES LIMA</t>
  </si>
  <si>
    <t>JOSE MANOEL BARBOSA DOS SANTOS</t>
  </si>
  <si>
    <t>JOSE MARIVALDO DA SILVA REIS</t>
  </si>
  <si>
    <t>JOSE MILTON FERNANDES DA SILVA</t>
  </si>
  <si>
    <t>JOSE MOREIRA DA SILVA</t>
  </si>
  <si>
    <t>JOSE RODRIGUES DE PAULA NETO</t>
  </si>
  <si>
    <t>JOSEMAR BATISTA NUNES</t>
  </si>
  <si>
    <t>JOSUE PEDRO LIMA</t>
  </si>
  <si>
    <t>JUSTINO BATISTA REIS</t>
  </si>
  <si>
    <t>KATIA SOARES DE ASSIS</t>
  </si>
  <si>
    <t>KATIANE DE PAULA CRUZ NUNES</t>
  </si>
  <si>
    <t>LEDA MARIA COELHO SARAIVA</t>
  </si>
  <si>
    <t>LIDIMAR CLARO DA SILVA</t>
  </si>
  <si>
    <t>LOURIVAL POLIDORO RAIMUNDO</t>
  </si>
  <si>
    <t>LUIS CARLOS MATIAS</t>
  </si>
  <si>
    <t>LUIZ ALBERTO SANTOS BESERRA</t>
  </si>
  <si>
    <t>LUIZ CARLOS DE SOUZA OLIVEIRA</t>
  </si>
  <si>
    <t>MANOEL LINS DE ASSUNPCAO</t>
  </si>
  <si>
    <t>MARCELO APARECIDO DA MOTA</t>
  </si>
  <si>
    <t>MARCELO LEDO DA SILVA</t>
  </si>
  <si>
    <t>MARCELO MARTINS VIEIRA</t>
  </si>
  <si>
    <t>MARCELO SANTOS</t>
  </si>
  <si>
    <t>MARCIO APARECIDO SIQUEIRA</t>
  </si>
  <si>
    <t>MARCIO MARTINS DA SILVA</t>
  </si>
  <si>
    <t>MARCOS AURELIO DA CONCEICAO</t>
  </si>
  <si>
    <t>MARCOS LOPES DE ARAUJO</t>
  </si>
  <si>
    <t>MARGARETE CRISTINA FERREIRA BEZERRA</t>
  </si>
  <si>
    <t>MARIA APARECIDA DA COSTA SERNA</t>
  </si>
  <si>
    <t>MARIA APARECIDA DOS SANTOS BARROS</t>
  </si>
  <si>
    <t>MARIA CARSILENE DE FREITAS OLIVEIRA</t>
  </si>
  <si>
    <t>MARIA DE FATIMA DA SILVEIRA CRISTIANO</t>
  </si>
  <si>
    <t>MARIA JOSE REIS COSTA</t>
  </si>
  <si>
    <t>MARIA LUCIA ANTAO DA SILVA</t>
  </si>
  <si>
    <t>MARIA LUCIANA CARVALHO</t>
  </si>
  <si>
    <t>MARIA RAIMUNDA DE JESUS</t>
  </si>
  <si>
    <t>MARIA SIRLEY FERNANDES DA SILVA</t>
  </si>
  <si>
    <t>MARIANA FRANCISCA DA SILVA</t>
  </si>
  <si>
    <t>MARILENE JOSE DA SILVA</t>
  </si>
  <si>
    <t>MARIO LUCIO ALVES</t>
  </si>
  <si>
    <t>MARLI DA SILVA REIS</t>
  </si>
  <si>
    <t>MARLON FERREIRA GOMES</t>
  </si>
  <si>
    <t>MIGUEL TITARA DOS SANTOS</t>
  </si>
  <si>
    <t>MIRIAN TEIXEIRA DA SILVA GARCIA</t>
  </si>
  <si>
    <t>MOACIR DA COSTA LOURES</t>
  </si>
  <si>
    <t>MOISES PEDRO LIMA</t>
  </si>
  <si>
    <t>NAIR DELFINO DE JESUS CERQUEIRA</t>
  </si>
  <si>
    <t>NELSON DIAS DE OLIVEIRA</t>
  </si>
  <si>
    <t>NILTON CESAR SOARES DE OLIVEIRA</t>
  </si>
  <si>
    <t>NIVALDO FERREIRA PREXEDES</t>
  </si>
  <si>
    <t>NIVALDO NUNES CRUZ</t>
  </si>
  <si>
    <t>NOELSON SANTOS DE SOUSA</t>
  </si>
  <si>
    <t>ORLANDO CARMO DA ROSA</t>
  </si>
  <si>
    <t>OSMAR DOS SANTOS SOUSA</t>
  </si>
  <si>
    <t>PABLO GOES PINHEIRO</t>
  </si>
  <si>
    <t>PAULO SERGIO VICENTE</t>
  </si>
  <si>
    <t>PEDRO CESAR ZILLISG</t>
  </si>
  <si>
    <t>PEDRO LUIZ RIBEIRO</t>
  </si>
  <si>
    <t>PEDRO MANOEL DE MACEDO</t>
  </si>
  <si>
    <t>PEDRO ROCHA DA SILVA</t>
  </si>
  <si>
    <t>RAFAEL CAMARGO LIMA</t>
  </si>
  <si>
    <t>RAFAEL DO NASCIMENTO SANTOS</t>
  </si>
  <si>
    <t>RAIMUNDO MENDES DE SOUZA</t>
  </si>
  <si>
    <t>REGINALDO ESMERALDO</t>
  </si>
  <si>
    <t>RICARDO BEZERRA DA SILVA</t>
  </si>
  <si>
    <t>RICARDO GOMES DE PONTES</t>
  </si>
  <si>
    <t>RICARDO SAMURAY DA SILVA</t>
  </si>
  <si>
    <t>RICARDO VIEIRA SILVA</t>
  </si>
  <si>
    <t>ROBERTO CARLOS DA GAMA</t>
  </si>
  <si>
    <t>ROBERTO GONCALVES DA SILVA</t>
  </si>
  <si>
    <t>ROBERTO SILVA DE PAULA</t>
  </si>
  <si>
    <t>ROBSON SANTOS CAMPOS</t>
  </si>
  <si>
    <t>RODRIGO DA SILVA FALCAO</t>
  </si>
  <si>
    <t>RODRIGO NOBRE DE SOUSA</t>
  </si>
  <si>
    <t>ROGERIO SOARES DA SILVA</t>
  </si>
  <si>
    <t>RONALDO GUIMARAES DOS SANTOS</t>
  </si>
  <si>
    <t>RONALDO PEREIRA MACHADO</t>
  </si>
  <si>
    <t>ROSANA BRAGA DOS SANTOS</t>
  </si>
  <si>
    <t>ROSELI DE MELLO GALDINO DA SILVA</t>
  </si>
  <si>
    <t>ROSEMARY CRISTINA SANTOS</t>
  </si>
  <si>
    <t>ROSILDA ARAUJO DOS SANTOS</t>
  </si>
  <si>
    <t>ROSINALDO JOSE COSTA</t>
  </si>
  <si>
    <t>SAMUEL ALVES FERREIRA</t>
  </si>
  <si>
    <t>SELMA GOMES DE OLIVEIRA</t>
  </si>
  <si>
    <t>SERGIO LUIZ DOS SANTOS</t>
  </si>
  <si>
    <t>SERGIO ROBERTO DE OLIVEIRA</t>
  </si>
  <si>
    <t>SEVERINO AVELINO BATISTA FILHO</t>
  </si>
  <si>
    <t>SILVANA DA SILVA BRAZ</t>
  </si>
  <si>
    <t>SILVANO HENRIQUE DE LIMA</t>
  </si>
  <si>
    <t>SILVIA VALERIA CASSER</t>
  </si>
  <si>
    <t>SILVIO VIANA DA SILVA</t>
  </si>
  <si>
    <t>SIMONE GOMES DE OLIVEIRA</t>
  </si>
  <si>
    <t>SIMONE PIERRE MARIANO DE OLIVEIRA</t>
  </si>
  <si>
    <t>SINVAL FERREIRA DOS SANTOS</t>
  </si>
  <si>
    <t>SUELI SILVA PALES</t>
  </si>
  <si>
    <t>UBIRAJARA RODRIGUES PAIXAO</t>
  </si>
  <si>
    <t>VAGNER CRISTIANO SPIGARIOL</t>
  </si>
  <si>
    <t>VALDEMIR SANTIAGO FARIAS</t>
  </si>
  <si>
    <t>VALDETE FRANCISCA DE OLIVEIRA GUERRA</t>
  </si>
  <si>
    <t>VALDIK SANTOS DO NASCIMENTO</t>
  </si>
  <si>
    <t>VALDIR LEITE PEREIRA</t>
  </si>
  <si>
    <t>VALDIRENE DA SILVA</t>
  </si>
  <si>
    <t>VALERIA ALVES BARAUNA</t>
  </si>
  <si>
    <t>VALTECIO SOUZA PEREIRA</t>
  </si>
  <si>
    <t>VANDERLIN PEREIRA SANTIAGO</t>
  </si>
  <si>
    <t>VANILDA COELHO DE OLIVEIRA DA SILVA</t>
  </si>
  <si>
    <t>VICENTE ANTONIO FRANCISCO DE OLIVEIRA</t>
  </si>
  <si>
    <t>WILIAN DA SILVA FALCAO NASCIMENTO</t>
  </si>
  <si>
    <t>WILLIAM SOUZA DE OLIVEIRA</t>
  </si>
  <si>
    <t>WILLIAN RODRIGUES DE ANDRADE</t>
  </si>
  <si>
    <t>4.AZAS TRASNPORTES LTDA - ME</t>
  </si>
  <si>
    <t>4.AZAS</t>
  </si>
  <si>
    <t>50.187.034 JOAO VELOSO COSTA</t>
  </si>
  <si>
    <t>JOAO VELOSO</t>
  </si>
  <si>
    <t>A DE P MOREIRA TRANSPORTES - ME</t>
  </si>
  <si>
    <t>A DE P MOREIRA</t>
  </si>
  <si>
    <t>ADEMICIO LINS DE ARAUJO TRANSPORTES</t>
  </si>
  <si>
    <t>ADEMICIO LINS</t>
  </si>
  <si>
    <t>AEVW TRANSPORTES LTDA</t>
  </si>
  <si>
    <t>AEVW</t>
  </si>
  <si>
    <t>ANTONIO FRANCISCO ARAUJO DE OLIVEIRA - ME</t>
  </si>
  <si>
    <t>ANTONIO FRANCISCO</t>
  </si>
  <si>
    <t>ASA TOUR TRANSPORTES LTDA - ME</t>
  </si>
  <si>
    <t>ASA TOUR</t>
  </si>
  <si>
    <t>AV CUNHA TRANSPORTES - ME</t>
  </si>
  <si>
    <t>AV CUNHA TRANSPORTES</t>
  </si>
  <si>
    <t>AZUL TRANSPORTES E TURISMO LTDA - EPP</t>
  </si>
  <si>
    <t>AZUL</t>
  </si>
  <si>
    <t>BIKUDO TRANSPORTES LTDA - EIRELI</t>
  </si>
  <si>
    <t>BIKUDO</t>
  </si>
  <si>
    <t>DASF - TRANSPORTES ESCOLAR E FRETAMENTOS LTDA - ME</t>
  </si>
  <si>
    <t>DASF - TRANSPORTES ESCOLAR</t>
  </si>
  <si>
    <t>DONALDO TRANSPORTES LTDA - ME</t>
  </si>
  <si>
    <t>DONALDO TRANSPORTES</t>
  </si>
  <si>
    <t>DYP LOCADORA E TRANSPORTES LTDA - ME</t>
  </si>
  <si>
    <t>DYP LOCADORA E TRANSPORTES</t>
  </si>
  <si>
    <t>E C R LOCACAO E TRANSPORTES LTDA - ME</t>
  </si>
  <si>
    <t>E C R LOCACAO</t>
  </si>
  <si>
    <t>E.S. DA PAZ TRANSPORTES</t>
  </si>
  <si>
    <t>E.S.</t>
  </si>
  <si>
    <t>ELIANA TRANSPORTES LTDA</t>
  </si>
  <si>
    <t>ELIANA TRANS</t>
  </si>
  <si>
    <t>ELIEZER TRANSPORTES LTDA</t>
  </si>
  <si>
    <t>ELIEZER</t>
  </si>
  <si>
    <t>EMANNUEL TRANSPORTES LTDA - ME</t>
  </si>
  <si>
    <t>EMANNUEL TRANS</t>
  </si>
  <si>
    <t>EXPRESSO ALVES - EIRELI</t>
  </si>
  <si>
    <t>EXPRESSO ALVES</t>
  </si>
  <si>
    <t>FALCOES TRANSPORTES LTDA - ME</t>
  </si>
  <si>
    <t>FALCOES</t>
  </si>
  <si>
    <t>FELIPE HENRIQUE DA SILVA BEZERRA 41125477814</t>
  </si>
  <si>
    <t>FELIPE HENRIQUE</t>
  </si>
  <si>
    <t>FENIX ESTRELAR TRANSPORTES LTDA</t>
  </si>
  <si>
    <t>FENIX ESTRELAR</t>
  </si>
  <si>
    <t>FH DA SILVA BEZERRA TRANSPORTE</t>
  </si>
  <si>
    <t>FH</t>
  </si>
  <si>
    <t>FLAVIO DE ARAUJO MARQUES - TRANSPORTES</t>
  </si>
  <si>
    <t>FLAVIO ARAUJO</t>
  </si>
  <si>
    <t>FMATOS TRANSPORTES EIRELI - ME</t>
  </si>
  <si>
    <t>FMATOS</t>
  </si>
  <si>
    <t>FREDERICO E SILVA TRANSPORTES LTDA - ME</t>
  </si>
  <si>
    <t xml:space="preserve">FREDERICO E SILVA </t>
  </si>
  <si>
    <t>FREEDOM TRANSPORTES E LOCACAO LTDA - ME</t>
  </si>
  <si>
    <t xml:space="preserve">FREEDOM </t>
  </si>
  <si>
    <t>GPKG TRANSPORTES DE CARGAS E PASSAGEIROS LTDA - ME</t>
  </si>
  <si>
    <t>GPKG</t>
  </si>
  <si>
    <t>GRINGO TRANSPORTES LTDA - ME</t>
  </si>
  <si>
    <t>GRINGO</t>
  </si>
  <si>
    <t>GS VICTORIA COMERCIO E SERVICOS LTDA - ME</t>
  </si>
  <si>
    <t xml:space="preserve">GS VICTORIA </t>
  </si>
  <si>
    <t>HJ DE SANTANA TRANSPORTES - ME</t>
  </si>
  <si>
    <t xml:space="preserve">HJ DE SANTANA </t>
  </si>
  <si>
    <t>IRA TRANSPORTES LTDA</t>
  </si>
  <si>
    <t>IRA TRANSPORTES</t>
  </si>
  <si>
    <t>J A - TRANSPORTES ESCOLAR E TURISMO LTDA</t>
  </si>
  <si>
    <t>J A TRANS</t>
  </si>
  <si>
    <t>J.A TRANSPORTE E TURISMO LTDA</t>
  </si>
  <si>
    <t>J.C.N. TRANSPORTES E LOCADORA DE VEÍCULOS LTDA - ME</t>
  </si>
  <si>
    <t>J.C.N. TRANS</t>
  </si>
  <si>
    <t>JAB DE ALMEIDA TRANSPORTES E LOCACAO - ME</t>
  </si>
  <si>
    <t xml:space="preserve">JAB </t>
  </si>
  <si>
    <t>JACINTA MARIA DA CONCEICAO 32691831353</t>
  </si>
  <si>
    <t xml:space="preserve">JACINTA </t>
  </si>
  <si>
    <t>JANSIL LOCADORA DE VEICULOS E TRANSPORTES LTDA - ME</t>
  </si>
  <si>
    <t>JANSIL</t>
  </si>
  <si>
    <t>JIREH TRANSPORTES E LOCACAO LTDA - ME</t>
  </si>
  <si>
    <t>JIREH</t>
  </si>
  <si>
    <t>JMA TRANSPORTES LTDA - ME</t>
  </si>
  <si>
    <t>JMA</t>
  </si>
  <si>
    <t>JOAO MARCOS LIMA CRUZ - TRANSPORTES - ME</t>
  </si>
  <si>
    <t>JOAO MARCOS</t>
  </si>
  <si>
    <t>JOSEFA MARIA BATISTA DE ARAUJO - ME</t>
  </si>
  <si>
    <t>JOSEFA</t>
  </si>
  <si>
    <t>LERENO TRANSPORTES LTDA - ME</t>
  </si>
  <si>
    <t>LERENO</t>
  </si>
  <si>
    <t>LIU TRANSPORTES LTDA - ME</t>
  </si>
  <si>
    <t>LIU</t>
  </si>
  <si>
    <t>LOCAL SUL TRANSPORTES E LOCACAO LTDA - EPP</t>
  </si>
  <si>
    <t xml:space="preserve">LOCAL SUL </t>
  </si>
  <si>
    <t>LOCATRANSELIAS LOCADORA DE TRANSPORTE ESCOLAR LTDA - ME</t>
  </si>
  <si>
    <t>LOCATRANSELIAS</t>
  </si>
  <si>
    <t>M. DE MIRANDA SILVA TRANSPORTES - ME</t>
  </si>
  <si>
    <t xml:space="preserve">M. DE MIRANDA </t>
  </si>
  <si>
    <t>M. TITARA DOS SANTOS TRANSPORTES</t>
  </si>
  <si>
    <t>M. TITARA</t>
  </si>
  <si>
    <t>MARCELO MARTINS VIEIRA - TRANSPORTES</t>
  </si>
  <si>
    <t xml:space="preserve">MARCELO MARTINS </t>
  </si>
  <si>
    <t>MARCELO S. TAMEIRAO - TRANSPORTES - ME</t>
  </si>
  <si>
    <t xml:space="preserve">MARCELO S. </t>
  </si>
  <si>
    <t>MARCIO PRETES - TRANSPORTE - ME</t>
  </si>
  <si>
    <t>MARCIO PRETES</t>
  </si>
  <si>
    <t>MOLINA TRANSPORTES LTDA - ME</t>
  </si>
  <si>
    <t xml:space="preserve">MOLINA </t>
  </si>
  <si>
    <t>NCS DE OLIVEIRA TRANSPORTES E LOCACAO</t>
  </si>
  <si>
    <t>NCS</t>
  </si>
  <si>
    <t>NEW FUTURE TRANSPORTES E TURISMO LTDA</t>
  </si>
  <si>
    <t>NEW FUTURE</t>
  </si>
  <si>
    <t>NS TRANSPORTES LTDA</t>
  </si>
  <si>
    <t xml:space="preserve">NS TRANS </t>
  </si>
  <si>
    <t>P W GOMES TRANSPORTES - ME</t>
  </si>
  <si>
    <t>P W GOMES</t>
  </si>
  <si>
    <t>P&amp;L TRANSPORTES ESCOLAR EIRELI - ME</t>
  </si>
  <si>
    <t>P&amp;L</t>
  </si>
  <si>
    <t>P. S. V - TRANSPORTES LTDA - ME</t>
  </si>
  <si>
    <t>P.S.V TRANS</t>
  </si>
  <si>
    <t>P. S. V</t>
  </si>
  <si>
    <t>PEREIRA - TRANSPORTES E LOCADORA DE VEICULOS LTDA - ME</t>
  </si>
  <si>
    <t xml:space="preserve">PEREIRA TRANS </t>
  </si>
  <si>
    <t>PIERRE TRANSPORTE ESCOLAR LTDA - ME</t>
  </si>
  <si>
    <t xml:space="preserve">PIERRE TRANS </t>
  </si>
  <si>
    <t>POLAKO E FEITOSA TRANSPORTES LTDA - ME</t>
  </si>
  <si>
    <t>POLAKO E FEITOSA</t>
  </si>
  <si>
    <t>R C LIMA TRANSPORTES - ME</t>
  </si>
  <si>
    <t xml:space="preserve">R C LIMA </t>
  </si>
  <si>
    <t>R S DA SILVA MELO TRANSPORTES LTDA - ME</t>
  </si>
  <si>
    <t xml:space="preserve">R S DA SILVA </t>
  </si>
  <si>
    <t>R. M - TRANSPORTES E TURISMO LTDA - ME</t>
  </si>
  <si>
    <t xml:space="preserve">R. M TRANS </t>
  </si>
  <si>
    <t>RE TRANSFACIL LTDA</t>
  </si>
  <si>
    <t>RE TRANSFACIL</t>
  </si>
  <si>
    <t>RENATO BRASIL TRANSPORTES LTDA - ME</t>
  </si>
  <si>
    <t>RENATO BRASIL</t>
  </si>
  <si>
    <t>RICKLU TUR TRANSPORTES LTDA</t>
  </si>
  <si>
    <t>RICKLU TUR</t>
  </si>
  <si>
    <t>RODRIGUES &amp; SOUZA TRANSPORTES LTDA</t>
  </si>
  <si>
    <t>RODRIGUES &amp; SOUZA</t>
  </si>
  <si>
    <t>ROGERIO FRANCISCO DA SILVA - TRANSPORTES</t>
  </si>
  <si>
    <t xml:space="preserve">RODRIGO FRANCISCO </t>
  </si>
  <si>
    <t>ROGERTRANS TRANSPORTES LTDA - ME</t>
  </si>
  <si>
    <t>ROGRTRANS</t>
  </si>
  <si>
    <t>S M TRANSPORTES LTDA</t>
  </si>
  <si>
    <t xml:space="preserve">S M TRANS </t>
  </si>
  <si>
    <t>SALES TOUR TRANSPORTES E LOCACAO LTDA - ME</t>
  </si>
  <si>
    <t xml:space="preserve">SALES </t>
  </si>
  <si>
    <t>SEMPRE JUNTOS TRANSPORTES LTDA</t>
  </si>
  <si>
    <t>SEMPRE JUNTOS</t>
  </si>
  <si>
    <t>SILVANO HENRIQUE DE LIMA TRANSPORTES</t>
  </si>
  <si>
    <t xml:space="preserve">SILVANO </t>
  </si>
  <si>
    <t>SILVIO PEREIRA DE OLIVEIRA TRANSPORTES</t>
  </si>
  <si>
    <t xml:space="preserve">SILVIO PEREIRA </t>
  </si>
  <si>
    <t>SR SERVICOS LTDA</t>
  </si>
  <si>
    <t>STATUS VIP TRANSPORTES EIRELE</t>
  </si>
  <si>
    <t>STATUS VIP TRANSPORTES</t>
  </si>
  <si>
    <t>SUN COSTA TRANSPORTES LTDA - ME</t>
  </si>
  <si>
    <t>SUN COSTA TRANSPORTES</t>
  </si>
  <si>
    <t>TIA LU TRANSPORTES LTDA - ME</t>
  </si>
  <si>
    <t>TIA LU</t>
  </si>
  <si>
    <t>TON TRANSPORTES ESCOLARES LTDA - ME</t>
  </si>
  <si>
    <t>TON TRANSPORTES ESCOLARES</t>
  </si>
  <si>
    <t>TRANSALGE TRANSPORTES LTDA - ME</t>
  </si>
  <si>
    <t xml:space="preserve">TRANSALG TRANSPORTES </t>
  </si>
  <si>
    <t>TRANSMEL E TURISMO LTDA - ME</t>
  </si>
  <si>
    <t>TRANSMEL</t>
  </si>
  <si>
    <t>TRANSPORTE ESCOLAR E LOCADORA DE VEICULOS ARAUJO LTDA</t>
  </si>
  <si>
    <t>ARAUJO</t>
  </si>
  <si>
    <t>TRANSPORTE ESCOLAR E TURISMO MENINO JESUS LTDA</t>
  </si>
  <si>
    <t>MENINO JESUS</t>
  </si>
  <si>
    <t>TRANSPORTE ESCOLAR NOSSA SENHORA DE FATIMA EIRELI - ME</t>
  </si>
  <si>
    <t>NOSSA SENHORA DE FATIMA EIRELI</t>
  </si>
  <si>
    <t>TRANSPORTE ESCOLAR TIO LEAL LTDA - ME</t>
  </si>
  <si>
    <t>TRANSPORTE ESCOLAR TIO LEAL</t>
  </si>
  <si>
    <t>UNITED KIDS TRANSPORTE EIRELLI</t>
  </si>
  <si>
    <t>UNITED KIDS</t>
  </si>
  <si>
    <t>V C SPIGARIOL TRANSPORTE ESCOLAR - ME</t>
  </si>
  <si>
    <t xml:space="preserve">V C SPIGARIOL </t>
  </si>
  <si>
    <t>V.S.M. TRANSPORTES ESCOLAR E TURISMO LTDA</t>
  </si>
  <si>
    <t>V.S.M.</t>
  </si>
  <si>
    <t>VALDERLANDIA ARAUJO DE OLIVEIRA - ME</t>
  </si>
  <si>
    <t xml:space="preserve">VALDERLANDIA </t>
  </si>
  <si>
    <t>VALEDUTRA TRANSPORTES LTDA - ME</t>
  </si>
  <si>
    <t xml:space="preserve">VALEDUTRA TRANSPORTES </t>
  </si>
  <si>
    <t>VANUZA DOS SANTOS PAULA 16568348805</t>
  </si>
  <si>
    <t xml:space="preserve">VANUZA DOS SANTOS </t>
  </si>
  <si>
    <t>VCK TRANSPORTE ESCOLAR LTDA</t>
  </si>
  <si>
    <t>VCK</t>
  </si>
  <si>
    <t>VELOSO TRANSPORTES E LOCADORA LTDA - ME</t>
  </si>
  <si>
    <t>VELOSO TRANSPORTES</t>
  </si>
  <si>
    <t>VERDE MAR LOCACAO, TRANSPORTES E TURISMO LTDA</t>
  </si>
  <si>
    <t>VERDE MAR LOCACAO</t>
  </si>
  <si>
    <t>VIA MARI TRANSPORTE ESCOLAR LTDA</t>
  </si>
  <si>
    <t>VIA MARI</t>
  </si>
  <si>
    <t>VVT TRANSPORTES EIRELI - ME</t>
  </si>
  <si>
    <t>VVT TRANSPORTES EIRELI</t>
  </si>
  <si>
    <t>WMW TOUR TRANSPORTES LTDA - ME</t>
  </si>
  <si>
    <t>WMW</t>
  </si>
  <si>
    <t>WRR OLIVEIRA TRANSPORTE ESCOLAR LTDA</t>
  </si>
  <si>
    <t xml:space="preserve">WRR OLIVEIRA TRANSPORTE </t>
  </si>
  <si>
    <t>COOPER FO COOPERATIVA DE TRANSPORTE ESCOLAR</t>
  </si>
  <si>
    <t>COOPER FO</t>
  </si>
  <si>
    <t>COOPERCITYSP - COOPERATIVA DE TRANSPORTES</t>
  </si>
  <si>
    <t>COOPERCITY</t>
  </si>
  <si>
    <t>COOPEROESTE COOPERATIVA DE TRANSPORTES</t>
  </si>
  <si>
    <t>COOPEROESTE</t>
  </si>
  <si>
    <t>COOPERTAIPAS COOPERATIVA DE TRANSPORTE</t>
  </si>
  <si>
    <t>COOPERTAIPAS</t>
  </si>
  <si>
    <t>COOTRELUZ COOP DE TRANS DE PAS E ESC LUZ</t>
  </si>
  <si>
    <t>COOTRELUZ</t>
  </si>
  <si>
    <t>ADILSON RIBEIRO ALEIXO</t>
  </si>
  <si>
    <t>ADILSON TOLEDO</t>
  </si>
  <si>
    <t>AGENOR GARCIA LEME</t>
  </si>
  <si>
    <t>ALBERTO DE VITO</t>
  </si>
  <si>
    <t>ALEXANDRO CIRINO VIEIRA</t>
  </si>
  <si>
    <t>ANA CRISTINA FABRI DE LIMA</t>
  </si>
  <si>
    <t>ANDREIA NOEMIA PEREIRA</t>
  </si>
  <si>
    <t>ANTONIO CARLOS GOMES</t>
  </si>
  <si>
    <t>CARLOS ALBERTO DE VITO</t>
  </si>
  <si>
    <t>CARLOS DE ALMEIDA FERNANDES</t>
  </si>
  <si>
    <t>CARLOS FERNANDES RODRIGUES</t>
  </si>
  <si>
    <t>CARLOS OMAR ALVES</t>
  </si>
  <si>
    <t>CLAUDIA COSTA BORCA</t>
  </si>
  <si>
    <t>CLAUDIO CESAR PEDRASSANI</t>
  </si>
  <si>
    <t>CLAUDIO FABIO RUDOLF GONCALVES</t>
  </si>
  <si>
    <t>CLAUDIO SANTIAGO</t>
  </si>
  <si>
    <t>CLEUBER DE SOUZA GOMES</t>
  </si>
  <si>
    <t>CLODOALDO PORTEL CABRERA</t>
  </si>
  <si>
    <t>CRISTIANE ROSIMEIRE DIAS</t>
  </si>
  <si>
    <t>DANIEL CLIMACO</t>
  </si>
  <si>
    <t>DANUZA LEE FRAGA</t>
  </si>
  <si>
    <t>DIONISIO SCARPONE</t>
  </si>
  <si>
    <t>DORIS MARIA DA SILVA</t>
  </si>
  <si>
    <t>EDILAINE APARECIDA DOS SANTOS PIMENTEL</t>
  </si>
  <si>
    <t>EDSON ANISIO DA SILVA</t>
  </si>
  <si>
    <t>EDUARDO TADEU BRAGA</t>
  </si>
  <si>
    <t>ERICK CORDEIRO DE VASCONCELOS</t>
  </si>
  <si>
    <t>FABIO ILIA COVANZI</t>
  </si>
  <si>
    <t>FRANCISCO JORGE HOLLANDA ROCHA</t>
  </si>
  <si>
    <t>GABRIEL ANTONIO ALMEIDA SOUZA</t>
  </si>
  <si>
    <t>GERALDO ROGERIO DA SILVA</t>
  </si>
  <si>
    <t>GILBERTO BRAULIO DUARTE</t>
  </si>
  <si>
    <t>ISABEL MENDES RODRIGUES</t>
  </si>
  <si>
    <t>IVO MAURICIO ANDRE</t>
  </si>
  <si>
    <t>JACO FELISARDO DE SOUZA FILHO</t>
  </si>
  <si>
    <t>JOSE ANTONIO DA SILVA</t>
  </si>
  <si>
    <t>JOSE CARLOS DE OLIVEIRA SIMOES</t>
  </si>
  <si>
    <t>JOSE FIRMINO BATISTA</t>
  </si>
  <si>
    <t>JOSE LUCAS ANSELMO</t>
  </si>
  <si>
    <t>JOSE MARTINS LIBERATO</t>
  </si>
  <si>
    <t>JOSE MILTON DE ANDRADE</t>
  </si>
  <si>
    <t>JOSE RICARDO FERREIRA DOS SANTOS</t>
  </si>
  <si>
    <t>JOSENILDA FREIRE DA CUNHA</t>
  </si>
  <si>
    <t>JUCINEIDE MOSSIN</t>
  </si>
  <si>
    <t>LENILDO MANOEL DO NASCIMENTO</t>
  </si>
  <si>
    <t>LUCIA MARIZ RAMOS CONTELI</t>
  </si>
  <si>
    <t>LUCIA TOMAZINI TAGLIABOA</t>
  </si>
  <si>
    <t>LUCIANA ALINE SILVEIRA PAIVA</t>
  </si>
  <si>
    <t>LUZIA BERNARDO BEARARI</t>
  </si>
  <si>
    <t>MARCEL LUIZ TOCANTINS DA SILVA</t>
  </si>
  <si>
    <t>MARCELO AGUADO LOURENCO</t>
  </si>
  <si>
    <t>MARCIA CRISTINA DA SILVA ABBADE DUCA</t>
  </si>
  <si>
    <t>MARIA AUXILIADORA ALVES MACHADO</t>
  </si>
  <si>
    <t>MARIA REGINA LEME MOLINA</t>
  </si>
  <si>
    <t>MARILEIDE MARIA DA SILVA MOURAO</t>
  </si>
  <si>
    <t>MARIO AUGUSTO DA SILVA</t>
  </si>
  <si>
    <t>MARIO MORENO</t>
  </si>
  <si>
    <t>MARLI PEREIRA DA SILVA</t>
  </si>
  <si>
    <t>MEIRE MEDEIRAS SANTOS</t>
  </si>
  <si>
    <t>NEIDE SATIN MIQUELINO</t>
  </si>
  <si>
    <t>NEUSA MARIA DA ESTRELA SANTOS ANDRE</t>
  </si>
  <si>
    <t>ODAIR ANTONIO MARTINS</t>
  </si>
  <si>
    <t>OSMAR BISPO DOS SANTOS</t>
  </si>
  <si>
    <t>REGINALDO DOS SANTOS FREITAS</t>
  </si>
  <si>
    <t>REGIS TADEU FOGACA BATISTA</t>
  </si>
  <si>
    <t>REGIVALDO DE SOUZA VASCONCELOS</t>
  </si>
  <si>
    <t>REINALDO DOS SANTOS PEREIRA</t>
  </si>
  <si>
    <t>ROBERTO SOUZA DE AZEVEDO</t>
  </si>
  <si>
    <t>ROMULO ALKMIN</t>
  </si>
  <si>
    <t>RONALDO LUIZ REQUENA</t>
  </si>
  <si>
    <t>RONALDO NAPOLITANO</t>
  </si>
  <si>
    <t>ROSANGELA BERNARDO DE LIMA BARBOSA</t>
  </si>
  <si>
    <t>SILVANA SOARES DA SILVA</t>
  </si>
  <si>
    <t>SILVIA DE OLIVEIRA DOS SANTOS SILVA</t>
  </si>
  <si>
    <t>SOLANGE ALVES</t>
  </si>
  <si>
    <t>VALDEMIR DO NASCIMENTO SILVA</t>
  </si>
  <si>
    <t>VALTER DOS SANTOS</t>
  </si>
  <si>
    <t>VIVIANE GOBBER DOS SANTOS</t>
  </si>
  <si>
    <t>VIVIANE SANTANA DA SILVA</t>
  </si>
  <si>
    <t>WALMIR PEREIRA DE FREITAS</t>
  </si>
  <si>
    <t>WALTER WILLIAM COBO</t>
  </si>
  <si>
    <t>25.292.508 CLAUDIA COSTA BORCA</t>
  </si>
  <si>
    <t>CLAUDIA BORCA</t>
  </si>
  <si>
    <t>60.676.117 MARILEIDE MARIA DA SILVA MOURAO</t>
  </si>
  <si>
    <t>MARILEIDE MARIA</t>
  </si>
  <si>
    <t>61.246.494 RONALDO LUIZ REQUENA</t>
  </si>
  <si>
    <t>A &amp; A TRANSPORTE ESCOLAR</t>
  </si>
  <si>
    <t>A &amp; A</t>
  </si>
  <si>
    <t>A&amp;J SIMOES TRANSPORTES ESCOLARES LTDA</t>
  </si>
  <si>
    <t>A&amp;J SIMOES</t>
  </si>
  <si>
    <t>ABELARDO N L JUNIOR TRANSPORTE ESCOLAR - EIRELI</t>
  </si>
  <si>
    <t>ABELARDO</t>
  </si>
  <si>
    <t>AGALES TRANSTECH LTDA</t>
  </si>
  <si>
    <t>AGALES TRANSTECH</t>
  </si>
  <si>
    <t>AIRTON GOMES DA SILVA 09366366880</t>
  </si>
  <si>
    <t>AIRTON</t>
  </si>
  <si>
    <t>AMEDEO TORTORA FILHO TRANSPORTES - ME</t>
  </si>
  <si>
    <t>AMEDEO</t>
  </si>
  <si>
    <t>ANDREZA APARECIDA OKAWARA - ME</t>
  </si>
  <si>
    <t>ANDREZA</t>
  </si>
  <si>
    <t>ANTOGRA TRANSPORTE E LOGISTICA EIRELI - ME</t>
  </si>
  <si>
    <t>ANTOGRA</t>
  </si>
  <si>
    <t>ARILSON NUNES DE LIRA - ME</t>
  </si>
  <si>
    <t>ARILSON</t>
  </si>
  <si>
    <t>CCP TRANS TRANSPORTE E LOGISTICA LTDA</t>
  </si>
  <si>
    <t>CCP TRANS</t>
  </si>
  <si>
    <t>CLAUDIA GOMES FREITAS TOLEDO EIRELI - ME</t>
  </si>
  <si>
    <t xml:space="preserve">CLAUDIA </t>
  </si>
  <si>
    <t>CM TRANSPORTES LTDA</t>
  </si>
  <si>
    <t>CM</t>
  </si>
  <si>
    <t>DORGIVAL TRANSPORTE ESCOLAR LTDA</t>
  </si>
  <si>
    <t>DORGIVAL</t>
  </si>
  <si>
    <t>E.B.B TRANSPORTES LTDA</t>
  </si>
  <si>
    <t>E.B.B</t>
  </si>
  <si>
    <t>ESCOLA DE EDUCACAO INFANTIL TURMA SAPECA S/C LTDA - ME</t>
  </si>
  <si>
    <t>TURMA SAPECA</t>
  </si>
  <si>
    <t>F.A.C.E TRANSPORTES ESCOLARES LTDA - ME</t>
  </si>
  <si>
    <t>FACE</t>
  </si>
  <si>
    <t>F3 TRANSPORTES LTDA</t>
  </si>
  <si>
    <t>CLODOALDO</t>
  </si>
  <si>
    <t>FABIO &amp; KARINA TRANSPORTE ESCOLAR LTDA - ME</t>
  </si>
  <si>
    <t>FABIO E KARINA</t>
  </si>
  <si>
    <t>GILBERTO BRAULIO DUARTE TRANSPORTES  ME</t>
  </si>
  <si>
    <t>GILBERTO BRAULIO</t>
  </si>
  <si>
    <t>IVONE RODRIGUES FREDERICO TRANSPORTES - ME</t>
  </si>
  <si>
    <t>IVONE</t>
  </si>
  <si>
    <t>JOSE ALVES DO CARMO TRANSPORTES - ME</t>
  </si>
  <si>
    <t>JOSE ALVES</t>
  </si>
  <si>
    <t>JOSE MILTON DE ANDRADE - ME</t>
  </si>
  <si>
    <t>JOSE MILTON</t>
  </si>
  <si>
    <t>KAUA TRANSPORTE ESCOLAR S/S LTDA - ME</t>
  </si>
  <si>
    <t>KAUA</t>
  </si>
  <si>
    <t>L &amp; M TUR LTDA - ME</t>
  </si>
  <si>
    <t>LM TUR</t>
  </si>
  <si>
    <t>L.C. PEREIRA DA SILVA TRANSPORTES - ME</t>
  </si>
  <si>
    <t>LC PEREIRA</t>
  </si>
  <si>
    <t>LUCIA TOMAZINI TRANSPORTE ESCOLAR LTDA</t>
  </si>
  <si>
    <t>LUCIA</t>
  </si>
  <si>
    <t>LUIGI TRANSPORTES ESCOLARES LTDA - ME</t>
  </si>
  <si>
    <t>LUIGI</t>
  </si>
  <si>
    <t>LUIZ ADALBERTO RIBEIRO DOS SANTOS - ME</t>
  </si>
  <si>
    <t>LUIZ ADALBERTO</t>
  </si>
  <si>
    <t>M.M.M TRANSPORTE ESCOLAR LTDA - ME</t>
  </si>
  <si>
    <t>MMM</t>
  </si>
  <si>
    <t>M.T.D. TRANSPORTE ESCOLAR LTDA - ME</t>
  </si>
  <si>
    <t>MTD</t>
  </si>
  <si>
    <t>MAITE GOMES TRANSPORTES LTDA</t>
  </si>
  <si>
    <t>MAITE GOMES</t>
  </si>
  <si>
    <t>MANDRE TRANSPORTES ESCOLARES LTDA</t>
  </si>
  <si>
    <t>MANDRE</t>
  </si>
  <si>
    <t>MARIA AUXILIADORA ALVES MACHADO TRANSPORTE</t>
  </si>
  <si>
    <t>MOREIRA ROCHA TRANSPORTE EIRELI - ME</t>
  </si>
  <si>
    <t>MOREIRA ROCHA</t>
  </si>
  <si>
    <t>N&amp;M. TRANSPORTES ESCOLARES LTDA</t>
  </si>
  <si>
    <t>N&amp;M.</t>
  </si>
  <si>
    <t>RDLF TRANSPORTES LTDA - ME</t>
  </si>
  <si>
    <t>RDLF</t>
  </si>
  <si>
    <t>RF VASCONCELOS TRANSPORTES LTDA</t>
  </si>
  <si>
    <t>RF</t>
  </si>
  <si>
    <t>RM TRANSTECH LTDA</t>
  </si>
  <si>
    <t>ROBERTO HERNANDES TRANSPORTES LTDA</t>
  </si>
  <si>
    <t>ROBERTO</t>
  </si>
  <si>
    <t>ROSANGELA BERNARDO DE LIMA BARBOSA 16641136817</t>
  </si>
  <si>
    <t>ROSANGELA</t>
  </si>
  <si>
    <t>SERGIO SILVIO TRANSPORTES - ME</t>
  </si>
  <si>
    <t>SERGIO</t>
  </si>
  <si>
    <t>SOBRUSS TRANSPORTE ESCOLAR LTDA - ME</t>
  </si>
  <si>
    <t>SOBRUSS</t>
  </si>
  <si>
    <t>TOPAZIO TRANSPORTE ESCOLAR LTDA</t>
  </si>
  <si>
    <t>TOPAZIO</t>
  </si>
  <si>
    <t>TRANSESCOLAR LOPES COELHO LTDA - ME</t>
  </si>
  <si>
    <t>TRANSESCOLAR</t>
  </si>
  <si>
    <t>TRANSPORTE ESCOLAR MARTINS LTDA - ME</t>
  </si>
  <si>
    <t>MARTINS</t>
  </si>
  <si>
    <t>TURMA DO SOL TRANSPORTE ESCOLAR LTDA</t>
  </si>
  <si>
    <t>TURMA DO SOL</t>
  </si>
  <si>
    <t>VITO TRANSPORTE ESCOLAR LTDA</t>
  </si>
  <si>
    <t>VITO</t>
  </si>
  <si>
    <t>WAGNER ROBERTO DA SILVA TRANSPORTES - ME</t>
  </si>
  <si>
    <t>WAGNER ROBERTO</t>
  </si>
  <si>
    <t>WELL TRANSPORTE ESCOLAR LTDA - ME</t>
  </si>
  <si>
    <t>WELL</t>
  </si>
  <si>
    <t>YAMANAKA TRANSPORTES LTDA - ME</t>
  </si>
  <si>
    <t>YAMANAKA</t>
  </si>
  <si>
    <t>COOPER DIAS - COOPERATIVA DE TRANSPORTES</t>
  </si>
  <si>
    <t>COOPER DIAS</t>
  </si>
  <si>
    <t>COOPSP COOPERATIVA DE TRANSPORTES EM GERAL</t>
  </si>
  <si>
    <t>COOPSP</t>
  </si>
  <si>
    <t>COOPTEG - COOP DE TRANS ESC E TRANS EM GERAL</t>
  </si>
  <si>
    <t>COOPTEG</t>
  </si>
  <si>
    <t>ADEIR RODRIGUES DE MORAES</t>
  </si>
  <si>
    <t>ADRIANO CLAYTON ANTONIO</t>
  </si>
  <si>
    <t>AJENIAS PEREIRA</t>
  </si>
  <si>
    <t>ALECIO ARNALDO DA SILVA</t>
  </si>
  <si>
    <t>ALEXANDRE MARSURA DOS SANTOS</t>
  </si>
  <si>
    <t>ALTAIR ELIAS CARNEIRO</t>
  </si>
  <si>
    <t>ANDERSON MARCOS ANTONIO</t>
  </si>
  <si>
    <t>ANGELICA SILVA YAMAGUTI</t>
  </si>
  <si>
    <t>ANTONIO HONORATO PINHEIRO</t>
  </si>
  <si>
    <t>ANTONIO ROBERTO GOMES</t>
  </si>
  <si>
    <t>BRUNO EDUARDO BARBOSA</t>
  </si>
  <si>
    <t>CAIO RODRIGO DE ARAUJO</t>
  </si>
  <si>
    <t>CARLOS ALBERTO DE ARAUJO</t>
  </si>
  <si>
    <t>CARLOS ALBERTO LOPES</t>
  </si>
  <si>
    <t>CARLOS EDUARDO SOARES DA SILVA</t>
  </si>
  <si>
    <t>CARLOS GONCALVES DOS SANTOS</t>
  </si>
  <si>
    <t>CARLOS VITORINO FIGUEIREDO</t>
  </si>
  <si>
    <t>CLAUDEMIR CORREIA E SILVA</t>
  </si>
  <si>
    <t>CRISTIANE FERREIRA SILVA</t>
  </si>
  <si>
    <t>DAVID CAMINI</t>
  </si>
  <si>
    <t>EDILENE SALES FEITOZA</t>
  </si>
  <si>
    <t>EDIVALDO FRANCISCO DO CARMO</t>
  </si>
  <si>
    <t>EDNA LUCIA DE OLIVEIRA MELO</t>
  </si>
  <si>
    <t>EDUARDO MARSURA DOS SANTOS</t>
  </si>
  <si>
    <t>EDUARDO ROMUALDO</t>
  </si>
  <si>
    <t>ELIANA PEREIRA SILVA DE FARIA</t>
  </si>
  <si>
    <t>ELISABETE NASCIMENTO</t>
  </si>
  <si>
    <t>ERIK BRASIL DE VASCONCELOS</t>
  </si>
  <si>
    <t>FABIO CAETANO SANTOS DA SILVA</t>
  </si>
  <si>
    <t>FRANCISCO CARLOS RIBEIRO</t>
  </si>
  <si>
    <t>GERALDO CONCEICAO DA SILVA</t>
  </si>
  <si>
    <t>GETRAN SANTOS</t>
  </si>
  <si>
    <t>GILMAR RIBEIRO LEAL</t>
  </si>
  <si>
    <t>GISELE BRITO DE MATOS MALAQUIAS</t>
  </si>
  <si>
    <t>JACQUES BARRETO NASCIMENTO JUNIOR</t>
  </si>
  <si>
    <t>JANICE ARAUJO VIEIRA</t>
  </si>
  <si>
    <t>JOANA D ARC SIQUEIRA GOMES</t>
  </si>
  <si>
    <t>JOAO ISIDORO NETO</t>
  </si>
  <si>
    <t>JOAO MOREIRA DE LUCENA</t>
  </si>
  <si>
    <t>JONAS CARDOSO</t>
  </si>
  <si>
    <t>JOSE ANDRADE CUNHA JUNIOR</t>
  </si>
  <si>
    <t>JOSE LEANDRO DE MELO</t>
  </si>
  <si>
    <t>JOSE VALBERTO LOPES PIRES</t>
  </si>
  <si>
    <t>LOURINALDO PONTES DE OLIVEIRA</t>
  </si>
  <si>
    <t>MARCELO BISPO DA SILVA</t>
  </si>
  <si>
    <t>MARCELO CLARA FERREIRA</t>
  </si>
  <si>
    <t>MARCELO DE CARVALHO BARBOSA</t>
  </si>
  <si>
    <t>MARCELO FRANCISCO DA CRUZ ROZENDO</t>
  </si>
  <si>
    <t>MARCOS ANTONIO SANTOS DA SILVA</t>
  </si>
  <si>
    <t>MARCOS DA SILVA CORDEIRO</t>
  </si>
  <si>
    <t>MARCOS DUARTE BRITO</t>
  </si>
  <si>
    <t>MARCOS PAULO SANTOS</t>
  </si>
  <si>
    <t>MARIA JOSE COSTA CRUZ</t>
  </si>
  <si>
    <t>NOEL DA SILVA LEME</t>
  </si>
  <si>
    <t>NORMA DOS SANTOS DA SILVA</t>
  </si>
  <si>
    <t>ORLANDO MENDES DO NASCIMENTO</t>
  </si>
  <si>
    <t>PAULO ROBERTO SANTOS</t>
  </si>
  <si>
    <t>PAULO SERGIO DO NASCIMENTO</t>
  </si>
  <si>
    <t>RAIMUNDO JOAO DA ROCHA</t>
  </si>
  <si>
    <t>RENATO CROZARA DA SILVA</t>
  </si>
  <si>
    <t>ROBERTO SANTIAGO</t>
  </si>
  <si>
    <t>ROBSON JORGE ALVES DA SILVA</t>
  </si>
  <si>
    <t>SEVIRINO ALBINO CARDOSO JUNIOR</t>
  </si>
  <si>
    <t>SIDNEIA APARECIDA DE ARRUDA POZZETI</t>
  </si>
  <si>
    <t>TAINARA CRISTINA CARVALHO CASTRO</t>
  </si>
  <si>
    <t>VANDERLI DE OLIVEIRA COELHO</t>
  </si>
  <si>
    <t>WANDERLEY MARTINIANO DA MATA</t>
  </si>
  <si>
    <t>WELLINGTON HENRIQUE RIBEIRO BRITO</t>
  </si>
  <si>
    <t>55.822.822 JANICE ARAUJO VIEIRA</t>
  </si>
  <si>
    <t>JANICE</t>
  </si>
  <si>
    <t>A.R. SOUZA TRANSPORTE LTDA - ME</t>
  </si>
  <si>
    <t>A.R. SOUZA</t>
  </si>
  <si>
    <t>ANCAR TRANSPORTE ESCOLAR LTDA - ME</t>
  </si>
  <si>
    <t>ANCAR</t>
  </si>
  <si>
    <t>AY TRANSPORTE ESCOLAR E LOCACOES LTDA</t>
  </si>
  <si>
    <t>AY TRANSPORTE</t>
  </si>
  <si>
    <t>CHS TRANSPORTES DE PASSAGEIROS E LOCAÇÃO DE VEICULOS EIRELLI - ME</t>
  </si>
  <si>
    <t>CHS</t>
  </si>
  <si>
    <t>CRISTIANE FERREIRA SILVA 14291441819</t>
  </si>
  <si>
    <t>CVS TRANSPORTES DE PASSAGEIRO E LOCACAO DE VEICULOS LTDA</t>
  </si>
  <si>
    <t>CVS</t>
  </si>
  <si>
    <t>DIAS TRANSPORTE ESCOLAR LTDA - ME</t>
  </si>
  <si>
    <t>E G LOPES TRANSPORTES LTDA - ME</t>
  </si>
  <si>
    <t>EG LOPES</t>
  </si>
  <si>
    <t>EDI VANS TRANSPORTES LTDA - ME</t>
  </si>
  <si>
    <t>EDI VANS</t>
  </si>
  <si>
    <t>EDNO PIERRE DOS SANTOS 01271621860</t>
  </si>
  <si>
    <t>EDNO</t>
  </si>
  <si>
    <t>ESCOLA DE EDUCACAO INFANTIL E ENSINO FUNDAMENTAL VISAO GLOBAL S/S LTDA - ME</t>
  </si>
  <si>
    <t>VISAO</t>
  </si>
  <si>
    <t>J. &amp; CARVALHO TRANSPORTE ESCOLAR E TURISMO LTDA - ME</t>
  </si>
  <si>
    <t>J E CARVALHO</t>
  </si>
  <si>
    <t>J. PORTO - TRANSPORTES ESCOLARES LTDA - ME</t>
  </si>
  <si>
    <t>J PORTO</t>
  </si>
  <si>
    <t>JANAINA APARECIDA RIBEIRO DA CRUZ ROZENDO - ME</t>
  </si>
  <si>
    <t>JANAINA</t>
  </si>
  <si>
    <t>JAQUELINE APARECIDA RODRIGUES DOS SANTOS 44202618890</t>
  </si>
  <si>
    <t>JAQUELINE</t>
  </si>
  <si>
    <t>JOSE OSTACIO BARBOSA DOS SANTOS TRANSPORTES - ME</t>
  </si>
  <si>
    <t>JOSE OSTACIO</t>
  </si>
  <si>
    <t>L.V.A. TRANSPORTE ESCOLAR LTDA - ME</t>
  </si>
  <si>
    <t>LVA</t>
  </si>
  <si>
    <t>LUCENA TRANSPORTES LTDA</t>
  </si>
  <si>
    <t>LUCENA</t>
  </si>
  <si>
    <t>LULU TRANS LTDA</t>
  </si>
  <si>
    <t>LULU</t>
  </si>
  <si>
    <t>M. G. SILVA TRANSPORTES EIRELI - ME</t>
  </si>
  <si>
    <t>MG SILVA</t>
  </si>
  <si>
    <t>MIRO &amp; NEIDE TRANSPORTES LTDA - ME</t>
  </si>
  <si>
    <t>MIRO</t>
  </si>
  <si>
    <t>MS TRANSPORTE ESCOLAR LTDA</t>
  </si>
  <si>
    <t>MS</t>
  </si>
  <si>
    <t>NEVR TRANSPORTES LTDA - ME</t>
  </si>
  <si>
    <t>NEVR</t>
  </si>
  <si>
    <t>NOEL LEME TRANSPORTE ESCOLAR LTDA</t>
  </si>
  <si>
    <t>NOEL</t>
  </si>
  <si>
    <t>O.L. TRANSPORTE ESCOLAR E DISTRIBUIDORA DE JORNAIS LTDA - ME</t>
  </si>
  <si>
    <t>O.L.</t>
  </si>
  <si>
    <t>PASCOAL DOS SANTOS SILVA - ME</t>
  </si>
  <si>
    <t>PASCOAL</t>
  </si>
  <si>
    <t>PEPTUR TRANSPORTES E LOCADORA LTDA - ME</t>
  </si>
  <si>
    <t>PEPTUR</t>
  </si>
  <si>
    <t>PEREIRA SILVA TRANSPORTES DE ESCOLARES LTDA - ME</t>
  </si>
  <si>
    <t>PEREIRA</t>
  </si>
  <si>
    <t>PESSET TRANSPORTES - EIRELI - ME</t>
  </si>
  <si>
    <t>PESSET</t>
  </si>
  <si>
    <t>PIERRE &amp; ARAUJO TRANSPORTES LTDA - ME</t>
  </si>
  <si>
    <t>PIERRE</t>
  </si>
  <si>
    <t>R.A.P. &amp; LEMOS TRANSPORTES LTDA - ME</t>
  </si>
  <si>
    <t>RAP</t>
  </si>
  <si>
    <t>RENALUZ TRANSPORTES LTDA - ME</t>
  </si>
  <si>
    <t>RENALUZ</t>
  </si>
  <si>
    <t>RMD TRANSPORTES DE PASSAGEIROS E LOCACAO DE VEICULOS EIRELI-ME</t>
  </si>
  <si>
    <t>RMD</t>
  </si>
  <si>
    <t>RONILDO JOSE DE MELO - ME</t>
  </si>
  <si>
    <t>RONILDO JOSE</t>
  </si>
  <si>
    <t>S.S.J. TRANSPORTES LTDA - ME</t>
  </si>
  <si>
    <t>SSJ</t>
  </si>
  <si>
    <t>SOUZA MENDES TRANSPORTE EIRELI - ME</t>
  </si>
  <si>
    <t>SOUZA MENDES</t>
  </si>
  <si>
    <t>TIA NEIA TRANSPORTES EIRELI - ME</t>
  </si>
  <si>
    <t>TIA NEIA</t>
  </si>
  <si>
    <t>TRANSLESTE TRANSPORTE ESCOLAR E TURISMO LTDA - ME</t>
  </si>
  <si>
    <t>TRANSLESTE</t>
  </si>
  <si>
    <t>TRANSPORTE PITHY LTDA - ME</t>
  </si>
  <si>
    <t>PITHY</t>
  </si>
  <si>
    <t>TRANSRESENDE TRANSPORTES LTDA</t>
  </si>
  <si>
    <t>TRANSRESENDE</t>
  </si>
  <si>
    <t>V M &amp; A TRANSPORTES LTDA</t>
  </si>
  <si>
    <t>VM E A</t>
  </si>
  <si>
    <t>VALCY TRANSPORTES LTDA</t>
  </si>
  <si>
    <t>VALCY</t>
  </si>
  <si>
    <t>VEVE TRANS LTDA - ME</t>
  </si>
  <si>
    <t>VEVE</t>
  </si>
  <si>
    <t>WM DIAS TRANSPORTE ESCOLAR LTDA - ME</t>
  </si>
  <si>
    <t>WM DIAS</t>
  </si>
  <si>
    <t>COOP DE TRANSP. AUTONOMOS DE SP - COOPERTESP</t>
  </si>
  <si>
    <t>COOPERTESP</t>
  </si>
  <si>
    <t>COOPER CENTRAL - COOPERATIVA DE TRANSPORTES</t>
  </si>
  <si>
    <t>COOPER CENTRAL</t>
  </si>
  <si>
    <t>COOPERATIVA DE TRANSPORTE PAULISTA - COOPER PAULISTA</t>
  </si>
  <si>
    <t>COOPER PAULISTA</t>
  </si>
  <si>
    <t>ADRIANO DAMASCENO FERNANDES</t>
  </si>
  <si>
    <t>ANDRE LUIS SANTOS PEREIRA</t>
  </si>
  <si>
    <t>ANTONIO CARLOS SARAIVA</t>
  </si>
  <si>
    <t>CARLOS LINZMEYER NETO</t>
  </si>
  <si>
    <t>DANIELA OLIVEIRA BRAGA</t>
  </si>
  <si>
    <t>EDES VALDECIR DOS SANTOS</t>
  </si>
  <si>
    <t>EVERSON CARLOS COSTA</t>
  </si>
  <si>
    <t>EZIO COELHO DE MORAES</t>
  </si>
  <si>
    <t>HUGO RENER VERAS SILVA</t>
  </si>
  <si>
    <t>JOSE APARECIDO RAMOS</t>
  </si>
  <si>
    <t>JOSE JESUS DE MELO</t>
  </si>
  <si>
    <t>KATIA CRISTINA RODRIGUES DE LIMA</t>
  </si>
  <si>
    <t>LUCIANE FERRARI</t>
  </si>
  <si>
    <t>LUIZ CARLOS DA FONSECA MARQUES</t>
  </si>
  <si>
    <t>LUIZ OCTAVIO VELLA</t>
  </si>
  <si>
    <t>MARCIA MARIA DA SILVA</t>
  </si>
  <si>
    <t>MARIANA FERREIRA BARRETO RIBEIRO</t>
  </si>
  <si>
    <t>NEIDE PAGLIUCO</t>
  </si>
  <si>
    <t>NELSON DOS SANTOS</t>
  </si>
  <si>
    <t>NELSON RIBEIRO DE SOUZA</t>
  </si>
  <si>
    <t>NILTON DA ROCHA MEIRELES</t>
  </si>
  <si>
    <t>PEDRO BISPO DE SOUZA</t>
  </si>
  <si>
    <t>RAMON CASTRO DO PRADO</t>
  </si>
  <si>
    <t>RENATA MORENA BORIN COSTA</t>
  </si>
  <si>
    <t>ROSEMEIRE BASSANI GONCALVES</t>
  </si>
  <si>
    <t>SILVANA CRISTINA TRANI</t>
  </si>
  <si>
    <t>SILVERIO OCTAVIANO JUNIOR</t>
  </si>
  <si>
    <t>SOLANGE SALOMAO RODRIGUES</t>
  </si>
  <si>
    <t>VALERIA PEREIRA DO VALE GARCEZ</t>
  </si>
  <si>
    <t>VANDERLEI BATISTA</t>
  </si>
  <si>
    <t>WAGNER DAMASCENO FERNANDES</t>
  </si>
  <si>
    <t>18.517.437 LUCIANE FERRARI</t>
  </si>
  <si>
    <t>ADELAIDE ALMEIDA NARCIZO LTDA</t>
  </si>
  <si>
    <t xml:space="preserve">ADELAIDE ALMEIDA </t>
  </si>
  <si>
    <t>AQUARELA TRANSPORTES ESCOLARES - ME</t>
  </si>
  <si>
    <t>AQUARELA</t>
  </si>
  <si>
    <t>CREMASCO TERCEIRIZACAO - EIRELI - ME</t>
  </si>
  <si>
    <t>CREMASCO</t>
  </si>
  <si>
    <t>CREMASCO TRANSPORTES E TERCEIRIZACAO LTDA - ME</t>
  </si>
  <si>
    <t>CREMASCO TRANSPORTES</t>
  </si>
  <si>
    <t>DANIELA OLIVEIRA BRAGA 29379637810</t>
  </si>
  <si>
    <t>DANIELA OLIVEIRA</t>
  </si>
  <si>
    <t>EL DE SANTANA TRANSPORTES - ME</t>
  </si>
  <si>
    <t>EL DE SANTANA</t>
  </si>
  <si>
    <t>ELOCAR TRANSPORTES LTDA - ME</t>
  </si>
  <si>
    <t>ELOCAR</t>
  </si>
  <si>
    <t>G &amp; C TRANSPORTES LTDA - ME</t>
  </si>
  <si>
    <t>G C</t>
  </si>
  <si>
    <t>HELUMA TRANSPORTES LTDA</t>
  </si>
  <si>
    <t>HELUMA</t>
  </si>
  <si>
    <t>IBN TRANSPORTES LTDA - ME</t>
  </si>
  <si>
    <t>IBN</t>
  </si>
  <si>
    <t>J.L.2Y TRANSPORTES LTDA - ME</t>
  </si>
  <si>
    <t>J.L.2Y</t>
  </si>
  <si>
    <t>JACICAR TRANSPORTES LTDA</t>
  </si>
  <si>
    <t>JACICR</t>
  </si>
  <si>
    <t>JOAO DE JESUS SILVA TRANSPORTES - ME</t>
  </si>
  <si>
    <t>JOAO DE JESUS</t>
  </si>
  <si>
    <t>JOSE &amp; CELIA AUTO PECAS LTDA - ME</t>
  </si>
  <si>
    <t xml:space="preserve">JOSE &amp; CELIA </t>
  </si>
  <si>
    <t>L A R TRANSPORTE ESCOLAR LTDA</t>
  </si>
  <si>
    <t>L A R TRANSPORTE</t>
  </si>
  <si>
    <t>LEAO TUR TRANSPORTES E LOCADORA LTDA - ME</t>
  </si>
  <si>
    <t>LEAO TUR</t>
  </si>
  <si>
    <t>LEIZIENE COUTRIM SILVA DE OLIVEIRA - ME</t>
  </si>
  <si>
    <t>LEIZIENE</t>
  </si>
  <si>
    <t>LFH EMPREENDIMENTOS LTDA</t>
  </si>
  <si>
    <t xml:space="preserve">LFH </t>
  </si>
  <si>
    <t>LUIZ LIMA FLOR TRANSPORTES - ME</t>
  </si>
  <si>
    <t>LUIZ LIMA FLOR</t>
  </si>
  <si>
    <t>MORAES E ROCHA TRANSPORTES LTDA - ME</t>
  </si>
  <si>
    <t>MORAES E ROCHA</t>
  </si>
  <si>
    <t>NEYFLA LOCADORA DE VEICULOS LTDA - ME</t>
  </si>
  <si>
    <t>NEYFLA</t>
  </si>
  <si>
    <t>QUALI SERVICE TRANSPORTES LTDA - ME</t>
  </si>
  <si>
    <t>QUALI</t>
  </si>
  <si>
    <t>TRANSFRETUR TRANSPORTE ESCOLAR E FRETAMENTO LTDA - ME</t>
  </si>
  <si>
    <t>TRANSFRETUR</t>
  </si>
  <si>
    <t>VIRTUDE LOCADORA DE VEICULOS LTDA - ME</t>
  </si>
  <si>
    <t>VIRTUDE</t>
  </si>
  <si>
    <t>W. DAMASCENO FERNANDES TRANSPORTE LTDA</t>
  </si>
  <si>
    <t>W. DAMASCENO</t>
  </si>
  <si>
    <t>ADEILDO ANTONIO DE OLIVEIRA</t>
  </si>
  <si>
    <t>ALBERTO MENDES AREIAS</t>
  </si>
  <si>
    <t>ALDEMICIO AUDALIO DOS SANTOS</t>
  </si>
  <si>
    <t>ALESSANDRA VIANA ROCHA DE SOUZA</t>
  </si>
  <si>
    <t>ANTONIO JOSE DE OLIVEIRA</t>
  </si>
  <si>
    <t>BENEDITO WILSON VIDAL</t>
  </si>
  <si>
    <t>DIEGO BAPTISTA DOS SANTOS SOUZA</t>
  </si>
  <si>
    <t>ECIEL XAVIER DE LIMA</t>
  </si>
  <si>
    <t>ED CARLOS DOS SANTOS</t>
  </si>
  <si>
    <t>EDERSON AUGUSTO VIEIRA</t>
  </si>
  <si>
    <t>EDVALDO DANTAS DE AZEVEDO</t>
  </si>
  <si>
    <t>ELIELSON FERNANDES</t>
  </si>
  <si>
    <t>ELVIO EDUARDO FUZATTI</t>
  </si>
  <si>
    <t>ENEIAS BATISTA FERREIRA</t>
  </si>
  <si>
    <t>FABIANO LEONARDO OSHIRO GONCALVES</t>
  </si>
  <si>
    <t>FABIO ANTONIO RIBEIRO DE SOUSA</t>
  </si>
  <si>
    <t>FABIO RODRIGUES DE SOUZA</t>
  </si>
  <si>
    <t>GEILZA TORRE CAVALCANTE</t>
  </si>
  <si>
    <t>GERALDO PEREIRA FILHO</t>
  </si>
  <si>
    <t>GILBERTO LEITE MEDEIROS</t>
  </si>
  <si>
    <t>HUGO MUNHOZ TEIXEIRA</t>
  </si>
  <si>
    <t>IVALDICE BARBOSA VIEIRA</t>
  </si>
  <si>
    <t>IVANEIDE SIQUEIRA DE ASSIS</t>
  </si>
  <si>
    <t>JONATAS CAVALCANTE FERNANDES</t>
  </si>
  <si>
    <t>JOSILDO DE ALMEIDA SANTANA</t>
  </si>
  <si>
    <t>JURACI RODRIGUES</t>
  </si>
  <si>
    <t>LAERTE SANTOS</t>
  </si>
  <si>
    <t>LUCIANA NASCIMENTO TAGLIARI</t>
  </si>
  <si>
    <t>LUIZ CARLOS MODESTO</t>
  </si>
  <si>
    <t>LUIZ MARIO BRASILIENSE</t>
  </si>
  <si>
    <t>MARCEL JOSUE DA SILVA</t>
  </si>
  <si>
    <t>MARCELO BERNARDO DOS SANTOS</t>
  </si>
  <si>
    <t>MARCIO ROBERTO DE SANTANA</t>
  </si>
  <si>
    <t>MARCOS DONIZETE DEMINCIANA</t>
  </si>
  <si>
    <t>MARIA APARECIDA LEAO DE ANDRADE SILVA</t>
  </si>
  <si>
    <t>MARIA CONCEICAO GOMES LUZ</t>
  </si>
  <si>
    <t>MARIO PAIXAO DO NASCIMENTO</t>
  </si>
  <si>
    <t>MAURILIO OLIVEIRA DE LACERDA</t>
  </si>
  <si>
    <t>MAURO AFFONSO DE SOUZA</t>
  </si>
  <si>
    <t>NILTON VIANA DE ALCANTARA</t>
  </si>
  <si>
    <t>ODAIR DONIZETTI DE SOUZA</t>
  </si>
  <si>
    <t>PATRICIA DE CASSIA ANDRADE DE SOUSA</t>
  </si>
  <si>
    <t>PAULO SERGIO DOS SANTOS</t>
  </si>
  <si>
    <t>PAULO SERGIO GOMES VIANA</t>
  </si>
  <si>
    <t>RAIMUNDO DE SOUZA PAULA</t>
  </si>
  <si>
    <t>ROBERTO GARCIA FERNANDES</t>
  </si>
  <si>
    <t>RODRIGO AGOSTINHO ANDRE</t>
  </si>
  <si>
    <t>ROGERIO VICENTINI JOAO</t>
  </si>
  <si>
    <t>ROMUALDO RODRIGUES ALVES</t>
  </si>
  <si>
    <t>RUBENS RAMOS</t>
  </si>
  <si>
    <t>SIDNEY PEDRO MERELES</t>
  </si>
  <si>
    <t>SILVIO ITIZO TAKEDA</t>
  </si>
  <si>
    <t>SOLANGE SOARES DE PAULA LIMA</t>
  </si>
  <si>
    <t>VALDIRENE APARECIDA PACHECO</t>
  </si>
  <si>
    <t>VERONICE AMBROZIO DA SILVA</t>
  </si>
  <si>
    <t>20.755.156 CAMILA STEPHANIE VIEIRA COVO</t>
  </si>
  <si>
    <t>CAMILA STEPHANIE</t>
  </si>
  <si>
    <t>A. M. TRANSPORTES LTDA</t>
  </si>
  <si>
    <t>ANDREIA DE AMORIM</t>
  </si>
  <si>
    <t>ALEX CALVO PANES TRANSPORTE - ME</t>
  </si>
  <si>
    <t>ALEX CALVO</t>
  </si>
  <si>
    <t>ALEXSANDRA MARIA DE ASSIS TRANSPORTES - ME</t>
  </si>
  <si>
    <t>ALEXSANDRA</t>
  </si>
  <si>
    <t>ALTRUISTA TOUR LTDA - ME</t>
  </si>
  <si>
    <t>ALTRUISTA TOUR</t>
  </si>
  <si>
    <t>BEATRIZ KENICKEL NUNES 44527407821</t>
  </si>
  <si>
    <t>BEATRIZ KENICKEL</t>
  </si>
  <si>
    <t>CARMEM LUCIA DE CARVALHO - TRANSPORTE ESCOLAR - ME</t>
  </si>
  <si>
    <t>CARMEM</t>
  </si>
  <si>
    <t>CARVALHO COUTO TRANSPORTES LTDA</t>
  </si>
  <si>
    <t>CARVALHO COUTO</t>
  </si>
  <si>
    <t>COSTA &amp; CAMPOS TRANSPORTES LTDA - ME</t>
  </si>
  <si>
    <t>COSTA CAMPOS</t>
  </si>
  <si>
    <t>FABIO E PATRICIA TRANSPORTE ESCOLAR LTDA</t>
  </si>
  <si>
    <t>FABIO E PATRICIA</t>
  </si>
  <si>
    <t>HEJUANTUR LOCADORA E TRANSPORTE LTDA - ME</t>
  </si>
  <si>
    <t>HEJUANTUR</t>
  </si>
  <si>
    <t>JAIR CAETANO DA SILVA 19473299877</t>
  </si>
  <si>
    <t>JAIR</t>
  </si>
  <si>
    <t>JUSSARA DE SOUZA MARQUES FERREIRA - ME</t>
  </si>
  <si>
    <t>JUSSARA</t>
  </si>
  <si>
    <t>LIGIA CRISTINA DE OLIVEIRA TRANSPORTE ESCOLAR - ME</t>
  </si>
  <si>
    <t>LIGIA</t>
  </si>
  <si>
    <t>LUIZ MODESTO TRANSPORTES LTDA</t>
  </si>
  <si>
    <t>LUIZ MODESTO</t>
  </si>
  <si>
    <t>PACMAN TRANSPORTE LTDA - ME</t>
  </si>
  <si>
    <t>PACMAN</t>
  </si>
  <si>
    <t>PINTER TRANS ESCOLAR LTDA</t>
  </si>
  <si>
    <t>PINTER TRANS</t>
  </si>
  <si>
    <t>PINTER TRANSPORTE E LOCADORA DE VEICULOS LTDA - ME</t>
  </si>
  <si>
    <t>PINTER</t>
  </si>
  <si>
    <t>RAFAEL APARECIDO ALCASSER 317840032808</t>
  </si>
  <si>
    <t>RAFAEL</t>
  </si>
  <si>
    <t>RAFAEL BORINI TRANSPORTES - ME</t>
  </si>
  <si>
    <t>RAFAEL BORINI</t>
  </si>
  <si>
    <t>RF COSTA TRANSPORTE - ME</t>
  </si>
  <si>
    <t>RF COSTA</t>
  </si>
  <si>
    <t>ROBERTO ALVES PEREIRA 01274637805</t>
  </si>
  <si>
    <t>ROBERTO ALVES</t>
  </si>
  <si>
    <t>RONALDO BISPO DOS SANTOS 29287003823</t>
  </si>
  <si>
    <t>RONALDO BISPO</t>
  </si>
  <si>
    <t>RUBENS RAMOS - ME</t>
  </si>
  <si>
    <t>SO ALEGRIA TRANSPORTES LTDA - ME</t>
  </si>
  <si>
    <t>SO ALEGRIA</t>
  </si>
  <si>
    <t>STYLO PRIME TRANSPORTES E LOCADORA DE VEICULOS LTDA - ME</t>
  </si>
  <si>
    <t>STYLO</t>
  </si>
  <si>
    <t>TORRE FORTE TRANSPORTE ESCOLAR E LOCADORA EIRELLI - ME</t>
  </si>
  <si>
    <t>TORRE FORTE</t>
  </si>
  <si>
    <t>TRANSLUCY TRANSPORTES LTDA - ME</t>
  </si>
  <si>
    <t>TRANSLUCY</t>
  </si>
  <si>
    <t>TRANSOUZA TRANSPORTES SAO PAULO LTDA - ME</t>
  </si>
  <si>
    <t>TRANSOUZA</t>
  </si>
  <si>
    <t>TRANSPORTE ESCOLAR TIA ELAINE E TIO WILLIANS LTDA</t>
  </si>
  <si>
    <t>TRANS WILLIANS</t>
  </si>
  <si>
    <t>TRANSPORTE ESCOLAR TIO LE E TIA LU LTDA</t>
  </si>
  <si>
    <t>TRANS LE LU</t>
  </si>
  <si>
    <t>TRANSPORTES TIOS RO LTDA - ME</t>
  </si>
  <si>
    <t>TIOS RO</t>
  </si>
  <si>
    <t>VALDIRENE APARECIDA PACHECO 26082778880</t>
  </si>
  <si>
    <t>VALDIRENE APARECIDA</t>
  </si>
  <si>
    <t>VIANA TRANSPORTES ESCOLARES</t>
  </si>
  <si>
    <t>VIANA</t>
  </si>
  <si>
    <t>VINI TRANSPORTES LTDA - ME</t>
  </si>
  <si>
    <t>VINI</t>
  </si>
  <si>
    <t>WANUMAR TRANSPORTES RODOVIARIOS LTDA - ME</t>
  </si>
  <si>
    <t>WANUMAR</t>
  </si>
  <si>
    <t>WELL TRANSPORTES LTDA - ME</t>
  </si>
  <si>
    <t>WELL TRANS</t>
  </si>
  <si>
    <t>WGS TRANSPORTES LTDA - ME</t>
  </si>
  <si>
    <t>WGS</t>
  </si>
  <si>
    <t>WILSIL TRANSPORTE ESCOLAR LTDA - ME</t>
  </si>
  <si>
    <t>WILSIL</t>
  </si>
  <si>
    <t>ADRIANA ROBERTA PINTI</t>
  </si>
  <si>
    <t>ALCIDES GOMES PEREIRA</t>
  </si>
  <si>
    <t>ALESSANDRA DE CARVALHO FERNANDES</t>
  </si>
  <si>
    <t>AMAURI FURLANIS</t>
  </si>
  <si>
    <t>ANDERSON GOMES TORRES</t>
  </si>
  <si>
    <t>ANDRINE THALITA DOMINGUES PEREIRA</t>
  </si>
  <si>
    <t>ANTONIO MARCELO ARMANDO SAVERINO</t>
  </si>
  <si>
    <t>ANTONIO MARCOS MACHADO</t>
  </si>
  <si>
    <t>ATILA PIMENTA DOURADO</t>
  </si>
  <si>
    <t>AUDA DOS SANTOS PASSOS GALIANO</t>
  </si>
  <si>
    <t>AUGUSTO SILVA FACONI JEREMIAS</t>
  </si>
  <si>
    <t>BENEDITO JOSE TARGINO DO NASCIMENTO</t>
  </si>
  <si>
    <t>CELINA RIBEIRO GHILARDI</t>
  </si>
  <si>
    <t>CELIO CECONI</t>
  </si>
  <si>
    <t>CICERO JOSE DA SILVA</t>
  </si>
  <si>
    <t>CLAUDIO MANSO DA CONCEICAO</t>
  </si>
  <si>
    <t>CLAUDIOMIRO GONCALVES</t>
  </si>
  <si>
    <t>CLECIA CABRAL DOS SANTOS</t>
  </si>
  <si>
    <t>DANILO BERTOLANI</t>
  </si>
  <si>
    <t>DANILO DOS SANTOS</t>
  </si>
  <si>
    <t>DENISE APARECIDA AFONSO</t>
  </si>
  <si>
    <t>DOMINGOS FERRARI</t>
  </si>
  <si>
    <t>EDSON DO CARMO SANTOS</t>
  </si>
  <si>
    <t>EDUARDO MOREIRA DOS SANTOS</t>
  </si>
  <si>
    <t>EDUARDO RAFAEL ALVES ANDRADE</t>
  </si>
  <si>
    <t>ELAINE PORCINIA MACHADO</t>
  </si>
  <si>
    <t>ELIVALDO PIRES SANTOS</t>
  </si>
  <si>
    <t>ERASTO IRIO VASCONCELOS FROES</t>
  </si>
  <si>
    <t>ERICK CESAR SANTOS</t>
  </si>
  <si>
    <t>EVANDRO CABRAL DANTAS</t>
  </si>
  <si>
    <t>FABIANO PELOUSO DE ANDRADE</t>
  </si>
  <si>
    <t>FABIO ROGERIO DE LIMA</t>
  </si>
  <si>
    <t>FABIO SHOGI ARAKAKI</t>
  </si>
  <si>
    <t>FERNANDO RODRIGUES LOURENCO</t>
  </si>
  <si>
    <t>FRANCINALDA BARBOSA FARIAS</t>
  </si>
  <si>
    <t>FRANCINEIDE BARBOSA DA SILVA</t>
  </si>
  <si>
    <t>FRANCISCA NILDALIA ROLIM DE SOUZA</t>
  </si>
  <si>
    <t>FRANCISCO CARLOS DE OLIVEIRA</t>
  </si>
  <si>
    <t>FRANCISCO MARCILIO OLIVEIRA BARROS</t>
  </si>
  <si>
    <t>GABRIEL EDUARDO DA SILVA</t>
  </si>
  <si>
    <t>GARDELMIR PARADA JUNIOR</t>
  </si>
  <si>
    <t>GENILDO ESPINDOLA PEREIRA</t>
  </si>
  <si>
    <t>HELLEN CRISTINA DE SOUZA LEITE</t>
  </si>
  <si>
    <t>HENRIQUE PARREIRA DE SOUZA</t>
  </si>
  <si>
    <t>INES FERREIRA DE MELO</t>
  </si>
  <si>
    <t>IRETE DONIZETE RANGEL GARCIA</t>
  </si>
  <si>
    <t>IRETE DONIZETE RANGEL GARCIA VENTRICE</t>
  </si>
  <si>
    <t>IVAN ROGERIO CUEVAS GUTIERREZ</t>
  </si>
  <si>
    <t>IVANIL ANTONIO DE MORAES</t>
  </si>
  <si>
    <t>IVONETE DA SILVA MATHEUS</t>
  </si>
  <si>
    <t>IZABEL MARIZA CASONATO</t>
  </si>
  <si>
    <t>JACKSON DA SILVA PEDRO</t>
  </si>
  <si>
    <t>JAIRO BATISTA CASAL</t>
  </si>
  <si>
    <t>JANE DA CONCEICAO ESCOBAR</t>
  </si>
  <si>
    <t>JOSE ANTONIO DA CRUZ SOBRINHO</t>
  </si>
  <si>
    <t>JOSE CARMO DE MENDONCA</t>
  </si>
  <si>
    <t>JOSE VALDEMAR DE LIMA ARAUJO</t>
  </si>
  <si>
    <t>JUREMA APARECIDA NASCIMENTO ROMUALDO PAIXAO</t>
  </si>
  <si>
    <t>KATIA CILENE PARREIRA DE SOUZA</t>
  </si>
  <si>
    <t>KATIA FERNANDEZ VAZQUEZ MAMEDE DINIZ</t>
  </si>
  <si>
    <t>LAERTE TADEU PACHECO</t>
  </si>
  <si>
    <t>LAUER FLAVIUS DOS ANJOS LOPES</t>
  </si>
  <si>
    <t>LEANDRO LEITE MENDES</t>
  </si>
  <si>
    <t>LUCIO APARECIDO CARNEIRO</t>
  </si>
  <si>
    <t>LUIZ ALBERTO BAPTISTA</t>
  </si>
  <si>
    <t>LUIZ HONORIO DOS SANTOS</t>
  </si>
  <si>
    <t>LUIZ NUNES PONTES</t>
  </si>
  <si>
    <t>MAGNO DA SILVA PEDRO</t>
  </si>
  <si>
    <t>MANOEL FERNANDES DE MELO</t>
  </si>
  <si>
    <t>MANOEL VICENTE DA CUNHA FILHO</t>
  </si>
  <si>
    <t>MARCELO TAVARES DE SOUZA</t>
  </si>
  <si>
    <t>MARCIA SCODELARIO DE LIMA</t>
  </si>
  <si>
    <t>MARCOS ANTONIO BRUNO</t>
  </si>
  <si>
    <t>MARGARETH TEIXEIRA CALANDRINO</t>
  </si>
  <si>
    <t>MARIA DE JESUS GOMES DE MOURA</t>
  </si>
  <si>
    <t>MARIA DE LOURDES BARBOSA DE LIMA BONILLA</t>
  </si>
  <si>
    <t>MARIA GRAZIELA OSANE CARVALHO</t>
  </si>
  <si>
    <t>MARIA GRAZIELA OSANE CARVALHO ANDREOSI</t>
  </si>
  <si>
    <t>MARIA ROSIMEIRE DE OLIVEIRA CRUZ</t>
  </si>
  <si>
    <t>MARILENE BARROS DE OLIVEIRA</t>
  </si>
  <si>
    <t>MARISA ALVES VIEIRA</t>
  </si>
  <si>
    <t>MAURICIO MAXIMO DA SILVA</t>
  </si>
  <si>
    <t>MAURO DE MORAIS SANTIAGO</t>
  </si>
  <si>
    <t>REGINALDA MARCELA FREIRES</t>
  </si>
  <si>
    <t>RICARDO HOSSO</t>
  </si>
  <si>
    <t>RODRIGO RODRIGUES</t>
  </si>
  <si>
    <t>ROGERIO BOCCIA</t>
  </si>
  <si>
    <t>ROGERIO FRANCO DE SA</t>
  </si>
  <si>
    <t>RONIELY BENTO VILACIO</t>
  </si>
  <si>
    <t>ROSANA TONETTI</t>
  </si>
  <si>
    <t>ROSANGELA RODRIGUES PARADA</t>
  </si>
  <si>
    <t>ROSELENE BERNARDO DE LIMA SOUZA</t>
  </si>
  <si>
    <t>ROSIETE DE MACEDO CARDOSO</t>
  </si>
  <si>
    <t>SIDNEY DELFINO DE OLIVEIRA</t>
  </si>
  <si>
    <t>SONIA APARECIDA DOS SANTOS OLIVEIRA</t>
  </si>
  <si>
    <t>VALTER VICENTE DA SILVA JUNIOR</t>
  </si>
  <si>
    <t>VANDERLEIA EDITE DA SILVA</t>
  </si>
  <si>
    <t>VANUZIA ALVES PINHEIRO DA SILVA</t>
  </si>
  <si>
    <t>VICTOR HUGO MACEDO SILVA</t>
  </si>
  <si>
    <t>WALDOMIRO ANDRE DO NASCIMENTO</t>
  </si>
  <si>
    <t>WANDERLEY PEREIRA WESTHOFER</t>
  </si>
  <si>
    <t>WELLINGTON DO NASCIMENTO JUNIOR</t>
  </si>
  <si>
    <t>WILLIAMS ROBERTO LIMA</t>
  </si>
  <si>
    <t>53.850.427 ELIVALDO PIRES SANTOS</t>
  </si>
  <si>
    <t>ELIVALDO PIRES</t>
  </si>
  <si>
    <t>A. BOCCIA JUNIOR TRANSPORTES - ME</t>
  </si>
  <si>
    <t>A BOCCIA</t>
  </si>
  <si>
    <t>AMC TRANSPORTES ESCOLARES LTDA - ME</t>
  </si>
  <si>
    <t>AMC</t>
  </si>
  <si>
    <t>APARECIDO PEREIRA DIAS TRANSPORTES ESCOLARES - ME</t>
  </si>
  <si>
    <t>APARECIDO PEREIRA</t>
  </si>
  <si>
    <t>ATILA &amp; PAULA TRANSPORTES LTDA</t>
  </si>
  <si>
    <t>ATILA E PAULA</t>
  </si>
  <si>
    <t>AUDA TRANSPORTES LTDA</t>
  </si>
  <si>
    <t>AUDA TRANSPORTES</t>
  </si>
  <si>
    <t>BELLA TRANSPORTES ESCOLARES LTDA</t>
  </si>
  <si>
    <t>BELLA TRANSPORTES ESCOLARE</t>
  </si>
  <si>
    <t>BERTOLANI TRANSPORTES LTDA</t>
  </si>
  <si>
    <t>BERTOLANI</t>
  </si>
  <si>
    <t>BIG TRANSPORTE ESCOLAR LTDA</t>
  </si>
  <si>
    <t>BIG</t>
  </si>
  <si>
    <t>CARLA &amp; RAFAEL TRANSPORTE ESCOLAR LTDA - ME</t>
  </si>
  <si>
    <t>CARLA E RAFAEL</t>
  </si>
  <si>
    <t>CHINTIA MOREIRA DE O. SOUZA 34517299899</t>
  </si>
  <si>
    <t>CHINTIA</t>
  </si>
  <si>
    <t>CL TRANSPORTE ESCOLAR LTDA - ME</t>
  </si>
  <si>
    <t>EDINA MARIA ARAUJO TRANSPORTES ESCOLARES - ME</t>
  </si>
  <si>
    <t>EDINA MARIA</t>
  </si>
  <si>
    <t>EDSON &amp; SIMONE TRANSPORTES LTDA - ME</t>
  </si>
  <si>
    <t>EDSON &amp; SIMONE</t>
  </si>
  <si>
    <t>EDSON &amp; VITOR TRANSPORTES LTDA</t>
  </si>
  <si>
    <t>EDSON E VITOR</t>
  </si>
  <si>
    <t>ERJ TRANSPORTES LTDA - ME</t>
  </si>
  <si>
    <t>ERJ</t>
  </si>
  <si>
    <t>ESCRIDELLI TRANSPORTE ESCOLAR LTDA ME</t>
  </si>
  <si>
    <t>ESCRIDELLI</t>
  </si>
  <si>
    <t>EXCELENCIA TRANSPORTE LTDA</t>
  </si>
  <si>
    <t>PL DE OLIVEIRA</t>
  </si>
  <si>
    <t>FATIMA C B SHIRAIVA 921.023.448-00</t>
  </si>
  <si>
    <t>FATIMA CB</t>
  </si>
  <si>
    <t>FAUMIR TRANSPORTE E LOCACAO LTDA - ME</t>
  </si>
  <si>
    <t>FAUMIR</t>
  </si>
  <si>
    <t>FOREVER TRANSPORTES LTDA</t>
  </si>
  <si>
    <t>FOREVER</t>
  </si>
  <si>
    <t>GPA-TRANSPORTE E LOCACAO EIRELI</t>
  </si>
  <si>
    <t>GPA</t>
  </si>
  <si>
    <t>HENNESSY TRANSPORTES ESCOLARES LTDA</t>
  </si>
  <si>
    <t>HENNESSY</t>
  </si>
  <si>
    <t>HP - TRANS TRANSPORTE ESCOLAR LTDA - ME</t>
  </si>
  <si>
    <t>HP</t>
  </si>
  <si>
    <t>JOSE CARLOS DA ROSA TRANSPORTE ESCOLAR - ME</t>
  </si>
  <si>
    <t>JOSE CARLOS</t>
  </si>
  <si>
    <t>JOSE VITORINO DA SILVA IRMAO TRANSPORTE - ME</t>
  </si>
  <si>
    <t>JOSE VITORIANO</t>
  </si>
  <si>
    <t>L&amp;C TRANSPORTE LTDA - ME</t>
  </si>
  <si>
    <t>LC</t>
  </si>
  <si>
    <t>LE SOARES TRANSPORTE ESCOLAR E FRETAMENTO LTDA</t>
  </si>
  <si>
    <t>LE SOARES</t>
  </si>
  <si>
    <t>MARCELA TRANSPORTES LTDA</t>
  </si>
  <si>
    <t>MARCELA</t>
  </si>
  <si>
    <t>MARIA APARECIDA NUNES DE OLIVEIRA - TRANSPORTES - ME</t>
  </si>
  <si>
    <t>MARIA APARECIDA</t>
  </si>
  <si>
    <t>MARIA ROSIMEIRE DE O. CRUZ 09140904881</t>
  </si>
  <si>
    <t>MARIA ROSIMEIRE</t>
  </si>
  <si>
    <t>MEGLU TRANSPORTE ESCOLAR LTDA</t>
  </si>
  <si>
    <t>MEGLU</t>
  </si>
  <si>
    <t>NA&amp;LU TRANSPORTES LTDA</t>
  </si>
  <si>
    <t>NAELU</t>
  </si>
  <si>
    <t>NUNES E BAPTISTA TRANSPORTE ESCOLAR LTDA - ME</t>
  </si>
  <si>
    <t>NUBES E BAPTISTA</t>
  </si>
  <si>
    <t>PL DE OLIVEIRA TRANSPORTES - ME</t>
  </si>
  <si>
    <t>PRESTATUR TRANSPORTE E LOCACAO LTDA</t>
  </si>
  <si>
    <t>PRESTATUR</t>
  </si>
  <si>
    <t>QUALITY TRANSPORTE LTDA</t>
  </si>
  <si>
    <t>QUALITY</t>
  </si>
  <si>
    <t>REGINA DE FATIMA FAJAN PEREIRA - ME</t>
  </si>
  <si>
    <t xml:space="preserve">REGINA DE FATIMA </t>
  </si>
  <si>
    <t>RIGK TRANSPORTES LTDA</t>
  </si>
  <si>
    <t>RIGK</t>
  </si>
  <si>
    <t>RIVANS TRANSPORTES LTDA - ME</t>
  </si>
  <si>
    <t>RIVANS</t>
  </si>
  <si>
    <t>ROSELENE BERNARDO</t>
  </si>
  <si>
    <t>SANVILE TRANSPORTES LTDA - ME</t>
  </si>
  <si>
    <t>SANVILE</t>
  </si>
  <si>
    <t>SILVIA MARIA DE FREITAS TRANSPORTES - ME</t>
  </si>
  <si>
    <t>SILVIA MARIA</t>
  </si>
  <si>
    <t>SONIA APARECIDA DOS SANTOS OLIVEIRA - ME</t>
  </si>
  <si>
    <t>SONIA APARECIDA</t>
  </si>
  <si>
    <t>TRANS 2A TRANSPORTES &amp; LOCACAO LTDA - ME</t>
  </si>
  <si>
    <t>TRANS 2A</t>
  </si>
  <si>
    <t>VERISSIMO TRANSPORTE ESCOLAR LTDA - ME</t>
  </si>
  <si>
    <t>VERISSIMO</t>
  </si>
  <si>
    <t>VM TRANSPORTE ESCOLAR LTDA</t>
  </si>
  <si>
    <t>VM</t>
  </si>
  <si>
    <t>WLFM TRANSPORTE ESCOLAR LTDA - ME</t>
  </si>
  <si>
    <t>WLFM</t>
  </si>
  <si>
    <t>YVONE RODRIGUES TRANSPORTE ESCOLAR LTDA</t>
  </si>
  <si>
    <t>YVONE</t>
  </si>
  <si>
    <t>COOP. DE TRANSP. ROD. E ESC. - COTERLESTE</t>
  </si>
  <si>
    <t>COTERLESTE</t>
  </si>
  <si>
    <t>ADELITH GOMES GUIMARAES</t>
  </si>
  <si>
    <t>ADERBAL DORIGAN ALVES DA SILVA</t>
  </si>
  <si>
    <t>AGUINALDO SILVEIRA SOUZA JUNIOR</t>
  </si>
  <si>
    <t>AILTON DAVID MEIRA</t>
  </si>
  <si>
    <t>ALDEMIR MANOEL SANTANA</t>
  </si>
  <si>
    <t>ALEXANDRE MARCOS GONCALVES DE OLIVEIRA</t>
  </si>
  <si>
    <t>ALEXANDRO MARTINS DOS REIS</t>
  </si>
  <si>
    <t>ANA PAULA DOS SANTOS SILVA</t>
  </si>
  <si>
    <t>ANDERSON DA SILVA FELIZARDO</t>
  </si>
  <si>
    <t>ANDERSON MARTINS BARBOSA</t>
  </si>
  <si>
    <t>ANTONIO CARLOS DIAS BEZERRA</t>
  </si>
  <si>
    <t>ANTONIO LUIZ DA SILVA</t>
  </si>
  <si>
    <t>ANTONIO SOARES DA SILVA</t>
  </si>
  <si>
    <t>APARECIDA DE ALMEIDA DA SILVA</t>
  </si>
  <si>
    <t>APARECIDA ROSIANE RIBEIRO DA SILVA</t>
  </si>
  <si>
    <t>ARLETE DE VILMA DA LUZ</t>
  </si>
  <si>
    <t>CARLOS ALBERTO DE MATOS</t>
  </si>
  <si>
    <t>CICERO DE LIMA LINS</t>
  </si>
  <si>
    <t>CLAUDIA VERONICA DOS SANTOS</t>
  </si>
  <si>
    <t>DAIANE SOARES LOPES</t>
  </si>
  <si>
    <t>DEBORA CRISTINA DOS SANTOS</t>
  </si>
  <si>
    <t>DIEGO ANDRADE DA SILVA</t>
  </si>
  <si>
    <t>EDNILSON LOPES DOS SANTOS</t>
  </si>
  <si>
    <t>EDSON RONIE GOMES DE SOUSA</t>
  </si>
  <si>
    <t>EDSON VIEIRA DE OLIVEIRA</t>
  </si>
  <si>
    <t>EDUARDO ARCANJO DO AMARAL</t>
  </si>
  <si>
    <t>EDUARDO MOURA DA SILVA</t>
  </si>
  <si>
    <t>EVANDRO CARLOS FARIA</t>
  </si>
  <si>
    <t>EVERTON SEVERO DA SILVA</t>
  </si>
  <si>
    <t>FABIO GOMES DA SILVA</t>
  </si>
  <si>
    <t>FABIO JOSE DA SILVA</t>
  </si>
  <si>
    <t>FABIO SILVA DAS NEVES</t>
  </si>
  <si>
    <t>FABRICIO RORIZ ZIROLDO</t>
  </si>
  <si>
    <t>FLAVIA DA SILVA</t>
  </si>
  <si>
    <t>FRANCILINO SOARES DE SANTANA</t>
  </si>
  <si>
    <t>GILBERTO DE ANDRADE</t>
  </si>
  <si>
    <t>GILDEON RODRIGUES SANTOS</t>
  </si>
  <si>
    <t>GIVANILDE NUNES DOS SANTOS</t>
  </si>
  <si>
    <t>IRENE CHAVIER DE AQUINO DE MELO</t>
  </si>
  <si>
    <t>ISRAEL HIRAOKA MARQUES</t>
  </si>
  <si>
    <t>IVANILDO ESCARRANARO DOS SANTOS</t>
  </si>
  <si>
    <t>JAILSON MASCARENHAS PEREIRA</t>
  </si>
  <si>
    <t>JAIR PORTELA RODRIGUES</t>
  </si>
  <si>
    <t>JAZILMA FAGUNDES CERQUEIRA SILVA</t>
  </si>
  <si>
    <t>JOANA DAS DORES MORAIS PINHEIRO</t>
  </si>
  <si>
    <t>JOSE ANDRADE CUNHA</t>
  </si>
  <si>
    <t>JOSE ANTONIO DA SILVA SANTOS</t>
  </si>
  <si>
    <t>JOSE EUDES MENEZES PINHEIRO</t>
  </si>
  <si>
    <t>JOSE ROBERTO DA SILVA</t>
  </si>
  <si>
    <t>JOSE SOARES NETO</t>
  </si>
  <si>
    <t>JOSENILTON FELIX DOS ANJOS</t>
  </si>
  <si>
    <t>LUCIANA DA SILVA SANTOS</t>
  </si>
  <si>
    <t>LUIZ CARLOS DE SANTANA</t>
  </si>
  <si>
    <t>MANOEL FRANCISCO DE ASSIS</t>
  </si>
  <si>
    <t>MARCELO APARECIDO CATAO</t>
  </si>
  <si>
    <t>MARCELO DOS SANTOS PRADO</t>
  </si>
  <si>
    <t>MARCELO INACIO DA LUZ</t>
  </si>
  <si>
    <t>MARCIA LOVITTO</t>
  </si>
  <si>
    <t>MARCIO CARLOS DE FRANCA FERREIRA DA SILVA</t>
  </si>
  <si>
    <t>MARCOS ALVES DA SILVA</t>
  </si>
  <si>
    <t>MARIA CLAUDIA GOMES PINHEIRO</t>
  </si>
  <si>
    <t>MARIA DELFINA DOS SANTOS</t>
  </si>
  <si>
    <t>MARIVALDO DE OLIVEIRA</t>
  </si>
  <si>
    <t>NATERCIO OLIVA DE QUEIROZ</t>
  </si>
  <si>
    <t>NORMA ANGELICA DE OLIVEIRA</t>
  </si>
  <si>
    <t>ORANI SOLANGE DE SOUZA CAIRES</t>
  </si>
  <si>
    <t>PAULO CAETANO DA SILVA JUNIOR</t>
  </si>
  <si>
    <t>PAULO GOMES DA SILVA</t>
  </si>
  <si>
    <t>PEDRO RAFAEL</t>
  </si>
  <si>
    <t>RAFAEL CADAMURO DE OLIVEIRA</t>
  </si>
  <si>
    <t>RAPHAEL GOMES PARANHOS</t>
  </si>
  <si>
    <t>RICARDO MATEUS AMBROZIO</t>
  </si>
  <si>
    <t>ROBERTO AUGUSTO DA SILVA</t>
  </si>
  <si>
    <t>ROBERTO CORREA</t>
  </si>
  <si>
    <t>ROBERTO DA SILVA SANTANA</t>
  </si>
  <si>
    <t>ROBERTO HIRAOKA MARQUES</t>
  </si>
  <si>
    <t>ROBERTO JARDIM SILVESTRE</t>
  </si>
  <si>
    <t>ROGERIO APARECIDO MIRIANI</t>
  </si>
  <si>
    <t>ROSANGELA DE FATIMA SANTOS</t>
  </si>
  <si>
    <t>ROSARIO ISAIAS CATANANTE MARTINS</t>
  </si>
  <si>
    <t>SAMES BAPTISTA DE SOUZA</t>
  </si>
  <si>
    <t>SAMUEL ALVES DOS SANTOS</t>
  </si>
  <si>
    <t>SEBASTIAO DE BRITO FERREIRA</t>
  </si>
  <si>
    <t>SIDNEI NOGUEIRA CORREA</t>
  </si>
  <si>
    <t>SIDNEY RODRIGO DE SOUSA</t>
  </si>
  <si>
    <t>SILVIO SALES</t>
  </si>
  <si>
    <t>SIRLENE BARRETO AZEVEDO</t>
  </si>
  <si>
    <t>SUELI APARECIDA DE SANT ANA VERONA</t>
  </si>
  <si>
    <t>TALIZIA RAMOS DOS SANTOS</t>
  </si>
  <si>
    <t>THYAGO NUNES DA ROSA</t>
  </si>
  <si>
    <t>VAGNER ALVES BONFIM</t>
  </si>
  <si>
    <t>VANESSA ALVES BONFIM</t>
  </si>
  <si>
    <t>WELLINGTON PERES DA SILVA</t>
  </si>
  <si>
    <t>WILSON PEREIRA DA CRUZ</t>
  </si>
  <si>
    <t>55.409.807 MARIVALDO DE OLIVEIRA</t>
  </si>
  <si>
    <t>MARIVALDO</t>
  </si>
  <si>
    <t>55.950.303 ROBERTO DA SILVA SANTANA</t>
  </si>
  <si>
    <t>ROBERTO DA SILVA</t>
  </si>
  <si>
    <t>57.679.324 JESSIKA MARTINS DE OLIVEIRA SANTOS</t>
  </si>
  <si>
    <t>JESSIKA</t>
  </si>
  <si>
    <t>59.941.884 ORANI SOLANGE DE SOUZA CAIRES</t>
  </si>
  <si>
    <t>ORANI SOLANGE</t>
  </si>
  <si>
    <t>61.303.428 EDNILSON LOPES DOS SANTOS</t>
  </si>
  <si>
    <t>ANA MARIA GILSOGAMO TRANSPORTE ESCOLAR - ME</t>
  </si>
  <si>
    <t>ANA GILSOGAMO</t>
  </si>
  <si>
    <t>ANA PAULA ALEXANDRE TRANSPORTE ESCOLAR - ME</t>
  </si>
  <si>
    <t>ANA ALEXANDRE</t>
  </si>
  <si>
    <t>ANTONIO ROBERTO JORGE - EPP</t>
  </si>
  <si>
    <t>ANTONIO ROBERTO</t>
  </si>
  <si>
    <t>CDG COMERCIO DE EPIS E TRANSPORTES EIRELI</t>
  </si>
  <si>
    <t>CDG COMERCIO</t>
  </si>
  <si>
    <t>CLAUDEMIR CAVALCANTE TRANSPORTES - ME</t>
  </si>
  <si>
    <t>CLAUDEMIR</t>
  </si>
  <si>
    <t>DELTA TRANSPORTE ESCOLAR LTDA - ME</t>
  </si>
  <si>
    <t>DELTA</t>
  </si>
  <si>
    <t>DEVELOPMENT TRANSPORTES LTDA - ME</t>
  </si>
  <si>
    <t>DEVELOPMENT</t>
  </si>
  <si>
    <t>ESTER MARIA TEIXEIRA SARILHO TRANSPORTES - ME</t>
  </si>
  <si>
    <t>ESTER</t>
  </si>
  <si>
    <t>FABIO MANSUETO DA SILVA - ME</t>
  </si>
  <si>
    <t>FABIO MANSUETO</t>
  </si>
  <si>
    <t>GILSON VIEIRA DA SILVA TRANSPORTES</t>
  </si>
  <si>
    <t>GILSON VIEIRA</t>
  </si>
  <si>
    <t>HIRAMAR TRANSPORTES LTDA - ME</t>
  </si>
  <si>
    <t>HIRAMAR</t>
  </si>
  <si>
    <t>J &amp; Q MARTINS TRANSPORTES LTDA - ME</t>
  </si>
  <si>
    <t>J Q</t>
  </si>
  <si>
    <t>J FREITAS TRANS ESCOLAR LTDA - ME</t>
  </si>
  <si>
    <t>J FREITAS TRANS</t>
  </si>
  <si>
    <t>JOANA DAS DORES MORAIS PINHEIRO 17308947</t>
  </si>
  <si>
    <t>JOANA</t>
  </si>
  <si>
    <t>MAGAVI TRANSPORTE LTDA - ME</t>
  </si>
  <si>
    <t>MAGAVI</t>
  </si>
  <si>
    <t>MAIKON FREITAS GONCALVES LTDA</t>
  </si>
  <si>
    <t>MAIKON</t>
  </si>
  <si>
    <t>PACOTRANS TRANSPORTES LTDA - ME</t>
  </si>
  <si>
    <t>PACOTRANS</t>
  </si>
  <si>
    <t>RAFAEL CADAMURO TRANSPORTES LTDA</t>
  </si>
  <si>
    <t>RAFAEL CADAMURO</t>
  </si>
  <si>
    <t>ROGERIO CUNHA VICTOR LTDA</t>
  </si>
  <si>
    <t>ROGERIO CUNHA</t>
  </si>
  <si>
    <t>ROMILDA ARAUJO DE QUEIROZ TRANSPORTES - ME</t>
  </si>
  <si>
    <t>ROMILDA</t>
  </si>
  <si>
    <t>RONALDO DE JESUS MATOS - ME</t>
  </si>
  <si>
    <t>RONALDO JESUS</t>
  </si>
  <si>
    <t>S &amp; TA TRANSPORTES LTDA - ME</t>
  </si>
  <si>
    <t>S TA</t>
  </si>
  <si>
    <t>SERGIO ADRIANO LOBO - TRANSPORTE ESCOLAR - ME</t>
  </si>
  <si>
    <t>SERGIO LOBO</t>
  </si>
  <si>
    <t>T. B. DE JESUS TRANSPORTES - ME</t>
  </si>
  <si>
    <t>T B</t>
  </si>
  <si>
    <t>TRANS HELLOS TRANSPORTES LTDA - ME</t>
  </si>
  <si>
    <t>TRANS HELLOS</t>
  </si>
  <si>
    <t>TRANSKIDS TRANSPORTE ESCOLAR LTDA</t>
  </si>
  <si>
    <t>TRANSKIDS</t>
  </si>
  <si>
    <t>TRANSMEL TRANSPORTES LTDA - ME</t>
  </si>
  <si>
    <t>TRANSREIS TRANSPORTE ESCOLAR LTDA</t>
  </si>
  <si>
    <t>TRANSREIS</t>
  </si>
  <si>
    <t>TRANSVIVO TRANSPORTE E TURISMO LTDA - ME</t>
  </si>
  <si>
    <t>TRANSVIVO</t>
  </si>
  <si>
    <t>VALTER MENDONCA 28854800848</t>
  </si>
  <si>
    <t>VALTER MENDONCA</t>
  </si>
  <si>
    <t>WENDEL FARIAS DOS SANTOS 35063488846</t>
  </si>
  <si>
    <t>WENDEL</t>
  </si>
  <si>
    <t>XAVIER &amp; MATOS TRANSPORTE LTDA - ME</t>
  </si>
  <si>
    <t>XAVIER MATOS</t>
  </si>
  <si>
    <t>AGNALDO DONIZETTI CARDOSO</t>
  </si>
  <si>
    <t>AGUSTINHO ANDRADE BARBOSA</t>
  </si>
  <si>
    <t>ALAM PETERSON FERREIRA DA SILVA</t>
  </si>
  <si>
    <t>ALBERTO DA SILVA DE JESUS</t>
  </si>
  <si>
    <t>ANTONIO DE ARRUDA CAMARA</t>
  </si>
  <si>
    <t>ANTONIO DOS SANTOS</t>
  </si>
  <si>
    <t>ANTONIO RODRIGUES MACIEL</t>
  </si>
  <si>
    <t>APARECIDO LUCAS</t>
  </si>
  <si>
    <t>ARLENE BURIOLA</t>
  </si>
  <si>
    <t>ARMANDO DA SILVA</t>
  </si>
  <si>
    <t>CAMILA IAROSSI OLIVEIRA</t>
  </si>
  <si>
    <t>CARLOS FERREIRA DA SILVA</t>
  </si>
  <si>
    <t>CELIA REGINA DA SILVA PEREIRA</t>
  </si>
  <si>
    <t>CELIMARY DA ROSA PAZ</t>
  </si>
  <si>
    <t>CLEIDE MARIA DE BRITO BARRETO</t>
  </si>
  <si>
    <t>CRISTIANE ROSA MARQUES DA SILVA</t>
  </si>
  <si>
    <t>DEISE APARECIDA FAZANI CICON</t>
  </si>
  <si>
    <t>EMERSON ROGERIO ELOI</t>
  </si>
  <si>
    <t>EVANDRO MARTINS GAMES</t>
  </si>
  <si>
    <t>EVANILDO GONCALVES DA CRUZ</t>
  </si>
  <si>
    <t>EZEQUIEL PICARELLI DE CAMPOS</t>
  </si>
  <si>
    <t>FELIPE ROBERTO CODESSEIRA</t>
  </si>
  <si>
    <t>FRANCISCO GUIMARAES PANDELOT</t>
  </si>
  <si>
    <t>FRANCISCO SOLONESIO PINHEIRO DE QUEIROS</t>
  </si>
  <si>
    <t>GENIVAL FERREIRA DA SILVA</t>
  </si>
  <si>
    <t>GERALDO LOPES FERREIRA</t>
  </si>
  <si>
    <t>GILBERTO MENDES</t>
  </si>
  <si>
    <t>GLAUCE GATTI</t>
  </si>
  <si>
    <t>HELIO ROMERA CERVILLA</t>
  </si>
  <si>
    <t>HERBERT DE SIQUEIRA CAMPOS</t>
  </si>
  <si>
    <t>INES BARRETO XAVIER DE BARROS</t>
  </si>
  <si>
    <t>IZABEL APARECIDA ANTUNES DE ALMEIDA</t>
  </si>
  <si>
    <t>JOAO BATISTA HONORATO</t>
  </si>
  <si>
    <t>JOAO BATISTA MAIA</t>
  </si>
  <si>
    <t>JOAO PAULO RESENDE DE LIMA</t>
  </si>
  <si>
    <t>JOSE CAMILO DE SOUZA JUNIOR</t>
  </si>
  <si>
    <t>JOSE CARLOS DE OLIVEIRA</t>
  </si>
  <si>
    <t>MARCIA MARTINS LARA</t>
  </si>
  <si>
    <t>MARIA ELENA DOS SANTOS BIANCHI</t>
  </si>
  <si>
    <t>MARIA GILVANIA DA SILVA</t>
  </si>
  <si>
    <t>MARIA GRACINETE SOARES BENTO</t>
  </si>
  <si>
    <t>MARIA IZILDA MENEZES</t>
  </si>
  <si>
    <t>MARIA NEUSA DE LIMA</t>
  </si>
  <si>
    <t>MARIA VERONICA DA SILVA</t>
  </si>
  <si>
    <t>MAURICIO DE MORAES QUIRINO FILHO</t>
  </si>
  <si>
    <t>NANCI LIRA YAMADA</t>
  </si>
  <si>
    <t>NELSON LOPES PINHEIRO FILHO</t>
  </si>
  <si>
    <t>NIVALDO LOURENCATO</t>
  </si>
  <si>
    <t>OSMAR CICON</t>
  </si>
  <si>
    <t>PATRICIA SERAFIM CORTESI</t>
  </si>
  <si>
    <t>PAULO LOPES DO NASCIMENTO</t>
  </si>
  <si>
    <t>PLINIO MONTEIRO DA SILVA</t>
  </si>
  <si>
    <t>RENATO FLORES QUEVEDO</t>
  </si>
  <si>
    <t>RITA DE CASSIA FARIA</t>
  </si>
  <si>
    <t>ROSEMEIRE APARECIDA SANTOS MONBELLI</t>
  </si>
  <si>
    <t>ROSEMEIRE CLARINDO DE MELO</t>
  </si>
  <si>
    <t>ROSEMEIRE DE ANDRADE COELHO OLIVEIRA</t>
  </si>
  <si>
    <t>SIDNEI BIANCHI</t>
  </si>
  <si>
    <t>SIMONE MENDES BASSI DE JESUS</t>
  </si>
  <si>
    <t>SONIA DE OLIVEIRA PARDINI</t>
  </si>
  <si>
    <t>SONIA MARIA DE ARAUJO</t>
  </si>
  <si>
    <t>UBIRAJARA CARDOSO DE ARAUJO JUNIOR</t>
  </si>
  <si>
    <t>VALDIR SILVERIO DE LIMA</t>
  </si>
  <si>
    <t>VANDERLEI DA SILVA DIAS</t>
  </si>
  <si>
    <t>55.952.151 NANCI LIRA YAMADA</t>
  </si>
  <si>
    <t>56.052.934 ANTONIO DE ARRUDA CAMARA</t>
  </si>
  <si>
    <t>ANTONIO DE ARRUDA</t>
  </si>
  <si>
    <t>A&amp;F TRANSPORTES LTDA</t>
  </si>
  <si>
    <t>A&amp;F TRANSPORTES</t>
  </si>
  <si>
    <t>BARESI TRANSPORTES E TURISMO LTDA - ME</t>
  </si>
  <si>
    <t>BARESI TRANSPORTES</t>
  </si>
  <si>
    <t>BIANCHI TRANSPORTE ESCOLAR LTDA</t>
  </si>
  <si>
    <t>BIANCHI TRANSPORTE</t>
  </si>
  <si>
    <t>CAMILA IAROSSI OLIVEIRA - ME</t>
  </si>
  <si>
    <t xml:space="preserve">CAMILA IAROSSI </t>
  </si>
  <si>
    <t>CARMEM LUCIA DE CARVALHO</t>
  </si>
  <si>
    <t>CAVALCANTE TRANSPORTES ESCOLARES E FRETAMENTO LTDA - ME</t>
  </si>
  <si>
    <t>CAVALCANTE TRANSPORTES ESCOLARES</t>
  </si>
  <si>
    <t>DANILO ROBERTO DONINI - ME</t>
  </si>
  <si>
    <t>DANILO ROBERTO DONINI</t>
  </si>
  <si>
    <t>ERNESTO DA COSTA FILHO TRANSPORTE - ME</t>
  </si>
  <si>
    <t>ERNESTO</t>
  </si>
  <si>
    <t>FATIMA ACEDO DE SOUZA 05593331880</t>
  </si>
  <si>
    <t>FATIMA ACEDO</t>
  </si>
  <si>
    <t>FLAVIA CIPRIANO PINHEIRO TRANSPORTE ESCOLAR</t>
  </si>
  <si>
    <t>FLAVIA CIPRIANO</t>
  </si>
  <si>
    <t>FOLHA DE PRATA SERVICOS DE TRANSPORTE LTDA - ME</t>
  </si>
  <si>
    <t>FOLHAS DE PRATA</t>
  </si>
  <si>
    <t>GALERINHA DO FUTURO LTDA</t>
  </si>
  <si>
    <t>GALERINHA DO FUTURO</t>
  </si>
  <si>
    <t>JCLIRA TRANSPORTE ESCOLAR LTDA</t>
  </si>
  <si>
    <t>JCLIRA</t>
  </si>
  <si>
    <t>JCT TRANSPORTES ESCOLARES LTDA</t>
  </si>
  <si>
    <t>JCT</t>
  </si>
  <si>
    <t>JESSENIO CIPRIANO DA SILVA JUNIOR TRANSPORTES - ME</t>
  </si>
  <si>
    <t>JESSENIO</t>
  </si>
  <si>
    <t>JULYZE TRANSPORTES LTDA - ME</t>
  </si>
  <si>
    <t>JULYZE</t>
  </si>
  <si>
    <t>JUNIOR CARDOSO TRANSPORTE LTDA</t>
  </si>
  <si>
    <t>JUNIOR CARDOSO</t>
  </si>
  <si>
    <t xml:space="preserve">LE SOARES </t>
  </si>
  <si>
    <t>LE SOUZA TRANSPORTES ESCOLARES LTDA - ME</t>
  </si>
  <si>
    <t xml:space="preserve">LE SOIUZA </t>
  </si>
  <si>
    <t>MALC TRANS ESTRELAR GOLD LTDA</t>
  </si>
  <si>
    <t>MALC TRANS</t>
  </si>
  <si>
    <t>MARCIA MARTINS LARA TRANSPORTES</t>
  </si>
  <si>
    <t>MARCIA MARTINS</t>
  </si>
  <si>
    <t>MARIA A. SILVEIRA TRANSPORTE ESCOLAR - ME</t>
  </si>
  <si>
    <t>MARIA A. SILVEIRA</t>
  </si>
  <si>
    <t>MARIANA ROCIGNO BARBOSA - ME</t>
  </si>
  <si>
    <t>MARIANA ROCIGNO</t>
  </si>
  <si>
    <t>MARIO BARBOSA TRANSPORTES - ME</t>
  </si>
  <si>
    <t xml:space="preserve">MARIO BARBOSA </t>
  </si>
  <si>
    <t>MSA TRANSPORTE ESCOLAR LTDA</t>
  </si>
  <si>
    <t xml:space="preserve">MSA TRANS </t>
  </si>
  <si>
    <t>MSL TRANSPORTE ESCOLAR LTDA</t>
  </si>
  <si>
    <t xml:space="preserve">MSL TRANS </t>
  </si>
  <si>
    <t>PACIFIC BUS TRANSPORTES LTDA</t>
  </si>
  <si>
    <t>PACIFIC BUS</t>
  </si>
  <si>
    <t>PIERRE S OLIVEIRA TRANSPORTES LTDA</t>
  </si>
  <si>
    <t xml:space="preserve">PIERRE S OLIVEIRA </t>
  </si>
  <si>
    <t>RENATA CARLA NASCIMENTO TRANSPORTES - ME</t>
  </si>
  <si>
    <t xml:space="preserve">RENATA CARLA </t>
  </si>
  <si>
    <t>ROSA DE SARON TRANSPORTES LTDA - ME</t>
  </si>
  <si>
    <t xml:space="preserve">ROSA DE SARON </t>
  </si>
  <si>
    <t>ROSELI ALVES DE ALMEIDA - ME</t>
  </si>
  <si>
    <t>ROSELI ALVES</t>
  </si>
  <si>
    <t>ROSEMARY DE ABREU COSTA TRANSPORTES - ME</t>
  </si>
  <si>
    <t>ROSEMARY</t>
  </si>
  <si>
    <t>SAMEKY TRANSPORTE ESCOLAR LTDA - ME</t>
  </si>
  <si>
    <t>SAMEKY</t>
  </si>
  <si>
    <t>TIA KATIA TRANSPORTES LTDA - ME</t>
  </si>
  <si>
    <t xml:space="preserve">TIA KATIA TRANSPORTES </t>
  </si>
  <si>
    <t>TRANS OLIVER LTDA</t>
  </si>
  <si>
    <t>TRANS OLIVER</t>
  </si>
  <si>
    <t>TRANS PENHA - EPP</t>
  </si>
  <si>
    <t>TRANS PENHA</t>
  </si>
  <si>
    <t>TRANSFAZANI - TRANSPORTE ESCOLAR FAMILIA FAZANI LTDA</t>
  </si>
  <si>
    <t xml:space="preserve">TRANSFAZANI - TRANSPORTE </t>
  </si>
  <si>
    <t>TRANSFIISA TRANSPORTES LTDA - ME</t>
  </si>
  <si>
    <t>TRANSFIISA TRANSPORTES</t>
  </si>
  <si>
    <t>TRANSLEVITA TRANSPORTE LTDA - EPP</t>
  </si>
  <si>
    <t xml:space="preserve">TRANSLEVITA TRANSPORTE </t>
  </si>
  <si>
    <t>TRANSPORTE RR MONBELLI LTDA</t>
  </si>
  <si>
    <t>RR MONBELLI</t>
  </si>
  <si>
    <t>TRANSPORTES COROA REAL LTDA</t>
  </si>
  <si>
    <t>COROA REAL</t>
  </si>
  <si>
    <t xml:space="preserve">TRANSVIVO TRANSPORTE </t>
  </si>
  <si>
    <t>U.P DE SOUSA SILVA TRANSPORTE E TURISMO - ME</t>
  </si>
  <si>
    <t>U.P DE SOUSA</t>
  </si>
  <si>
    <t>VIMAC TRANSPORTES LTDA - ME</t>
  </si>
  <si>
    <t>VIMAC</t>
  </si>
  <si>
    <t>WG SOUZA TRANSPORTES E SERVICOS LTDA - ME</t>
  </si>
  <si>
    <t>WG SOUZA</t>
  </si>
  <si>
    <t>ADELSON DE CARVALHO SILVA</t>
  </si>
  <si>
    <t>ADEMIR SOARES DE OLIVEIRA</t>
  </si>
  <si>
    <t>ADINOEL LUIS ALVES</t>
  </si>
  <si>
    <t>ADRIANA AIOLFI DA SILVA</t>
  </si>
  <si>
    <t>ADRIANA FAGUNDES DE CARVALHO</t>
  </si>
  <si>
    <t>ADRIANA TEIXEIRA CAMILIO</t>
  </si>
  <si>
    <t>AGUINALDO BATISTA ALVES</t>
  </si>
  <si>
    <t>AGUINALDO MARQUES DA SILVA</t>
  </si>
  <si>
    <t>ALDIVIO MIRANDA DE SOUZA</t>
  </si>
  <si>
    <t>ALESSANDRA DOS SANTOS UKSTIN CRUZ</t>
  </si>
  <si>
    <t>ALEXANDRE DA SILVA BASTOS</t>
  </si>
  <si>
    <t>ALEXANDRE FERNANDES DA SILVA</t>
  </si>
  <si>
    <t>ALEXANDRE ROBERTO CENTELO</t>
  </si>
  <si>
    <t>ALICE SETSUKO MIYAZAKI</t>
  </si>
  <si>
    <t>ALUIZIO NUNES DOS SANTOS</t>
  </si>
  <si>
    <t>ANA CARLA CARDOSO COSMO DA SILVA</t>
  </si>
  <si>
    <t>ANA ELISA FREITAS DA SILVA</t>
  </si>
  <si>
    <t>ANA JOSMARA PEREIRA DE TOLEDO SECCO</t>
  </si>
  <si>
    <t>ANA LUCIA DO NASCIMENTO ROCHA</t>
  </si>
  <si>
    <t>ANA MARIA DA CONCEICAO</t>
  </si>
  <si>
    <t>ANA MARIA MARCONDES DOS SANTOS</t>
  </si>
  <si>
    <t>ANA PAULA MATUTINO DOS SANTOS</t>
  </si>
  <si>
    <t>ANDERSON GERALDO BARBOSA</t>
  </si>
  <si>
    <t>ANDERSON LUIZ DOS SANTOS VERSUTTI</t>
  </si>
  <si>
    <t>ANDRE MACHADO DA SILVA</t>
  </si>
  <si>
    <t>ANDREA FAGUNDES</t>
  </si>
  <si>
    <t>ANDREIA CONCEICAO SERRA MACIEL</t>
  </si>
  <si>
    <t>ANTONIO BELIZARIO LEITE</t>
  </si>
  <si>
    <t>ANTONIO CARLOS ARAUJO DA SILVA</t>
  </si>
  <si>
    <t>ANTONIO PEREIRA DE ANDRADE</t>
  </si>
  <si>
    <t>ANTONIO PEREIRA DOS SANTOS</t>
  </si>
  <si>
    <t>ARNALDO ANSELMO DA SILVA</t>
  </si>
  <si>
    <t>ARTHUR JOSE TOLEDO SECCO</t>
  </si>
  <si>
    <t>AVAILTON MEDEIROS DOS SANTOS</t>
  </si>
  <si>
    <t>BRUNO SOARES DA SILVA</t>
  </si>
  <si>
    <t>CAMILA CARDOSO MAVIGNIER</t>
  </si>
  <si>
    <t>CARLA CRISTINA DE ABREU OLIVEIRA</t>
  </si>
  <si>
    <t>CARLOS ALBERTO FERREIRA DE TOLEDO</t>
  </si>
  <si>
    <t>CARLOS ALEXANDRE CAVALCANTI</t>
  </si>
  <si>
    <t>CASSIO DOS SANTOS</t>
  </si>
  <si>
    <t>CASTRO APARECIDO MARCONDES DOS SANTOS</t>
  </si>
  <si>
    <t>CECILIA FRUGOLI</t>
  </si>
  <si>
    <t>CECILIA GALLO</t>
  </si>
  <si>
    <t>CLAUDIA AMORIM PESSOA</t>
  </si>
  <si>
    <t>CLAUDIO CELSO CANHOTO</t>
  </si>
  <si>
    <t>CLAUDIO NILSON DA SILVA</t>
  </si>
  <si>
    <t>CLEANDERSON DA SILVA OLIVEIRA</t>
  </si>
  <si>
    <t>COSMO PEQUENO DO NASCIMENTO</t>
  </si>
  <si>
    <t>DAQUIMAR PORTELA CAVALHEIRO DA SILVA</t>
  </si>
  <si>
    <t>DIONE BRITO DA ROCHA</t>
  </si>
  <si>
    <t>DORACI DOS SANTOS PESSOA FROES</t>
  </si>
  <si>
    <t>DORGIVAL DA SILVA NASCIMENTO</t>
  </si>
  <si>
    <t>DOUGLAS RODRIGUES PESTANA</t>
  </si>
  <si>
    <t>EDIMILSON MONTEIRO</t>
  </si>
  <si>
    <t>EDNA MARIA MACHADO</t>
  </si>
  <si>
    <t>EDUARDO DE SOUZA</t>
  </si>
  <si>
    <t>EDUARDO FIM</t>
  </si>
  <si>
    <t>EDVALDO DA SILVA ASSIS</t>
  </si>
  <si>
    <t>ELIANE MARQUES EMILIANO DE JESUS</t>
  </si>
  <si>
    <t>ELISANDRA GISONDI</t>
  </si>
  <si>
    <t>ELVIS DOMINGUES MERISSI</t>
  </si>
  <si>
    <t>ERRIVALDO GRANJA DE SOUZA</t>
  </si>
  <si>
    <t>EWERTON FONTES DO PRADO SOUZA</t>
  </si>
  <si>
    <t>FABIANE FILLVOCK NOGUEIRA</t>
  </si>
  <si>
    <t>FERNANDA ALINE DE SALES</t>
  </si>
  <si>
    <t>FERNANDA SILVA</t>
  </si>
  <si>
    <t>FERNANDO APARECIDO HONORIO</t>
  </si>
  <si>
    <t>FERNANDO CORDEIRO LUIZ</t>
  </si>
  <si>
    <t>FERNANDO DOS SANTOS LIMA</t>
  </si>
  <si>
    <t>FRANCISCO ABDIAS DE CARVALHO</t>
  </si>
  <si>
    <t>FRANCISCO SILVA FILHO</t>
  </si>
  <si>
    <t>GABRIEL DA MATA</t>
  </si>
  <si>
    <t>GERSON FERREIRA DA SILVA</t>
  </si>
  <si>
    <t>GILBERTO ANTONIO ROSA</t>
  </si>
  <si>
    <t>GILSON DA SILVA</t>
  </si>
  <si>
    <t>GILSON TELES DE SOUZA</t>
  </si>
  <si>
    <t>GILVAN DE OLIVEIRA COURAS</t>
  </si>
  <si>
    <t>GIOVANI APARECIDO DA SILVA</t>
  </si>
  <si>
    <t>GRACILIANO LIMA</t>
  </si>
  <si>
    <t>GUILHERME COELHO MACEDO</t>
  </si>
  <si>
    <t>GUTEMBERG RUFINO DE LIMA</t>
  </si>
  <si>
    <t>GUTEN HERLY RUFINO DE LIMA</t>
  </si>
  <si>
    <t>HELIO SOARES</t>
  </si>
  <si>
    <t>IONE APARECIDA DE SOUZA E SOUZA</t>
  </si>
  <si>
    <t>IRINEU PEREIRA DE LACERDA</t>
  </si>
  <si>
    <t>ISABEL SILVA PINHEIRO DIAS</t>
  </si>
  <si>
    <t>IZAIAS MEIRA NOVAES</t>
  </si>
  <si>
    <t>JAIRO COUTINHO DE FRANCA</t>
  </si>
  <si>
    <t>JENIFFER ANSELMO RODRIGUES</t>
  </si>
  <si>
    <t>JOAO ALVES DE AZEVEDO</t>
  </si>
  <si>
    <t>JOAQUIM RODRIGUES CALDEIRA</t>
  </si>
  <si>
    <t>JOILSON NASCIMENTO CERQUEIRA</t>
  </si>
  <si>
    <t>JOSE CARLOS DA SILVA</t>
  </si>
  <si>
    <t>JOSE CARLOS RODRIGUES DE SOUZA</t>
  </si>
  <si>
    <t>JOSE CICERO PEREIRA DA SILVA</t>
  </si>
  <si>
    <t>JOSE DOMINGOS DE JESUS</t>
  </si>
  <si>
    <t>JOSE GILBERTO VIEIRA PEDROZA</t>
  </si>
  <si>
    <t>JOSE JUVENAL DE OLIVEIRA SOBRINHO</t>
  </si>
  <si>
    <t>JOSE PAULO DOS SANTOS</t>
  </si>
  <si>
    <t>JOSE PINHEIRO DA SILVA</t>
  </si>
  <si>
    <t>JOSE ROBERTO DE LIMA</t>
  </si>
  <si>
    <t>JOSE ROBERTO RODRIGUES</t>
  </si>
  <si>
    <t>JOSE WILSON LOPES</t>
  </si>
  <si>
    <t>JOSEFA ALVES DE SALES GALANTE</t>
  </si>
  <si>
    <t>JULIANA GOMES DE SOUZA</t>
  </si>
  <si>
    <t>JULIANA RIBEIRO</t>
  </si>
  <si>
    <t>JUVENAL SOARES DO NASCIMENTO</t>
  </si>
  <si>
    <t>KARINA DE LIMA MAGALHAES</t>
  </si>
  <si>
    <t>KARINE APARECIDA GOIS</t>
  </si>
  <si>
    <t>KATIA DA SILVA</t>
  </si>
  <si>
    <t>KELI CRISTINA VAZ DA AFRICA SILVA</t>
  </si>
  <si>
    <t>LAUDEMIR PIRES</t>
  </si>
  <si>
    <t>LEANDRO ALMEIDA DIAS</t>
  </si>
  <si>
    <t>LUCAS DIOGENES CAVALHEIRO DA SILVA</t>
  </si>
  <si>
    <t>LUIS AUGUSTO DOS SANTOS</t>
  </si>
  <si>
    <t>LUIS PAULO DA SILVA FAVA</t>
  </si>
  <si>
    <t>LUIZ GUSTAVO ALMEIDA DE OLIVEIRA</t>
  </si>
  <si>
    <t>MARCEL GONCALVES DA SILVA</t>
  </si>
  <si>
    <t>MARCELO DA SILVA</t>
  </si>
  <si>
    <t>MARCELO EVANGELISTA VIEIRA</t>
  </si>
  <si>
    <t>MARCIO PAULO MATHIAS</t>
  </si>
  <si>
    <t>MARCO ANTONIO MISSIAS</t>
  </si>
  <si>
    <t>MARCO AURELIO SANGLARD GESSI</t>
  </si>
  <si>
    <t>MARCOS ANTONIO DO NASCIMENTO</t>
  </si>
  <si>
    <t>MARCOS ANTONIO RAMOS</t>
  </si>
  <si>
    <t>MARCOS GONCALVES DIAS</t>
  </si>
  <si>
    <t>MARCOS JOSE DOS SANTOS</t>
  </si>
  <si>
    <t>MARCOS TADEU LINO DE ANDRADE</t>
  </si>
  <si>
    <t>MARIA ALICE DA SILVA ROCHA</t>
  </si>
  <si>
    <t>MARIA DAS DORES FERREIRA SHIZUNO</t>
  </si>
  <si>
    <t>MARIA DAS GRACAS OLIVEIRA NASCIMENTO</t>
  </si>
  <si>
    <t>MARIA DAS MERCES DE JESUS DA COSTA</t>
  </si>
  <si>
    <t>MARIA DO CARMO LIMA SOUZA</t>
  </si>
  <si>
    <t>MARIA HELENA DE SOUZA BORGES</t>
  </si>
  <si>
    <t>MARIA IGNEZ BALDIN FISCHER</t>
  </si>
  <si>
    <t>MARIA INEZ DE PAULA</t>
  </si>
  <si>
    <t>MARIA INEZ RIBEIRO DE SOUZA SA</t>
  </si>
  <si>
    <t>MARILUCE GALVAO DA SILVA</t>
  </si>
  <si>
    <t>MARINA GOMES MIAKAU</t>
  </si>
  <si>
    <t>MARIO LUIZ LEANDRO DO NASCIMENTO</t>
  </si>
  <si>
    <t>MARISA NUNES DE SOUZA</t>
  </si>
  <si>
    <t>MARIZIA ANTONIO DA SILVA</t>
  </si>
  <si>
    <t>MARLI BRITO DA ROCHA</t>
  </si>
  <si>
    <t>MAURICIO DE FARIA</t>
  </si>
  <si>
    <t>MAURICIO HOUCK DE FREITAS</t>
  </si>
  <si>
    <t>MEIRE ELIZA DE FREITAS MAXIMO</t>
  </si>
  <si>
    <t>MEIRE HELEN SALICIO</t>
  </si>
  <si>
    <t>MIRIAN KELLI PRADO BATISTA</t>
  </si>
  <si>
    <t>MONICA KAZUE HASHIMOTO</t>
  </si>
  <si>
    <t>MONICA MORAIS PEREIRA RODRIGUES</t>
  </si>
  <si>
    <t>NADIA CRISTINA DE PAULA SILVA</t>
  </si>
  <si>
    <t>NAIR TRINDADE BULHOES DA COSTA</t>
  </si>
  <si>
    <t>NEIVA DA SILVA SOARES</t>
  </si>
  <si>
    <t>NELCINEIA OLIVEIRA DE JESUS</t>
  </si>
  <si>
    <t>NILAINE FERREIRA VIANNA</t>
  </si>
  <si>
    <t>NILSA DE PAULA</t>
  </si>
  <si>
    <t>NORBERTO VAZ</t>
  </si>
  <si>
    <t>ORLANDO BEARARI</t>
  </si>
  <si>
    <t>ORLANDO SOUTO</t>
  </si>
  <si>
    <t>PATRICIA FIM</t>
  </si>
  <si>
    <t>PAULO JOAO DA SILVA</t>
  </si>
  <si>
    <t>PAULO SERGIO GOMES MINEIRO</t>
  </si>
  <si>
    <t>PRISCILA MELO VAZ</t>
  </si>
  <si>
    <t>RAIMUNDO ALVES DE ARAUJO</t>
  </si>
  <si>
    <t>RALPH ALKMIN</t>
  </si>
  <si>
    <t>RENATA GONCALVES DE FREITAS SILVA</t>
  </si>
  <si>
    <t>RENATO TADEU DE CHICO</t>
  </si>
  <si>
    <t>RICARDO DO NASCIMENTO</t>
  </si>
  <si>
    <t>RICARDO DOS SANTOS NOGUEIRA</t>
  </si>
  <si>
    <t>ROBERTO CARLOS RODRIGUES</t>
  </si>
  <si>
    <t>ROBERTO MANOEL RAMOS</t>
  </si>
  <si>
    <t>ROBINSON SOARES RIBEIRO</t>
  </si>
  <si>
    <t>ROBSON CARLOS RODRIGUES IGUERA</t>
  </si>
  <si>
    <t>ROBSON ZANDONA</t>
  </si>
  <si>
    <t>ROSA APARECIDA DOS SANTOS MARTINHO</t>
  </si>
  <si>
    <t>RUBENS CALISTA DA SILVA</t>
  </si>
  <si>
    <t>RUTH MOURA MAIKLICI</t>
  </si>
  <si>
    <t>SANDREANE RODRIGUES DE SOUZA</t>
  </si>
  <si>
    <t>SANDRO PEREIRA DA SILVA</t>
  </si>
  <si>
    <t>SERGIO PAULO PEREIRA DE JESUS</t>
  </si>
  <si>
    <t>SERGIO RICARDO CREMONEZI</t>
  </si>
  <si>
    <t>SHEILA ROBERTA DE MACEDO DAMACENO</t>
  </si>
  <si>
    <t>SIDINEI DA GLORIA DIAS CARDOSO</t>
  </si>
  <si>
    <t>SIDNEI RAMOS SOARES</t>
  </si>
  <si>
    <t>SIDNEY FAHR</t>
  </si>
  <si>
    <t>SILVANA DA SILVA COELHO</t>
  </si>
  <si>
    <t>SILVANE RODRIGUES BARBOZA ALVES</t>
  </si>
  <si>
    <t>SIMONE SICKO DE OLIVEIRA PAULINO</t>
  </si>
  <si>
    <t>SONIA APARECIDA SERAFIM</t>
  </si>
  <si>
    <t>SUSI GONCALVES GALVANI</t>
  </si>
  <si>
    <t>TALITA JESUS DE SOUZA</t>
  </si>
  <si>
    <t>TARCISIO BRITO DA ROCHA</t>
  </si>
  <si>
    <t>TATIANA CRUZ ABREU</t>
  </si>
  <si>
    <t>THAIS DE OLIVEIRA</t>
  </si>
  <si>
    <t>UBIRAJARA CARDOSO DE ARAUJO</t>
  </si>
  <si>
    <t>VALDECI JOSE SALICIO</t>
  </si>
  <si>
    <t>VALDEMIR GERALDO COSTA</t>
  </si>
  <si>
    <t>VALERIA APARECIDA DOS SANTOS</t>
  </si>
  <si>
    <t>VALMIR JOSE DOS SANTOS</t>
  </si>
  <si>
    <t>VALQUIRIA DE OLIVEIRA</t>
  </si>
  <si>
    <t>VANDA SABINO LISERRA</t>
  </si>
  <si>
    <t>VANDERLEIA MARQUES DE GOIS HORVAT</t>
  </si>
  <si>
    <t>VANESSA DA SILVA FEITOSA VIANA</t>
  </si>
  <si>
    <t>VANESSA REGINA DE VASCONCELOS</t>
  </si>
  <si>
    <t>VANESSA ROSA VERSUTTI</t>
  </si>
  <si>
    <t>VERA LUCIA DE OLIVEIRA BARBOSA</t>
  </si>
  <si>
    <t>VICENTE FRANCO NETO</t>
  </si>
  <si>
    <t>VITOR BATISTA LOPES</t>
  </si>
  <si>
    <t>WALDIR VIVIAN CAGNE</t>
  </si>
  <si>
    <t>WASHINGTON DO NASCIMENTO</t>
  </si>
  <si>
    <t>WILLIAM DIAS LIMA</t>
  </si>
  <si>
    <t>WILLIAM SALLA RAMOS</t>
  </si>
  <si>
    <t>WILLIAN PAULINO DE MELLO</t>
  </si>
  <si>
    <t>WILSON JOSE DA SILVA JUNIOR</t>
  </si>
  <si>
    <t>WILSON ROBERTO DOS SANTOS</t>
  </si>
  <si>
    <t>61.217.826 GRACILIANO LIMA</t>
  </si>
  <si>
    <t>A M DA SILVA TRANSPORTES - ME</t>
  </si>
  <si>
    <t>AM DA SILVA</t>
  </si>
  <si>
    <t>A.FAGUNDES TRANSPORTES</t>
  </si>
  <si>
    <t>A.FAGUNDES</t>
  </si>
  <si>
    <t>A.N.S. TRANSPORTE ESCOLAR LTDA</t>
  </si>
  <si>
    <t>A.N.S.</t>
  </si>
  <si>
    <t>ADAUTO PERPETUO MENDES TRANSPORTES - EPP</t>
  </si>
  <si>
    <t>ADAUTO</t>
  </si>
  <si>
    <t>ADEL &amp; VAL TRANSPORTE LTDA</t>
  </si>
  <si>
    <t>ADEL &amp; VAL</t>
  </si>
  <si>
    <t>ADNELSON MENDES DA SILVA EIRELI - ME</t>
  </si>
  <si>
    <t>ADNELSON</t>
  </si>
  <si>
    <t>ALICE SETSUKO MIYAZAKI TRANSPORTES - ME</t>
  </si>
  <si>
    <t>ALICE SETSUKO</t>
  </si>
  <si>
    <t>ANDERSON DE ALENCAR CARVALHO EIRELI - ME</t>
  </si>
  <si>
    <t>ANDERSON</t>
  </si>
  <si>
    <t>ANTONIO ARAUJO DE OLIVEIRA TRANSPORTES - ME</t>
  </si>
  <si>
    <t>ANTONIO ARAUJO</t>
  </si>
  <si>
    <t>ANTONIO AUGUSTO CITRARO - ME</t>
  </si>
  <si>
    <t>ANTONIO AUGUSTO</t>
  </si>
  <si>
    <t>ARTHUR JOSE TOLEDO SECCO 35821822823</t>
  </si>
  <si>
    <t>ARTHUR</t>
  </si>
  <si>
    <t>C. C. BOMFIM - ME</t>
  </si>
  <si>
    <t>C. C. BOMFIM</t>
  </si>
  <si>
    <t>CLEANDERSON DA SILVA OLIVEIRA TRANSPORTE ESCOLAR</t>
  </si>
  <si>
    <t>CLEANDERSON DA SILVA</t>
  </si>
  <si>
    <t>CMHP TRANSPORTES LTDA - ME</t>
  </si>
  <si>
    <t>CMHP</t>
  </si>
  <si>
    <t>CS FERREIRA TRANSPORTES - ME</t>
  </si>
  <si>
    <t>CS FERREIRA</t>
  </si>
  <si>
    <t>DIRERE TRANSPORTE ESCOLAR LTDA - ME</t>
  </si>
  <si>
    <t>DIRERE</t>
  </si>
  <si>
    <t>E DE CASTRO TRANSPORTES - ME</t>
  </si>
  <si>
    <t>E DE CASTRO</t>
  </si>
  <si>
    <t>E. P. CARDOSO TRANSPORTE ESCOLAR - ME</t>
  </si>
  <si>
    <t>EP CARDOSO</t>
  </si>
  <si>
    <t>EDMAIS TRANSPORTE LTDA</t>
  </si>
  <si>
    <t>EDMAIS</t>
  </si>
  <si>
    <t>ELAINE MARIA DE SOUZA GUT 04381358813</t>
  </si>
  <si>
    <t>ELAINE</t>
  </si>
  <si>
    <t>ELISABETE GOMES DA SILVA - ME</t>
  </si>
  <si>
    <t>ELISABETE</t>
  </si>
  <si>
    <t>ELITHE TRANSPORTES LTDA</t>
  </si>
  <si>
    <t>ELITHE</t>
  </si>
  <si>
    <t>EXPRESSO A D J LTDA</t>
  </si>
  <si>
    <t>EXPRESSO</t>
  </si>
  <si>
    <t>EXPRESSO ELITE TRANSPORTE E TURISMO LTDA</t>
  </si>
  <si>
    <t>EXPRESSO ELITE</t>
  </si>
  <si>
    <t>FAVA TRANSPORTE ESCOLAR LTDA - ME</t>
  </si>
  <si>
    <t>FAVA</t>
  </si>
  <si>
    <t>FERNANDA A. S. BELLIME TRANSPORTES LTDA</t>
  </si>
  <si>
    <t>FERNANDA</t>
  </si>
  <si>
    <t>FERNANDA SILVA 25541481805</t>
  </si>
  <si>
    <t>FRANCRIS TRANSPORTE E LOGISTICA LTDA ME</t>
  </si>
  <si>
    <t>FRANCIS</t>
  </si>
  <si>
    <t>GILBERTO CANGUCU OLIVEIRA EIRELI - ME</t>
  </si>
  <si>
    <t>GILBERTO CANGUCU</t>
  </si>
  <si>
    <t>GUIMAR TRANSPORTES LTDA - ME</t>
  </si>
  <si>
    <t>GUIMAR</t>
  </si>
  <si>
    <t>GUINA TRANSPORTES ESCOLARES LTDA</t>
  </si>
  <si>
    <t>GUINA</t>
  </si>
  <si>
    <t>HASHIMOTO TRANSPORTES LTDA</t>
  </si>
  <si>
    <t>HASHIMOTO</t>
  </si>
  <si>
    <t>HELIO SOARES TRANSPORTE ESCOLAR - ME</t>
  </si>
  <si>
    <t>HERNANDES TRANSPORTES LTDA - ME</t>
  </si>
  <si>
    <t>HERNANDES</t>
  </si>
  <si>
    <t>ISABEL SILVA PINHEIRO DIAS - ME</t>
  </si>
  <si>
    <t>ISABEL SILVA</t>
  </si>
  <si>
    <t>J &amp; P TRANSPORTES LTDA - ME</t>
  </si>
  <si>
    <t>JEP</t>
  </si>
  <si>
    <t>J.A. SERAFIM TRANSPORTES - ME</t>
  </si>
  <si>
    <t>JA SERAFIM</t>
  </si>
  <si>
    <t>J.E.A. SIMOES TRANSPORTES - EPP</t>
  </si>
  <si>
    <t>JEA</t>
  </si>
  <si>
    <t>JBN TRANSPORTES LTDA</t>
  </si>
  <si>
    <t>JBN</t>
  </si>
  <si>
    <t>JDF TRANSPORTES LTDA - ME</t>
  </si>
  <si>
    <t>JDF</t>
  </si>
  <si>
    <t>JENIFFER ANSELMO RODRIGUES TRANSPORTE ESCOLAR - ME</t>
  </si>
  <si>
    <t>JENIFER</t>
  </si>
  <si>
    <t>JOSE EDUARDO FERREIRA TAVARES TRANSPORTES - ME</t>
  </si>
  <si>
    <t>JOSE EDUARDO</t>
  </si>
  <si>
    <t>K.R SUCESSO TRANSORTES LTDA - ME</t>
  </si>
  <si>
    <t>KR SUCESSO</t>
  </si>
  <si>
    <t>L.P.A.M TRANSPORTES LTDA</t>
  </si>
  <si>
    <t>L.P.A.M</t>
  </si>
  <si>
    <t>LUGUS TRANSPORTE ESCOLAR LTDA - ME</t>
  </si>
  <si>
    <t>LUGUS</t>
  </si>
  <si>
    <t>LURIANJO TRANSPORTES LTDA</t>
  </si>
  <si>
    <t>LURIANJO</t>
  </si>
  <si>
    <t>M&amp;R BARUCH TRANSPORTE ESCOLAR E TURISMO LTDA</t>
  </si>
  <si>
    <t>M&amp;R BARUCH</t>
  </si>
  <si>
    <t>M.R.S EBENEZER TRANSPORTES ESCOLAR LTDA</t>
  </si>
  <si>
    <t>M.R.S EBENEZER</t>
  </si>
  <si>
    <t>MARCELO AMARO DA SILVA TRANSPORTES - ME</t>
  </si>
  <si>
    <t>MARCELO AMARO</t>
  </si>
  <si>
    <t>MARCELO SOARES SILVA - ME</t>
  </si>
  <si>
    <t>MARCELO SOARES</t>
  </si>
  <si>
    <t>MARIA JOSE ALVES LUZ TRANSPORTES - ME</t>
  </si>
  <si>
    <t>MARIA JOSE</t>
  </si>
  <si>
    <t>MARIVANS TRANSPORTES LTDA - ME</t>
  </si>
  <si>
    <t>MARIVANS</t>
  </si>
  <si>
    <t>MARIZETE SANTOS DIAS - ME</t>
  </si>
  <si>
    <t>MARIZETE</t>
  </si>
  <si>
    <t>MICHELI AP. DE S. SAMPAIO 30290702801</t>
  </si>
  <si>
    <t>MICHELI</t>
  </si>
  <si>
    <t>MIRIAM SILVA PINHEIRO GONCALVES 33124420870</t>
  </si>
  <si>
    <t>MIRIAM</t>
  </si>
  <si>
    <t>MIYAZ TRANSPORTES LTDA</t>
  </si>
  <si>
    <t>ALICE</t>
  </si>
  <si>
    <t>MPKA TRANSPORTES EIRELI - EPP</t>
  </si>
  <si>
    <t>MPKA</t>
  </si>
  <si>
    <t>MQS TRANSPORTE LTDA</t>
  </si>
  <si>
    <t>MQS</t>
  </si>
  <si>
    <t>NIVEL LOCACAO DE VEICULOS AUTOMOTORES LTDA - ME</t>
  </si>
  <si>
    <t>NIVEL</t>
  </si>
  <si>
    <t>ORLANDO BEARARI 57179298891</t>
  </si>
  <si>
    <t>PAULO JOAO DA SILVA TRANSPORTE ESCOLAR</t>
  </si>
  <si>
    <t>PEDRO GALDINO DA SILVA 50145240606</t>
  </si>
  <si>
    <t>PEDRO GALDINO</t>
  </si>
  <si>
    <t>PEGAZU'S TRANSPORTE ESCOLAR E FRETAMENTO LTDA - ME</t>
  </si>
  <si>
    <t>PEGAZUS</t>
  </si>
  <si>
    <t>RAGAFARO TRANSPORTES &amp; TURISMO LTDA - ME</t>
  </si>
  <si>
    <t>RAGAFARO</t>
  </si>
  <si>
    <t>RAMOTA TRANSPORTE E COMERCIO LTDA - EPP</t>
  </si>
  <si>
    <t>RAMOTA</t>
  </si>
  <si>
    <t>REOBOTE SERVICO DE TRANSPORTE E TURISMO LTDA</t>
  </si>
  <si>
    <t>REOBOTE</t>
  </si>
  <si>
    <t>RESGATE TRANSPORTES MC LTDA - ME</t>
  </si>
  <si>
    <t>RESGATE</t>
  </si>
  <si>
    <t>RG ROCHA TRANSPORTES LTDA</t>
  </si>
  <si>
    <t>RG ROCHA</t>
  </si>
  <si>
    <t>RMF COELHO TRANSPORTES - ME</t>
  </si>
  <si>
    <t>RMF</t>
  </si>
  <si>
    <t>RN RED TRANSPORTES LTDA</t>
  </si>
  <si>
    <t>RN RED</t>
  </si>
  <si>
    <t>ROBERTO CARLOS RODRIGUES TRANSPORTE ESCOLAR</t>
  </si>
  <si>
    <t>ROBSON ZANDONA 18902619800</t>
  </si>
  <si>
    <t>ROSA DO CARMO DE BASTOS - ME</t>
  </si>
  <si>
    <t>ROSA DO CARMO</t>
  </si>
  <si>
    <t>ROSALIA DE JESUS SANTOS - ME</t>
  </si>
  <si>
    <t>ROSALIA</t>
  </si>
  <si>
    <t>S C MIGLIORANZA TRANSPORTES - ME</t>
  </si>
  <si>
    <t>S C MIGLIORANZA</t>
  </si>
  <si>
    <t>S. DA SILVA LEME TRANSPORTES - ME</t>
  </si>
  <si>
    <t>S. DA SILVA</t>
  </si>
  <si>
    <t>SALICIOS TRANSPORTES LTDA</t>
  </si>
  <si>
    <t>SALICIOS</t>
  </si>
  <si>
    <t>SANTIAGO &amp; ALTEMAR TRANSPORTES LTDA - ME</t>
  </si>
  <si>
    <t>SANTIAGO &amp; ALTEMAR</t>
  </si>
  <si>
    <t>SBRAUMER TRANSPORTES LTDA - ME</t>
  </si>
  <si>
    <t>SBRAUMER</t>
  </si>
  <si>
    <t>SILVANA DA SILVA COELHO - ME</t>
  </si>
  <si>
    <t>SILVANA</t>
  </si>
  <si>
    <t>SONIA MARIA DE GOUVEIA BONTEMPO - ME</t>
  </si>
  <si>
    <t>SONIA MARIA DE GOUVEIA</t>
  </si>
  <si>
    <t>SRB TRANSPORTE LTDA</t>
  </si>
  <si>
    <t>SRB</t>
  </si>
  <si>
    <t>TRANS COELHO TRANSPORTES ESCOLARES LTDA - ME</t>
  </si>
  <si>
    <t>TRANS COELHO</t>
  </si>
  <si>
    <t>TRANSBEJA LOCADORA E TRANSPORTE ESCOLAR E RODOVIARIO LTDA - ME</t>
  </si>
  <si>
    <t>TRANSBEJA</t>
  </si>
  <si>
    <t>TRANSLUC TRANSPORTE ESCOLAR LTDA</t>
  </si>
  <si>
    <t>TRANSLUC</t>
  </si>
  <si>
    <t>TRANSPORTE ARB ESCOLAR LTDA</t>
  </si>
  <si>
    <t>ARB ESCOLAR</t>
  </si>
  <si>
    <t>TRANSPORTE ESCOLAR D B R LTDA</t>
  </si>
  <si>
    <t>ESCOLAR D B R</t>
  </si>
  <si>
    <t>TRANSPORTE GOUVEIA LTDA</t>
  </si>
  <si>
    <t>GOUVEIA</t>
  </si>
  <si>
    <t>TRANSRUMAR TRANSPORTES LTDA</t>
  </si>
  <si>
    <t>TRANSRUMAR</t>
  </si>
  <si>
    <t>TRANSTOTTA TRANSPORTES LTDA</t>
  </si>
  <si>
    <t>TRANSTOTTA</t>
  </si>
  <si>
    <t>TRINDADE TRANSPORTE ESOLAR LTDA</t>
  </si>
  <si>
    <t>TRINDADE</t>
  </si>
  <si>
    <t>V M DE GOIS HORVAT TRANSPORTE ESCOLAR</t>
  </si>
  <si>
    <t>V M DE GOIS</t>
  </si>
  <si>
    <t>VANDA SABINO LISERRA TRANSPORTES</t>
  </si>
  <si>
    <t>VANDA SABINO</t>
  </si>
  <si>
    <t>VANDERLEI DA SILVA LOPES LTDA - ME</t>
  </si>
  <si>
    <t>VANDERLEI</t>
  </si>
  <si>
    <t>VANESSA ALVES DOS SANTOS 37235075813</t>
  </si>
  <si>
    <t>VANESSA</t>
  </si>
  <si>
    <t>VERA LUCIA DE OLIVEIRA BARBOSA TRANSPORTE</t>
  </si>
  <si>
    <t>VERA LUCIA DE OLIVEIRA</t>
  </si>
  <si>
    <t>VFN TRANSPORTE LTDA</t>
  </si>
  <si>
    <t>VFN</t>
  </si>
  <si>
    <t>VICENTE GOMES DA SILVA NETO TRANSPORTE - ME</t>
  </si>
  <si>
    <t>VICENTE</t>
  </si>
  <si>
    <t>VSE TRANSPORTES EIRELI - ME</t>
  </si>
  <si>
    <t>VSE</t>
  </si>
  <si>
    <t>WILSON DOS SANTOS ARAUJO - ME</t>
  </si>
  <si>
    <t>WILSON SANTOS</t>
  </si>
  <si>
    <t>ZELMAR TRANSPORTE ESCOLAR LTDA-ME</t>
  </si>
  <si>
    <t>ZELMAR</t>
  </si>
  <si>
    <t>ADILSON FRANCISCO DE SOUZA</t>
  </si>
  <si>
    <t>ADRIANA HILARIO ALVES</t>
  </si>
  <si>
    <t>ALEXANDRE BARBOSA DE LIMA</t>
  </si>
  <si>
    <t>ANDERSON LUIZ DE MORAES</t>
  </si>
  <si>
    <t>ANDREA RODRIGUES DE ARAUJO</t>
  </si>
  <si>
    <t>ANTONIO NETUNE HENRIQUE DE LIMA</t>
  </si>
  <si>
    <t>ARIONALDO RODRIGUES DE LIMA</t>
  </si>
  <si>
    <t>ARMANDO FERRAZ DA ROCHA</t>
  </si>
  <si>
    <t>AUDENI ALVES DO NASCIMENTO</t>
  </si>
  <si>
    <t>BRUNO CANDIANI PARIS</t>
  </si>
  <si>
    <t>BRUNO FERREIRA DE ARAUJO</t>
  </si>
  <si>
    <t>CARLOS ALBERTO ARANA</t>
  </si>
  <si>
    <t>EDILSON COSTA</t>
  </si>
  <si>
    <t>EDNA NEVES DA SILVA ROSA</t>
  </si>
  <si>
    <t>EDSON DOS SANTOS</t>
  </si>
  <si>
    <t>ELCIO JOSE DE AZEVEDO</t>
  </si>
  <si>
    <t>FABIANA APARECIDA RIBEIRO GONZAGA</t>
  </si>
  <si>
    <t>FABIO DE SANTANA PATROCINIO DA SILVA</t>
  </si>
  <si>
    <t>FRANCISCO DE ASSIS DA SILVA</t>
  </si>
  <si>
    <t>FRANCISCO ELTON TEIXEIRA ROCHA</t>
  </si>
  <si>
    <t>GERLUCE BATISTA ARAUJO</t>
  </si>
  <si>
    <t>GILDOVAL PEDRO CAVALCANTE</t>
  </si>
  <si>
    <t>HELIO DE JESUS MACEDO</t>
  </si>
  <si>
    <t>HELIO JOSE SILVA</t>
  </si>
  <si>
    <t>JAIME HERCULANO DE ARAUJO NETTO</t>
  </si>
  <si>
    <t>JAIR ANDRADE DA SILVA ALMEIDA</t>
  </si>
  <si>
    <t>JANE RODRIGUES ROCHA</t>
  </si>
  <si>
    <t>JANETE APARECIDA DA SILVA GAUNA</t>
  </si>
  <si>
    <t>JESUSNILDO SILVA SACRAMENTO</t>
  </si>
  <si>
    <t>JONAS ANTONIO DA SILVA</t>
  </si>
  <si>
    <t>JOSE BORGES DA SILVA NETO</t>
  </si>
  <si>
    <t>JOSE CARLOS FERREIRA DE HUNGRIA</t>
  </si>
  <si>
    <t>JOSE HERACLITO DE SOUZA LEAO</t>
  </si>
  <si>
    <t>JOSE MARIO DE OLIVEIRA</t>
  </si>
  <si>
    <t>JOSE MARQUES LINS</t>
  </si>
  <si>
    <t>JOSE MAURICIO DE PAULA</t>
  </si>
  <si>
    <t>JURANDIR FLORENCIO DE SOUZA JUNIOR</t>
  </si>
  <si>
    <t>JUSCILENE CANDIDA DA SILVA ALEXANDRE</t>
  </si>
  <si>
    <t>JUVENILSON SILVA SACRAMENTO</t>
  </si>
  <si>
    <t>LUCIMAR DE FREITAS MATOS</t>
  </si>
  <si>
    <t>LUCIVAL MACIEL BORGES</t>
  </si>
  <si>
    <t>LUIS GUSTAVO SANTOS DE OLIVEIRA</t>
  </si>
  <si>
    <t>MANUEL MESSIAS PEREIRA PINTO</t>
  </si>
  <si>
    <t>MARCELO GIL SALES PEREIRA</t>
  </si>
  <si>
    <t>MARCELO SANTANA</t>
  </si>
  <si>
    <t>MARCIA COUTINHO PEREIRA</t>
  </si>
  <si>
    <t>MARCIO JOSE MARQUES LINS</t>
  </si>
  <si>
    <t>MARCO ANTONIO PRAIS</t>
  </si>
  <si>
    <t>MARCOS TADEU MARQUES</t>
  </si>
  <si>
    <t>MARIA ALBERTINA DE OLIVEIRA DE LIMA</t>
  </si>
  <si>
    <t>MARIA DE FATIMA DA SILVA NASCIMENTO</t>
  </si>
  <si>
    <t>MARIA DEMETRO DE MORAIS</t>
  </si>
  <si>
    <t>MARIA VILANI DA SILVA RODRIGUES</t>
  </si>
  <si>
    <t>MARIO CESAR SOUZA MATOS</t>
  </si>
  <si>
    <t>MILSON APARECIDO FERREIRA</t>
  </si>
  <si>
    <t>MILTON MIGUEL DA ROCHA</t>
  </si>
  <si>
    <t>MIRIAM ROSA DE BRITO</t>
  </si>
  <si>
    <t>NICOMEDES DA CUNHA TORRES</t>
  </si>
  <si>
    <t>OSVALDO DOS SANTOS ROCHA</t>
  </si>
  <si>
    <t>PEDRO DA SILVA</t>
  </si>
  <si>
    <t>PEDRO JOSE DE JESUS AGAPITO</t>
  </si>
  <si>
    <t>RAQUEL SARDI DUTRA</t>
  </si>
  <si>
    <t>REGINALDO MATIAS ALVES</t>
  </si>
  <si>
    <t>REINALDO RAMOS DE ARAUJO</t>
  </si>
  <si>
    <t>RENIANDER POZATI CORREA</t>
  </si>
  <si>
    <t>RICARDO MASSAYUKI OTSUKA</t>
  </si>
  <si>
    <t>RITA DE CASSIA CARVALHO MACHADO</t>
  </si>
  <si>
    <t>ROBERTO COELHO DA SILVA</t>
  </si>
  <si>
    <t>ROGERIO VIEIRA DOS SANTOS</t>
  </si>
  <si>
    <t>SANDRA GRADIZ AFONSO</t>
  </si>
  <si>
    <t>SERGIO MARCOS BARBOSA</t>
  </si>
  <si>
    <t>SHEILA CARLA DE MACEDO</t>
  </si>
  <si>
    <t>SONIA DE JESUS PEREIRA NEVES</t>
  </si>
  <si>
    <t>SONIA MARIA BARBOSA CORREA</t>
  </si>
  <si>
    <t>SUELI CONDE</t>
  </si>
  <si>
    <t>SUZI CRISTINA DE OLIVEIRA FRISCIO</t>
  </si>
  <si>
    <t>SUZI PAULA MOREIRA MEDINA</t>
  </si>
  <si>
    <t>VAGNER RODRIGUES DE LIMA</t>
  </si>
  <si>
    <t>VALDIR ALVES DOS SANTOS</t>
  </si>
  <si>
    <t>VANESSA SANTOS SOUSA PEREIRA</t>
  </si>
  <si>
    <t>WELLINGTON DE OLIVEIRA BENICIO</t>
  </si>
  <si>
    <t>WILSON PEDRO FIRMINO</t>
  </si>
  <si>
    <t>55.674.546 WILSON PEDRO FIRMINO</t>
  </si>
  <si>
    <t>WILSON PEDRO</t>
  </si>
  <si>
    <t>A. V. SILVA TRANSPORTES LTDA - ME</t>
  </si>
  <si>
    <t>AV SILVA</t>
  </si>
  <si>
    <t>A.F.G. GONZAGA TRANSPORTES LTDA</t>
  </si>
  <si>
    <t>AFG</t>
  </si>
  <si>
    <t>ALESSANDRO RODRIGUES SILVA - TRANSPORTES</t>
  </si>
  <si>
    <t>ALESSANDRO</t>
  </si>
  <si>
    <t>ALEXANDRE DE ARAUJO CIPRIANO - ME</t>
  </si>
  <si>
    <t>ALEXANDRE</t>
  </si>
  <si>
    <t>ANDERSON LUIZ DE MORAES - ME</t>
  </si>
  <si>
    <t>ANDERSON LUIZ</t>
  </si>
  <si>
    <t>ANDERSON MORAES TRANSPORTES E LOCACOES LTDA</t>
  </si>
  <si>
    <t>ANDERSON MORAES</t>
  </si>
  <si>
    <t>C A PEREIRA VENDAS E SER DE EQUIP DE INFO - ME</t>
  </si>
  <si>
    <t>CA PEREIRA</t>
  </si>
  <si>
    <t>CA PIRILLO TRANSPORTES E LOCACOES LTDA - ME</t>
  </si>
  <si>
    <t>CA PIRILLO</t>
  </si>
  <si>
    <t>CS GRADIZ TRANSPORTE E LOCADORA LTDA</t>
  </si>
  <si>
    <t>CS GRADIZ</t>
  </si>
  <si>
    <t>CTE TURISMO LTDA</t>
  </si>
  <si>
    <t>CTE</t>
  </si>
  <si>
    <t>DAN RM TRANSPORTES EIRELI - ME</t>
  </si>
  <si>
    <t>DAN RM</t>
  </si>
  <si>
    <t>DMM DOS SANTOS TRANSPORTES - ME</t>
  </si>
  <si>
    <t>DMM</t>
  </si>
  <si>
    <t>DOUGLAS SOUZA VILELA LTDA</t>
  </si>
  <si>
    <t>DOUGLAS</t>
  </si>
  <si>
    <t>E DE FREITAS MATOS TRANSPORTES - ME</t>
  </si>
  <si>
    <t>E DE FREITAS</t>
  </si>
  <si>
    <t>EDSON DA SILVA CRUZ TRANSPORTES - ME</t>
  </si>
  <si>
    <t>EDSON DA SILVA</t>
  </si>
  <si>
    <t>ESPLENDOR TURISMO LTDA - ME</t>
  </si>
  <si>
    <t>ESPLENDOR</t>
  </si>
  <si>
    <t>FLAVIO S BOSCACHI TRANSPORTES LTDA - ME</t>
  </si>
  <si>
    <t xml:space="preserve">FLAVIO S </t>
  </si>
  <si>
    <t>FRANCISCO DE ASSIS DA SILVA 49063626487</t>
  </si>
  <si>
    <t>FRANCISCO DE ASSIS</t>
  </si>
  <si>
    <t>FRANCISCO NASCIMENTO DE OLIVEIRA BARRETO 01032072369</t>
  </si>
  <si>
    <t>FRANCISCO NASCIMENTO</t>
  </si>
  <si>
    <t>G L M - TRANSPORTES DE PASSAGEIROS LTDA - ME</t>
  </si>
  <si>
    <t>GLM</t>
  </si>
  <si>
    <t>GRAHN TOUR TRANSPORTES EIRELI - ME</t>
  </si>
  <si>
    <t>GRAHN</t>
  </si>
  <si>
    <t>IRMAOS SANTANA TRANSPORTE ESCOLAR LTDA - ME</t>
  </si>
  <si>
    <t>IRMAOS SANTANA</t>
  </si>
  <si>
    <t>J.M.M TRANSPORTE LTDA - ME</t>
  </si>
  <si>
    <t>JMM</t>
  </si>
  <si>
    <t>JMB TRANSPORTE ESCOLAR LTDA</t>
  </si>
  <si>
    <t>JMB</t>
  </si>
  <si>
    <t>JOSE E CELIA</t>
  </si>
  <si>
    <t>JOSE ELIAS LOPES DE ABREU</t>
  </si>
  <si>
    <t>JOSE ELIAS</t>
  </si>
  <si>
    <t>LAUTON TRANSPORTES LTDA - ME</t>
  </si>
  <si>
    <t>LAUTON</t>
  </si>
  <si>
    <t>MARI CARMEM BERNAL DOMINGUES CRECHE - ME</t>
  </si>
  <si>
    <t>MARI CARMEM</t>
  </si>
  <si>
    <t>MARIA AUXILIADORA PINTO TRANSPORTE ESCOLAR - ME</t>
  </si>
  <si>
    <t>MARIA AUXILIADORA</t>
  </si>
  <si>
    <t>MAYFRAN LOCACAO DE VEICULOS E TRANSPORTES LTDA</t>
  </si>
  <si>
    <t>MAYFRAN</t>
  </si>
  <si>
    <t>PAIVA TRANSPORTES LTDA - ME</t>
  </si>
  <si>
    <t>PAIVA</t>
  </si>
  <si>
    <t>PANDATUR TRANSPORTES E LOCADORA LTDA - ME</t>
  </si>
  <si>
    <t>PANDATUR</t>
  </si>
  <si>
    <t>PJV JATOBA TRANSPORTES LTDA - ME</t>
  </si>
  <si>
    <t>PJV</t>
  </si>
  <si>
    <t>R.M.N. TRANSPORTES &amp; NEGOCIOS LTDA</t>
  </si>
  <si>
    <t>RMN</t>
  </si>
  <si>
    <t>ROBSON ROBERTO FAGUNDES TRANSPORTES - ME</t>
  </si>
  <si>
    <t>ROBSON</t>
  </si>
  <si>
    <t>RRTRANS TRANSPORTES E LOCADORA LTDA - ME</t>
  </si>
  <si>
    <t>RRTRANS</t>
  </si>
  <si>
    <t>RVS TRANSPORTE TERCEIRIZACAO E LOGISTICA LTDA - ME</t>
  </si>
  <si>
    <t>RVS</t>
  </si>
  <si>
    <t>SAYONARA MARIA DA SILVA SANTOS RIBEIRO TRANSPORTE - ME</t>
  </si>
  <si>
    <t>SAYONARA</t>
  </si>
  <si>
    <t>SEVERINO ANTONIO SOARES - ME</t>
  </si>
  <si>
    <t>SEVERINO</t>
  </si>
  <si>
    <t>SODRE TRANSPORTES LTDA - ME</t>
  </si>
  <si>
    <t>SODRE</t>
  </si>
  <si>
    <t>SORAYA APARECIDA MACIEL 19577526888</t>
  </si>
  <si>
    <t>SORAYA</t>
  </si>
  <si>
    <t>STEFANNY TUR TRANSPORTE ESCOLAR LTDA</t>
  </si>
  <si>
    <t>STEFANNY</t>
  </si>
  <si>
    <t>STYLE CAR LOCADORA DE VEICULOS LTDA - ME</t>
  </si>
  <si>
    <t>STYLE CAR</t>
  </si>
  <si>
    <t>STYLLUS CAR SERVICOS AUTOMOTIVOS E TRANSPORTES LTDA - ME</t>
  </si>
  <si>
    <t>STYLLUS CAR</t>
  </si>
  <si>
    <t>TAC SERVICOS E LOCACAO LTDA</t>
  </si>
  <si>
    <t>TAC</t>
  </si>
  <si>
    <t>TIA MARIA &amp; TIA BETE TRANSPORTES LTDA - ME</t>
  </si>
  <si>
    <t>TIA MARIA E TIA BETE</t>
  </si>
  <si>
    <t>TRANSGILO TRANSPORTES E LOCADORA LTDA - ME</t>
  </si>
  <si>
    <t>TRANSGILO</t>
  </si>
  <si>
    <t>TRANSPORTADORA RAPIDO NOVA ESPERANCA LTDA - ME</t>
  </si>
  <si>
    <t>RAPIDO NOVA ESPERANÇA</t>
  </si>
  <si>
    <t>TRANSPORTE ESCOLAR GAUNA LTDA - ME</t>
  </si>
  <si>
    <t>GAUNA</t>
  </si>
  <si>
    <t>TRANSPORTES CRUZ &amp; MARQUES LTDA - ME</t>
  </si>
  <si>
    <t>CRUZ &amp; MARQUES</t>
  </si>
  <si>
    <t>TRANSPORTES FAMILIA ROSA LTDA - ME</t>
  </si>
  <si>
    <t>FAMILIA ROSA</t>
  </si>
  <si>
    <t>TRANSVARIANTE LOCADORA LTDA - ME</t>
  </si>
  <si>
    <t>TRANSVARIANTE</t>
  </si>
  <si>
    <t>VL DE OLIVEIRA ABREU TRANSPORTES - ME</t>
  </si>
  <si>
    <t>VL</t>
  </si>
  <si>
    <t>VTEC TRANSPORTADORA ESCOLAR LTDA - ME</t>
  </si>
  <si>
    <t>VTEC</t>
  </si>
  <si>
    <t>W.A.S. TRANSPORTES E VIAGENS LTDA - ME</t>
  </si>
  <si>
    <t>WAS</t>
  </si>
  <si>
    <t>WASDEIA TRANSPORTES LTDA - ME</t>
  </si>
  <si>
    <t>WASDEIA</t>
  </si>
  <si>
    <t>ADEMIR CAROLINO</t>
  </si>
  <si>
    <t>ALEXANDRO MONTEIRO DE ANDRADE</t>
  </si>
  <si>
    <t>ANDRE CARVALHO DA SILVA</t>
  </si>
  <si>
    <t>ANGELINA PAULINO RODRIGUES</t>
  </si>
  <si>
    <t>ANTONIO ANICETO FERNANDES</t>
  </si>
  <si>
    <t>ANTONIO CARLOS DOS SANTOS</t>
  </si>
  <si>
    <t>ANTONIO MIGUEL DA SILVA</t>
  </si>
  <si>
    <t>ATAIDE INACIO FERREIRA</t>
  </si>
  <si>
    <t>CARLOS EDUARDO DA SILVA SANTANA</t>
  </si>
  <si>
    <t>CELIA REGINA DA SILVA IVO</t>
  </si>
  <si>
    <t>CHEILA SANTOS DE LIMA</t>
  </si>
  <si>
    <t>CLAUDIA APARECIDA DE CARVALHO OLIVEIRA</t>
  </si>
  <si>
    <t>CLAUDIO DE OLIVEIRA LEOPOLDO JUNIOR</t>
  </si>
  <si>
    <t>CLAUDIO SIMOES RIBEIRO</t>
  </si>
  <si>
    <t>CLAYTON MAXIMO DA SILVA</t>
  </si>
  <si>
    <t>CLEIR MANGUEIRA ANDRIOLA</t>
  </si>
  <si>
    <t>CRISTIANO CONCEICAO DA CRUZ</t>
  </si>
  <si>
    <t>DAIANE CRISTINA MANOEL</t>
  </si>
  <si>
    <t>DAVID ALEXANDRE GONCALVES</t>
  </si>
  <si>
    <t>DEJAILTON JESUS DA SILVA</t>
  </si>
  <si>
    <t>DOUGLAS GARBELINI CAVALCANTE</t>
  </si>
  <si>
    <t>EDUARDO COSTA DE MENDONCA</t>
  </si>
  <si>
    <t>EDUARDO VALENTIM TAVEIROS</t>
  </si>
  <si>
    <t>ELIZANDRA AQUINO DE OLIVEIRA</t>
  </si>
  <si>
    <t>EMERSON COSTA</t>
  </si>
  <si>
    <t>ERIC DE SOUZA</t>
  </si>
  <si>
    <t>FERNANDO MARTINS DE ARAUJO</t>
  </si>
  <si>
    <t>FLORISVAL SOUZA CRUZ</t>
  </si>
  <si>
    <t>GILFREDO COELHO ROCHA</t>
  </si>
  <si>
    <t>GILVAN ROMUALDO DE SOUZA</t>
  </si>
  <si>
    <t>HAMILTON MARTINS LEITE</t>
  </si>
  <si>
    <t>IGOR BARBOSA DA SILVA</t>
  </si>
  <si>
    <t>ISAIAS DA SILVA PIMENTEL</t>
  </si>
  <si>
    <t>JOEFRAN PEREIRA DE OLIVEIRA</t>
  </si>
  <si>
    <t>JOSE FRANCISCO ROSSIN</t>
  </si>
  <si>
    <t>JOSE JUAREZ DE SOUZA</t>
  </si>
  <si>
    <t>JOSE LENILDO MACIEL</t>
  </si>
  <si>
    <t>JOSE NOBRE DE ALMEIDA</t>
  </si>
  <si>
    <t>JUCIANA DE OLIVEIRA DE ARAUJO GUIMARAES</t>
  </si>
  <si>
    <t>KATY OBLESRCZUK GUIMARAES</t>
  </si>
  <si>
    <t>LEANDRO GOMES ROQUE</t>
  </si>
  <si>
    <t>LUZINETE APARECIDA RODRIGUES DA SILVA</t>
  </si>
  <si>
    <t>MARCELO DA SILVA RODRIGUES</t>
  </si>
  <si>
    <t>MARCELO TEIXEIRA</t>
  </si>
  <si>
    <t>MARIA IVONE APARECIDA ROCHA</t>
  </si>
  <si>
    <t>OSVALDO MASSATOSHI YAMADA</t>
  </si>
  <si>
    <t>RAFAEL PRUDENTE DE OLIVEIRA</t>
  </si>
  <si>
    <t>RENILDO DA SILVA BATISTA</t>
  </si>
  <si>
    <t>ROGERIO BARBOSA BORGES</t>
  </si>
  <si>
    <t>ROGERIO MANZATTO</t>
  </si>
  <si>
    <t>RONALDO PAULO DA SILVA</t>
  </si>
  <si>
    <t>ROSELI DE CARVALHO COUTO</t>
  </si>
  <si>
    <t>ROSIETE OLIVEIRA DA SILVA BATISTA</t>
  </si>
  <si>
    <t>SOLANGE IZABEL DE LIMA</t>
  </si>
  <si>
    <t>SONIA MARIA COSTA DO NASCIMENTO</t>
  </si>
  <si>
    <t>TONI LAZARO DA SILVA</t>
  </si>
  <si>
    <t>ULISSES GOMES BASTOS</t>
  </si>
  <si>
    <t>VOLNEI NUNES DE BARROS</t>
  </si>
  <si>
    <t>WELTON RIBEIRO BARBOSA</t>
  </si>
  <si>
    <t>WILSON VALENTIM TAVEIROS</t>
  </si>
  <si>
    <t>WILTON FERNANDES</t>
  </si>
  <si>
    <t>WILTON LEANDRO FERREIRA</t>
  </si>
  <si>
    <t>52.391.092 KATY OBLESRCZUK GUIMARAES</t>
  </si>
  <si>
    <t>KATY OBLESRCZUK</t>
  </si>
  <si>
    <t>54.828.451 EDNALDO DA SILVA RODRIGUES</t>
  </si>
  <si>
    <t>EDNALDO</t>
  </si>
  <si>
    <t>ACER TRANSPORTES LTDA - ME</t>
  </si>
  <si>
    <t>ACER</t>
  </si>
  <si>
    <t>ACESSA TRANSPORTES LTDA - ME</t>
  </si>
  <si>
    <t>ACESSA</t>
  </si>
  <si>
    <t>ALTRUISTA</t>
  </si>
  <si>
    <t>ANDS TRANSPORTES ESCOLARES LTDA - ME</t>
  </si>
  <si>
    <t>ANDS</t>
  </si>
  <si>
    <t>ASSISTENCIAL TRANSPORTES ESCOLARES E FRETAMENTOS LTDA - ME</t>
  </si>
  <si>
    <t>ASSISTENCIAL</t>
  </si>
  <si>
    <t>BRYANTUR TRANSPORTES LTDA - ME</t>
  </si>
  <si>
    <t>BRYANTUR</t>
  </si>
  <si>
    <t>C. RUIZ AMAD ENNES ESCOLAR E CIA LTDA - ME</t>
  </si>
  <si>
    <t>C. RUIZ AMAD</t>
  </si>
  <si>
    <t>CAVALCANTE</t>
  </si>
  <si>
    <t>CELEBRA TRANSPORTES LTDA - ME</t>
  </si>
  <si>
    <t>CELEBRA</t>
  </si>
  <si>
    <t>CRISTIANO ALVES LIMA TRANSPORTES - ME</t>
  </si>
  <si>
    <t>CRISTIANO ALVES</t>
  </si>
  <si>
    <t>DC TRANSPORTES LTDA</t>
  </si>
  <si>
    <t>DC</t>
  </si>
  <si>
    <t>FORMITUR TRANSPORTES LTDA - ME</t>
  </si>
  <si>
    <t>FORMITUR</t>
  </si>
  <si>
    <t>GIMENEZ E LATERI TRANSPORTES DE ESCOLAR E DE PASSAGEIROS LTDA - EPP</t>
  </si>
  <si>
    <t>GIMENEZ</t>
  </si>
  <si>
    <t>MARCIA JOAO NASCIMENTO TRANSPORTES LTDA</t>
  </si>
  <si>
    <t>MARCIA JOAO</t>
  </si>
  <si>
    <t>MARCIO DE SOUSA PINHEIRO - ME</t>
  </si>
  <si>
    <t>MARCIO SOUSA</t>
  </si>
  <si>
    <t>MARIA DA PENHA CARVALHO LLONA TRANSPORTES - ME</t>
  </si>
  <si>
    <t>MARIA DA PENHA</t>
  </si>
  <si>
    <t>MONICA SMORIGO DE OLIVEIRA - ME</t>
  </si>
  <si>
    <t>MONICA</t>
  </si>
  <si>
    <t>Q &amp; J TRANSPORTES LTDA - ME</t>
  </si>
  <si>
    <t>Q&amp;J</t>
  </si>
  <si>
    <t>RJC TRANSPORTES E LOCACAO DE VEICULOS LTDA - ME</t>
  </si>
  <si>
    <t>RJC</t>
  </si>
  <si>
    <t>SHIRLEI &amp; ALAUR TRANSPORTES VALE LTDA - ME</t>
  </si>
  <si>
    <t>SHIRLEI</t>
  </si>
  <si>
    <t>SOLANGE PEDROSO DE CAMPOS - ME</t>
  </si>
  <si>
    <t>SOLANGE PEDROSO</t>
  </si>
  <si>
    <t>TRANS SALES TRANSPORTES LTDA - ME</t>
  </si>
  <si>
    <t>TRANS SALES</t>
  </si>
  <si>
    <t>TRANSOLIVEIRA TRANSPORTE ESCOLAR LTDA - ME</t>
  </si>
  <si>
    <t>TRANSOLIVEIRA</t>
  </si>
  <si>
    <t>VBS TRANSPORTES LTDA - ME</t>
  </si>
  <si>
    <t>VBS</t>
  </si>
  <si>
    <t>VIA LUZ TRANSPORTES DE PASSAGEIROS LTDA - EPP</t>
  </si>
  <si>
    <t>VIA LUZ</t>
  </si>
  <si>
    <t>corrige erro - não encontrou apelido</t>
  </si>
  <si>
    <t>checagem antecipada se tem alguma planilha com problema ou não encontrada</t>
  </si>
  <si>
    <t>01/dez/ processamento por pf e pj e colocar filtro na emissão de demonstrativo</t>
  </si>
  <si>
    <t>Base de CAlculo IR 2026</t>
  </si>
  <si>
    <t>Faixa 1</t>
  </si>
  <si>
    <t>Faixa 2</t>
  </si>
  <si>
    <t>Faixa 3</t>
  </si>
  <si>
    <t>Faixa 4</t>
  </si>
  <si>
    <t>Faixa 5</t>
  </si>
  <si>
    <t>IR 2026</t>
  </si>
  <si>
    <t>SUBSECRETARIA DO TESOURO MUNICIPAL
DEPARTAMENTO DE CONTADORIA
DIVISAO DE CONTABILIDADE DE RECEITAS E DE IMPOSTO DE RENDA</t>
  </si>
  <si>
    <t xml:space="preserve">PLANILHA PARA SIMULAÇÃO DE CÁLCULO DO IRRF </t>
  </si>
  <si>
    <t xml:space="preserve">VIGÊNCIA A PARTIR DE 1º DE JANEIRO/2026 </t>
  </si>
  <si>
    <t>São editáveis apenas os campos destacados em cinza</t>
  </si>
  <si>
    <t xml:space="preserve">Rendimentos tributáveis </t>
  </si>
  <si>
    <t>Pagamentos anteriores</t>
  </si>
  <si>
    <t>Pagamento da NLP atual</t>
  </si>
  <si>
    <t>Rendimentos tributáveis Acumulado¹</t>
  </si>
  <si>
    <t xml:space="preserve">¹ O fato gerador do IR é o pagamento. O cálculo deve considerar os valores com base na previsão de pagamento dentro de um mesmo mês. </t>
  </si>
  <si>
    <t>Retenção anterior</t>
  </si>
  <si>
    <t>Valor(es) retido(s) em NLP(s) anterior(es)</t>
  </si>
  <si>
    <t>Informações para simulação do cálculo do IRRF</t>
  </si>
  <si>
    <t>Deduções Legais</t>
  </si>
  <si>
    <t xml:space="preserve"> Previdência oficial</t>
  </si>
  <si>
    <t>Dependentes (quantidade)</t>
  </si>
  <si>
    <t>Pensão alimentícia</t>
  </si>
  <si>
    <t>Outras Deduções Previdência Privada, Funpresp, FAPI e Parcela isenta de aposentadoria, reserva remunerada, reforma e pensão para declarante com 65 anos ou mais, caso não tenha sido deduzida dos rendimentos tributáveis. Carne-Leão: Livro Caixa.</t>
  </si>
  <si>
    <t>Desconto simplicado (Dedução 25% s/ 1ª Faixa)</t>
  </si>
  <si>
    <t>Por Deduções Legais</t>
  </si>
  <si>
    <t>Por Desconto Simplificado ²</t>
  </si>
  <si>
    <t>Valor da retencão acumulada</t>
  </si>
  <si>
    <t>Valor a reter na NLP atual</t>
  </si>
  <si>
    <t>Melhor opção para o IRRF</t>
  </si>
  <si>
    <t>Observações:</t>
  </si>
  <si>
    <t>• A apuração do imposto é realizada com base na opção entre as deduções legais ou o desconto simplificado, adotando-se a alternativa mais vantajosa ao contribuinte.</t>
  </si>
  <si>
    <t>• O cálculo já contempla a isenção e a redução do Imposto de Renda estabelecidas na Lei nº 15.270, de 26 de novembro de 2025.</t>
  </si>
  <si>
    <t>RENDIMENTOS TRIBUTÁVEIS SUJEITOS AO AJUSTE MENSAL</t>
  </si>
  <si>
    <t>REDUÇÃO DO IMPOSTO DE RENDA</t>
  </si>
  <si>
    <t>De</t>
  </si>
  <si>
    <t>Até</t>
  </si>
  <si>
    <t>Regra</t>
  </si>
  <si>
    <t>até R$ 312,89 (de modo que o imposto devido seja zero)</t>
  </si>
  <si>
    <t>R$ 978,62 - (0,133145 x rendimentos tributáveis sujeitos à incidência mensal)
(de modo que a redução do imposto seja decrescente linearmente até zerar para rendimentos a partir de R$ 7.350,00)</t>
  </si>
  <si>
    <t>Vigente a partir do mês de janeiro do ano-calendário de 2026. Lei nº 15.270, de 26 de novembro de 2025</t>
  </si>
  <si>
    <t xml:space="preserve">Acima de R$ 7.350,00 não haverá redução no imposto devido. </t>
  </si>
  <si>
    <t>Tabela Progressiva</t>
  </si>
  <si>
    <t>Base de Cálculo (R$)</t>
  </si>
  <si>
    <t>Alíquota (%)</t>
  </si>
  <si>
    <t>Parcela a Deduzir do IR (R$)</t>
  </si>
  <si>
    <t>Até 2.428,80</t>
  </si>
  <si>
    <t>De 2.428,81 até 2.826,65</t>
  </si>
  <si>
    <t>De 2.826,66 até 3.751,05</t>
  </si>
  <si>
    <t>De 3.751,06 até 4.664,68</t>
  </si>
  <si>
    <t>Acima de 4.664,68</t>
  </si>
  <si>
    <t>Vigente a partir do mês de maio do ano-calendário de 2025 (Lei nº 11.482, de 31 de maio de 2007)</t>
  </si>
  <si>
    <t>Base Contribuição Previdenciária:</t>
  </si>
  <si>
    <t>Total de Contribuição</t>
  </si>
  <si>
    <t>Base Imposto de Renda</t>
  </si>
  <si>
    <t>Quantidade de Dependentes</t>
  </si>
  <si>
    <t>Dedução por dependente</t>
  </si>
  <si>
    <t>Total das Deduções:</t>
  </si>
  <si>
    <t>Valor da Base</t>
  </si>
  <si>
    <t>Pensão</t>
  </si>
  <si>
    <t>Inicial</t>
  </si>
  <si>
    <t>Final</t>
  </si>
  <si>
    <t>Alíquota</t>
  </si>
  <si>
    <t>Dedução</t>
  </si>
  <si>
    <t>Valor</t>
  </si>
  <si>
    <t>Outras Deduções</t>
  </si>
  <si>
    <t>Total Desconto de IR</t>
  </si>
  <si>
    <t>Calculo considerando a regra de Isenção até R$ 5.000,00</t>
  </si>
  <si>
    <t>Calculo do imposto considerando a redução sobre rendimentos tributaveis entre R$ 5.000,01 e R$ 7.350,00</t>
  </si>
  <si>
    <t>Valor do IR apurado a ser retido considerando isenção e redução</t>
  </si>
  <si>
    <t>CÁLCULO REDUÇÃO DE IR</t>
  </si>
  <si>
    <t>Rendimento tributavel acumulado</t>
  </si>
  <si>
    <t xml:space="preserve">Fator Multiplicador do Rendimento Tributável </t>
  </si>
  <si>
    <t>Valor Fixo de redução</t>
  </si>
  <si>
    <r>
      <t xml:space="preserve">rendimentos tributáveis sujeitos à incidência mensal </t>
    </r>
    <r>
      <rPr>
        <b/>
        <sz val="11"/>
        <color rgb="FFEE0000"/>
        <rFont val="Calibri"/>
        <family val="2"/>
        <scheme val="minor"/>
      </rPr>
      <t>(bruto)</t>
    </r>
  </si>
  <si>
    <t xml:space="preserve">Fator Multiplicador </t>
  </si>
  <si>
    <t>Valor da reduçao</t>
  </si>
  <si>
    <t>Valor do IR aplicando a tabela progressiva</t>
  </si>
  <si>
    <t>Valor da reduçao do IR</t>
  </si>
  <si>
    <t>Valor da retençao do IR acumulada Faixa de redução R$ 5.000,01 a R$ 7.350,00</t>
  </si>
  <si>
    <t> LEI Nº 15.270, DE 26 DE NOVEMBRO DE 2025</t>
  </si>
  <si>
    <t>Base Imposto de Renda (MODO SIMPLIFICADO)</t>
  </si>
  <si>
    <t>Remuneração</t>
  </si>
  <si>
    <t>Dedução 25% s/ 1ª Faixa</t>
  </si>
  <si>
    <t>TOTAL ALUNOS N CAD(MENOS DE 30 DIAS)</t>
  </si>
  <si>
    <t>TOTAL ALUNOS N CAD(30 DIAS)</t>
  </si>
  <si>
    <t>TOTAL ALUNOS CAD (30 DIAS)</t>
  </si>
  <si>
    <t>TOTAL ALUNOS CAD (MENOS DE 30 DIAS)</t>
  </si>
  <si>
    <t>Butantã</t>
  </si>
  <si>
    <t>01/04/2026</t>
  </si>
  <si>
    <t>30/04/2026</t>
  </si>
  <si>
    <t>NORMAL</t>
  </si>
  <si>
    <t>EMEI</t>
  </si>
  <si>
    <t>BT</t>
  </si>
  <si>
    <t>EMEF</t>
  </si>
  <si>
    <t>EMEE</t>
  </si>
  <si>
    <t>CEI</t>
  </si>
  <si>
    <t>015.029-00</t>
  </si>
  <si>
    <t>2023/0024676-001</t>
  </si>
  <si>
    <t>2023/0024676</t>
  </si>
  <si>
    <t>DPB9A52</t>
  </si>
  <si>
    <t>034.609-00</t>
  </si>
  <si>
    <t>2022/0032557-001</t>
  </si>
  <si>
    <t>2022/0032557</t>
  </si>
  <si>
    <t>ELW0578</t>
  </si>
  <si>
    <t>023.857-00</t>
  </si>
  <si>
    <t>2022/0031551-001A</t>
  </si>
  <si>
    <t>2022/0031551</t>
  </si>
  <si>
    <t>EFU6D38</t>
  </si>
  <si>
    <t>028.292-00</t>
  </si>
  <si>
    <t>2022/0027963-001</t>
  </si>
  <si>
    <t>2022/0027963</t>
  </si>
  <si>
    <t>DTC2878</t>
  </si>
  <si>
    <t>032.025-00</t>
  </si>
  <si>
    <t>2022/0029293-001</t>
  </si>
  <si>
    <t>2022/0029293</t>
  </si>
  <si>
    <t>GEM5877</t>
  </si>
  <si>
    <t>014.268-00</t>
  </si>
  <si>
    <t>2023/0050738-001</t>
  </si>
  <si>
    <t>2023/0050738</t>
  </si>
  <si>
    <t>ECT4869</t>
  </si>
  <si>
    <t>021.059-00</t>
  </si>
  <si>
    <t>2023/0008304-001A</t>
  </si>
  <si>
    <t>2023/0008304</t>
  </si>
  <si>
    <t>DTC3397</t>
  </si>
  <si>
    <t>017.167-00</t>
  </si>
  <si>
    <t>2022/0025949-001</t>
  </si>
  <si>
    <t>2022/0025949</t>
  </si>
  <si>
    <t>CZX2578</t>
  </si>
  <si>
    <t>029.728-00</t>
  </si>
  <si>
    <t>2024/0008460-001A</t>
  </si>
  <si>
    <t>2024/0008460</t>
  </si>
  <si>
    <t>FHQ3B39</t>
  </si>
  <si>
    <t>030.284-00</t>
  </si>
  <si>
    <t>2022/0033949-001</t>
  </si>
  <si>
    <t>2022/0033949</t>
  </si>
  <si>
    <t>KQY3236</t>
  </si>
  <si>
    <t>017.068-00</t>
  </si>
  <si>
    <t>2023/0017820-001</t>
  </si>
  <si>
    <t>2023/0017820</t>
  </si>
  <si>
    <t>DJC6541</t>
  </si>
  <si>
    <t>017.323-00</t>
  </si>
  <si>
    <t>2022/0026157-001</t>
  </si>
  <si>
    <t>2022/0026157</t>
  </si>
  <si>
    <t>CZX2574</t>
  </si>
  <si>
    <t>032.941-00</t>
  </si>
  <si>
    <t>2023/0009829-001</t>
  </si>
  <si>
    <t>2023/0009829</t>
  </si>
  <si>
    <t>ELW9824</t>
  </si>
  <si>
    <t>022.272-00</t>
  </si>
  <si>
    <t>2022/0032016-001A</t>
  </si>
  <si>
    <t>2022/0032016</t>
  </si>
  <si>
    <t>GAX5A89</t>
  </si>
  <si>
    <t>037.181-00</t>
  </si>
  <si>
    <t>2022/0026930-001</t>
  </si>
  <si>
    <t>2022/0026930</t>
  </si>
  <si>
    <t>CFY0590</t>
  </si>
  <si>
    <t>029.473-00</t>
  </si>
  <si>
    <t>2023/0014199-001</t>
  </si>
  <si>
    <t>2023/0014199</t>
  </si>
  <si>
    <t>EGJ9323</t>
  </si>
  <si>
    <t>020.671-00</t>
  </si>
  <si>
    <t>2023/0030966-001B</t>
  </si>
  <si>
    <t>2023/0030966</t>
  </si>
  <si>
    <t>MMA3I86</t>
  </si>
  <si>
    <t>018.510-00</t>
  </si>
  <si>
    <t>2023/0008783-001C</t>
  </si>
  <si>
    <t>2023/0008783</t>
  </si>
  <si>
    <t>GCU2G80</t>
  </si>
  <si>
    <t>044.469-00</t>
  </si>
  <si>
    <t>2022/0031386-001</t>
  </si>
  <si>
    <t>2022/0031386</t>
  </si>
  <si>
    <t>FJS3447</t>
  </si>
  <si>
    <t>023.480-00</t>
  </si>
  <si>
    <t>2023/0027928-001</t>
  </si>
  <si>
    <t>2023/0027928</t>
  </si>
  <si>
    <t>EFV7650</t>
  </si>
  <si>
    <t>043.197-00</t>
  </si>
  <si>
    <t>2023/0012621-001A</t>
  </si>
  <si>
    <t>2023/0012621</t>
  </si>
  <si>
    <t>STF3C60</t>
  </si>
  <si>
    <t>6020.2023/0024676-0</t>
  </si>
  <si>
    <t>6020.2022/0032557-9</t>
  </si>
  <si>
    <t>6020.2022/0031551-4</t>
  </si>
  <si>
    <t>6020.2022/0027963-1</t>
  </si>
  <si>
    <t>6020.2022/0029293-0</t>
  </si>
  <si>
    <t>6020.2023/0050738-5</t>
  </si>
  <si>
    <t>6020.2023/0008304-6</t>
  </si>
  <si>
    <t>6020.2022/0025949-5</t>
  </si>
  <si>
    <t>6020.2024/0008460-5</t>
  </si>
  <si>
    <t>6020.2022/0033949-9</t>
  </si>
  <si>
    <t>6020.2023/0017820-9</t>
  </si>
  <si>
    <t>6020.2022/0026157-0</t>
  </si>
  <si>
    <t>6020.2023/0009829-9</t>
  </si>
  <si>
    <t>6020.2022/0032016-0</t>
  </si>
  <si>
    <t>6020.2022/0026930-0</t>
  </si>
  <si>
    <t>6020.2023/0014199-2</t>
  </si>
  <si>
    <t>6020.2023/0030966-4</t>
  </si>
  <si>
    <t>6020.2023/0008783-1</t>
  </si>
  <si>
    <t>6020.2022/0031386-4</t>
  </si>
  <si>
    <t>6020.2023/0027928-5</t>
  </si>
  <si>
    <t>6020.2023/0012621-7</t>
  </si>
  <si>
    <t>177.790.378-51</t>
  </si>
  <si>
    <t>371.840.238-62</t>
  </si>
  <si>
    <t>132.846.468-76</t>
  </si>
  <si>
    <t>272.814.928-39</t>
  </si>
  <si>
    <t>277.219.168-01</t>
  </si>
  <si>
    <t>173.597.948-11</t>
  </si>
  <si>
    <t>262.594.418-86</t>
  </si>
  <si>
    <t>103.769.888-60</t>
  </si>
  <si>
    <t>284.997.118-98</t>
  </si>
  <si>
    <t>008.097.148-25</t>
  </si>
  <si>
    <t>075.136.208-57</t>
  </si>
  <si>
    <t>107.228.278-06</t>
  </si>
  <si>
    <t>177.789.048-96</t>
  </si>
  <si>
    <t>673.570.833-49</t>
  </si>
  <si>
    <t>370.741.418-36</t>
  </si>
  <si>
    <t>306.059.498-83</t>
  </si>
  <si>
    <t>124.750.678-96</t>
  </si>
  <si>
    <t>182.774.058-20</t>
  </si>
  <si>
    <t>200.932.088-39</t>
  </si>
  <si>
    <t>115.095.608-90</t>
  </si>
  <si>
    <t>274.743.758-26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</si>
</sst>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R$&quot;* #,##0.00_);_(&quot;R$&quot;* \(#,##0.00\);_(&quot;R$&quot;* &quot;-&quot;??_);_(@_)"/>
    <numFmt numFmtId="43" formatCode="_(* #,##0.00_);_(* \(#,##0.00\);_(* &quot;-&quot;??_);_(@_)"/>
    <numFmt numFmtId="164" formatCode="_-&quot;R$&quot;\ * #,##0.00_-;\-&quot;R$&quot;\ * #,##0.00_-;_-&quot;R$&quot;\ * &quot;-&quot;??_-;_-@_-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####\-#\.###\.###\-#"/>
    <numFmt numFmtId="171" formatCode="d/m/yy;@"/>
    <numFmt numFmtId="172" formatCode="dd/mm/yy;@"/>
    <numFmt numFmtId="173" formatCode="##&quot;- &quot;#\.###\.###\-#"/>
    <numFmt numFmtId="174" formatCode="mm/yy"/>
    <numFmt numFmtId="175" formatCode="0.0%"/>
    <numFmt numFmtId="176" formatCode="###\-#\.###\.###\-#"/>
    <numFmt numFmtId="177" formatCode="mmm/yyyy"/>
    <numFmt numFmtId="178" formatCode="_(&quot;R$ &quot;* #,##0.00_);_(&quot;R$ &quot;* \(#,##0.00\);_(&quot;R$ &quot;* &quot;-&quot;??_);_(@_)"/>
    <numFmt numFmtId="179" formatCode="_([$€-2]* #,##0.00_);_([$€-2]* \(#,##0.00\);_([$€-2]* &quot;-&quot;??_)"/>
    <numFmt numFmtId="180" formatCode="00"/>
    <numFmt numFmtId="181" formatCode="0.0000"/>
    <numFmt numFmtId="182" formatCode="[$-416]mmmm\-yy;@"/>
    <numFmt numFmtId="183" formatCode="_-* #,##0_-;\-* #,##0_-;_-* &quot;-&quot;??_-;_-@_-"/>
    <numFmt numFmtId="184" formatCode="dd/mm/yy"/>
    <numFmt numFmtId="185" formatCode="###\.###\.###\-##"/>
    <numFmt numFmtId="186" formatCode="0.000"/>
    <numFmt numFmtId="187" formatCode="_(&quot;R$&quot;* #,##0.00_);_(&quot;R$&quot;* \(#,##0.00\);_(&quot;R$&quot;* &quot;-&quot;??_);_(@_)"/>
    <numFmt numFmtId="188" formatCode="#,##0_ ;\-#,##0\ "/>
    <numFmt numFmtId="189" formatCode="_-[$R$-416]\ * #,##0.00_-;\-[$R$-416]\ * #,##0.00_-;_-[$R$-416]\ * &quot;-&quot;??_-;_-@_-"/>
    <numFmt numFmtId="190" formatCode="0.000%"/>
    <numFmt numFmtId="191" formatCode="_-&quot;R$&quot;\ * #,##0.000_-;\-&quot;R$&quot;\ * #,##0.000_-;_-&quot;R$&quot;\ * &quot;-&quot;??_-;_-@_-"/>
    <numFmt numFmtId="192" formatCode="_-&quot;R$&quot;\ * #,##0.00000_-;\-&quot;R$&quot;\ * #,##0.00000_-;_-&quot;R$&quot;\ * &quot;-&quot;??_-;_-@_-"/>
    <numFmt numFmtId="193" formatCode="_-[$R$-416]\ * #,##0.000_-;\-[$R$-416]\ * #,##0.000_-;_-[$R$-416]\ * &quot;-&quot;??_-;_-@_-"/>
    <numFmt numFmtId="194" formatCode="_-[$R$-416]\ * #,##0.0000_-;\-[$R$-416]\ * #,##0.0000_-;_-[$R$-416]\ * &quot;-&quot;??_-;_-@_-"/>
  </numFmts>
  <fonts count="10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Arial"/>
      <family val="2"/>
      <charset val="1"/>
    </font>
    <font>
      <sz val="10"/>
      <name val="MS Sans Serif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  <charset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1"/>
      <name val="Calibri"/>
      <family val="2"/>
    </font>
    <font>
      <sz val="9"/>
      <color indexed="8"/>
      <name val="Arial"/>
      <family val="2"/>
    </font>
    <font>
      <sz val="8"/>
      <name val="Calibri"/>
      <family val="2"/>
    </font>
    <font>
      <b/>
      <sz val="14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12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  <font>
      <sz val="8"/>
      <color indexed="2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u/>
      <sz val="8"/>
      <color theme="10"/>
      <name val="Arial"/>
      <family val="2"/>
    </font>
    <font>
      <b/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6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14"/>
      <name val="Arial"/>
      <family val="2"/>
    </font>
    <font>
      <sz val="9.5"/>
      <name val="Arial"/>
      <family val="2"/>
    </font>
    <font>
      <sz val="11"/>
      <color theme="0"/>
      <name val="Arial"/>
      <family val="2"/>
    </font>
    <font>
      <u/>
      <sz val="8.8000000000000007"/>
      <color theme="10"/>
      <name val="Calibri"/>
      <family val="2"/>
    </font>
    <font>
      <sz val="10"/>
      <color rgb="FF000000"/>
      <name val="Calibri"/>
      <family val="2"/>
      <scheme val="minor"/>
    </font>
    <font>
      <sz val="12"/>
      <name val="Calibri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1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0"/>
      <name val="Arial"/>
      <family val="2"/>
    </font>
    <font>
      <sz val="11"/>
      <color indexed="8"/>
      <name val="Arial"/>
      <family val="2"/>
    </font>
    <font>
      <sz val="9"/>
      <name val="Calibri"/>
      <family val="2"/>
    </font>
    <font>
      <b/>
      <sz val="9"/>
      <color indexed="8"/>
      <name val="Arial"/>
      <family val="2"/>
    </font>
    <font>
      <sz val="8.8000000000000007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5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Roboto"/>
    </font>
    <font>
      <sz val="6.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7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70C0"/>
        <bgColor indexed="40"/>
      </patternFill>
    </fill>
    <fill>
      <patternFill patternType="solid">
        <fgColor rgb="FF66FFCC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21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40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51"/>
      </patternFill>
    </fill>
    <fill>
      <patternFill patternType="solid">
        <fgColor rgb="FFFF0000"/>
        <bgColor indexed="31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CCCC"/>
        <bgColor rgb="FF33CCCC"/>
      </patternFill>
    </fill>
    <fill>
      <patternFill patternType="solid">
        <fgColor rgb="FF0066CC"/>
        <bgColor rgb="FF0066CC"/>
      </patternFill>
    </fill>
    <fill>
      <patternFill patternType="solid">
        <fgColor rgb="FF31859B"/>
        <bgColor rgb="FF31859B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00206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8A3E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rgb="FFE3F6FD"/>
        <bgColor theme="7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</fills>
  <borders count="20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30">
    <xf numFmtId="0" fontId="0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5" fillId="0" borderId="0"/>
    <xf numFmtId="0" fontId="24" fillId="0" borderId="0">
      <alignment vertical="top"/>
    </xf>
    <xf numFmtId="0" fontId="25" fillId="0" borderId="0"/>
    <xf numFmtId="0" fontId="52" fillId="0" borderId="0"/>
    <xf numFmtId="0" fontId="52" fillId="0" borderId="0"/>
    <xf numFmtId="0" fontId="2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26" fillId="0" borderId="0"/>
    <xf numFmtId="0" fontId="26" fillId="0" borderId="0"/>
    <xf numFmtId="0" fontId="52" fillId="0" borderId="0"/>
    <xf numFmtId="0" fontId="24" fillId="0" borderId="0">
      <alignment vertical="top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6" fillId="0" borderId="0"/>
    <xf numFmtId="0" fontId="26" fillId="0" borderId="0"/>
    <xf numFmtId="0" fontId="24" fillId="0" borderId="0">
      <alignment vertical="top"/>
    </xf>
    <xf numFmtId="0" fontId="26" fillId="0" borderId="0"/>
    <xf numFmtId="0" fontId="24" fillId="0" borderId="0"/>
    <xf numFmtId="0" fontId="27" fillId="0" borderId="0"/>
    <xf numFmtId="0" fontId="52" fillId="23" borderId="7" applyNumberFormat="0" applyAlignment="0" applyProtection="0"/>
    <xf numFmtId="0" fontId="52" fillId="23" borderId="7" applyNumberFormat="0" applyAlignment="0" applyProtection="0"/>
    <xf numFmtId="0" fontId="28" fillId="20" borderId="8" applyNumberFormat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9" fontId="52" fillId="0" borderId="0" applyFill="0" applyBorder="0" applyAlignment="0" applyProtection="0"/>
    <xf numFmtId="0" fontId="29" fillId="0" borderId="0"/>
    <xf numFmtId="0" fontId="30" fillId="0" borderId="0" applyNumberFormat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0" fontId="31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13" fillId="30" borderId="0" applyNumberFormat="0" applyBorder="0" applyAlignment="0" applyProtection="0"/>
    <xf numFmtId="0" fontId="55" fillId="0" borderId="22" applyProtection="0"/>
    <xf numFmtId="0" fontId="56" fillId="0" borderId="0"/>
    <xf numFmtId="0" fontId="25" fillId="0" borderId="0"/>
    <xf numFmtId="0" fontId="25" fillId="0" borderId="0"/>
    <xf numFmtId="0" fontId="29" fillId="0" borderId="0"/>
    <xf numFmtId="168" fontId="25" fillId="0" borderId="0" applyBorder="0" applyProtection="0"/>
    <xf numFmtId="168" fontId="25" fillId="0" borderId="0" applyBorder="0" applyProtection="0"/>
    <xf numFmtId="0" fontId="17" fillId="31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3" fillId="32" borderId="0" applyNumberFormat="0" applyBorder="0" applyAlignment="0" applyProtection="0"/>
    <xf numFmtId="0" fontId="52" fillId="0" borderId="0"/>
    <xf numFmtId="0" fontId="26" fillId="33" borderId="13" applyNumberFormat="0" applyFont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10" fillId="0" borderId="0"/>
    <xf numFmtId="0" fontId="58" fillId="0" borderId="0"/>
    <xf numFmtId="0" fontId="59" fillId="0" borderId="0"/>
    <xf numFmtId="0" fontId="60" fillId="0" borderId="0"/>
    <xf numFmtId="179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9" fillId="0" borderId="0"/>
    <xf numFmtId="0" fontId="9" fillId="0" borderId="0"/>
    <xf numFmtId="0" fontId="26" fillId="0" borderId="0"/>
    <xf numFmtId="0" fontId="60" fillId="0" borderId="0"/>
    <xf numFmtId="9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55" fillId="0" borderId="22" applyProtection="0"/>
    <xf numFmtId="0" fontId="9" fillId="0" borderId="0"/>
    <xf numFmtId="0" fontId="9" fillId="0" borderId="0"/>
    <xf numFmtId="0" fontId="9" fillId="0" borderId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5" fillId="0" borderId="22" applyProtection="0"/>
    <xf numFmtId="43" fontId="52" fillId="0" borderId="0" applyFont="0" applyFill="0" applyBorder="0" applyAlignment="0" applyProtection="0"/>
    <xf numFmtId="0" fontId="9" fillId="0" borderId="0"/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0" fontId="9" fillId="0" borderId="0"/>
    <xf numFmtId="0" fontId="11" fillId="0" borderId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60" fillId="0" borderId="0"/>
    <xf numFmtId="0" fontId="55" fillId="0" borderId="22" applyProtection="0"/>
    <xf numFmtId="0" fontId="52" fillId="0" borderId="0"/>
    <xf numFmtId="9" fontId="52" fillId="0" borderId="0" applyFill="0" applyBorder="0" applyAlignment="0" applyProtection="0"/>
    <xf numFmtId="0" fontId="8" fillId="0" borderId="0"/>
    <xf numFmtId="0" fontId="14" fillId="46" borderId="1" applyNumberFormat="0" applyAlignment="0" applyProtection="0"/>
    <xf numFmtId="0" fontId="52" fillId="0" borderId="0"/>
    <xf numFmtId="0" fontId="52" fillId="0" borderId="0"/>
    <xf numFmtId="0" fontId="52" fillId="0" borderId="0"/>
    <xf numFmtId="0" fontId="7" fillId="0" borderId="0"/>
    <xf numFmtId="0" fontId="52" fillId="23" borderId="13" applyNumberFormat="0" applyAlignment="0" applyProtection="0"/>
    <xf numFmtId="0" fontId="52" fillId="23" borderId="13" applyNumberFormat="0" applyAlignment="0" applyProtection="0"/>
    <xf numFmtId="0" fontId="26" fillId="33" borderId="13" applyNumberFormat="0" applyFont="0" applyAlignment="0" applyProtection="0"/>
    <xf numFmtId="0" fontId="6" fillId="0" borderId="0"/>
    <xf numFmtId="44" fontId="6" fillId="0" borderId="0" applyFont="0" applyFill="0" applyBorder="0" applyAlignment="0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20" fillId="0" borderId="5" applyNumberFormat="0" applyFill="0" applyAlignment="0" applyProtection="0"/>
    <xf numFmtId="0" fontId="21" fillId="47" borderId="1" applyNumberFormat="0" applyAlignment="0" applyProtection="0"/>
    <xf numFmtId="0" fontId="28" fillId="46" borderId="8" applyNumberFormat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0" fontId="65" fillId="0" borderId="0" applyNumberFormat="0" applyFill="0" applyBorder="0" applyAlignment="0" applyProtection="0">
      <alignment vertical="top"/>
      <protection locked="0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26" fillId="33" borderId="54" applyNumberFormat="0" applyFont="0" applyAlignment="0" applyProtection="0"/>
    <xf numFmtId="0" fontId="26" fillId="33" borderId="54" applyNumberFormat="0" applyFont="0" applyAlignment="0" applyProtection="0"/>
    <xf numFmtId="9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6" fillId="0" borderId="0"/>
    <xf numFmtId="0" fontId="66" fillId="0" borderId="0"/>
    <xf numFmtId="164" fontId="52" fillId="0" borderId="0" applyFont="0" applyFill="0" applyBorder="0" applyAlignment="0" applyProtection="0"/>
    <xf numFmtId="0" fontId="28" fillId="46" borderId="128" applyNumberFormat="0" applyAlignment="0" applyProtection="0"/>
    <xf numFmtId="0" fontId="52" fillId="23" borderId="116" applyNumberFormat="0" applyAlignment="0" applyProtection="0"/>
    <xf numFmtId="0" fontId="55" fillId="0" borderId="114" applyProtection="0"/>
    <xf numFmtId="0" fontId="55" fillId="0" borderId="114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55" fillId="0" borderId="109" applyProtection="0"/>
    <xf numFmtId="0" fontId="55" fillId="0" borderId="114" applyProtection="0"/>
    <xf numFmtId="0" fontId="55" fillId="0" borderId="129" applyProtection="0"/>
    <xf numFmtId="0" fontId="55" fillId="0" borderId="109" applyProtection="0"/>
    <xf numFmtId="0" fontId="28" fillId="46" borderId="99" applyNumberFormat="0" applyAlignment="0" applyProtection="0"/>
    <xf numFmtId="0" fontId="21" fillId="47" borderId="98" applyNumberFormat="0" applyAlignment="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5" applyProtection="0"/>
    <xf numFmtId="0" fontId="52" fillId="23" borderId="116" applyNumberFormat="0" applyAlignment="0" applyProtection="0"/>
    <xf numFmtId="0" fontId="55" fillId="0" borderId="109" applyProtection="0"/>
    <xf numFmtId="0" fontId="14" fillId="46" borderId="98" applyNumberFormat="0" applyAlignment="0" applyProtection="0"/>
    <xf numFmtId="0" fontId="55" fillId="0" borderId="100" applyProtection="0"/>
    <xf numFmtId="0" fontId="21" fillId="47" borderId="117" applyNumberFormat="0" applyAlignment="0" applyProtection="0"/>
    <xf numFmtId="0" fontId="28" fillId="46" borderId="113" applyNumberFormat="0" applyAlignment="0" applyProtection="0"/>
    <xf numFmtId="0" fontId="55" fillId="0" borderId="100" applyProtection="0"/>
    <xf numFmtId="0" fontId="21" fillId="7" borderId="103" applyNumberFormat="0" applyAlignment="0" applyProtection="0"/>
    <xf numFmtId="0" fontId="55" fillId="0" borderId="105" applyProtection="0"/>
    <xf numFmtId="0" fontId="55" fillId="0" borderId="105" applyProtection="0"/>
    <xf numFmtId="0" fontId="28" fillId="46" borderId="108" applyNumberFormat="0" applyAlignment="0" applyProtection="0"/>
    <xf numFmtId="0" fontId="55" fillId="0" borderId="119" applyProtection="0"/>
    <xf numFmtId="0" fontId="55" fillId="0" borderId="119" applyProtection="0"/>
    <xf numFmtId="0" fontId="52" fillId="23" borderId="110" applyNumberFormat="0" applyAlignment="0" applyProtection="0"/>
    <xf numFmtId="0" fontId="55" fillId="0" borderId="100" applyProtection="0"/>
    <xf numFmtId="0" fontId="55" fillId="0" borderId="109" applyProtection="0"/>
    <xf numFmtId="0" fontId="28" fillId="20" borderId="118" applyNumberFormat="0" applyAlignment="0" applyProtection="0"/>
    <xf numFmtId="0" fontId="14" fillId="46" borderId="112" applyNumberFormat="0" applyAlignment="0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26" fillId="33" borderId="126" applyNumberFormat="0" applyFont="0" applyAlignment="0" applyProtection="0"/>
    <xf numFmtId="0" fontId="28" fillId="20" borderId="108" applyNumberFormat="0" applyAlignment="0" applyProtection="0"/>
    <xf numFmtId="0" fontId="28" fillId="20" borderId="104" applyNumberFormat="0" applyAlignment="0" applyProtection="0"/>
    <xf numFmtId="0" fontId="52" fillId="23" borderId="110" applyNumberFormat="0" applyAlignment="0" applyProtection="0"/>
    <xf numFmtId="0" fontId="55" fillId="0" borderId="109" applyProtection="0"/>
    <xf numFmtId="0" fontId="26" fillId="33" borderId="116" applyNumberFormat="0" applyFont="0" applyAlignment="0" applyProtection="0"/>
    <xf numFmtId="0" fontId="52" fillId="23" borderId="110" applyNumberFormat="0" applyAlignment="0" applyProtection="0"/>
    <xf numFmtId="0" fontId="55" fillId="0" borderId="105" applyProtection="0"/>
    <xf numFmtId="0" fontId="52" fillId="23" borderId="126" applyNumberFormat="0" applyAlignment="0" applyProtection="0"/>
    <xf numFmtId="0" fontId="14" fillId="46" borderId="103" applyNumberFormat="0" applyAlignment="0" applyProtection="0"/>
    <xf numFmtId="0" fontId="21" fillId="7" borderId="98" applyNumberFormat="0" applyAlignment="0" applyProtection="0"/>
    <xf numFmtId="0" fontId="55" fillId="0" borderId="109" applyProtection="0"/>
    <xf numFmtId="0" fontId="14" fillId="46" borderId="107" applyNumberFormat="0" applyAlignment="0" applyProtection="0"/>
    <xf numFmtId="0" fontId="21" fillId="47" borderId="127" applyNumberFormat="0" applyAlignment="0" applyProtection="0"/>
    <xf numFmtId="0" fontId="55" fillId="0" borderId="105" applyProtection="0"/>
    <xf numFmtId="0" fontId="55" fillId="0" borderId="114" applyProtection="0"/>
    <xf numFmtId="0" fontId="55" fillId="0" borderId="129" applyProtection="0"/>
    <xf numFmtId="0" fontId="14" fillId="20" borderId="107" applyNumberFormat="0" applyAlignment="0" applyProtection="0"/>
    <xf numFmtId="0" fontId="55" fillId="0" borderId="119" applyProtection="0"/>
    <xf numFmtId="0" fontId="55" fillId="0" borderId="105" applyProtection="0"/>
    <xf numFmtId="0" fontId="55" fillId="0" borderId="129" applyProtection="0"/>
    <xf numFmtId="0" fontId="52" fillId="23" borderId="106" applyNumberFormat="0" applyAlignment="0" applyProtection="0"/>
    <xf numFmtId="0" fontId="3" fillId="0" borderId="0"/>
    <xf numFmtId="0" fontId="55" fillId="0" borderId="114" applyProtection="0"/>
    <xf numFmtId="0" fontId="28" fillId="20" borderId="99" applyNumberFormat="0" applyAlignment="0" applyProtection="0"/>
    <xf numFmtId="0" fontId="3" fillId="0" borderId="0"/>
    <xf numFmtId="0" fontId="3" fillId="0" borderId="0"/>
    <xf numFmtId="0" fontId="52" fillId="23" borderId="126" applyNumberFormat="0" applyAlignment="0" applyProtection="0"/>
    <xf numFmtId="0" fontId="55" fillId="0" borderId="114" applyProtection="0"/>
    <xf numFmtId="0" fontId="3" fillId="0" borderId="0"/>
    <xf numFmtId="0" fontId="3" fillId="0" borderId="0"/>
    <xf numFmtId="0" fontId="3" fillId="0" borderId="0"/>
    <xf numFmtId="0" fontId="55" fillId="0" borderId="109" applyProtection="0"/>
    <xf numFmtId="0" fontId="14" fillId="20" borderId="127" applyNumberFormat="0" applyAlignment="0" applyProtection="0"/>
    <xf numFmtId="0" fontId="3" fillId="0" borderId="0"/>
    <xf numFmtId="0" fontId="3" fillId="0" borderId="0"/>
    <xf numFmtId="0" fontId="3" fillId="0" borderId="0"/>
    <xf numFmtId="0" fontId="52" fillId="23" borderId="110" applyNumberFormat="0" applyAlignment="0" applyProtection="0"/>
    <xf numFmtId="0" fontId="3" fillId="0" borderId="0"/>
    <xf numFmtId="0" fontId="14" fillId="20" borderId="112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33" borderId="116" applyNumberFormat="0" applyFont="0" applyAlignment="0" applyProtection="0"/>
    <xf numFmtId="0" fontId="3" fillId="0" borderId="0"/>
    <xf numFmtId="0" fontId="55" fillId="0" borderId="129" applyProtection="0"/>
    <xf numFmtId="0" fontId="3" fillId="0" borderId="0"/>
    <xf numFmtId="0" fontId="21" fillId="47" borderId="107" applyNumberFormat="0" applyAlignment="0" applyProtection="0"/>
    <xf numFmtId="0" fontId="3" fillId="0" borderId="0"/>
    <xf numFmtId="44" fontId="3" fillId="0" borderId="0" applyFont="0" applyFill="0" applyBorder="0" applyAlignment="0" applyProtection="0"/>
    <xf numFmtId="0" fontId="55" fillId="0" borderId="100" applyProtection="0"/>
    <xf numFmtId="0" fontId="55" fillId="0" borderId="105" applyProtection="0"/>
    <xf numFmtId="0" fontId="28" fillId="46" borderId="104" applyNumberFormat="0" applyAlignment="0" applyProtection="0"/>
    <xf numFmtId="0" fontId="55" fillId="0" borderId="119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4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119" applyProtection="0"/>
    <xf numFmtId="0" fontId="55" fillId="0" borderId="129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26" fillId="33" borderId="97" applyNumberFormat="0" applyFont="0" applyAlignment="0" applyProtection="0"/>
    <xf numFmtId="0" fontId="26" fillId="33" borderId="97" applyNumberFormat="0" applyFont="0" applyAlignment="0" applyProtection="0"/>
    <xf numFmtId="9" fontId="3" fillId="0" borderId="0" applyFont="0" applyFill="0" applyBorder="0" applyAlignment="0" applyProtection="0"/>
    <xf numFmtId="0" fontId="55" fillId="0" borderId="129" applyProtection="0"/>
    <xf numFmtId="0" fontId="55" fillId="0" borderId="105" applyProtection="0"/>
    <xf numFmtId="0" fontId="21" fillId="47" borderId="103" applyNumberFormat="0" applyAlignment="0" applyProtection="0"/>
    <xf numFmtId="0" fontId="14" fillId="46" borderId="117" applyNumberFormat="0" applyAlignment="0" applyProtection="0"/>
    <xf numFmtId="0" fontId="14" fillId="20" borderId="98" applyNumberFormat="0" applyAlignment="0" applyProtection="0"/>
    <xf numFmtId="0" fontId="21" fillId="7" borderId="107" applyNumberFormat="0" applyAlignment="0" applyProtection="0"/>
    <xf numFmtId="0" fontId="52" fillId="23" borderId="126" applyNumberFormat="0" applyAlignment="0" applyProtection="0"/>
    <xf numFmtId="0" fontId="55" fillId="0" borderId="114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8" fillId="20" borderId="113" applyNumberFormat="0" applyAlignment="0" applyProtection="0"/>
    <xf numFmtId="43" fontId="3" fillId="0" borderId="0" applyFont="0" applyFill="0" applyBorder="0" applyAlignment="0" applyProtection="0"/>
    <xf numFmtId="0" fontId="26" fillId="33" borderId="106" applyNumberFormat="0" applyFont="0" applyAlignment="0" applyProtection="0"/>
    <xf numFmtId="0" fontId="55" fillId="0" borderId="119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26" fillId="33" borderId="102" applyNumberFormat="0" applyFont="0" applyAlignment="0" applyProtection="0"/>
    <xf numFmtId="0" fontId="26" fillId="33" borderId="102" applyNumberFormat="0" applyFont="0" applyAlignment="0" applyProtection="0"/>
    <xf numFmtId="0" fontId="55" fillId="0" borderId="119" applyProtection="0"/>
    <xf numFmtId="0" fontId="55" fillId="0" borderId="129" applyProtection="0"/>
    <xf numFmtId="0" fontId="14" fillId="20" borderId="103" applyNumberFormat="0" applyAlignment="0" applyProtection="0"/>
    <xf numFmtId="0" fontId="26" fillId="33" borderId="126" applyNumberFormat="0" applyFont="0" applyAlignment="0" applyProtection="0"/>
    <xf numFmtId="0" fontId="52" fillId="23" borderId="106" applyNumberFormat="0" applyAlignment="0" applyProtection="0"/>
    <xf numFmtId="0" fontId="26" fillId="33" borderId="106" applyNumberFormat="0" applyFont="0" applyAlignment="0" applyProtection="0"/>
    <xf numFmtId="0" fontId="55" fillId="0" borderId="114" applyProtection="0"/>
    <xf numFmtId="0" fontId="55" fillId="0" borderId="109" applyProtection="0"/>
    <xf numFmtId="0" fontId="26" fillId="33" borderId="110" applyNumberFormat="0" applyFont="0" applyAlignment="0" applyProtection="0"/>
    <xf numFmtId="0" fontId="26" fillId="33" borderId="110" applyNumberFormat="0" applyFont="0" applyAlignment="0" applyProtection="0"/>
    <xf numFmtId="0" fontId="21" fillId="7" borderId="112" applyNumberFormat="0" applyAlignment="0" applyProtection="0"/>
    <xf numFmtId="0" fontId="14" fillId="20" borderId="117" applyNumberFormat="0" applyAlignment="0" applyProtection="0"/>
    <xf numFmtId="0" fontId="14" fillId="46" borderId="127" applyNumberFormat="0" applyAlignment="0" applyProtection="0"/>
    <xf numFmtId="0" fontId="21" fillId="47" borderId="112" applyNumberFormat="0" applyAlignment="0" applyProtection="0"/>
    <xf numFmtId="0" fontId="28" fillId="46" borderId="11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21" fillId="7" borderId="127" applyNumberFormat="0" applyAlignment="0" applyProtection="0"/>
    <xf numFmtId="0" fontId="55" fillId="0" borderId="119" applyProtection="0"/>
    <xf numFmtId="0" fontId="55" fillId="0" borderId="129" applyProtection="0"/>
    <xf numFmtId="0" fontId="21" fillId="7" borderId="117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28" fillId="20" borderId="128" applyNumberFormat="0" applyAlignment="0" applyProtection="0"/>
    <xf numFmtId="0" fontId="14" fillId="46" borderId="127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8" fillId="20" borderId="12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26" fillId="33" borderId="126" applyNumberFormat="0" applyFon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55" fillId="0" borderId="129" applyProtection="0"/>
    <xf numFmtId="0" fontId="14" fillId="20" borderId="127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14" fillId="20" borderId="127" applyNumberFormat="0" applyAlignment="0" applyProtection="0"/>
    <xf numFmtId="0" fontId="26" fillId="33" borderId="126" applyNumberFormat="0" applyFon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14" fillId="46" borderId="127" applyNumberFormat="0" applyAlignment="0" applyProtection="0"/>
    <xf numFmtId="0" fontId="14" fillId="20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14" fillId="20" borderId="127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5" fillId="0" borderId="129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21" fillId="7" borderId="127" applyNumberFormat="0" applyAlignment="0" applyProtection="0"/>
    <xf numFmtId="0" fontId="14" fillId="20" borderId="127" applyNumberFormat="0" applyAlignment="0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43" fontId="52" fillId="0" borderId="0" applyFont="0" applyFill="0" applyBorder="0" applyAlignment="0" applyProtection="0"/>
    <xf numFmtId="0" fontId="24" fillId="0" borderId="0"/>
    <xf numFmtId="0" fontId="2" fillId="0" borderId="0"/>
    <xf numFmtId="0" fontId="27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2" fillId="0" borderId="0"/>
    <xf numFmtId="0" fontId="1" fillId="0" borderId="0"/>
    <xf numFmtId="187" fontId="1" fillId="0" borderId="0" applyFont="0" applyFill="0" applyBorder="0" applyAlignment="0" applyProtection="0"/>
    <xf numFmtId="0" fontId="91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901">
    <xf numFmtId="0" fontId="0" fillId="0" borderId="0" xfId="0"/>
    <xf numFmtId="14" fontId="37" fillId="25" borderId="0" xfId="107" applyNumberFormat="1" applyFont="1" applyFill="1" applyAlignment="1">
      <alignment horizontal="center"/>
    </xf>
    <xf numFmtId="0" fontId="52" fillId="25" borderId="0" xfId="107" applyFill="1"/>
    <xf numFmtId="0" fontId="52" fillId="0" borderId="0" xfId="107"/>
    <xf numFmtId="0" fontId="33" fillId="0" borderId="0" xfId="0" applyFont="1"/>
    <xf numFmtId="0" fontId="37" fillId="0" borderId="0" xfId="0" applyFont="1"/>
    <xf numFmtId="0" fontId="37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1" fontId="0" fillId="20" borderId="0" xfId="0" applyNumberFormat="1" applyFill="1" applyAlignment="1">
      <alignment horizontal="center" vertical="center"/>
    </xf>
    <xf numFmtId="0" fontId="52" fillId="0" borderId="0" xfId="82"/>
    <xf numFmtId="0" fontId="52" fillId="0" borderId="0" xfId="82" applyAlignment="1">
      <alignment wrapText="1"/>
    </xf>
    <xf numFmtId="0" fontId="0" fillId="0" borderId="0" xfId="82" applyFont="1" applyAlignment="1">
      <alignment vertical="center" textRotation="180" wrapText="1"/>
    </xf>
    <xf numFmtId="0" fontId="0" fillId="0" borderId="0" xfId="82" applyFont="1"/>
    <xf numFmtId="0" fontId="37" fillId="0" borderId="0" xfId="82" applyFont="1"/>
    <xf numFmtId="0" fontId="43" fillId="0" borderId="0" xfId="82" applyFont="1"/>
    <xf numFmtId="0" fontId="37" fillId="0" borderId="0" xfId="82" applyFont="1" applyAlignment="1">
      <alignment vertical="center"/>
    </xf>
    <xf numFmtId="0" fontId="35" fillId="0" borderId="0" xfId="82" applyFont="1" applyAlignment="1">
      <alignment horizontal="center" vertical="center"/>
    </xf>
    <xf numFmtId="1" fontId="52" fillId="0" borderId="0" xfId="82" applyNumberFormat="1"/>
    <xf numFmtId="0" fontId="33" fillId="6" borderId="0" xfId="82" applyFont="1" applyFill="1" applyAlignment="1" applyProtection="1">
      <alignment horizontal="left"/>
      <protection locked="0"/>
    </xf>
    <xf numFmtId="0" fontId="37" fillId="6" borderId="0" xfId="82" applyFont="1" applyFill="1" applyProtection="1">
      <protection locked="0"/>
    </xf>
    <xf numFmtId="0" fontId="33" fillId="6" borderId="0" xfId="82" applyFont="1" applyFill="1" applyAlignment="1" applyProtection="1">
      <alignment vertical="center"/>
      <protection locked="0"/>
    </xf>
    <xf numFmtId="0" fontId="32" fillId="0" borderId="0" xfId="82" applyFont="1" applyAlignment="1">
      <alignment vertical="center" textRotation="180" wrapText="1"/>
    </xf>
    <xf numFmtId="0" fontId="33" fillId="6" borderId="0" xfId="82" applyFont="1" applyFill="1" applyAlignment="1" applyProtection="1">
      <alignment horizontal="left" vertical="center"/>
      <protection locked="0"/>
    </xf>
    <xf numFmtId="0" fontId="33" fillId="6" borderId="0" xfId="82" applyFont="1" applyFill="1" applyAlignment="1" applyProtection="1">
      <alignment horizontal="center" vertical="center"/>
      <protection locked="0"/>
    </xf>
    <xf numFmtId="0" fontId="46" fillId="6" borderId="0" xfId="82" applyFont="1" applyFill="1" applyAlignment="1" applyProtection="1">
      <alignment horizontal="left"/>
      <protection locked="0"/>
    </xf>
    <xf numFmtId="0" fontId="46" fillId="6" borderId="0" xfId="82" applyFont="1" applyFill="1" applyAlignment="1" applyProtection="1">
      <alignment horizontal="left" vertical="center"/>
      <protection locked="0"/>
    </xf>
    <xf numFmtId="0" fontId="46" fillId="6" borderId="0" xfId="82" applyFont="1" applyFill="1" applyAlignment="1" applyProtection="1">
      <alignment horizontal="center" vertical="center"/>
      <protection locked="0"/>
    </xf>
    <xf numFmtId="0" fontId="33" fillId="0" borderId="0" xfId="82" applyFont="1"/>
    <xf numFmtId="1" fontId="33" fillId="0" borderId="0" xfId="82" applyNumberFormat="1" applyFont="1"/>
    <xf numFmtId="174" fontId="35" fillId="0" borderId="0" xfId="82" applyNumberFormat="1" applyFont="1"/>
    <xf numFmtId="14" fontId="33" fillId="0" borderId="0" xfId="82" applyNumberFormat="1" applyFont="1"/>
    <xf numFmtId="169" fontId="32" fillId="0" borderId="0" xfId="82" applyNumberFormat="1" applyFont="1" applyAlignment="1">
      <alignment vertical="center" textRotation="180" wrapText="1"/>
    </xf>
    <xf numFmtId="0" fontId="52" fillId="24" borderId="0" xfId="82" applyFill="1"/>
    <xf numFmtId="2" fontId="52" fillId="24" borderId="0" xfId="82" applyNumberFormat="1" applyFill="1"/>
    <xf numFmtId="2" fontId="33" fillId="24" borderId="0" xfId="82" applyNumberFormat="1" applyFont="1" applyFill="1"/>
    <xf numFmtId="0" fontId="0" fillId="24" borderId="0" xfId="82" applyFont="1" applyFill="1"/>
    <xf numFmtId="0" fontId="43" fillId="24" borderId="0" xfId="82" applyFont="1" applyFill="1"/>
    <xf numFmtId="0" fontId="33" fillId="24" borderId="0" xfId="82" applyFont="1" applyFill="1"/>
    <xf numFmtId="0" fontId="0" fillId="0" borderId="0" xfId="82" applyFont="1" applyAlignment="1">
      <alignment horizontal="left"/>
    </xf>
    <xf numFmtId="0" fontId="52" fillId="0" borderId="0" xfId="82" applyAlignment="1">
      <alignment horizontal="left"/>
    </xf>
    <xf numFmtId="0" fontId="52" fillId="24" borderId="0" xfId="82" applyFill="1" applyAlignment="1">
      <alignment horizontal="left"/>
    </xf>
    <xf numFmtId="49" fontId="45" fillId="24" borderId="0" xfId="116" applyNumberFormat="1" applyFont="1" applyFill="1" applyAlignment="1">
      <alignment horizontal="center" vertical="center"/>
    </xf>
    <xf numFmtId="4" fontId="37" fillId="24" borderId="0" xfId="82" applyNumberFormat="1" applyFont="1" applyFill="1" applyAlignment="1">
      <alignment horizontal="center" vertical="center"/>
    </xf>
    <xf numFmtId="2" fontId="37" fillId="24" borderId="0" xfId="82" applyNumberFormat="1" applyFont="1" applyFill="1" applyAlignment="1">
      <alignment horizontal="center"/>
    </xf>
    <xf numFmtId="4" fontId="37" fillId="24" borderId="0" xfId="82" applyNumberFormat="1" applyFont="1" applyFill="1" applyAlignment="1">
      <alignment horizontal="center"/>
    </xf>
    <xf numFmtId="4" fontId="47" fillId="24" borderId="0" xfId="82" applyNumberFormat="1" applyFont="1" applyFill="1" applyAlignment="1">
      <alignment horizontal="center" vertical="center"/>
    </xf>
    <xf numFmtId="0" fontId="47" fillId="24" borderId="0" xfId="82" applyFont="1" applyFill="1" applyAlignment="1">
      <alignment horizontal="center" vertical="center"/>
    </xf>
    <xf numFmtId="0" fontId="52" fillId="0" borderId="0" xfId="68"/>
    <xf numFmtId="4" fontId="48" fillId="24" borderId="0" xfId="82" applyNumberFormat="1" applyFont="1" applyFill="1" applyAlignment="1">
      <alignment horizontal="center"/>
    </xf>
    <xf numFmtId="175" fontId="48" fillId="24" borderId="0" xfId="82" applyNumberFormat="1" applyFont="1" applyFill="1" applyAlignment="1">
      <alignment horizontal="center"/>
    </xf>
    <xf numFmtId="4" fontId="48" fillId="24" borderId="0" xfId="82" applyNumberFormat="1" applyFont="1" applyFill="1"/>
    <xf numFmtId="0" fontId="37" fillId="24" borderId="0" xfId="82" applyFont="1" applyFill="1"/>
    <xf numFmtId="4" fontId="52" fillId="0" borderId="0" xfId="82" applyNumberFormat="1"/>
    <xf numFmtId="0" fontId="52" fillId="0" borderId="0" xfId="83"/>
    <xf numFmtId="0" fontId="52" fillId="0" borderId="0" xfId="83" applyAlignment="1">
      <alignment vertical="center"/>
    </xf>
    <xf numFmtId="0" fontId="52" fillId="0" borderId="0" xfId="83" applyAlignment="1">
      <alignment horizontal="center"/>
    </xf>
    <xf numFmtId="0" fontId="52" fillId="0" borderId="0" xfId="83" applyAlignment="1">
      <alignment shrinkToFit="1"/>
    </xf>
    <xf numFmtId="4" fontId="52" fillId="0" borderId="0" xfId="83" applyNumberFormat="1"/>
    <xf numFmtId="0" fontId="38" fillId="0" borderId="0" xfId="78" applyFont="1"/>
    <xf numFmtId="0" fontId="52" fillId="0" borderId="0" xfId="83" applyAlignment="1">
      <alignment horizontal="center" shrinkToFit="1"/>
    </xf>
    <xf numFmtId="171" fontId="3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52" fillId="24" borderId="0" xfId="82" applyFill="1" applyAlignment="1">
      <alignment horizontal="left" vertical="center"/>
    </xf>
    <xf numFmtId="0" fontId="43" fillId="24" borderId="0" xfId="82" applyFont="1" applyFill="1" applyAlignment="1">
      <alignment horizontal="left" vertical="center"/>
    </xf>
    <xf numFmtId="0" fontId="0" fillId="24" borderId="0" xfId="82" applyFont="1" applyFill="1" applyAlignment="1">
      <alignment horizontal="left" wrapText="1"/>
    </xf>
    <xf numFmtId="0" fontId="52" fillId="0" borderId="18" xfId="81" applyBorder="1"/>
    <xf numFmtId="0" fontId="52" fillId="0" borderId="21" xfId="81" applyBorder="1"/>
    <xf numFmtId="0" fontId="52" fillId="0" borderId="16" xfId="81" applyBorder="1"/>
    <xf numFmtId="0" fontId="52" fillId="0" borderId="0" xfId="81"/>
    <xf numFmtId="0" fontId="54" fillId="0" borderId="0" xfId="141" applyFill="1" applyBorder="1" applyAlignment="1" applyProtection="1"/>
    <xf numFmtId="14" fontId="33" fillId="0" borderId="0" xfId="82" applyNumberFormat="1" applyFont="1" applyAlignment="1">
      <alignment horizontal="center"/>
    </xf>
    <xf numFmtId="4" fontId="52" fillId="24" borderId="0" xfId="82" applyNumberFormat="1" applyFill="1"/>
    <xf numFmtId="177" fontId="33" fillId="0" borderId="25" xfId="81" applyNumberFormat="1" applyFont="1" applyBorder="1" applyAlignment="1">
      <alignment horizontal="left"/>
    </xf>
    <xf numFmtId="0" fontId="52" fillId="0" borderId="25" xfId="81" applyBorder="1"/>
    <xf numFmtId="0" fontId="37" fillId="0" borderId="0" xfId="0" applyFont="1" applyAlignment="1">
      <alignment vertical="center"/>
    </xf>
    <xf numFmtId="0" fontId="49" fillId="0" borderId="0" xfId="0" applyFont="1"/>
    <xf numFmtId="0" fontId="49" fillId="0" borderId="0" xfId="0" applyFont="1" applyAlignment="1">
      <alignment horizontal="center" vertical="center"/>
    </xf>
    <xf numFmtId="1" fontId="0" fillId="20" borderId="15" xfId="0" applyNumberFormat="1" applyFill="1" applyBorder="1" applyAlignment="1">
      <alignment horizontal="center" vertical="center" wrapText="1"/>
    </xf>
    <xf numFmtId="0" fontId="49" fillId="0" borderId="0" xfId="82" applyFont="1"/>
    <xf numFmtId="0" fontId="0" fillId="0" borderId="0" xfId="89" applyFont="1"/>
    <xf numFmtId="0" fontId="49" fillId="37" borderId="0" xfId="0" applyFont="1" applyFill="1"/>
    <xf numFmtId="0" fontId="49" fillId="37" borderId="0" xfId="0" applyFont="1" applyFill="1" applyAlignment="1">
      <alignment horizontal="center" vertical="center"/>
    </xf>
    <xf numFmtId="0" fontId="62" fillId="0" borderId="0" xfId="0" applyFont="1"/>
    <xf numFmtId="0" fontId="41" fillId="0" borderId="0" xfId="0" applyFont="1"/>
    <xf numFmtId="0" fontId="46" fillId="0" borderId="0" xfId="82" applyFont="1" applyAlignment="1" applyProtection="1">
      <alignment horizontal="left"/>
      <protection locked="0"/>
    </xf>
    <xf numFmtId="0" fontId="49" fillId="37" borderId="0" xfId="0" applyFont="1" applyFill="1" applyAlignment="1">
      <alignment vertical="center"/>
    </xf>
    <xf numFmtId="0" fontId="49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2" fillId="37" borderId="0" xfId="0" applyFont="1" applyFill="1" applyAlignment="1">
      <alignment horizontal="center" vertical="center"/>
    </xf>
    <xf numFmtId="0" fontId="0" fillId="0" borderId="0" xfId="83" applyFont="1"/>
    <xf numFmtId="0" fontId="37" fillId="0" borderId="0" xfId="0" applyFont="1" applyAlignment="1">
      <alignment horizontal="left"/>
    </xf>
    <xf numFmtId="0" fontId="37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107" applyFont="1" applyAlignment="1" applyProtection="1">
      <alignment horizontal="center" vertical="center"/>
      <protection locked="0"/>
    </xf>
    <xf numFmtId="1" fontId="49" fillId="24" borderId="26" xfId="82" applyNumberFormat="1" applyFont="1" applyFill="1" applyBorder="1" applyAlignment="1">
      <alignment horizontal="center" vertical="center"/>
    </xf>
    <xf numFmtId="0" fontId="52" fillId="0" borderId="0" xfId="83" applyAlignment="1" applyProtection="1">
      <alignment horizontal="center"/>
      <protection locked="0"/>
    </xf>
    <xf numFmtId="3" fontId="52" fillId="0" borderId="0" xfId="83" applyNumberFormat="1" applyAlignment="1">
      <alignment vertical="center"/>
    </xf>
    <xf numFmtId="4" fontId="34" fillId="40" borderId="27" xfId="107" applyNumberFormat="1" applyFont="1" applyFill="1" applyBorder="1" applyAlignment="1" applyProtection="1">
      <alignment vertical="center"/>
      <protection locked="0"/>
    </xf>
    <xf numFmtId="4" fontId="34" fillId="40" borderId="15" xfId="107" applyNumberFormat="1" applyFont="1" applyFill="1" applyBorder="1" applyAlignment="1" applyProtection="1">
      <alignment horizontal="center" vertical="center"/>
      <protection locked="0"/>
    </xf>
    <xf numFmtId="4" fontId="53" fillId="38" borderId="23" xfId="0" applyNumberFormat="1" applyFont="1" applyFill="1" applyBorder="1" applyAlignment="1">
      <alignment vertical="center"/>
    </xf>
    <xf numFmtId="0" fontId="44" fillId="0" borderId="0" xfId="0" applyFont="1" applyAlignment="1" applyProtection="1">
      <alignment horizontal="center" vertical="center"/>
      <protection locked="0"/>
    </xf>
    <xf numFmtId="1" fontId="0" fillId="20" borderId="27" xfId="0" applyNumberFormat="1" applyFill="1" applyBorder="1" applyAlignment="1">
      <alignment horizontal="center" vertical="center" wrapText="1"/>
    </xf>
    <xf numFmtId="4" fontId="32" fillId="40" borderId="14" xfId="107" applyNumberFormat="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48" fillId="24" borderId="0" xfId="82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43" fillId="0" borderId="0" xfId="82" applyFont="1" applyAlignment="1">
      <alignment horizontal="center"/>
    </xf>
    <xf numFmtId="0" fontId="63" fillId="39" borderId="27" xfId="107" applyFont="1" applyFill="1" applyBorder="1" applyAlignment="1" applyProtection="1">
      <alignment horizontal="center" vertical="center" wrapText="1"/>
      <protection locked="0"/>
    </xf>
    <xf numFmtId="0" fontId="63" fillId="36" borderId="27" xfId="107" applyFont="1" applyFill="1" applyBorder="1" applyAlignment="1" applyProtection="1">
      <alignment horizontal="center" vertical="center" wrapText="1"/>
      <protection locked="0"/>
    </xf>
    <xf numFmtId="4" fontId="32" fillId="40" borderId="16" xfId="107" applyNumberFormat="1" applyFont="1" applyFill="1" applyBorder="1" applyAlignment="1">
      <alignment horizontal="center" vertical="center"/>
    </xf>
    <xf numFmtId="4" fontId="32" fillId="40" borderId="16" xfId="107" applyNumberFormat="1" applyFont="1" applyFill="1" applyBorder="1" applyAlignment="1" applyProtection="1">
      <alignment horizontal="center" vertical="center"/>
      <protection locked="0"/>
    </xf>
    <xf numFmtId="0" fontId="52" fillId="0" borderId="0" xfId="82" applyAlignment="1">
      <alignment horizontal="center"/>
    </xf>
    <xf numFmtId="0" fontId="32" fillId="0" borderId="0" xfId="82" applyFont="1" applyAlignment="1">
      <alignment horizontal="center" vertical="center" textRotation="180" wrapText="1"/>
    </xf>
    <xf numFmtId="0" fontId="52" fillId="24" borderId="0" xfId="82" applyFill="1" applyAlignment="1">
      <alignment horizontal="center"/>
    </xf>
    <xf numFmtId="1" fontId="0" fillId="20" borderId="30" xfId="0" applyNumberFormat="1" applyFill="1" applyBorder="1" applyAlignment="1">
      <alignment horizontal="center" vertical="center" wrapText="1"/>
    </xf>
    <xf numFmtId="0" fontId="34" fillId="40" borderId="27" xfId="107" applyFont="1" applyFill="1" applyBorder="1" applyAlignment="1" applyProtection="1">
      <alignment horizontal="center" vertical="center"/>
      <protection locked="0"/>
    </xf>
    <xf numFmtId="4" fontId="32" fillId="0" borderId="31" xfId="107" applyNumberFormat="1" applyFont="1" applyBorder="1" applyAlignment="1">
      <alignment horizontal="center" vertical="center"/>
    </xf>
    <xf numFmtId="4" fontId="32" fillId="40" borderId="31" xfId="107" applyNumberFormat="1" applyFont="1" applyFill="1" applyBorder="1" applyAlignment="1">
      <alignment horizontal="center" vertical="center"/>
    </xf>
    <xf numFmtId="4" fontId="35" fillId="0" borderId="31" xfId="107" applyNumberFormat="1" applyFont="1" applyBorder="1" applyAlignment="1">
      <alignment horizontal="center" vertical="center"/>
    </xf>
    <xf numFmtId="170" fontId="32" fillId="20" borderId="33" xfId="83" applyNumberFormat="1" applyFont="1" applyFill="1" applyBorder="1" applyAlignment="1">
      <alignment horizontal="center" vertical="center"/>
    </xf>
    <xf numFmtId="0" fontId="0" fillId="0" borderId="32" xfId="83" applyFont="1" applyBorder="1" applyAlignment="1">
      <alignment horizontal="center" vertical="center"/>
    </xf>
    <xf numFmtId="3" fontId="41" fillId="0" borderId="34" xfId="0" applyNumberFormat="1" applyFont="1" applyBorder="1"/>
    <xf numFmtId="0" fontId="0" fillId="0" borderId="32" xfId="0" applyBorder="1" applyAlignment="1">
      <alignment horizontal="center" vertical="center"/>
    </xf>
    <xf numFmtId="176" fontId="52" fillId="0" borderId="32" xfId="82" applyNumberFormat="1" applyBorder="1" applyAlignment="1">
      <alignment horizontal="center" vertical="center"/>
    </xf>
    <xf numFmtId="1" fontId="34" fillId="0" borderId="32" xfId="82" applyNumberFormat="1" applyFont="1" applyBorder="1" applyAlignment="1">
      <alignment horizontal="center" vertical="center"/>
    </xf>
    <xf numFmtId="4" fontId="39" fillId="0" borderId="32" xfId="83" applyNumberFormat="1" applyFont="1" applyBorder="1" applyAlignment="1">
      <alignment vertical="center"/>
    </xf>
    <xf numFmtId="176" fontId="52" fillId="0" borderId="32" xfId="82" applyNumberFormat="1" applyBorder="1" applyAlignment="1">
      <alignment horizontal="left" vertical="center"/>
    </xf>
    <xf numFmtId="4" fontId="39" fillId="40" borderId="32" xfId="83" applyNumberFormat="1" applyFont="1" applyFill="1" applyBorder="1" applyAlignment="1">
      <alignment vertical="center"/>
    </xf>
    <xf numFmtId="3" fontId="52" fillId="0" borderId="32" xfId="82" applyNumberFormat="1" applyBorder="1" applyAlignment="1">
      <alignment shrinkToFit="1"/>
    </xf>
    <xf numFmtId="3" fontId="0" fillId="0" borderId="32" xfId="83" applyNumberFormat="1" applyFont="1" applyBorder="1" applyAlignment="1">
      <alignment horizontal="left"/>
    </xf>
    <xf numFmtId="0" fontId="0" fillId="0" borderId="32" xfId="83" applyFont="1" applyBorder="1" applyAlignment="1">
      <alignment horizontal="center"/>
    </xf>
    <xf numFmtId="4" fontId="0" fillId="0" borderId="35" xfId="83" applyNumberFormat="1" applyFont="1" applyBorder="1" applyAlignment="1">
      <alignment horizontal="center"/>
    </xf>
    <xf numFmtId="0" fontId="52" fillId="29" borderId="34" xfId="80" applyFill="1" applyBorder="1" applyAlignment="1">
      <alignment horizontal="center"/>
    </xf>
    <xf numFmtId="0" fontId="52" fillId="0" borderId="32" xfId="83" applyBorder="1" applyAlignment="1">
      <alignment horizontal="center" vertical="center"/>
    </xf>
    <xf numFmtId="176" fontId="52" fillId="0" borderId="32" xfId="83" applyNumberFormat="1" applyBorder="1" applyAlignment="1">
      <alignment horizontal="center" vertical="center"/>
    </xf>
    <xf numFmtId="4" fontId="33" fillId="0" borderId="32" xfId="83" applyNumberFormat="1" applyFont="1" applyBorder="1" applyAlignment="1">
      <alignment vertical="center"/>
    </xf>
    <xf numFmtId="4" fontId="52" fillId="0" borderId="32" xfId="83" applyNumberFormat="1" applyBorder="1" applyAlignment="1">
      <alignment vertical="center"/>
    </xf>
    <xf numFmtId="0" fontId="24" fillId="0" borderId="32" xfId="75" applyFont="1" applyBorder="1"/>
    <xf numFmtId="49" fontId="42" fillId="20" borderId="40" xfId="116" applyNumberFormat="1" applyFont="1" applyFill="1" applyBorder="1" applyAlignment="1">
      <alignment horizontal="center" vertical="center" wrapText="1"/>
    </xf>
    <xf numFmtId="171" fontId="32" fillId="39" borderId="46" xfId="107" applyNumberFormat="1" applyFont="1" applyFill="1" applyBorder="1" applyAlignment="1">
      <alignment horizontal="center" vertical="center" wrapText="1"/>
    </xf>
    <xf numFmtId="171" fontId="32" fillId="36" borderId="46" xfId="107" applyNumberFormat="1" applyFont="1" applyFill="1" applyBorder="1" applyAlignment="1">
      <alignment horizontal="center" vertical="center" wrapText="1"/>
    </xf>
    <xf numFmtId="171" fontId="41" fillId="20" borderId="46" xfId="0" applyNumberFormat="1" applyFont="1" applyFill="1" applyBorder="1" applyAlignment="1">
      <alignment horizontal="center" vertical="center" wrapText="1"/>
    </xf>
    <xf numFmtId="171" fontId="0" fillId="20" borderId="46" xfId="0" applyNumberFormat="1" applyFill="1" applyBorder="1" applyAlignment="1">
      <alignment horizontal="center" vertical="center" wrapText="1"/>
    </xf>
    <xf numFmtId="1" fontId="0" fillId="20" borderId="47" xfId="0" applyNumberFormat="1" applyFill="1" applyBorder="1" applyAlignment="1">
      <alignment horizontal="center" vertical="center" wrapText="1"/>
    </xf>
    <xf numFmtId="1" fontId="0" fillId="20" borderId="46" xfId="0" applyNumberFormat="1" applyFill="1" applyBorder="1" applyAlignment="1">
      <alignment horizontal="center" vertical="center" wrapText="1"/>
    </xf>
    <xf numFmtId="1" fontId="0" fillId="20" borderId="48" xfId="0" applyNumberFormat="1" applyFill="1" applyBorder="1" applyAlignment="1">
      <alignment horizontal="center" vertical="center" wrapText="1"/>
    </xf>
    <xf numFmtId="171" fontId="0" fillId="20" borderId="47" xfId="109" applyNumberFormat="1" applyFont="1" applyFill="1" applyBorder="1" applyAlignment="1">
      <alignment horizontal="center" vertical="center" wrapText="1"/>
    </xf>
    <xf numFmtId="1" fontId="0" fillId="20" borderId="49" xfId="0" applyNumberForma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/>
    </xf>
    <xf numFmtId="1" fontId="0" fillId="20" borderId="40" xfId="0" applyNumberFormat="1" applyFill="1" applyBorder="1" applyAlignment="1">
      <alignment horizontal="center" vertical="center"/>
    </xf>
    <xf numFmtId="0" fontId="32" fillId="0" borderId="46" xfId="0" applyFont="1" applyBorder="1" applyAlignment="1">
      <alignment vertical="center"/>
    </xf>
    <xf numFmtId="1" fontId="32" fillId="42" borderId="44" xfId="107" applyNumberFormat="1" applyFont="1" applyFill="1" applyBorder="1" applyAlignment="1" applyProtection="1">
      <alignment horizontal="center" vertical="center"/>
      <protection locked="0"/>
    </xf>
    <xf numFmtId="1" fontId="0" fillId="20" borderId="50" xfId="0" applyNumberFormat="1" applyFill="1" applyBorder="1" applyAlignment="1">
      <alignment horizontal="center" vertical="center" wrapText="1"/>
    </xf>
    <xf numFmtId="49" fontId="0" fillId="20" borderId="50" xfId="116" applyNumberFormat="1" applyFont="1" applyFill="1" applyBorder="1" applyAlignment="1">
      <alignment vertical="center"/>
    </xf>
    <xf numFmtId="49" fontId="49" fillId="20" borderId="50" xfId="116" applyNumberFormat="1" applyFont="1" applyFill="1" applyBorder="1" applyAlignment="1">
      <alignment horizontal="center" vertical="center"/>
    </xf>
    <xf numFmtId="49" fontId="42" fillId="20" borderId="51" xfId="116" applyNumberFormat="1" applyFont="1" applyFill="1" applyBorder="1" applyAlignment="1">
      <alignment horizontal="center" vertical="center" wrapText="1"/>
    </xf>
    <xf numFmtId="171" fontId="49" fillId="20" borderId="45" xfId="0" applyNumberFormat="1" applyFont="1" applyFill="1" applyBorder="1" applyAlignment="1">
      <alignment horizontal="center" vertical="center" wrapText="1"/>
    </xf>
    <xf numFmtId="171" fontId="49" fillId="20" borderId="46" xfId="0" applyNumberFormat="1" applyFont="1" applyFill="1" applyBorder="1" applyAlignment="1">
      <alignment horizontal="center" vertical="center" wrapText="1"/>
    </xf>
    <xf numFmtId="171" fontId="33" fillId="20" borderId="46" xfId="0" applyNumberFormat="1" applyFont="1" applyFill="1" applyBorder="1" applyAlignment="1">
      <alignment horizontal="center" vertical="center" wrapText="1"/>
    </xf>
    <xf numFmtId="1" fontId="0" fillId="20" borderId="52" xfId="0" applyNumberFormat="1" applyFill="1" applyBorder="1" applyAlignment="1">
      <alignment horizontal="center" vertical="center" wrapText="1"/>
    </xf>
    <xf numFmtId="171" fontId="0" fillId="20" borderId="53" xfId="109" applyNumberFormat="1" applyFont="1" applyFill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" fontId="32" fillId="0" borderId="44" xfId="0" applyNumberFormat="1" applyFont="1" applyBorder="1" applyAlignment="1">
      <alignment horizontal="center"/>
    </xf>
    <xf numFmtId="1" fontId="61" fillId="0" borderId="44" xfId="0" applyNumberFormat="1" applyFont="1" applyBorder="1" applyAlignment="1">
      <alignment horizontal="center"/>
    </xf>
    <xf numFmtId="4" fontId="64" fillId="0" borderId="46" xfId="107" applyNumberFormat="1" applyFont="1" applyBorder="1" applyAlignment="1">
      <alignment horizontal="center" vertical="center"/>
    </xf>
    <xf numFmtId="4" fontId="32" fillId="29" borderId="44" xfId="107" applyNumberFormat="1" applyFont="1" applyFill="1" applyBorder="1" applyAlignment="1">
      <alignment horizontal="center"/>
    </xf>
    <xf numFmtId="4" fontId="32" fillId="40" borderId="56" xfId="107" applyNumberFormat="1" applyFont="1" applyFill="1" applyBorder="1" applyAlignment="1">
      <alignment horizontal="center" vertical="center"/>
    </xf>
    <xf numFmtId="4" fontId="53" fillId="38" borderId="55" xfId="0" applyNumberFormat="1" applyFont="1" applyFill="1" applyBorder="1" applyAlignment="1">
      <alignment horizontal="center" vertical="center"/>
    </xf>
    <xf numFmtId="4" fontId="32" fillId="40" borderId="58" xfId="107" applyNumberFormat="1" applyFont="1" applyFill="1" applyBorder="1" applyAlignment="1" applyProtection="1">
      <alignment horizontal="center" vertical="center"/>
      <protection locked="0"/>
    </xf>
    <xf numFmtId="4" fontId="34" fillId="0" borderId="55" xfId="0" applyNumberFormat="1" applyFont="1" applyBorder="1" applyAlignment="1">
      <alignment vertical="center"/>
    </xf>
    <xf numFmtId="1" fontId="35" fillId="0" borderId="44" xfId="0" applyNumberFormat="1" applyFont="1" applyBorder="1" applyAlignment="1">
      <alignment horizontal="center"/>
    </xf>
    <xf numFmtId="4" fontId="35" fillId="29" borderId="44" xfId="107" applyNumberFormat="1" applyFont="1" applyFill="1" applyBorder="1" applyAlignment="1">
      <alignment horizontal="center"/>
    </xf>
    <xf numFmtId="4" fontId="35" fillId="40" borderId="38" xfId="107" applyNumberFormat="1" applyFont="1" applyFill="1" applyBorder="1" applyAlignment="1" applyProtection="1">
      <alignment horizontal="center" vertical="center"/>
      <protection locked="0"/>
    </xf>
    <xf numFmtId="4" fontId="44" fillId="40" borderId="59" xfId="107" applyNumberFormat="1" applyFont="1" applyFill="1" applyBorder="1" applyAlignment="1" applyProtection="1">
      <alignment horizontal="center" vertical="center"/>
      <protection locked="0"/>
    </xf>
    <xf numFmtId="0" fontId="50" fillId="24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177" fontId="34" fillId="24" borderId="44" xfId="82" applyNumberFormat="1" applyFont="1" applyFill="1" applyBorder="1" applyAlignment="1">
      <alignment horizontal="center" vertical="center"/>
    </xf>
    <xf numFmtId="0" fontId="34" fillId="24" borderId="44" xfId="82" applyFont="1" applyFill="1" applyBorder="1" applyAlignment="1">
      <alignment horizontal="center" vertical="center"/>
    </xf>
    <xf numFmtId="0" fontId="42" fillId="24" borderId="50" xfId="82" applyFont="1" applyFill="1" applyBorder="1" applyAlignment="1">
      <alignment horizontal="left" vertical="center"/>
    </xf>
    <xf numFmtId="1" fontId="34" fillId="24" borderId="40" xfId="82" applyNumberFormat="1" applyFont="1" applyFill="1" applyBorder="1"/>
    <xf numFmtId="0" fontId="34" fillId="24" borderId="51" xfId="82" applyFont="1" applyFill="1" applyBorder="1"/>
    <xf numFmtId="1" fontId="34" fillId="24" borderId="51" xfId="82" applyNumberFormat="1" applyFont="1" applyFill="1" applyBorder="1" applyAlignment="1">
      <alignment horizontal="right"/>
    </xf>
    <xf numFmtId="0" fontId="34" fillId="24" borderId="49" xfId="82" applyFont="1" applyFill="1" applyBorder="1"/>
    <xf numFmtId="1" fontId="34" fillId="0" borderId="40" xfId="82" applyNumberFormat="1" applyFont="1" applyBorder="1"/>
    <xf numFmtId="0" fontId="34" fillId="24" borderId="49" xfId="82" applyFont="1" applyFill="1" applyBorder="1" applyAlignment="1">
      <alignment horizontal="left"/>
    </xf>
    <xf numFmtId="0" fontId="52" fillId="0" borderId="61" xfId="81" applyBorder="1"/>
    <xf numFmtId="0" fontId="52" fillId="0" borderId="62" xfId="81" applyBorder="1"/>
    <xf numFmtId="0" fontId="52" fillId="0" borderId="63" xfId="81" applyBorder="1"/>
    <xf numFmtId="49" fontId="46" fillId="20" borderId="45" xfId="116" applyNumberFormat="1" applyFont="1" applyFill="1" applyBorder="1" applyAlignment="1">
      <alignment horizontal="center" vertical="center"/>
    </xf>
    <xf numFmtId="49" fontId="46" fillId="20" borderId="46" xfId="82" applyNumberFormat="1" applyFont="1" applyFill="1" applyBorder="1" applyAlignment="1">
      <alignment horizontal="center" vertical="center" wrapText="1"/>
    </xf>
    <xf numFmtId="49" fontId="46" fillId="20" borderId="46" xfId="82" applyNumberFormat="1" applyFont="1" applyFill="1" applyBorder="1" applyAlignment="1">
      <alignment horizontal="center" vertical="center"/>
    </xf>
    <xf numFmtId="49" fontId="46" fillId="20" borderId="44" xfId="116" applyNumberFormat="1" applyFont="1" applyFill="1" applyBorder="1" applyAlignment="1">
      <alignment horizontal="center" vertical="center" wrapText="1"/>
    </xf>
    <xf numFmtId="171" fontId="34" fillId="39" borderId="46" xfId="107" applyNumberFormat="1" applyFont="1" applyFill="1" applyBorder="1" applyAlignment="1">
      <alignment horizontal="center" vertical="center" wrapText="1"/>
    </xf>
    <xf numFmtId="171" fontId="34" fillId="36" borderId="46" xfId="107" applyNumberFormat="1" applyFont="1" applyFill="1" applyBorder="1" applyAlignment="1">
      <alignment horizontal="center" vertical="center" wrapText="1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64" xfId="82" applyNumberFormat="1" applyFont="1" applyFill="1" applyBorder="1" applyAlignment="1">
      <alignment horizontal="center" vertical="center" wrapText="1"/>
    </xf>
    <xf numFmtId="49" fontId="46" fillId="20" borderId="64" xfId="82" applyNumberFormat="1" applyFont="1" applyFill="1" applyBorder="1" applyAlignment="1">
      <alignment horizontal="center" vertical="center"/>
    </xf>
    <xf numFmtId="1" fontId="49" fillId="24" borderId="44" xfId="82" applyNumberFormat="1" applyFont="1" applyFill="1" applyBorder="1" applyAlignment="1">
      <alignment horizontal="left" vertical="center"/>
    </xf>
    <xf numFmtId="14" fontId="49" fillId="24" borderId="44" xfId="82" applyNumberFormat="1" applyFont="1" applyFill="1" applyBorder="1" applyAlignment="1">
      <alignment horizontal="left" vertical="center"/>
    </xf>
    <xf numFmtId="1" fontId="49" fillId="0" borderId="44" xfId="82" applyNumberFormat="1" applyFont="1" applyBorder="1" applyAlignment="1">
      <alignment horizontal="center" vertical="center"/>
    </xf>
    <xf numFmtId="4" fontId="49" fillId="0" borderId="44" xfId="82" applyNumberFormat="1" applyFont="1" applyBorder="1" applyAlignment="1">
      <alignment horizontal="center" vertical="center"/>
    </xf>
    <xf numFmtId="0" fontId="32" fillId="0" borderId="50" xfId="82" applyFont="1" applyBorder="1" applyAlignment="1">
      <alignment horizontal="center" vertical="center" textRotation="180" wrapText="1"/>
    </xf>
    <xf numFmtId="0" fontId="32" fillId="0" borderId="50" xfId="82" applyFont="1" applyBorder="1" applyAlignment="1">
      <alignment vertical="center" textRotation="180" wrapText="1"/>
    </xf>
    <xf numFmtId="0" fontId="44" fillId="20" borderId="44" xfId="82" applyFont="1" applyFill="1" applyBorder="1" applyAlignment="1">
      <alignment horizontal="center" vertical="center"/>
    </xf>
    <xf numFmtId="0" fontId="44" fillId="20" borderId="40" xfId="82" applyFont="1" applyFill="1" applyBorder="1" applyAlignment="1">
      <alignment vertical="center"/>
    </xf>
    <xf numFmtId="0" fontId="44" fillId="20" borderId="51" xfId="82" applyFont="1" applyFill="1" applyBorder="1" applyAlignment="1">
      <alignment vertical="center"/>
    </xf>
    <xf numFmtId="0" fontId="33" fillId="20" borderId="44" xfId="82" applyFont="1" applyFill="1" applyBorder="1" applyAlignment="1">
      <alignment horizontal="center" vertical="center" wrapText="1"/>
    </xf>
    <xf numFmtId="0" fontId="0" fillId="0" borderId="44" xfId="82" applyFont="1" applyBorder="1" applyAlignment="1">
      <alignment horizontal="center" vertical="center"/>
    </xf>
    <xf numFmtId="0" fontId="0" fillId="0" borderId="40" xfId="82" applyFont="1" applyBorder="1" applyAlignment="1">
      <alignment vertical="center"/>
    </xf>
    <xf numFmtId="0" fontId="0" fillId="0" borderId="51" xfId="82" applyFont="1" applyBorder="1" applyAlignment="1">
      <alignment vertical="center"/>
    </xf>
    <xf numFmtId="14" fontId="0" fillId="0" borderId="40" xfId="82" applyNumberFormat="1" applyFont="1" applyBorder="1" applyAlignment="1">
      <alignment vertical="center"/>
    </xf>
    <xf numFmtId="14" fontId="0" fillId="0" borderId="51" xfId="82" applyNumberFormat="1" applyFont="1" applyBorder="1" applyAlignment="1">
      <alignment vertical="center"/>
    </xf>
    <xf numFmtId="1" fontId="0" fillId="0" borderId="51" xfId="82" applyNumberFormat="1" applyFont="1" applyBorder="1" applyAlignment="1">
      <alignment horizontal="center" vertical="center"/>
    </xf>
    <xf numFmtId="14" fontId="0" fillId="0" borderId="49" xfId="82" applyNumberFormat="1" applyFont="1" applyBorder="1" applyAlignment="1">
      <alignment horizontal="left" vertical="center"/>
    </xf>
    <xf numFmtId="0" fontId="0" fillId="0" borderId="44" xfId="82" applyFont="1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33" fillId="21" borderId="44" xfId="82" applyFont="1" applyFill="1" applyBorder="1" applyAlignment="1">
      <alignment horizontal="center" vertical="center" wrapText="1"/>
    </xf>
    <xf numFmtId="49" fontId="45" fillId="20" borderId="46" xfId="116" applyNumberFormat="1" applyFont="1" applyFill="1" applyBorder="1" applyAlignment="1">
      <alignment vertical="center" wrapText="1"/>
    </xf>
    <xf numFmtId="49" fontId="45" fillId="20" borderId="46" xfId="116" applyNumberFormat="1" applyFont="1" applyFill="1" applyBorder="1" applyAlignment="1">
      <alignment horizontal="center" vertical="center" wrapText="1"/>
    </xf>
    <xf numFmtId="4" fontId="45" fillId="20" borderId="48" xfId="82" applyNumberFormat="1" applyFont="1" applyFill="1" applyBorder="1" applyAlignment="1">
      <alignment horizontal="center" vertical="center" wrapText="1"/>
    </xf>
    <xf numFmtId="4" fontId="45" fillId="20" borderId="44" xfId="82" applyNumberFormat="1" applyFont="1" applyFill="1" applyBorder="1" applyAlignment="1">
      <alignment horizontal="center" vertical="center" wrapText="1"/>
    </xf>
    <xf numFmtId="1" fontId="52" fillId="24" borderId="44" xfId="82" applyNumberFormat="1" applyFill="1" applyBorder="1" applyAlignment="1">
      <alignment horizontal="left" vertical="center"/>
    </xf>
    <xf numFmtId="1" fontId="52" fillId="0" borderId="44" xfId="82" applyNumberFormat="1" applyBorder="1" applyAlignment="1">
      <alignment horizontal="center" vertical="center"/>
    </xf>
    <xf numFmtId="1" fontId="52" fillId="0" borderId="44" xfId="68" applyNumberFormat="1" applyBorder="1" applyAlignment="1">
      <alignment horizontal="center" vertical="center" wrapText="1"/>
    </xf>
    <xf numFmtId="171" fontId="32" fillId="42" borderId="45" xfId="107" applyNumberFormat="1" applyFont="1" applyFill="1" applyBorder="1" applyAlignment="1">
      <alignment horizontal="center" vertical="center" wrapText="1"/>
    </xf>
    <xf numFmtId="171" fontId="32" fillId="42" borderId="44" xfId="107" applyNumberFormat="1" applyFont="1" applyFill="1" applyBorder="1" applyAlignment="1">
      <alignment vertical="center" wrapText="1"/>
    </xf>
    <xf numFmtId="0" fontId="32" fillId="0" borderId="32" xfId="83" applyFont="1" applyBorder="1" applyAlignment="1">
      <alignment horizontal="center" vertical="center"/>
    </xf>
    <xf numFmtId="0" fontId="32" fillId="0" borderId="0" xfId="83" applyFont="1" applyAlignment="1">
      <alignment horizontal="center"/>
    </xf>
    <xf numFmtId="0" fontId="32" fillId="0" borderId="0" xfId="0" applyFont="1" applyAlignment="1">
      <alignment horizontal="center"/>
    </xf>
    <xf numFmtId="0" fontId="0" fillId="0" borderId="40" xfId="83" applyFont="1" applyBorder="1" applyAlignment="1">
      <alignment vertical="center"/>
    </xf>
    <xf numFmtId="0" fontId="0" fillId="0" borderId="27" xfId="83" applyFont="1" applyBorder="1" applyAlignment="1">
      <alignment vertical="center"/>
    </xf>
    <xf numFmtId="0" fontId="52" fillId="0" borderId="27" xfId="83" applyBorder="1" applyAlignment="1">
      <alignment horizontal="right" vertical="center"/>
    </xf>
    <xf numFmtId="170" fontId="32" fillId="20" borderId="0" xfId="83" applyNumberFormat="1" applyFont="1" applyFill="1" applyAlignment="1">
      <alignment horizontal="center" vertical="center"/>
    </xf>
    <xf numFmtId="0" fontId="0" fillId="0" borderId="0" xfId="83" applyFont="1" applyAlignment="1">
      <alignment horizontal="right" vertical="center"/>
    </xf>
    <xf numFmtId="2" fontId="52" fillId="0" borderId="0" xfId="82" applyNumberFormat="1"/>
    <xf numFmtId="1" fontId="0" fillId="20" borderId="44" xfId="0" applyNumberFormat="1" applyFill="1" applyBorder="1" applyAlignment="1">
      <alignment horizontal="center" vertical="center" wrapText="1"/>
    </xf>
    <xf numFmtId="49" fontId="0" fillId="20" borderId="44" xfId="116" applyNumberFormat="1" applyFont="1" applyFill="1" applyBorder="1" applyAlignment="1">
      <alignment vertical="center"/>
    </xf>
    <xf numFmtId="49" fontId="49" fillId="20" borderId="44" xfId="116" applyNumberFormat="1" applyFont="1" applyFill="1" applyBorder="1" applyAlignment="1">
      <alignment horizontal="center" vertical="center"/>
    </xf>
    <xf numFmtId="49" fontId="42" fillId="20" borderId="44" xfId="116" applyNumberFormat="1" applyFont="1" applyFill="1" applyBorder="1" applyAlignment="1">
      <alignment horizontal="center" vertical="center" wrapText="1"/>
    </xf>
    <xf numFmtId="4" fontId="0" fillId="4" borderId="66" xfId="0" applyNumberFormat="1" applyFill="1" applyBorder="1" applyAlignment="1">
      <alignment horizontal="center"/>
    </xf>
    <xf numFmtId="4" fontId="32" fillId="29" borderId="64" xfId="107" applyNumberFormat="1" applyFont="1" applyFill="1" applyBorder="1" applyAlignment="1">
      <alignment horizontal="center"/>
    </xf>
    <xf numFmtId="4" fontId="0" fillId="0" borderId="64" xfId="0" applyNumberFormat="1" applyBorder="1" applyAlignment="1">
      <alignment horizontal="center" vertical="center"/>
    </xf>
    <xf numFmtId="4" fontId="34" fillId="0" borderId="23" xfId="0" applyNumberFormat="1" applyFont="1" applyBorder="1" applyAlignment="1">
      <alignment vertical="center"/>
    </xf>
    <xf numFmtId="4" fontId="34" fillId="0" borderId="23" xfId="0" applyNumberFormat="1" applyFont="1" applyBorder="1" applyAlignment="1">
      <alignment horizontal="center" vertical="center"/>
    </xf>
    <xf numFmtId="4" fontId="35" fillId="0" borderId="64" xfId="107" applyNumberFormat="1" applyFont="1" applyBorder="1" applyAlignment="1">
      <alignment horizontal="center" vertical="center"/>
    </xf>
    <xf numFmtId="4" fontId="33" fillId="4" borderId="66" xfId="0" applyNumberFormat="1" applyFont="1" applyFill="1" applyBorder="1" applyAlignment="1">
      <alignment horizontal="center"/>
    </xf>
    <xf numFmtId="4" fontId="35" fillId="29" borderId="64" xfId="107" applyNumberFormat="1" applyFont="1" applyFill="1" applyBorder="1" applyAlignment="1">
      <alignment horizontal="center"/>
    </xf>
    <xf numFmtId="4" fontId="35" fillId="40" borderId="67" xfId="107" applyNumberFormat="1" applyFont="1" applyFill="1" applyBorder="1" applyAlignment="1">
      <alignment horizontal="center" vertical="center"/>
    </xf>
    <xf numFmtId="4" fontId="53" fillId="38" borderId="65" xfId="0" applyNumberFormat="1" applyFont="1" applyFill="1" applyBorder="1" applyAlignment="1">
      <alignment horizontal="center" vertical="center"/>
    </xf>
    <xf numFmtId="4" fontId="44" fillId="0" borderId="67" xfId="0" applyNumberFormat="1" applyFont="1" applyBorder="1" applyAlignment="1">
      <alignment horizontal="center" vertical="center"/>
    </xf>
    <xf numFmtId="4" fontId="44" fillId="40" borderId="68" xfId="107" applyNumberFormat="1" applyFont="1" applyFill="1" applyBorder="1" applyAlignment="1" applyProtection="1">
      <alignment horizontal="center" vertical="center"/>
      <protection locked="0"/>
    </xf>
    <xf numFmtId="0" fontId="63" fillId="39" borderId="68" xfId="107" applyFont="1" applyFill="1" applyBorder="1" applyAlignment="1" applyProtection="1">
      <alignment horizontal="center" wrapText="1"/>
      <protection locked="0"/>
    </xf>
    <xf numFmtId="0" fontId="63" fillId="36" borderId="68" xfId="107" applyFont="1" applyFill="1" applyBorder="1" applyAlignment="1" applyProtection="1">
      <alignment horizontal="center" wrapText="1"/>
      <protection locked="0"/>
    </xf>
    <xf numFmtId="171" fontId="32" fillId="26" borderId="45" xfId="107" applyNumberFormat="1" applyFont="1" applyFill="1" applyBorder="1" applyAlignment="1">
      <alignment horizontal="center" vertical="center" wrapText="1"/>
    </xf>
    <xf numFmtId="0" fontId="52" fillId="0" borderId="69" xfId="81" applyBorder="1"/>
    <xf numFmtId="0" fontId="52" fillId="0" borderId="25" xfId="68" applyBorder="1"/>
    <xf numFmtId="177" fontId="33" fillId="0" borderId="0" xfId="81" applyNumberFormat="1" applyFont="1" applyAlignment="1">
      <alignment horizontal="left"/>
    </xf>
    <xf numFmtId="0" fontId="52" fillId="0" borderId="70" xfId="81" applyBorder="1"/>
    <xf numFmtId="0" fontId="54" fillId="0" borderId="0" xfId="141" applyAlignment="1" applyProtection="1"/>
    <xf numFmtId="2" fontId="52" fillId="0" borderId="0" xfId="83" applyNumberFormat="1"/>
    <xf numFmtId="0" fontId="66" fillId="0" borderId="0" xfId="302"/>
    <xf numFmtId="0" fontId="66" fillId="0" borderId="0" xfId="302" quotePrefix="1"/>
    <xf numFmtId="2" fontId="66" fillId="0" borderId="0" xfId="302" applyNumberFormat="1"/>
    <xf numFmtId="4" fontId="66" fillId="0" borderId="0" xfId="302" applyNumberFormat="1"/>
    <xf numFmtId="0" fontId="53" fillId="48" borderId="27" xfId="0" applyFont="1" applyFill="1" applyBorder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37" fillId="26" borderId="0" xfId="0" applyFont="1" applyFill="1"/>
    <xf numFmtId="0" fontId="37" fillId="26" borderId="0" xfId="0" applyFont="1" applyFill="1" applyAlignment="1">
      <alignment horizontal="center"/>
    </xf>
    <xf numFmtId="0" fontId="37" fillId="26" borderId="0" xfId="0" applyFont="1" applyFill="1" applyAlignment="1">
      <alignment vertical="center"/>
    </xf>
    <xf numFmtId="1" fontId="0" fillId="27" borderId="46" xfId="0" applyNumberFormat="1" applyFill="1" applyBorder="1" applyAlignment="1">
      <alignment horizontal="center" vertical="center" wrapText="1"/>
    </xf>
    <xf numFmtId="1" fontId="0" fillId="27" borderId="48" xfId="0" applyNumberFormat="1" applyFill="1" applyBorder="1" applyAlignment="1">
      <alignment horizontal="center" vertical="center" wrapText="1"/>
    </xf>
    <xf numFmtId="4" fontId="0" fillId="26" borderId="57" xfId="0" applyNumberFormat="1" applyFill="1" applyBorder="1" applyAlignment="1">
      <alignment horizontal="center" vertical="center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49" fontId="42" fillId="20" borderId="0" xfId="116" applyNumberFormat="1" applyFont="1" applyFill="1" applyAlignment="1">
      <alignment horizontal="center" vertical="center" wrapText="1"/>
    </xf>
    <xf numFmtId="49" fontId="34" fillId="20" borderId="44" xfId="116" applyNumberFormat="1" applyFont="1" applyFill="1" applyBorder="1" applyAlignment="1">
      <alignment horizontal="center" vertical="center" wrapText="1"/>
    </xf>
    <xf numFmtId="49" fontId="34" fillId="20" borderId="40" xfId="116" applyNumberFormat="1" applyFont="1" applyFill="1" applyBorder="1" applyAlignment="1">
      <alignment horizontal="center" vertical="center" wrapText="1"/>
    </xf>
    <xf numFmtId="49" fontId="32" fillId="20" borderId="48" xfId="116" applyNumberFormat="1" applyFont="1" applyFill="1" applyBorder="1" applyAlignment="1">
      <alignment horizontal="center" vertical="center" wrapText="1"/>
    </xf>
    <xf numFmtId="4" fontId="34" fillId="41" borderId="72" xfId="0" applyNumberFormat="1" applyFont="1" applyFill="1" applyBorder="1" applyAlignment="1">
      <alignment horizontal="center" vertical="center"/>
    </xf>
    <xf numFmtId="4" fontId="68" fillId="41" borderId="31" xfId="0" applyNumberFormat="1" applyFont="1" applyFill="1" applyBorder="1" applyAlignment="1">
      <alignment horizontal="center" vertical="center"/>
    </xf>
    <xf numFmtId="4" fontId="69" fillId="41" borderId="73" xfId="0" applyNumberFormat="1" applyFont="1" applyFill="1" applyBorder="1" applyAlignment="1">
      <alignment horizontal="center" vertical="center"/>
    </xf>
    <xf numFmtId="0" fontId="0" fillId="0" borderId="76" xfId="0" applyBorder="1"/>
    <xf numFmtId="0" fontId="0" fillId="0" borderId="0" xfId="0" applyAlignment="1">
      <alignment horizontal="center"/>
    </xf>
    <xf numFmtId="0" fontId="0" fillId="0" borderId="88" xfId="0" applyBorder="1"/>
    <xf numFmtId="172" fontId="11" fillId="20" borderId="89" xfId="0" applyNumberFormat="1" applyFont="1" applyFill="1" applyBorder="1" applyAlignment="1">
      <alignment horizontal="center"/>
    </xf>
    <xf numFmtId="0" fontId="62" fillId="0" borderId="90" xfId="0" applyFont="1" applyBorder="1"/>
    <xf numFmtId="0" fontId="62" fillId="0" borderId="85" xfId="0" applyFont="1" applyBorder="1"/>
    <xf numFmtId="0" fontId="0" fillId="0" borderId="27" xfId="0" applyBorder="1"/>
    <xf numFmtId="0" fontId="33" fillId="0" borderId="27" xfId="0" applyFont="1" applyBorder="1" applyAlignment="1">
      <alignment horizontal="center"/>
    </xf>
    <xf numFmtId="0" fontId="38" fillId="0" borderId="27" xfId="0" applyFont="1" applyBorder="1"/>
    <xf numFmtId="0" fontId="38" fillId="37" borderId="27" xfId="0" applyFont="1" applyFill="1" applyBorder="1"/>
    <xf numFmtId="0" fontId="38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37" fillId="50" borderId="0" xfId="107" applyFont="1" applyFill="1" applyAlignment="1">
      <alignment horizontal="center"/>
    </xf>
    <xf numFmtId="14" fontId="37" fillId="50" borderId="0" xfId="107" applyNumberFormat="1" applyFont="1" applyFill="1" applyAlignment="1">
      <alignment horizontal="center"/>
    </xf>
    <xf numFmtId="0" fontId="0" fillId="39" borderId="0" xfId="0" applyFill="1"/>
    <xf numFmtId="0" fontId="0" fillId="39" borderId="27" xfId="0" applyFill="1" applyBorder="1"/>
    <xf numFmtId="0" fontId="0" fillId="49" borderId="93" xfId="0" applyFill="1" applyBorder="1" applyAlignment="1">
      <alignment horizontal="center" vertical="center"/>
    </xf>
    <xf numFmtId="0" fontId="0" fillId="49" borderId="79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0" fontId="70" fillId="0" borderId="83" xfId="0" applyFont="1" applyBorder="1"/>
    <xf numFmtId="0" fontId="70" fillId="0" borderId="85" xfId="0" applyFont="1" applyBorder="1"/>
    <xf numFmtId="0" fontId="70" fillId="0" borderId="84" xfId="0" applyFont="1" applyBorder="1"/>
    <xf numFmtId="14" fontId="38" fillId="0" borderId="27" xfId="0" applyNumberFormat="1" applyFont="1" applyBorder="1" applyAlignment="1">
      <alignment horizontal="center"/>
    </xf>
    <xf numFmtId="0" fontId="0" fillId="52" borderId="87" xfId="0" applyFill="1" applyBorder="1"/>
    <xf numFmtId="0" fontId="0" fillId="52" borderId="75" xfId="0" applyFill="1" applyBorder="1"/>
    <xf numFmtId="0" fontId="0" fillId="49" borderId="80" xfId="0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1" fontId="49" fillId="0" borderId="89" xfId="82" applyNumberFormat="1" applyFont="1" applyBorder="1" applyAlignment="1">
      <alignment horizontal="center" vertical="center"/>
    </xf>
    <xf numFmtId="4" fontId="49" fillId="0" borderId="89" xfId="82" applyNumberFormat="1" applyFont="1" applyBorder="1" applyAlignment="1">
      <alignment horizontal="center" vertical="center"/>
    </xf>
    <xf numFmtId="0" fontId="53" fillId="48" borderId="27" xfId="0" applyFont="1" applyFill="1" applyBorder="1" applyAlignment="1">
      <alignment horizontal="right" vertical="center"/>
    </xf>
    <xf numFmtId="0" fontId="0" fillId="29" borderId="27" xfId="0" applyFill="1" applyBorder="1" applyAlignment="1">
      <alignment horizontal="right" vertical="center"/>
    </xf>
    <xf numFmtId="2" fontId="0" fillId="29" borderId="27" xfId="0" applyNumberFormat="1" applyFill="1" applyBorder="1" applyAlignment="1">
      <alignment horizontal="right" vertical="center"/>
    </xf>
    <xf numFmtId="0" fontId="66" fillId="0" borderId="0" xfId="302" applyAlignment="1">
      <alignment horizontal="right"/>
    </xf>
    <xf numFmtId="0" fontId="52" fillId="0" borderId="0" xfId="83" applyAlignment="1">
      <alignment horizontal="right"/>
    </xf>
    <xf numFmtId="181" fontId="0" fillId="29" borderId="27" xfId="0" applyNumberFormat="1" applyFill="1" applyBorder="1" applyAlignment="1">
      <alignment horizontal="right" vertical="center"/>
    </xf>
    <xf numFmtId="164" fontId="49" fillId="24" borderId="26" xfId="304" applyFont="1" applyFill="1" applyBorder="1" applyAlignment="1">
      <alignment horizontal="center" vertical="center"/>
    </xf>
    <xf numFmtId="182" fontId="52" fillId="0" borderId="0" xfId="81" applyNumberFormat="1"/>
    <xf numFmtId="14" fontId="0" fillId="0" borderId="32" xfId="0" applyNumberFormat="1" applyBorder="1" applyAlignment="1">
      <alignment horizontal="center"/>
    </xf>
    <xf numFmtId="0" fontId="32" fillId="43" borderId="28" xfId="107" applyFont="1" applyFill="1" applyBorder="1" applyAlignment="1">
      <alignment horizontal="center" vertical="center"/>
    </xf>
    <xf numFmtId="2" fontId="34" fillId="41" borderId="101" xfId="0" applyNumberFormat="1" applyFont="1" applyFill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center"/>
    </xf>
    <xf numFmtId="0" fontId="11" fillId="0" borderId="110" xfId="400" applyFont="1" applyBorder="1" applyAlignment="1">
      <alignment horizontal="left" wrapText="1"/>
    </xf>
    <xf numFmtId="0" fontId="67" fillId="0" borderId="0" xfId="0" applyFont="1" applyAlignment="1">
      <alignment horizontal="center" vertical="center"/>
    </xf>
    <xf numFmtId="0" fontId="49" fillId="0" borderId="0" xfId="0" applyFont="1" applyAlignment="1">
      <alignment horizontal="right"/>
    </xf>
    <xf numFmtId="0" fontId="32" fillId="0" borderId="0" xfId="107" applyFont="1" applyAlignment="1" applyProtection="1">
      <alignment horizontal="center"/>
      <protection locked="0"/>
    </xf>
    <xf numFmtId="0" fontId="32" fillId="40" borderId="0" xfId="107" applyFont="1" applyFill="1" applyAlignment="1" applyProtection="1">
      <alignment horizontal="center"/>
      <protection locked="0"/>
    </xf>
    <xf numFmtId="0" fontId="32" fillId="45" borderId="111" xfId="107" applyFont="1" applyFill="1" applyBorder="1" applyAlignment="1">
      <alignment horizontal="center"/>
    </xf>
    <xf numFmtId="171" fontId="0" fillId="20" borderId="122" xfId="0" applyNumberFormat="1" applyFill="1" applyBorder="1" applyAlignment="1">
      <alignment horizontal="center" vertical="center" wrapText="1"/>
    </xf>
    <xf numFmtId="171" fontId="0" fillId="35" borderId="123" xfId="0" applyNumberFormat="1" applyFill="1" applyBorder="1" applyAlignment="1">
      <alignment horizontal="center" vertical="center" wrapText="1"/>
    </xf>
    <xf numFmtId="49" fontId="42" fillId="20" borderId="120" xfId="116" applyNumberFormat="1" applyFont="1" applyFill="1" applyBorder="1" applyAlignment="1">
      <alignment horizontal="center" vertical="center" wrapText="1"/>
    </xf>
    <xf numFmtId="49" fontId="42" fillId="20" borderId="125" xfId="116" applyNumberFormat="1" applyFont="1" applyFill="1" applyBorder="1" applyAlignment="1">
      <alignment horizontal="center" vertical="center" wrapText="1"/>
    </xf>
    <xf numFmtId="2" fontId="34" fillId="54" borderId="121" xfId="0" applyNumberFormat="1" applyFont="1" applyFill="1" applyBorder="1" applyAlignment="1" applyProtection="1">
      <alignment horizontal="center" vertical="center"/>
      <protection locked="0"/>
    </xf>
    <xf numFmtId="2" fontId="44" fillId="54" borderId="121" xfId="0" applyNumberFormat="1" applyFont="1" applyFill="1" applyBorder="1" applyAlignment="1" applyProtection="1">
      <alignment horizontal="center" vertical="center"/>
      <protection locked="0"/>
    </xf>
    <xf numFmtId="4" fontId="0" fillId="0" borderId="31" xfId="0" applyNumberFormat="1" applyBorder="1" applyAlignment="1">
      <alignment vertical="center"/>
    </xf>
    <xf numFmtId="4" fontId="0" fillId="0" borderId="31" xfId="0" applyNumberFormat="1" applyBorder="1" applyAlignment="1">
      <alignment horizontal="center" vertical="center"/>
    </xf>
    <xf numFmtId="1" fontId="0" fillId="20" borderId="123" xfId="0" applyNumberFormat="1" applyFill="1" applyBorder="1" applyAlignment="1">
      <alignment horizontal="center" vertical="center" wrapText="1"/>
    </xf>
    <xf numFmtId="1" fontId="0" fillId="20" borderId="124" xfId="0" applyNumberFormat="1" applyFill="1" applyBorder="1" applyAlignment="1">
      <alignment horizontal="center" vertical="center" wrapText="1"/>
    </xf>
    <xf numFmtId="4" fontId="33" fillId="0" borderId="115" xfId="0" applyNumberFormat="1" applyFont="1" applyBorder="1" applyAlignment="1">
      <alignment horizontal="center" vertical="center"/>
    </xf>
    <xf numFmtId="0" fontId="11" fillId="0" borderId="126" xfId="115" applyFont="1" applyBorder="1" applyAlignment="1">
      <alignment horizontal="left" wrapText="1"/>
    </xf>
    <xf numFmtId="173" fontId="37" fillId="0" borderId="15" xfId="0" applyNumberFormat="1" applyFont="1" applyBorder="1" applyAlignment="1">
      <alignment vertical="center" wrapText="1"/>
    </xf>
    <xf numFmtId="14" fontId="37" fillId="0" borderId="15" xfId="0" applyNumberFormat="1" applyFont="1" applyBorder="1" applyAlignment="1">
      <alignment horizontal="left" vertical="center"/>
    </xf>
    <xf numFmtId="180" fontId="34" fillId="0" borderId="15" xfId="0" applyNumberFormat="1" applyFont="1" applyBorder="1" applyAlignment="1">
      <alignment horizontal="center" vertical="center"/>
    </xf>
    <xf numFmtId="0" fontId="71" fillId="55" borderId="131" xfId="0" applyFont="1" applyFill="1" applyBorder="1" applyAlignment="1">
      <alignment horizontal="center" vertical="center"/>
    </xf>
    <xf numFmtId="0" fontId="71" fillId="56" borderId="131" xfId="0" applyFont="1" applyFill="1" applyBorder="1" applyAlignment="1">
      <alignment horizontal="center" vertical="center"/>
    </xf>
    <xf numFmtId="0" fontId="71" fillId="57" borderId="131" xfId="0" applyFont="1" applyFill="1" applyBorder="1" applyAlignment="1">
      <alignment horizontal="center" vertical="center"/>
    </xf>
    <xf numFmtId="0" fontId="71" fillId="58" borderId="131" xfId="0" applyFont="1" applyFill="1" applyBorder="1" applyAlignment="1">
      <alignment horizontal="center" vertical="center"/>
    </xf>
    <xf numFmtId="0" fontId="72" fillId="59" borderId="131" xfId="0" applyFont="1" applyFill="1" applyBorder="1" applyAlignment="1">
      <alignment horizontal="center" vertical="center"/>
    </xf>
    <xf numFmtId="0" fontId="0" fillId="0" borderId="0" xfId="0" quotePrefix="1"/>
    <xf numFmtId="0" fontId="53" fillId="48" borderId="34" xfId="0" applyFont="1" applyFill="1" applyBorder="1" applyAlignment="1">
      <alignment horizontal="center" vertical="center"/>
    </xf>
    <xf numFmtId="14" fontId="52" fillId="26" borderId="0" xfId="83" applyNumberFormat="1" applyFill="1"/>
    <xf numFmtId="0" fontId="52" fillId="29" borderId="0" xfId="83" applyFill="1"/>
    <xf numFmtId="14" fontId="52" fillId="29" borderId="0" xfId="83" applyNumberFormat="1" applyFill="1" applyAlignment="1">
      <alignment horizontal="right"/>
    </xf>
    <xf numFmtId="14" fontId="52" fillId="29" borderId="0" xfId="83" applyNumberFormat="1" applyFill="1"/>
    <xf numFmtId="0" fontId="0" fillId="26" borderId="27" xfId="0" applyFill="1" applyBorder="1" applyAlignment="1">
      <alignment horizontal="center" vertical="center"/>
    </xf>
    <xf numFmtId="14" fontId="0" fillId="27" borderId="134" xfId="0" applyNumberFormat="1" applyFill="1" applyBorder="1" applyAlignment="1">
      <alignment horizontal="center" vertical="center" wrapText="1"/>
    </xf>
    <xf numFmtId="14" fontId="0" fillId="27" borderId="135" xfId="0" applyNumberFormat="1" applyFill="1" applyBorder="1" applyAlignment="1">
      <alignment horizontal="center" vertical="center" wrapText="1"/>
    </xf>
    <xf numFmtId="4" fontId="64" fillId="0" borderId="123" xfId="107" applyNumberFormat="1" applyFont="1" applyBorder="1" applyAlignment="1">
      <alignment horizontal="center" vertical="center"/>
    </xf>
    <xf numFmtId="4" fontId="68" fillId="37" borderId="130" xfId="116" applyNumberFormat="1" applyFont="1" applyFill="1" applyBorder="1" applyAlignment="1">
      <alignment horizontal="center" vertical="center" wrapText="1"/>
    </xf>
    <xf numFmtId="183" fontId="68" fillId="37" borderId="15" xfId="618" applyNumberFormat="1" applyFont="1" applyFill="1" applyBorder="1" applyAlignment="1" applyProtection="1">
      <alignment horizontal="center" vertical="center" wrapText="1"/>
    </xf>
    <xf numFmtId="180" fontId="34" fillId="37" borderId="15" xfId="0" applyNumberFormat="1" applyFont="1" applyFill="1" applyBorder="1" applyAlignment="1">
      <alignment horizontal="center" vertical="center"/>
    </xf>
    <xf numFmtId="4" fontId="68" fillId="37" borderId="15" xfId="0" applyNumberFormat="1" applyFont="1" applyFill="1" applyBorder="1" applyAlignment="1">
      <alignment horizontal="center" vertical="center"/>
    </xf>
    <xf numFmtId="14" fontId="68" fillId="37" borderId="15" xfId="0" applyNumberFormat="1" applyFont="1" applyFill="1" applyBorder="1" applyAlignment="1">
      <alignment horizontal="center" vertical="center" wrapText="1"/>
    </xf>
    <xf numFmtId="173" fontId="73" fillId="37" borderId="15" xfId="0" applyNumberFormat="1" applyFont="1" applyFill="1" applyBorder="1" applyAlignment="1">
      <alignment vertical="center" wrapText="1"/>
    </xf>
    <xf numFmtId="14" fontId="37" fillId="37" borderId="15" xfId="0" applyNumberFormat="1" applyFont="1" applyFill="1" applyBorder="1" applyAlignment="1">
      <alignment horizontal="left" vertical="center"/>
    </xf>
    <xf numFmtId="180" fontId="68" fillId="37" borderId="15" xfId="0" applyNumberFormat="1" applyFont="1" applyFill="1" applyBorder="1" applyAlignment="1">
      <alignment horizontal="center" vertical="center"/>
    </xf>
    <xf numFmtId="14" fontId="68" fillId="37" borderId="15" xfId="116" applyNumberFormat="1" applyFont="1" applyFill="1" applyBorder="1" applyAlignment="1">
      <alignment horizontal="center" vertical="center" wrapText="1"/>
    </xf>
    <xf numFmtId="4" fontId="69" fillId="37" borderId="12" xfId="116" applyNumberFormat="1" applyFont="1" applyFill="1" applyBorder="1" applyAlignment="1">
      <alignment horizontal="center" vertical="center" wrapText="1"/>
    </xf>
    <xf numFmtId="183" fontId="68" fillId="37" borderId="30" xfId="618" applyNumberFormat="1" applyFont="1" applyFill="1" applyBorder="1" applyAlignment="1" applyProtection="1">
      <alignment horizontal="center" vertical="center" wrapText="1"/>
    </xf>
    <xf numFmtId="180" fontId="68" fillId="37" borderId="30" xfId="0" applyNumberFormat="1" applyFont="1" applyFill="1" applyBorder="1" applyAlignment="1">
      <alignment horizontal="center" vertical="center"/>
    </xf>
    <xf numFmtId="4" fontId="68" fillId="37" borderId="30" xfId="0" applyNumberFormat="1" applyFont="1" applyFill="1" applyBorder="1" applyAlignment="1">
      <alignment horizontal="center" vertical="center"/>
    </xf>
    <xf numFmtId="14" fontId="69" fillId="37" borderId="30" xfId="116" applyNumberFormat="1" applyFont="1" applyFill="1" applyBorder="1" applyAlignment="1">
      <alignment horizontal="center" vertical="center" wrapText="1"/>
    </xf>
    <xf numFmtId="173" fontId="73" fillId="37" borderId="30" xfId="0" applyNumberFormat="1" applyFont="1" applyFill="1" applyBorder="1" applyAlignment="1">
      <alignment vertical="center" wrapText="1"/>
    </xf>
    <xf numFmtId="14" fontId="37" fillId="37" borderId="30" xfId="0" applyNumberFormat="1" applyFont="1" applyFill="1" applyBorder="1" applyAlignment="1">
      <alignment horizontal="left" vertical="center"/>
    </xf>
    <xf numFmtId="14" fontId="52" fillId="0" borderId="75" xfId="0" applyNumberFormat="1" applyFont="1" applyBorder="1" applyAlignment="1">
      <alignment horizontal="left" vertical="center"/>
    </xf>
    <xf numFmtId="4" fontId="68" fillId="0" borderId="132" xfId="0" applyNumberFormat="1" applyFont="1" applyBorder="1" applyAlignment="1">
      <alignment horizontal="center" vertical="center" wrapText="1"/>
    </xf>
    <xf numFmtId="184" fontId="68" fillId="0" borderId="15" xfId="0" applyNumberFormat="1" applyFont="1" applyBorder="1" applyAlignment="1">
      <alignment horizontal="center" vertical="center" wrapText="1"/>
    </xf>
    <xf numFmtId="4" fontId="68" fillId="0" borderId="15" xfId="0" applyNumberFormat="1" applyFont="1" applyBorder="1" applyAlignment="1">
      <alignment horizontal="center" vertical="center"/>
    </xf>
    <xf numFmtId="4" fontId="68" fillId="0" borderId="133" xfId="0" applyNumberFormat="1" applyFont="1" applyBorder="1" applyAlignment="1">
      <alignment horizontal="center" vertical="center"/>
    </xf>
    <xf numFmtId="14" fontId="68" fillId="0" borderId="15" xfId="0" applyNumberFormat="1" applyFont="1" applyBorder="1" applyAlignment="1">
      <alignment horizontal="center" vertical="center" wrapText="1"/>
    </xf>
    <xf numFmtId="173" fontId="68" fillId="0" borderId="15" xfId="0" applyNumberFormat="1" applyFont="1" applyBorder="1" applyAlignment="1">
      <alignment vertical="center" wrapText="1"/>
    </xf>
    <xf numFmtId="14" fontId="52" fillId="0" borderId="0" xfId="0" applyNumberFormat="1" applyFont="1" applyAlignment="1">
      <alignment horizontal="left" vertical="center"/>
    </xf>
    <xf numFmtId="180" fontId="68" fillId="0" borderId="15" xfId="0" applyNumberFormat="1" applyFont="1" applyBorder="1" applyAlignment="1">
      <alignment horizontal="center" vertical="center"/>
    </xf>
    <xf numFmtId="184" fontId="68" fillId="0" borderId="30" xfId="0" applyNumberFormat="1" applyFont="1" applyBorder="1" applyAlignment="1">
      <alignment horizontal="center" vertical="center" wrapText="1"/>
    </xf>
    <xf numFmtId="180" fontId="68" fillId="0" borderId="30" xfId="0" applyNumberFormat="1" applyFont="1" applyBorder="1" applyAlignment="1">
      <alignment horizontal="center" vertical="center"/>
    </xf>
    <xf numFmtId="4" fontId="68" fillId="0" borderId="30" xfId="0" applyNumberFormat="1" applyFont="1" applyBorder="1" applyAlignment="1">
      <alignment horizontal="center" vertical="center"/>
    </xf>
    <xf numFmtId="14" fontId="69" fillId="0" borderId="30" xfId="0" applyNumberFormat="1" applyFont="1" applyBorder="1" applyAlignment="1">
      <alignment horizontal="center" vertical="center" wrapText="1"/>
    </xf>
    <xf numFmtId="173" fontId="68" fillId="0" borderId="30" xfId="0" applyNumberFormat="1" applyFont="1" applyBorder="1" applyAlignment="1">
      <alignment vertical="center" wrapText="1"/>
    </xf>
    <xf numFmtId="0" fontId="0" fillId="0" borderId="0" xfId="83" quotePrefix="1" applyFont="1"/>
    <xf numFmtId="172" fontId="34" fillId="60" borderId="44" xfId="82" applyNumberFormat="1" applyFont="1" applyFill="1" applyBorder="1" applyAlignment="1">
      <alignment horizontal="center" vertical="center"/>
    </xf>
    <xf numFmtId="0" fontId="78" fillId="0" borderId="143" xfId="0" applyFont="1" applyBorder="1" applyAlignment="1" applyProtection="1">
      <alignment horizontal="center" vertical="center"/>
      <protection locked="0"/>
    </xf>
    <xf numFmtId="0" fontId="78" fillId="36" borderId="143" xfId="0" applyFont="1" applyFill="1" applyBorder="1" applyAlignment="1" applyProtection="1">
      <alignment horizontal="center" vertical="center"/>
      <protection locked="0"/>
    </xf>
    <xf numFmtId="0" fontId="79" fillId="0" borderId="145" xfId="0" applyFont="1" applyBorder="1" applyAlignment="1" applyProtection="1">
      <alignment horizontal="center"/>
      <protection locked="0"/>
    </xf>
    <xf numFmtId="0" fontId="79" fillId="36" borderId="145" xfId="0" applyFont="1" applyFill="1" applyBorder="1" applyAlignment="1" applyProtection="1">
      <alignment horizontal="center"/>
      <protection locked="0"/>
    </xf>
    <xf numFmtId="44" fontId="52" fillId="0" borderId="27" xfId="622" applyFont="1" applyFill="1" applyBorder="1" applyAlignment="1">
      <alignment horizontal="center"/>
    </xf>
    <xf numFmtId="186" fontId="52" fillId="0" borderId="27" xfId="72" applyNumberFormat="1" applyBorder="1" applyAlignment="1">
      <alignment horizontal="center"/>
    </xf>
    <xf numFmtId="4" fontId="52" fillId="0" borderId="27" xfId="81" applyNumberFormat="1" applyBorder="1"/>
    <xf numFmtId="4" fontId="52" fillId="26" borderId="27" xfId="81" applyNumberFormat="1" applyFill="1" applyBorder="1"/>
    <xf numFmtId="0" fontId="33" fillId="62" borderId="27" xfId="72" applyFont="1" applyFill="1" applyBorder="1" applyAlignment="1">
      <alignment horizontal="center" vertical="center"/>
    </xf>
    <xf numFmtId="0" fontId="34" fillId="8" borderId="147" xfId="0" applyFont="1" applyFill="1" applyBorder="1" applyAlignment="1">
      <alignment horizontal="center" vertical="center"/>
    </xf>
    <xf numFmtId="0" fontId="34" fillId="6" borderId="147" xfId="0" applyFont="1" applyFill="1" applyBorder="1" applyAlignment="1">
      <alignment horizontal="center" vertical="center"/>
    </xf>
    <xf numFmtId="4" fontId="68" fillId="0" borderId="148" xfId="0" applyNumberFormat="1" applyFont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0" fontId="52" fillId="37" borderId="0" xfId="80" applyFill="1"/>
    <xf numFmtId="49" fontId="45" fillId="37" borderId="30" xfId="621" applyNumberFormat="1" applyFont="1" applyFill="1" applyBorder="1" applyAlignment="1">
      <alignment horizontal="center" vertical="center"/>
    </xf>
    <xf numFmtId="0" fontId="75" fillId="37" borderId="27" xfId="80" applyFont="1" applyFill="1" applyBorder="1" applyAlignment="1" applyProtection="1">
      <alignment horizontal="center" vertical="center"/>
      <protection hidden="1"/>
    </xf>
    <xf numFmtId="185" fontId="81" fillId="37" borderId="27" xfId="80" applyNumberFormat="1" applyFont="1" applyFill="1" applyBorder="1" applyAlignment="1" applyProtection="1">
      <alignment horizontal="center" vertical="center"/>
      <protection hidden="1"/>
    </xf>
    <xf numFmtId="0" fontId="52" fillId="37" borderId="0" xfId="80" applyFill="1" applyAlignment="1" applyProtection="1">
      <alignment vertical="center"/>
      <protection hidden="1"/>
    </xf>
    <xf numFmtId="0" fontId="33" fillId="62" borderId="137" xfId="81" applyFont="1" applyFill="1" applyBorder="1" applyAlignment="1">
      <alignment vertical="center"/>
    </xf>
    <xf numFmtId="0" fontId="33" fillId="62" borderId="141" xfId="81" applyFont="1" applyFill="1" applyBorder="1" applyAlignment="1">
      <alignment vertical="center"/>
    </xf>
    <xf numFmtId="4" fontId="34" fillId="0" borderId="149" xfId="0" applyNumberFormat="1" applyFont="1" applyBorder="1" applyAlignment="1">
      <alignment horizontal="center" vertical="center"/>
    </xf>
    <xf numFmtId="0" fontId="34" fillId="8" borderId="150" xfId="0" applyFont="1" applyFill="1" applyBorder="1" applyAlignment="1">
      <alignment horizontal="center" vertical="center"/>
    </xf>
    <xf numFmtId="0" fontId="34" fillId="14" borderId="150" xfId="0" applyFont="1" applyFill="1" applyBorder="1" applyAlignment="1">
      <alignment horizontal="center" vertical="center"/>
    </xf>
    <xf numFmtId="0" fontId="34" fillId="34" borderId="150" xfId="0" applyFont="1" applyFill="1" applyBorder="1" applyAlignment="1">
      <alignment horizontal="center" vertical="center"/>
    </xf>
    <xf numFmtId="0" fontId="44" fillId="44" borderId="150" xfId="0" applyFont="1" applyFill="1" applyBorder="1" applyAlignment="1">
      <alignment horizontal="center" vertical="center"/>
    </xf>
    <xf numFmtId="0" fontId="11" fillId="0" borderId="151" xfId="619" applyFont="1" applyBorder="1" applyAlignment="1">
      <alignment horizontal="left" wrapText="1"/>
    </xf>
    <xf numFmtId="4" fontId="71" fillId="0" borderId="152" xfId="0" applyNumberFormat="1" applyFont="1" applyBorder="1" applyAlignment="1">
      <alignment horizontal="center" vertical="center"/>
    </xf>
    <xf numFmtId="164" fontId="34" fillId="37" borderId="27" xfId="304" applyFont="1" applyFill="1" applyBorder="1" applyAlignment="1" applyProtection="1">
      <alignment horizontal="center" vertical="center"/>
      <protection hidden="1"/>
    </xf>
    <xf numFmtId="164" fontId="52" fillId="37" borderId="27" xfId="304" applyFont="1" applyFill="1" applyBorder="1" applyProtection="1">
      <protection hidden="1"/>
    </xf>
    <xf numFmtId="164" fontId="74" fillId="0" borderId="27" xfId="304" applyFont="1" applyBorder="1" applyAlignment="1" applyProtection="1">
      <alignment horizontal="center" vertical="center"/>
      <protection hidden="1"/>
    </xf>
    <xf numFmtId="164" fontId="52" fillId="37" borderId="0" xfId="304" applyFill="1" applyAlignment="1">
      <alignment horizontal="center"/>
    </xf>
    <xf numFmtId="164" fontId="52" fillId="37" borderId="0" xfId="304" applyFill="1"/>
    <xf numFmtId="0" fontId="0" fillId="37" borderId="0" xfId="80" applyFont="1" applyFill="1"/>
    <xf numFmtId="0" fontId="43" fillId="0" borderId="0" xfId="82" applyFont="1" applyAlignment="1">
      <alignment vertical="center"/>
    </xf>
    <xf numFmtId="0" fontId="33" fillId="0" borderId="0" xfId="82" applyFont="1" applyAlignment="1">
      <alignment vertical="center"/>
    </xf>
    <xf numFmtId="0" fontId="49" fillId="0" borderId="85" xfId="0" applyFont="1" applyBorder="1"/>
    <xf numFmtId="1" fontId="0" fillId="0" borderId="0" xfId="82" applyNumberFormat="1" applyFont="1" applyAlignment="1">
      <alignment horizontal="left"/>
    </xf>
    <xf numFmtId="1" fontId="0" fillId="0" borderId="0" xfId="82" applyNumberFormat="1" applyFont="1" applyAlignment="1">
      <alignment horizontal="center"/>
    </xf>
    <xf numFmtId="0" fontId="0" fillId="0" borderId="0" xfId="82" applyFont="1" applyAlignment="1">
      <alignment vertical="center"/>
    </xf>
    <xf numFmtId="1" fontId="49" fillId="24" borderId="94" xfId="82" applyNumberFormat="1" applyFont="1" applyFill="1" applyBorder="1" applyAlignment="1">
      <alignment horizontal="left" vertical="center"/>
    </xf>
    <xf numFmtId="14" fontId="49" fillId="24" borderId="94" xfId="82" applyNumberFormat="1" applyFont="1" applyFill="1" applyBorder="1" applyAlignment="1">
      <alignment horizontal="left" vertical="center"/>
    </xf>
    <xf numFmtId="1" fontId="49" fillId="0" borderId="94" xfId="82" applyNumberFormat="1" applyFont="1" applyBorder="1" applyAlignment="1">
      <alignment horizontal="center" vertical="center"/>
    </xf>
    <xf numFmtId="0" fontId="0" fillId="0" borderId="24" xfId="82" applyFont="1" applyBorder="1" applyAlignment="1">
      <alignment vertical="center"/>
    </xf>
    <xf numFmtId="1" fontId="49" fillId="0" borderId="135" xfId="82" applyNumberFormat="1" applyFont="1" applyBorder="1" applyAlignment="1">
      <alignment horizontal="center" vertical="center"/>
    </xf>
    <xf numFmtId="0" fontId="0" fillId="0" borderId="69" xfId="81" applyFont="1" applyBorder="1"/>
    <xf numFmtId="0" fontId="33" fillId="63" borderId="44" xfId="82" applyFont="1" applyFill="1" applyBorder="1" applyAlignment="1">
      <alignment horizontal="center" vertical="center"/>
    </xf>
    <xf numFmtId="0" fontId="33" fillId="63" borderId="49" xfId="82" applyFont="1" applyFill="1" applyBorder="1" applyAlignment="1">
      <alignment horizontal="center" vertical="center"/>
    </xf>
    <xf numFmtId="0" fontId="78" fillId="36" borderId="153" xfId="0" applyFont="1" applyFill="1" applyBorder="1" applyAlignment="1" applyProtection="1">
      <alignment horizontal="center" vertical="center"/>
      <protection locked="0"/>
    </xf>
    <xf numFmtId="4" fontId="0" fillId="0" borderId="133" xfId="0" applyNumberFormat="1" applyBorder="1" applyAlignment="1">
      <alignment horizontal="center" vertical="center"/>
    </xf>
    <xf numFmtId="171" fontId="0" fillId="20" borderId="154" xfId="0" applyNumberFormat="1" applyFill="1" applyBorder="1" applyAlignment="1">
      <alignment horizontal="center" vertical="center" wrapText="1"/>
    </xf>
    <xf numFmtId="4" fontId="0" fillId="0" borderId="155" xfId="0" applyNumberFormat="1" applyBorder="1" applyAlignment="1">
      <alignment horizontal="center" vertical="center"/>
    </xf>
    <xf numFmtId="171" fontId="0" fillId="35" borderId="156" xfId="0" applyNumberFormat="1" applyFill="1" applyBorder="1" applyAlignment="1">
      <alignment horizontal="center" vertical="center"/>
    </xf>
    <xf numFmtId="0" fontId="0" fillId="63" borderId="158" xfId="82" applyFont="1" applyFill="1" applyBorder="1" applyAlignment="1">
      <alignment horizontal="center" vertical="center" wrapText="1"/>
    </xf>
    <xf numFmtId="0" fontId="0" fillId="63" borderId="159" xfId="82" applyFont="1" applyFill="1" applyBorder="1" applyAlignment="1">
      <alignment horizontal="center" vertical="center" wrapText="1"/>
    </xf>
    <xf numFmtId="0" fontId="0" fillId="63" borderId="160" xfId="82" applyFont="1" applyFill="1" applyBorder="1" applyAlignment="1">
      <alignment horizontal="center" vertical="center" wrapText="1"/>
    </xf>
    <xf numFmtId="0" fontId="42" fillId="24" borderId="0" xfId="82" applyFont="1" applyFill="1" applyAlignment="1">
      <alignment horizontal="left" vertical="center"/>
    </xf>
    <xf numFmtId="172" fontId="34" fillId="60" borderId="33" xfId="82" applyNumberFormat="1" applyFont="1" applyFill="1" applyBorder="1" applyAlignment="1">
      <alignment horizontal="center" vertical="center"/>
    </xf>
    <xf numFmtId="172" fontId="34" fillId="60" borderId="173" xfId="82" applyNumberFormat="1" applyFont="1" applyFill="1" applyBorder="1" applyAlignment="1">
      <alignment horizontal="center" vertical="center"/>
    </xf>
    <xf numFmtId="4" fontId="71" fillId="64" borderId="175" xfId="0" applyNumberFormat="1" applyFont="1" applyFill="1" applyBorder="1" applyAlignment="1">
      <alignment horizontal="left" vertical="center"/>
    </xf>
    <xf numFmtId="0" fontId="34" fillId="63" borderId="176" xfId="82" applyFont="1" applyFill="1" applyBorder="1" applyAlignment="1">
      <alignment vertical="center"/>
    </xf>
    <xf numFmtId="0" fontId="80" fillId="60" borderId="176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1" fontId="37" fillId="24" borderId="176" xfId="82" applyNumberFormat="1" applyFont="1" applyFill="1" applyBorder="1" applyAlignment="1">
      <alignment horizontal="center" vertical="center"/>
    </xf>
    <xf numFmtId="177" fontId="34" fillId="24" borderId="176" xfId="82" applyNumberFormat="1" applyFont="1" applyFill="1" applyBorder="1" applyAlignment="1">
      <alignment horizontal="center" vertical="center"/>
    </xf>
    <xf numFmtId="0" fontId="34" fillId="24" borderId="177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0" fontId="33" fillId="63" borderId="178" xfId="82" applyFont="1" applyFill="1" applyBorder="1" applyAlignment="1">
      <alignment horizontal="center" vertical="center"/>
    </xf>
    <xf numFmtId="0" fontId="44" fillId="64" borderId="179" xfId="81" applyFont="1" applyFill="1" applyBorder="1" applyAlignment="1">
      <alignment horizontal="center" vertical="center"/>
    </xf>
    <xf numFmtId="0" fontId="33" fillId="63" borderId="86" xfId="82" applyFont="1" applyFill="1" applyBorder="1" applyAlignment="1">
      <alignment horizontal="center" vertical="center"/>
    </xf>
    <xf numFmtId="0" fontId="44" fillId="62" borderId="28" xfId="81" applyFont="1" applyFill="1" applyBorder="1" applyAlignment="1">
      <alignment horizontal="center"/>
    </xf>
    <xf numFmtId="0" fontId="77" fillId="61" borderId="181" xfId="81" applyFont="1" applyFill="1" applyBorder="1"/>
    <xf numFmtId="0" fontId="77" fillId="61" borderId="182" xfId="81" applyFont="1" applyFill="1" applyBorder="1"/>
    <xf numFmtId="0" fontId="77" fillId="61" borderId="183" xfId="81" applyFont="1" applyFill="1" applyBorder="1"/>
    <xf numFmtId="1" fontId="77" fillId="61" borderId="181" xfId="81" applyNumberFormat="1" applyFont="1" applyFill="1" applyBorder="1"/>
    <xf numFmtId="1" fontId="77" fillId="61" borderId="183" xfId="81" applyNumberFormat="1" applyFont="1" applyFill="1" applyBorder="1"/>
    <xf numFmtId="0" fontId="34" fillId="61" borderId="181" xfId="81" applyFont="1" applyFill="1" applyBorder="1"/>
    <xf numFmtId="0" fontId="34" fillId="61" borderId="183" xfId="81" applyFont="1" applyFill="1" applyBorder="1"/>
    <xf numFmtId="0" fontId="34" fillId="61" borderId="181" xfId="81" applyFont="1" applyFill="1" applyBorder="1" applyAlignment="1">
      <alignment horizontal="left"/>
    </xf>
    <xf numFmtId="0" fontId="34" fillId="61" borderId="183" xfId="81" applyFont="1" applyFill="1" applyBorder="1" applyAlignment="1">
      <alignment horizontal="left"/>
    </xf>
    <xf numFmtId="0" fontId="44" fillId="61" borderId="183" xfId="81" applyFont="1" applyFill="1" applyBorder="1"/>
    <xf numFmtId="0" fontId="44" fillId="61" borderId="181" xfId="81" applyFont="1" applyFill="1" applyBorder="1"/>
    <xf numFmtId="0" fontId="52" fillId="61" borderId="183" xfId="81" applyFill="1" applyBorder="1"/>
    <xf numFmtId="0" fontId="44" fillId="61" borderId="184" xfId="81" applyFont="1" applyFill="1" applyBorder="1"/>
    <xf numFmtId="0" fontId="52" fillId="24" borderId="161" xfId="82" applyFill="1" applyBorder="1" applyAlignment="1">
      <alignment horizontal="center"/>
    </xf>
    <xf numFmtId="0" fontId="0" fillId="24" borderId="162" xfId="82" applyFont="1" applyFill="1" applyBorder="1" applyAlignment="1">
      <alignment horizontal="center"/>
    </xf>
    <xf numFmtId="0" fontId="0" fillId="24" borderId="163" xfId="82" applyFont="1" applyFill="1" applyBorder="1" applyAlignment="1">
      <alignment horizontal="center"/>
    </xf>
    <xf numFmtId="0" fontId="44" fillId="63" borderId="44" xfId="82" applyFont="1" applyFill="1" applyBorder="1" applyAlignment="1">
      <alignment horizontal="center" vertical="center"/>
    </xf>
    <xf numFmtId="0" fontId="34" fillId="63" borderId="138" xfId="82" applyFont="1" applyFill="1" applyBorder="1" applyAlignment="1">
      <alignment vertical="center"/>
    </xf>
    <xf numFmtId="0" fontId="34" fillId="63" borderId="140" xfId="82" applyFont="1" applyFill="1" applyBorder="1" applyAlignment="1">
      <alignment vertical="center"/>
    </xf>
    <xf numFmtId="0" fontId="44" fillId="63" borderId="44" xfId="82" applyFont="1" applyFill="1" applyBorder="1" applyAlignment="1">
      <alignment horizontal="center"/>
    </xf>
    <xf numFmtId="0" fontId="44" fillId="64" borderId="44" xfId="82" applyFont="1" applyFill="1" applyBorder="1" applyAlignment="1">
      <alignment horizontal="center"/>
    </xf>
    <xf numFmtId="0" fontId="34" fillId="0" borderId="69" xfId="81" applyFont="1" applyBorder="1"/>
    <xf numFmtId="4" fontId="71" fillId="24" borderId="188" xfId="82" applyNumberFormat="1" applyFont="1" applyFill="1" applyBorder="1" applyAlignment="1">
      <alignment horizontal="right" vertical="center"/>
    </xf>
    <xf numFmtId="4" fontId="71" fillId="63" borderId="188" xfId="82" applyNumberFormat="1" applyFont="1" applyFill="1" applyBorder="1" applyAlignment="1">
      <alignment horizontal="right" vertical="center"/>
    </xf>
    <xf numFmtId="4" fontId="71" fillId="0" borderId="188" xfId="81" applyNumberFormat="1" applyFont="1" applyBorder="1" applyAlignment="1">
      <alignment vertical="center"/>
    </xf>
    <xf numFmtId="4" fontId="71" fillId="24" borderId="188" xfId="82" applyNumberFormat="1" applyFont="1" applyFill="1" applyBorder="1" applyAlignment="1">
      <alignment vertical="center"/>
    </xf>
    <xf numFmtId="4" fontId="72" fillId="63" borderId="188" xfId="82" applyNumberFormat="1" applyFont="1" applyFill="1" applyBorder="1" applyAlignment="1">
      <alignment vertical="center"/>
    </xf>
    <xf numFmtId="0" fontId="77" fillId="61" borderId="183" xfId="81" quotePrefix="1" applyFont="1" applyFill="1" applyBorder="1"/>
    <xf numFmtId="1" fontId="34" fillId="61" borderId="19" xfId="81" applyNumberFormat="1" applyFont="1" applyFill="1" applyBorder="1"/>
    <xf numFmtId="1" fontId="34" fillId="61" borderId="189" xfId="81" applyNumberFormat="1" applyFont="1" applyFill="1" applyBorder="1"/>
    <xf numFmtId="0" fontId="34" fillId="61" borderId="190" xfId="81" applyFont="1" applyFill="1" applyBorder="1"/>
    <xf numFmtId="1" fontId="34" fillId="61" borderId="190" xfId="81" applyNumberFormat="1" applyFont="1" applyFill="1" applyBorder="1"/>
    <xf numFmtId="1" fontId="34" fillId="61" borderId="191" xfId="81" applyNumberFormat="1" applyFont="1" applyFill="1" applyBorder="1"/>
    <xf numFmtId="0" fontId="34" fillId="61" borderId="19" xfId="81" applyFont="1" applyFill="1" applyBorder="1" applyAlignment="1">
      <alignment horizontal="left"/>
    </xf>
    <xf numFmtId="0" fontId="34" fillId="61" borderId="20" xfId="81" applyFont="1" applyFill="1" applyBorder="1" applyAlignment="1">
      <alignment horizontal="left"/>
    </xf>
    <xf numFmtId="0" fontId="52" fillId="24" borderId="191" xfId="82" applyFill="1" applyBorder="1" applyAlignment="1">
      <alignment horizontal="center"/>
    </xf>
    <xf numFmtId="1" fontId="34" fillId="61" borderId="20" xfId="81" applyNumberFormat="1" applyFont="1" applyFill="1" applyBorder="1"/>
    <xf numFmtId="0" fontId="34" fillId="61" borderId="19" xfId="81" applyFont="1" applyFill="1" applyBorder="1" applyAlignment="1">
      <alignment horizontal="center"/>
    </xf>
    <xf numFmtId="171" fontId="37" fillId="39" borderId="46" xfId="107" applyNumberFormat="1" applyFont="1" applyFill="1" applyBorder="1" applyAlignment="1">
      <alignment horizontal="center" vertical="center" wrapText="1"/>
    </xf>
    <xf numFmtId="171" fontId="37" fillId="36" borderId="46" xfId="107" applyNumberFormat="1" applyFont="1" applyFill="1" applyBorder="1" applyAlignment="1">
      <alignment horizontal="center" vertical="center" wrapText="1"/>
    </xf>
    <xf numFmtId="14" fontId="0" fillId="0" borderId="192" xfId="0" quotePrefix="1" applyNumberFormat="1" applyBorder="1" applyAlignment="1" applyProtection="1">
      <alignment vertical="top"/>
      <protection locked="0"/>
    </xf>
    <xf numFmtId="0" fontId="0" fillId="0" borderId="15" xfId="0" applyBorder="1" applyAlignment="1" applyProtection="1">
      <alignment vertical="top"/>
      <protection locked="0"/>
    </xf>
    <xf numFmtId="0" fontId="0" fillId="0" borderId="30" xfId="0" applyBorder="1" applyAlignment="1" applyProtection="1">
      <alignment vertical="top"/>
      <protection locked="0"/>
    </xf>
    <xf numFmtId="49" fontId="34" fillId="0" borderId="192" xfId="0" applyNumberFormat="1" applyFont="1" applyBorder="1" applyAlignment="1" applyProtection="1">
      <alignment vertical="top" wrapText="1"/>
      <protection locked="0"/>
    </xf>
    <xf numFmtId="49" fontId="34" fillId="0" borderId="15" xfId="0" applyNumberFormat="1" applyFont="1" applyBorder="1" applyAlignment="1" applyProtection="1">
      <alignment vertical="top" wrapText="1"/>
      <protection locked="0"/>
    </xf>
    <xf numFmtId="49" fontId="34" fillId="0" borderId="30" xfId="0" applyNumberFormat="1" applyFont="1" applyBorder="1" applyAlignment="1" applyProtection="1">
      <alignment vertical="top" wrapText="1"/>
      <protection locked="0"/>
    </xf>
    <xf numFmtId="0" fontId="83" fillId="65" borderId="121" xfId="116" applyFont="1" applyFill="1" applyBorder="1" applyAlignment="1">
      <alignment horizontal="left"/>
    </xf>
    <xf numFmtId="0" fontId="83" fillId="0" borderId="126" xfId="116" applyFont="1" applyBorder="1" applyAlignment="1">
      <alignment horizontal="left"/>
    </xf>
    <xf numFmtId="0" fontId="84" fillId="0" borderId="126" xfId="625" applyFont="1" applyBorder="1" applyAlignment="1">
      <alignment horizontal="left"/>
    </xf>
    <xf numFmtId="0" fontId="84" fillId="0" borderId="126" xfId="116" applyFont="1" applyBorder="1" applyAlignment="1">
      <alignment horizontal="left"/>
    </xf>
    <xf numFmtId="49" fontId="34" fillId="0" borderId="24" xfId="0" applyNumberFormat="1" applyFont="1" applyBorder="1" applyAlignment="1" applyProtection="1">
      <alignment vertical="center" wrapText="1"/>
      <protection locked="0"/>
    </xf>
    <xf numFmtId="0" fontId="52" fillId="29" borderId="0" xfId="83" applyFill="1" applyAlignment="1">
      <alignment horizontal="right"/>
    </xf>
    <xf numFmtId="183" fontId="34" fillId="0" borderId="192" xfId="618" applyNumberFormat="1" applyFont="1" applyBorder="1" applyAlignment="1" applyProtection="1">
      <alignment horizontal="center" vertical="center" wrapText="1"/>
    </xf>
    <xf numFmtId="180" fontId="34" fillId="0" borderId="192" xfId="0" applyNumberFormat="1" applyFont="1" applyBorder="1" applyAlignment="1">
      <alignment horizontal="center" vertical="center"/>
    </xf>
    <xf numFmtId="4" fontId="34" fillId="0" borderId="192" xfId="0" applyNumberFormat="1" applyFont="1" applyBorder="1" applyAlignment="1">
      <alignment horizontal="center" vertical="center"/>
    </xf>
    <xf numFmtId="14" fontId="34" fillId="0" borderId="192" xfId="116" applyNumberFormat="1" applyFont="1" applyBorder="1" applyAlignment="1">
      <alignment horizontal="center" vertical="center" wrapText="1"/>
    </xf>
    <xf numFmtId="184" fontId="71" fillId="0" borderId="192" xfId="0" applyNumberFormat="1" applyFont="1" applyBorder="1" applyAlignment="1">
      <alignment horizontal="center" vertical="center" wrapText="1"/>
    </xf>
    <xf numFmtId="180" fontId="71" fillId="0" borderId="192" xfId="0" applyNumberFormat="1" applyFont="1" applyBorder="1" applyAlignment="1">
      <alignment horizontal="center" vertical="center"/>
    </xf>
    <xf numFmtId="4" fontId="71" fillId="0" borderId="192" xfId="0" applyNumberFormat="1" applyFont="1" applyBorder="1" applyAlignment="1">
      <alignment horizontal="center" vertical="center"/>
    </xf>
    <xf numFmtId="14" fontId="71" fillId="0" borderId="192" xfId="0" applyNumberFormat="1" applyFont="1" applyBorder="1" applyAlignment="1">
      <alignment horizontal="center" vertical="center" wrapText="1"/>
    </xf>
    <xf numFmtId="173" fontId="71" fillId="0" borderId="192" xfId="0" applyNumberFormat="1" applyFont="1" applyBorder="1" applyAlignment="1">
      <alignment vertical="center" wrapText="1"/>
    </xf>
    <xf numFmtId="16" fontId="0" fillId="0" borderId="0" xfId="0" applyNumberFormat="1"/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626"/>
    <xf numFmtId="187" fontId="0" fillId="0" borderId="0" xfId="627" applyFont="1" applyProtection="1"/>
    <xf numFmtId="0" fontId="1" fillId="0" borderId="87" xfId="626" applyBorder="1"/>
    <xf numFmtId="0" fontId="1" fillId="0" borderId="74" xfId="626" applyBorder="1"/>
    <xf numFmtId="187" fontId="0" fillId="0" borderId="74" xfId="627" applyFont="1" applyBorder="1" applyProtection="1"/>
    <xf numFmtId="0" fontId="1" fillId="0" borderId="75" xfId="626" applyBorder="1"/>
    <xf numFmtId="0" fontId="1" fillId="0" borderId="78" xfId="626" applyBorder="1"/>
    <xf numFmtId="0" fontId="1" fillId="0" borderId="77" xfId="626" applyBorder="1"/>
    <xf numFmtId="0" fontId="91" fillId="0" borderId="0" xfId="628" applyBorder="1" applyProtection="1"/>
    <xf numFmtId="187" fontId="0" fillId="0" borderId="0" xfId="627" applyFont="1" applyBorder="1" applyProtection="1"/>
    <xf numFmtId="0" fontId="93" fillId="0" borderId="79" xfId="626" applyFont="1" applyBorder="1" applyAlignment="1">
      <alignment vertical="center"/>
    </xf>
    <xf numFmtId="187" fontId="0" fillId="64" borderId="195" xfId="627" applyFont="1" applyFill="1" applyBorder="1" applyAlignment="1" applyProtection="1">
      <alignment vertical="center"/>
      <protection locked="0"/>
    </xf>
    <xf numFmtId="187" fontId="0" fillId="0" borderId="0" xfId="627" applyFont="1" applyFill="1" applyBorder="1" applyAlignment="1" applyProtection="1">
      <alignment vertical="center"/>
    </xf>
    <xf numFmtId="0" fontId="93" fillId="0" borderId="83" xfId="626" applyFont="1" applyBorder="1" applyAlignment="1">
      <alignment vertical="center"/>
    </xf>
    <xf numFmtId="187" fontId="0" fillId="64" borderId="196" xfId="627" applyFont="1" applyFill="1" applyBorder="1" applyAlignment="1" applyProtection="1">
      <alignment vertical="center"/>
      <protection locked="0"/>
    </xf>
    <xf numFmtId="0" fontId="94" fillId="0" borderId="193" xfId="626" applyFont="1" applyBorder="1" applyAlignment="1">
      <alignment vertical="center"/>
    </xf>
    <xf numFmtId="187" fontId="0" fillId="0" borderId="197" xfId="627" applyFont="1" applyBorder="1" applyAlignment="1" applyProtection="1">
      <alignment vertical="center"/>
    </xf>
    <xf numFmtId="0" fontId="94" fillId="0" borderId="74" xfId="626" applyFont="1" applyBorder="1" applyAlignment="1">
      <alignment vertical="center"/>
    </xf>
    <xf numFmtId="187" fontId="0" fillId="0" borderId="0" xfId="627" applyFont="1" applyBorder="1" applyAlignment="1" applyProtection="1">
      <alignment vertical="center"/>
    </xf>
    <xf numFmtId="0" fontId="93" fillId="0" borderId="80" xfId="626" applyFont="1" applyBorder="1" applyAlignment="1">
      <alignment horizontal="left" wrapText="1"/>
    </xf>
    <xf numFmtId="187" fontId="0" fillId="64" borderId="200" xfId="627" applyFont="1" applyFill="1" applyBorder="1" applyAlignment="1" applyProtection="1">
      <alignment vertical="center"/>
      <protection locked="0"/>
    </xf>
    <xf numFmtId="0" fontId="87" fillId="0" borderId="0" xfId="626" applyFont="1"/>
    <xf numFmtId="0" fontId="87" fillId="0" borderId="77" xfId="626" applyFont="1" applyBorder="1"/>
    <xf numFmtId="0" fontId="85" fillId="0" borderId="79" xfId="626" applyFont="1" applyBorder="1" applyAlignment="1">
      <alignment horizontal="center" vertical="center"/>
    </xf>
    <xf numFmtId="0" fontId="85" fillId="0" borderId="201" xfId="626" applyFont="1" applyBorder="1" applyAlignment="1">
      <alignment horizontal="center" vertical="center"/>
    </xf>
    <xf numFmtId="0" fontId="87" fillId="49" borderId="193" xfId="626" applyFont="1" applyFill="1" applyBorder="1" applyAlignment="1">
      <alignment horizontal="left" vertical="center"/>
    </xf>
    <xf numFmtId="187" fontId="0" fillId="64" borderId="193" xfId="627" applyFont="1" applyFill="1" applyBorder="1" applyAlignment="1" applyProtection="1">
      <alignment vertical="center"/>
      <protection locked="0"/>
    </xf>
    <xf numFmtId="188" fontId="0" fillId="64" borderId="193" xfId="627" applyNumberFormat="1" applyFont="1" applyFill="1" applyBorder="1" applyAlignment="1" applyProtection="1">
      <alignment vertical="center"/>
      <protection locked="0"/>
    </xf>
    <xf numFmtId="0" fontId="96" fillId="0" borderId="77" xfId="626" applyFont="1" applyBorder="1" applyAlignment="1">
      <alignment vertical="center" wrapText="1"/>
    </xf>
    <xf numFmtId="187" fontId="0" fillId="0" borderId="193" xfId="627" applyFont="1" applyBorder="1" applyAlignment="1" applyProtection="1">
      <alignment vertical="center"/>
    </xf>
    <xf numFmtId="0" fontId="97" fillId="0" borderId="83" xfId="626" applyFont="1" applyBorder="1" applyAlignment="1">
      <alignment horizontal="left" vertical="center" wrapText="1"/>
    </xf>
    <xf numFmtId="187" fontId="96" fillId="0" borderId="0" xfId="627" applyFont="1" applyBorder="1" applyAlignment="1" applyProtection="1">
      <alignment horizontal="left" vertical="center" wrapText="1"/>
    </xf>
    <xf numFmtId="0" fontId="96" fillId="0" borderId="0" xfId="626" applyFont="1" applyAlignment="1">
      <alignment horizontal="left" vertical="center" wrapText="1"/>
    </xf>
    <xf numFmtId="0" fontId="96" fillId="0" borderId="77" xfId="626" applyFont="1" applyBorder="1" applyAlignment="1">
      <alignment horizontal="left" vertical="center" wrapText="1"/>
    </xf>
    <xf numFmtId="0" fontId="98" fillId="0" borderId="87" xfId="626" applyFont="1" applyBorder="1" applyAlignment="1">
      <alignment horizontal="left" vertical="center" wrapText="1"/>
    </xf>
    <xf numFmtId="187" fontId="0" fillId="0" borderId="0" xfId="627" applyFont="1" applyFill="1" applyBorder="1" applyAlignment="1" applyProtection="1">
      <alignment vertical="center"/>
      <protection locked="0"/>
    </xf>
    <xf numFmtId="0" fontId="94" fillId="49" borderId="83" xfId="626" applyFont="1" applyFill="1" applyBorder="1" applyAlignment="1">
      <alignment vertical="center"/>
    </xf>
    <xf numFmtId="0" fontId="1" fillId="0" borderId="193" xfId="626" applyBorder="1" applyAlignment="1">
      <alignment vertical="center"/>
    </xf>
    <xf numFmtId="187" fontId="87" fillId="0" borderId="193" xfId="627" applyFont="1" applyBorder="1" applyAlignment="1" applyProtection="1">
      <alignment vertical="center"/>
    </xf>
    <xf numFmtId="0" fontId="87" fillId="0" borderId="193" xfId="626" applyFont="1" applyBorder="1" applyAlignment="1">
      <alignment vertical="center"/>
    </xf>
    <xf numFmtId="187" fontId="87" fillId="0" borderId="202" xfId="627" applyFont="1" applyBorder="1" applyAlignment="1" applyProtection="1">
      <alignment vertical="center"/>
    </xf>
    <xf numFmtId="0" fontId="87" fillId="26" borderId="83" xfId="626" applyFont="1" applyFill="1" applyBorder="1" applyAlignment="1">
      <alignment vertical="center"/>
    </xf>
    <xf numFmtId="187" fontId="87" fillId="45" borderId="203" xfId="627" applyFont="1" applyFill="1" applyBorder="1" applyAlignment="1" applyProtection="1">
      <alignment vertical="center"/>
    </xf>
    <xf numFmtId="187" fontId="1" fillId="0" borderId="0" xfId="626" applyNumberFormat="1"/>
    <xf numFmtId="0" fontId="1" fillId="0" borderId="79" xfId="626" applyBorder="1"/>
    <xf numFmtId="0" fontId="1" fillId="0" borderId="80" xfId="626" applyBorder="1"/>
    <xf numFmtId="187" fontId="0" fillId="0" borderId="80" xfId="627" applyFont="1" applyBorder="1" applyProtection="1"/>
    <xf numFmtId="0" fontId="1" fillId="0" borderId="81" xfId="626" applyBorder="1"/>
    <xf numFmtId="0" fontId="87" fillId="0" borderId="74" xfId="626" applyFont="1" applyBorder="1" applyAlignment="1">
      <alignment wrapText="1"/>
    </xf>
    <xf numFmtId="0" fontId="1" fillId="0" borderId="74" xfId="626" applyBorder="1" applyAlignment="1">
      <alignment wrapText="1"/>
    </xf>
    <xf numFmtId="0" fontId="1" fillId="0" borderId="75" xfId="626" applyBorder="1" applyAlignment="1">
      <alignment wrapText="1"/>
    </xf>
    <xf numFmtId="0" fontId="87" fillId="0" borderId="0" xfId="626" applyFont="1" applyAlignment="1">
      <alignment wrapText="1"/>
    </xf>
    <xf numFmtId="0" fontId="1" fillId="0" borderId="0" xfId="626" applyAlignment="1">
      <alignment wrapText="1"/>
    </xf>
    <xf numFmtId="0" fontId="1" fillId="0" borderId="77" xfId="626" applyBorder="1" applyAlignment="1">
      <alignment wrapText="1"/>
    </xf>
    <xf numFmtId="0" fontId="1" fillId="0" borderId="77" xfId="626" applyBorder="1" applyAlignment="1">
      <alignment vertical="center" wrapText="1"/>
    </xf>
    <xf numFmtId="0" fontId="1" fillId="0" borderId="78" xfId="626" applyBorder="1" applyAlignment="1">
      <alignment horizontal="left" wrapText="1"/>
    </xf>
    <xf numFmtId="0" fontId="1" fillId="0" borderId="77" xfId="626" applyBorder="1" applyAlignment="1">
      <alignment horizontal="left" wrapText="1"/>
    </xf>
    <xf numFmtId="0" fontId="1" fillId="0" borderId="0" xfId="626" applyAlignment="1">
      <alignment horizontal="left" wrapText="1"/>
    </xf>
    <xf numFmtId="0" fontId="99" fillId="0" borderId="27" xfId="626" applyFont="1" applyBorder="1" applyAlignment="1">
      <alignment horizontal="center" vertical="center" wrapText="1"/>
    </xf>
    <xf numFmtId="0" fontId="99" fillId="0" borderId="77" xfId="626" applyFont="1" applyBorder="1" applyAlignment="1">
      <alignment vertical="center" wrapText="1"/>
    </xf>
    <xf numFmtId="0" fontId="87" fillId="0" borderId="27" xfId="626" applyFont="1" applyBorder="1" applyAlignment="1">
      <alignment horizontal="center" vertical="center"/>
    </xf>
    <xf numFmtId="187" fontId="0" fillId="0" borderId="27" xfId="627" applyFont="1" applyBorder="1" applyAlignment="1">
      <alignment horizontal="right" vertical="center"/>
    </xf>
    <xf numFmtId="0" fontId="88" fillId="0" borderId="77" xfId="626" applyFont="1" applyBorder="1" applyAlignment="1">
      <alignment vertical="center" wrapText="1"/>
    </xf>
    <xf numFmtId="187" fontId="0" fillId="0" borderId="0" xfId="627" applyFont="1" applyBorder="1" applyAlignment="1">
      <alignment horizontal="left" vertical="center"/>
    </xf>
    <xf numFmtId="187" fontId="0" fillId="0" borderId="0" xfId="627" applyFont="1" applyFill="1" applyBorder="1" applyAlignment="1">
      <alignment horizontal="center" vertical="center"/>
    </xf>
    <xf numFmtId="187" fontId="0" fillId="0" borderId="0" xfId="627" applyFont="1" applyFill="1" applyBorder="1" applyProtection="1"/>
    <xf numFmtId="187" fontId="100" fillId="0" borderId="0" xfId="627" applyFont="1" applyBorder="1" applyAlignment="1">
      <alignment horizontal="left" vertical="center"/>
    </xf>
    <xf numFmtId="187" fontId="0" fillId="0" borderId="0" xfId="627" applyFont="1" applyBorder="1" applyAlignment="1">
      <alignment horizontal="right" vertical="center"/>
    </xf>
    <xf numFmtId="0" fontId="88" fillId="0" borderId="0" xfId="626" applyFont="1" applyAlignment="1">
      <alignment horizontal="center" vertical="center" wrapText="1"/>
    </xf>
    <xf numFmtId="0" fontId="101" fillId="70" borderId="204" xfId="626" applyFont="1" applyFill="1" applyBorder="1" applyAlignment="1">
      <alignment horizontal="center" vertical="center" wrapText="1"/>
    </xf>
    <xf numFmtId="0" fontId="102" fillId="71" borderId="204" xfId="626" applyFont="1" applyFill="1" applyBorder="1" applyAlignment="1">
      <alignment vertical="center" wrapText="1"/>
    </xf>
    <xf numFmtId="0" fontId="102" fillId="71" borderId="204" xfId="626" applyFont="1" applyFill="1" applyBorder="1" applyAlignment="1">
      <alignment horizontal="center" vertical="center" wrapText="1"/>
    </xf>
    <xf numFmtId="0" fontId="102" fillId="0" borderId="204" xfId="626" applyFont="1" applyBorder="1" applyAlignment="1">
      <alignment vertical="center" wrapText="1"/>
    </xf>
    <xf numFmtId="0" fontId="102" fillId="0" borderId="204" xfId="626" applyFont="1" applyBorder="1" applyAlignment="1">
      <alignment horizontal="center" vertical="center" wrapText="1"/>
    </xf>
    <xf numFmtId="187" fontId="0" fillId="0" borderId="80" xfId="627" applyFont="1" applyBorder="1" applyAlignment="1">
      <alignment horizontal="right" vertical="center"/>
    </xf>
    <xf numFmtId="0" fontId="88" fillId="0" borderId="80" xfId="626" applyFont="1" applyBorder="1" applyAlignment="1">
      <alignment horizontal="center" vertical="center" wrapText="1"/>
    </xf>
    <xf numFmtId="0" fontId="88" fillId="0" borderId="81" xfId="626" applyFont="1" applyBorder="1" applyAlignment="1">
      <alignment vertical="center" wrapText="1"/>
    </xf>
    <xf numFmtId="189" fontId="1" fillId="0" borderId="27" xfId="626" applyNumberFormat="1" applyBorder="1" applyAlignment="1">
      <alignment horizontal="center"/>
    </xf>
    <xf numFmtId="189" fontId="1" fillId="0" borderId="0" xfId="626" applyNumberFormat="1"/>
    <xf numFmtId="9" fontId="1" fillId="0" borderId="0" xfId="626" applyNumberFormat="1"/>
    <xf numFmtId="0" fontId="87" fillId="64" borderId="27" xfId="626" applyFont="1" applyFill="1" applyBorder="1"/>
    <xf numFmtId="189" fontId="1" fillId="0" borderId="27" xfId="626" applyNumberFormat="1" applyBorder="1"/>
    <xf numFmtId="10" fontId="0" fillId="0" borderId="27" xfId="629" applyNumberFormat="1" applyFont="1" applyBorder="1"/>
    <xf numFmtId="189" fontId="1" fillId="72" borderId="27" xfId="626" applyNumberFormat="1" applyFill="1" applyBorder="1"/>
    <xf numFmtId="190" fontId="0" fillId="72" borderId="27" xfId="629" applyNumberFormat="1" applyFont="1" applyFill="1" applyBorder="1"/>
    <xf numFmtId="0" fontId="1" fillId="0" borderId="0" xfId="626" applyAlignment="1">
      <alignment horizontal="left"/>
    </xf>
    <xf numFmtId="0" fontId="1" fillId="64" borderId="27" xfId="626" applyFill="1" applyBorder="1"/>
    <xf numFmtId="0" fontId="1" fillId="0" borderId="27" xfId="626" applyBorder="1"/>
    <xf numFmtId="187" fontId="1" fillId="0" borderId="27" xfId="626" applyNumberFormat="1" applyBorder="1"/>
    <xf numFmtId="10" fontId="0" fillId="0" borderId="27" xfId="629" applyNumberFormat="1" applyFont="1" applyFill="1" applyBorder="1"/>
    <xf numFmtId="187" fontId="0" fillId="0" borderId="27" xfId="627" applyFont="1" applyFill="1" applyBorder="1"/>
    <xf numFmtId="192" fontId="1" fillId="0" borderId="0" xfId="626" applyNumberFormat="1"/>
    <xf numFmtId="193" fontId="1" fillId="0" borderId="192" xfId="626" applyNumberFormat="1" applyBorder="1" applyAlignment="1">
      <alignment horizontal="center"/>
    </xf>
    <xf numFmtId="189" fontId="92" fillId="39" borderId="196" xfId="626" applyNumberFormat="1" applyFont="1" applyFill="1" applyBorder="1"/>
    <xf numFmtId="187" fontId="87" fillId="39" borderId="206" xfId="627" applyFont="1" applyFill="1" applyBorder="1"/>
    <xf numFmtId="0" fontId="87" fillId="0" borderId="0" xfId="626" applyFont="1" applyAlignment="1">
      <alignment horizontal="center"/>
    </xf>
    <xf numFmtId="187" fontId="87" fillId="39" borderId="84" xfId="627" applyFont="1" applyFill="1" applyBorder="1" applyAlignment="1">
      <alignment horizontal="center" vertical="center"/>
    </xf>
    <xf numFmtId="189" fontId="87" fillId="73" borderId="27" xfId="626" applyNumberFormat="1" applyFont="1" applyFill="1" applyBorder="1" applyAlignment="1">
      <alignment horizontal="center"/>
    </xf>
    <xf numFmtId="0" fontId="92" fillId="0" borderId="0" xfId="626" applyFont="1" applyAlignment="1">
      <alignment horizontal="center" vertical="center"/>
    </xf>
    <xf numFmtId="0" fontId="87" fillId="0" borderId="27" xfId="626" applyFont="1" applyBorder="1" applyAlignment="1">
      <alignment vertical="center" wrapText="1"/>
    </xf>
    <xf numFmtId="187" fontId="0" fillId="0" borderId="27" xfId="627" applyFont="1" applyBorder="1" applyAlignment="1">
      <alignment vertical="center"/>
    </xf>
    <xf numFmtId="0" fontId="1" fillId="0" borderId="27" xfId="626" applyBorder="1" applyAlignment="1">
      <alignment vertical="center"/>
    </xf>
    <xf numFmtId="0" fontId="104" fillId="0" borderId="27" xfId="626" applyFont="1" applyBorder="1" applyAlignment="1">
      <alignment vertical="center" wrapText="1"/>
    </xf>
    <xf numFmtId="0" fontId="87" fillId="0" borderId="27" xfId="626" applyFont="1" applyBorder="1" applyAlignment="1">
      <alignment vertical="center"/>
    </xf>
    <xf numFmtId="0" fontId="87" fillId="0" borderId="27" xfId="626" applyFont="1" applyBorder="1" applyAlignment="1">
      <alignment horizontal="center" vertical="center" wrapText="1"/>
    </xf>
    <xf numFmtId="187" fontId="87" fillId="26" borderId="27" xfId="626" applyNumberFormat="1" applyFont="1" applyFill="1" applyBorder="1"/>
    <xf numFmtId="0" fontId="87" fillId="0" borderId="27" xfId="626" applyFont="1" applyBorder="1" applyAlignment="1">
      <alignment horizontal="left" vertical="center" wrapText="1"/>
    </xf>
    <xf numFmtId="187" fontId="0" fillId="0" borderId="27" xfId="627" applyFont="1" applyBorder="1"/>
    <xf numFmtId="187" fontId="1" fillId="0" borderId="192" xfId="626" applyNumberFormat="1" applyBorder="1"/>
    <xf numFmtId="0" fontId="87" fillId="72" borderId="191" xfId="626" applyFont="1" applyFill="1" applyBorder="1" applyAlignment="1">
      <alignment horizontal="left" vertical="center" wrapText="1"/>
    </xf>
    <xf numFmtId="187" fontId="1" fillId="72" borderId="27" xfId="626" applyNumberFormat="1" applyFill="1" applyBorder="1" applyAlignment="1">
      <alignment vertical="center"/>
    </xf>
    <xf numFmtId="175" fontId="0" fillId="0" borderId="0" xfId="629" applyNumberFormat="1" applyFont="1" applyFill="1" applyBorder="1"/>
    <xf numFmtId="0" fontId="91" fillId="0" borderId="0" xfId="628"/>
    <xf numFmtId="0" fontId="87" fillId="0" borderId="27" xfId="626" applyFont="1" applyBorder="1" applyAlignment="1">
      <alignment horizontal="center"/>
    </xf>
    <xf numFmtId="187" fontId="88" fillId="0" borderId="27" xfId="627" applyFont="1" applyBorder="1" applyAlignment="1">
      <alignment vertical="center" wrapText="1"/>
    </xf>
    <xf numFmtId="189" fontId="86" fillId="0" borderId="0" xfId="626" applyNumberFormat="1" applyFont="1"/>
    <xf numFmtId="194" fontId="1" fillId="0" borderId="27" xfId="626" applyNumberFormat="1" applyBorder="1" applyAlignment="1">
      <alignment horizontal="center"/>
    </xf>
    <xf numFmtId="189" fontId="92" fillId="39" borderId="27" xfId="626" applyNumberFormat="1" applyFont="1" applyFill="1" applyBorder="1"/>
    <xf numFmtId="187" fontId="87" fillId="39" borderId="84" xfId="627" applyFont="1" applyFill="1" applyBorder="1" applyAlignment="1">
      <alignment horizontal="center"/>
    </xf>
    <xf numFmtId="0" fontId="87" fillId="0" borderId="0" xfId="626" applyFont="1" applyAlignment="1">
      <alignment horizontal="left" wrapText="1"/>
    </xf>
    <xf numFmtId="187" fontId="1" fillId="26" borderId="27" xfId="626" applyNumberFormat="1" applyFill="1" applyBorder="1"/>
    <xf numFmtId="0" fontId="37" fillId="63" borderId="159" xfId="82" applyFont="1" applyFill="1" applyBorder="1" applyAlignment="1">
      <alignment horizontal="center" vertical="center" wrapText="1"/>
    </xf>
    <xf numFmtId="0" fontId="49" fillId="20" borderId="9" xfId="0" applyFont="1" applyFill="1" applyBorder="1" applyAlignment="1">
      <alignment horizontal="center" vertical="center"/>
    </xf>
    <xf numFmtId="171" fontId="43" fillId="26" borderId="44" xfId="0" applyNumberFormat="1" applyFont="1" applyFill="1" applyBorder="1" applyAlignment="1">
      <alignment horizontal="center" vertical="center"/>
    </xf>
    <xf numFmtId="0" fontId="43" fillId="8" borderId="11" xfId="0" applyFont="1" applyFill="1" applyBorder="1" applyAlignment="1">
      <alignment horizontal="left" vertical="center"/>
    </xf>
    <xf numFmtId="171" fontId="43" fillId="26" borderId="41" xfId="0" applyNumberFormat="1" applyFont="1" applyFill="1" applyBorder="1" applyAlignment="1">
      <alignment horizontal="center" vertical="center"/>
    </xf>
    <xf numFmtId="171" fontId="43" fillId="26" borderId="42" xfId="0" applyNumberFormat="1" applyFont="1" applyFill="1" applyBorder="1" applyAlignment="1">
      <alignment horizontal="center" vertical="center"/>
    </xf>
    <xf numFmtId="171" fontId="43" fillId="26" borderId="43" xfId="0" applyNumberFormat="1" applyFont="1" applyFill="1" applyBorder="1" applyAlignment="1">
      <alignment horizontal="center" vertical="center"/>
    </xf>
    <xf numFmtId="0" fontId="57" fillId="28" borderId="0" xfId="0" applyFont="1" applyFill="1" applyAlignment="1">
      <alignment horizontal="center" vertical="center" wrapText="1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 wrapText="1"/>
    </xf>
    <xf numFmtId="14" fontId="35" fillId="26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39" xfId="107" applyNumberFormat="1" applyFont="1" applyFill="1" applyBorder="1" applyAlignment="1" applyProtection="1">
      <alignment horizontal="center" vertical="center"/>
      <protection locked="0"/>
    </xf>
    <xf numFmtId="14" fontId="35" fillId="41" borderId="60" xfId="107" applyNumberFormat="1" applyFont="1" applyFill="1" applyBorder="1" applyAlignment="1" applyProtection="1">
      <alignment horizontal="center" vertical="center"/>
      <protection locked="0"/>
    </xf>
    <xf numFmtId="0" fontId="37" fillId="25" borderId="0" xfId="107" applyFont="1" applyFill="1" applyAlignment="1">
      <alignment horizontal="left"/>
    </xf>
    <xf numFmtId="0" fontId="33" fillId="20" borderId="90" xfId="0" applyFont="1" applyFill="1" applyBorder="1" applyAlignment="1">
      <alignment horizontal="center"/>
    </xf>
    <xf numFmtId="0" fontId="33" fillId="20" borderId="91" xfId="0" applyFont="1" applyFill="1" applyBorder="1" applyAlignment="1">
      <alignment horizontal="center"/>
    </xf>
    <xf numFmtId="0" fontId="33" fillId="20" borderId="86" xfId="0" applyFont="1" applyFill="1" applyBorder="1" applyAlignment="1">
      <alignment horizontal="center"/>
    </xf>
    <xf numFmtId="14" fontId="39" fillId="53" borderId="44" xfId="0" applyNumberFormat="1" applyFont="1" applyFill="1" applyBorder="1" applyAlignment="1">
      <alignment horizontal="left"/>
    </xf>
    <xf numFmtId="1" fontId="39" fillId="51" borderId="44" xfId="0" applyNumberFormat="1" applyFont="1" applyFill="1" applyBorder="1" applyAlignment="1">
      <alignment horizontal="left"/>
    </xf>
    <xf numFmtId="174" fontId="49" fillId="2" borderId="87" xfId="0" applyNumberFormat="1" applyFont="1" applyFill="1" applyBorder="1" applyAlignment="1">
      <alignment horizontal="center" vertical="center"/>
    </xf>
    <xf numFmtId="174" fontId="49" fillId="2" borderId="78" xfId="0" applyNumberFormat="1" applyFont="1" applyFill="1" applyBorder="1" applyAlignment="1">
      <alignment horizontal="center" vertical="center"/>
    </xf>
    <xf numFmtId="175" fontId="39" fillId="2" borderId="44" xfId="0" applyNumberFormat="1" applyFont="1" applyFill="1" applyBorder="1" applyAlignment="1">
      <alignment horizontal="left"/>
    </xf>
    <xf numFmtId="0" fontId="37" fillId="25" borderId="0" xfId="107" applyFont="1" applyFill="1" applyAlignment="1">
      <alignment horizontal="center"/>
    </xf>
    <xf numFmtId="0" fontId="0" fillId="49" borderId="79" xfId="0" applyFill="1" applyBorder="1" applyAlignment="1">
      <alignment horizontal="center" vertical="center"/>
    </xf>
    <xf numFmtId="0" fontId="0" fillId="49" borderId="82" xfId="0" applyFill="1" applyBorder="1" applyAlignment="1">
      <alignment horizontal="center" vertical="center"/>
    </xf>
    <xf numFmtId="0" fontId="0" fillId="49" borderId="80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174" fontId="49" fillId="2" borderId="74" xfId="0" applyNumberFormat="1" applyFont="1" applyFill="1" applyBorder="1" applyAlignment="1">
      <alignment horizontal="center" vertical="center"/>
    </xf>
    <xf numFmtId="174" fontId="49" fillId="2" borderId="75" xfId="0" applyNumberFormat="1" applyFont="1" applyFill="1" applyBorder="1" applyAlignment="1">
      <alignment horizontal="center" vertical="center"/>
    </xf>
    <xf numFmtId="174" fontId="49" fillId="2" borderId="0" xfId="0" applyNumberFormat="1" applyFont="1" applyFill="1" applyAlignment="1">
      <alignment horizontal="center" vertical="center"/>
    </xf>
    <xf numFmtId="174" fontId="49" fillId="2" borderId="77" xfId="0" applyNumberFormat="1" applyFont="1" applyFill="1" applyBorder="1" applyAlignment="1">
      <alignment horizontal="center" vertical="center"/>
    </xf>
    <xf numFmtId="14" fontId="62" fillId="2" borderId="74" xfId="0" applyNumberFormat="1" applyFont="1" applyFill="1" applyBorder="1" applyAlignment="1">
      <alignment horizontal="center" vertical="center"/>
    </xf>
    <xf numFmtId="14" fontId="62" fillId="2" borderId="0" xfId="0" applyNumberFormat="1" applyFont="1" applyFill="1" applyAlignment="1">
      <alignment horizontal="center" vertical="center"/>
    </xf>
    <xf numFmtId="14" fontId="62" fillId="2" borderId="75" xfId="0" applyNumberFormat="1" applyFont="1" applyFill="1" applyBorder="1" applyAlignment="1">
      <alignment horizontal="center" vertical="center"/>
    </xf>
    <xf numFmtId="14" fontId="62" fillId="2" borderId="77" xfId="0" applyNumberFormat="1" applyFont="1" applyFill="1" applyBorder="1" applyAlignment="1">
      <alignment horizontal="center" vertical="center"/>
    </xf>
    <xf numFmtId="174" fontId="0" fillId="25" borderId="41" xfId="0" applyNumberFormat="1" applyFill="1" applyBorder="1" applyAlignment="1">
      <alignment horizontal="center"/>
    </xf>
    <xf numFmtId="174" fontId="0" fillId="25" borderId="42" xfId="0" applyNumberFormat="1" applyFill="1" applyBorder="1" applyAlignment="1">
      <alignment horizontal="center"/>
    </xf>
    <xf numFmtId="174" fontId="0" fillId="2" borderId="75" xfId="0" applyNumberFormat="1" applyFill="1" applyBorder="1" applyAlignment="1">
      <alignment horizontal="center" vertical="center"/>
    </xf>
    <xf numFmtId="174" fontId="0" fillId="2" borderId="77" xfId="0" applyNumberFormat="1" applyFill="1" applyBorder="1" applyAlignment="1">
      <alignment horizontal="center" vertical="center"/>
    </xf>
    <xf numFmtId="174" fontId="0" fillId="2" borderId="92" xfId="0" applyNumberFormat="1" applyFill="1" applyBorder="1" applyAlignment="1">
      <alignment horizontal="center" vertical="center"/>
    </xf>
    <xf numFmtId="0" fontId="0" fillId="52" borderId="78" xfId="0" applyFill="1" applyBorder="1" applyAlignment="1">
      <alignment horizontal="center" vertical="center"/>
    </xf>
    <xf numFmtId="0" fontId="0" fillId="52" borderId="77" xfId="0" applyFill="1" applyBorder="1" applyAlignment="1">
      <alignment horizontal="center" vertical="center"/>
    </xf>
    <xf numFmtId="0" fontId="43" fillId="0" borderId="17" xfId="81" applyFont="1" applyBorder="1" applyAlignment="1">
      <alignment horizontal="center" vertical="center"/>
    </xf>
    <xf numFmtId="0" fontId="43" fillId="0" borderId="18" xfId="81" applyFont="1" applyBorder="1" applyAlignment="1">
      <alignment horizontal="center" vertical="center"/>
    </xf>
    <xf numFmtId="0" fontId="43" fillId="0" borderId="19" xfId="81" applyFont="1" applyBorder="1" applyAlignment="1">
      <alignment horizontal="center" vertical="center"/>
    </xf>
    <xf numFmtId="0" fontId="43" fillId="0" borderId="20" xfId="81" applyFont="1" applyBorder="1" applyAlignment="1">
      <alignment horizontal="center" vertical="center"/>
    </xf>
    <xf numFmtId="0" fontId="43" fillId="64" borderId="39" xfId="81" applyFont="1" applyFill="1" applyBorder="1" applyAlignment="1">
      <alignment horizontal="center" vertical="center"/>
    </xf>
    <xf numFmtId="0" fontId="43" fillId="64" borderId="71" xfId="81" applyFont="1" applyFill="1" applyBorder="1" applyAlignment="1">
      <alignment horizontal="center" vertical="center"/>
    </xf>
    <xf numFmtId="0" fontId="43" fillId="64" borderId="60" xfId="8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44" fillId="0" borderId="16" xfId="81" applyFont="1" applyBorder="1" applyAlignment="1">
      <alignment horizontal="left" vertical="center" wrapText="1"/>
    </xf>
    <xf numFmtId="0" fontId="44" fillId="0" borderId="0" xfId="81" applyFont="1" applyAlignment="1">
      <alignment horizontal="left" vertical="center" wrapText="1"/>
    </xf>
    <xf numFmtId="0" fontId="44" fillId="0" borderId="25" xfId="81" applyFont="1" applyBorder="1" applyAlignment="1">
      <alignment horizontal="left" vertical="center" wrapText="1"/>
    </xf>
    <xf numFmtId="4" fontId="34" fillId="24" borderId="40" xfId="82" applyNumberFormat="1" applyFont="1" applyFill="1" applyBorder="1" applyAlignment="1">
      <alignment horizontal="right" vertical="center"/>
    </xf>
    <xf numFmtId="4" fontId="34" fillId="24" borderId="49" xfId="82" applyNumberFormat="1" applyFont="1" applyFill="1" applyBorder="1" applyAlignment="1">
      <alignment horizontal="right" vertical="center"/>
    </xf>
    <xf numFmtId="16" fontId="44" fillId="63" borderId="44" xfId="82" applyNumberFormat="1" applyFont="1" applyFill="1" applyBorder="1" applyAlignment="1">
      <alignment horizontal="center" vertical="center"/>
    </xf>
    <xf numFmtId="0" fontId="51" fillId="37" borderId="44" xfId="82" applyFont="1" applyFill="1" applyBorder="1" applyAlignment="1">
      <alignment horizontal="left" vertical="center" wrapText="1"/>
    </xf>
    <xf numFmtId="0" fontId="51" fillId="37" borderId="48" xfId="82" applyFont="1" applyFill="1" applyBorder="1" applyAlignment="1">
      <alignment horizontal="left" vertical="center" wrapText="1"/>
    </xf>
    <xf numFmtId="0" fontId="51" fillId="37" borderId="50" xfId="82" applyFont="1" applyFill="1" applyBorder="1" applyAlignment="1">
      <alignment horizontal="left" vertical="center" wrapText="1"/>
    </xf>
    <xf numFmtId="0" fontId="51" fillId="37" borderId="45" xfId="82" applyFont="1" applyFill="1" applyBorder="1" applyAlignment="1">
      <alignment horizontal="left" vertical="center" wrapText="1"/>
    </xf>
    <xf numFmtId="0" fontId="51" fillId="37" borderId="36" xfId="82" applyFont="1" applyFill="1" applyBorder="1" applyAlignment="1">
      <alignment horizontal="left" vertical="center" wrapText="1"/>
    </xf>
    <xf numFmtId="0" fontId="51" fillId="37" borderId="38" xfId="82" applyFont="1" applyFill="1" applyBorder="1" applyAlignment="1">
      <alignment horizontal="left" vertical="center" wrapText="1"/>
    </xf>
    <xf numFmtId="0" fontId="51" fillId="37" borderId="37" xfId="82" applyFont="1" applyFill="1" applyBorder="1" applyAlignment="1">
      <alignment horizontal="left" vertical="center" wrapText="1"/>
    </xf>
    <xf numFmtId="0" fontId="0" fillId="24" borderId="50" xfId="82" applyFont="1" applyFill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34" fillId="24" borderId="44" xfId="82" applyFont="1" applyFill="1" applyBorder="1" applyAlignment="1">
      <alignment horizontal="left"/>
    </xf>
    <xf numFmtId="4" fontId="34" fillId="24" borderId="44" xfId="82" applyNumberFormat="1" applyFont="1" applyFill="1" applyBorder="1" applyAlignment="1">
      <alignment horizontal="right" vertical="center"/>
    </xf>
    <xf numFmtId="0" fontId="44" fillId="24" borderId="44" xfId="82" applyFont="1" applyFill="1" applyBorder="1" applyAlignment="1">
      <alignment horizontal="left"/>
    </xf>
    <xf numFmtId="4" fontId="34" fillId="63" borderId="44" xfId="82" applyNumberFormat="1" applyFont="1" applyFill="1" applyBorder="1" applyAlignment="1">
      <alignment horizontal="right" vertical="center"/>
    </xf>
    <xf numFmtId="0" fontId="44" fillId="0" borderId="44" xfId="82" applyFont="1" applyBorder="1" applyAlignment="1">
      <alignment horizontal="left"/>
    </xf>
    <xf numFmtId="4" fontId="44" fillId="63" borderId="44" xfId="82" applyNumberFormat="1" applyFont="1" applyFill="1" applyBorder="1" applyAlignment="1">
      <alignment horizontal="right" vertical="center"/>
    </xf>
    <xf numFmtId="1" fontId="34" fillId="24" borderId="44" xfId="82" applyNumberFormat="1" applyFont="1" applyFill="1" applyBorder="1" applyAlignment="1">
      <alignment horizontal="left"/>
    </xf>
    <xf numFmtId="176" fontId="34" fillId="37" borderId="44" xfId="82" applyNumberFormat="1" applyFont="1" applyFill="1" applyBorder="1" applyAlignment="1">
      <alignment horizontal="center" vertical="center"/>
    </xf>
    <xf numFmtId="14" fontId="34" fillId="60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center"/>
    </xf>
    <xf numFmtId="0" fontId="33" fillId="64" borderId="70" xfId="81" applyFont="1" applyFill="1" applyBorder="1" applyAlignment="1">
      <alignment horizontal="center"/>
    </xf>
    <xf numFmtId="0" fontId="33" fillId="64" borderId="18" xfId="81" applyFont="1" applyFill="1" applyBorder="1" applyAlignment="1">
      <alignment horizontal="center"/>
    </xf>
    <xf numFmtId="0" fontId="33" fillId="64" borderId="21" xfId="81" applyFont="1" applyFill="1" applyBorder="1" applyAlignment="1">
      <alignment horizontal="center"/>
    </xf>
    <xf numFmtId="0" fontId="43" fillId="24" borderId="38" xfId="82" applyFont="1" applyFill="1" applyBorder="1" applyAlignment="1">
      <alignment horizontal="center"/>
    </xf>
    <xf numFmtId="0" fontId="0" fillId="24" borderId="0" xfId="82" applyFont="1" applyFill="1" applyAlignment="1">
      <alignment horizontal="center"/>
    </xf>
    <xf numFmtId="0" fontId="48" fillId="24" borderId="0" xfId="82" applyFont="1" applyFill="1" applyAlignment="1">
      <alignment horizontal="center"/>
    </xf>
    <xf numFmtId="176" fontId="49" fillId="24" borderId="0" xfId="82" applyNumberFormat="1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33" fillId="63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left" vertical="center"/>
    </xf>
    <xf numFmtId="0" fontId="33" fillId="24" borderId="134" xfId="82" applyFont="1" applyFill="1" applyBorder="1" applyAlignment="1">
      <alignment horizontal="center" vertical="center" wrapText="1"/>
    </xf>
    <xf numFmtId="0" fontId="0" fillId="0" borderId="94" xfId="0" applyBorder="1"/>
    <xf numFmtId="0" fontId="0" fillId="0" borderId="135" xfId="0" applyBorder="1"/>
    <xf numFmtId="0" fontId="0" fillId="0" borderId="14" xfId="0" applyBorder="1"/>
    <xf numFmtId="0" fontId="0" fillId="0" borderId="0" xfId="0"/>
    <xf numFmtId="0" fontId="0" fillId="0" borderId="24" xfId="0" applyBorder="1"/>
    <xf numFmtId="0" fontId="0" fillId="0" borderId="95" xfId="0" applyBorder="1"/>
    <xf numFmtId="0" fontId="0" fillId="0" borderId="96" xfId="0" applyBorder="1"/>
    <xf numFmtId="0" fontId="0" fillId="0" borderId="147" xfId="0" applyBorder="1"/>
    <xf numFmtId="0" fontId="34" fillId="37" borderId="44" xfId="82" applyFont="1" applyFill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49" fontId="45" fillId="37" borderId="30" xfId="621" applyNumberFormat="1" applyFont="1" applyFill="1" applyBorder="1" applyAlignment="1">
      <alignment horizontal="center" vertical="center"/>
    </xf>
    <xf numFmtId="164" fontId="45" fillId="37" borderId="142" xfId="304" applyFont="1" applyFill="1" applyBorder="1" applyAlignment="1">
      <alignment horizontal="center" vertical="center" wrapText="1"/>
    </xf>
    <xf numFmtId="164" fontId="45" fillId="37" borderId="30" xfId="304" applyFont="1" applyFill="1" applyBorder="1" applyAlignment="1">
      <alignment horizontal="center" vertical="center" wrapText="1"/>
    </xf>
    <xf numFmtId="164" fontId="76" fillId="37" borderId="142" xfId="304" applyFont="1" applyFill="1" applyBorder="1" applyAlignment="1">
      <alignment horizontal="center" vertical="center" wrapText="1"/>
    </xf>
    <xf numFmtId="164" fontId="76" fillId="37" borderId="30" xfId="304" applyFont="1" applyFill="1" applyBorder="1" applyAlignment="1">
      <alignment horizontal="center" vertical="center" wrapText="1"/>
    </xf>
    <xf numFmtId="164" fontId="45" fillId="37" borderId="142" xfId="304" applyFont="1" applyFill="1" applyBorder="1" applyAlignment="1">
      <alignment horizontal="center" vertical="center"/>
    </xf>
    <xf numFmtId="164" fontId="45" fillId="37" borderId="30" xfId="304" applyFont="1" applyFill="1" applyBorder="1" applyAlignment="1">
      <alignment horizontal="center" vertical="center"/>
    </xf>
    <xf numFmtId="0" fontId="43" fillId="24" borderId="0" xfId="82" applyFont="1" applyFill="1" applyAlignment="1">
      <alignment horizontal="center"/>
    </xf>
    <xf numFmtId="0" fontId="33" fillId="63" borderId="90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0" fontId="33" fillId="24" borderId="169" xfId="82" applyFont="1" applyFill="1" applyBorder="1" applyAlignment="1">
      <alignment horizontal="left" vertical="center"/>
    </xf>
    <xf numFmtId="0" fontId="33" fillId="24" borderId="32" xfId="82" applyFont="1" applyFill="1" applyBorder="1" applyAlignment="1">
      <alignment horizontal="left" vertical="center"/>
    </xf>
    <xf numFmtId="0" fontId="33" fillId="63" borderId="32" xfId="82" applyFont="1" applyFill="1" applyBorder="1" applyAlignment="1">
      <alignment horizontal="center"/>
    </xf>
    <xf numFmtId="0" fontId="33" fillId="63" borderId="168" xfId="82" applyFont="1" applyFill="1" applyBorder="1" applyAlignment="1">
      <alignment horizontal="center"/>
    </xf>
    <xf numFmtId="0" fontId="33" fillId="24" borderId="170" xfId="82" applyFont="1" applyFill="1" applyBorder="1" applyAlignment="1">
      <alignment horizontal="center" vertical="center" wrapText="1"/>
    </xf>
    <xf numFmtId="0" fontId="33" fillId="24" borderId="171" xfId="82" applyFont="1" applyFill="1" applyBorder="1" applyAlignment="1">
      <alignment horizontal="center" vertical="center" wrapText="1"/>
    </xf>
    <xf numFmtId="0" fontId="33" fillId="24" borderId="172" xfId="82" applyFont="1" applyFill="1" applyBorder="1" applyAlignment="1">
      <alignment horizontal="center" vertical="center" wrapText="1"/>
    </xf>
    <xf numFmtId="0" fontId="33" fillId="24" borderId="78" xfId="82" applyFont="1" applyFill="1" applyBorder="1" applyAlignment="1">
      <alignment horizontal="center" vertical="center" wrapText="1"/>
    </xf>
    <xf numFmtId="0" fontId="33" fillId="24" borderId="0" xfId="82" applyFont="1" applyFill="1" applyAlignment="1">
      <alignment horizontal="center" vertical="center" wrapText="1"/>
    </xf>
    <xf numFmtId="0" fontId="33" fillId="24" borderId="79" xfId="82" applyFont="1" applyFill="1" applyBorder="1" applyAlignment="1">
      <alignment horizontal="center" vertical="center" wrapText="1"/>
    </xf>
    <xf numFmtId="0" fontId="33" fillId="24" borderId="80" xfId="82" applyFont="1" applyFill="1" applyBorder="1" applyAlignment="1">
      <alignment horizontal="center" vertical="center" wrapText="1"/>
    </xf>
    <xf numFmtId="0" fontId="33" fillId="24" borderId="82" xfId="82" applyFont="1" applyFill="1" applyBorder="1" applyAlignment="1">
      <alignment horizontal="center" vertical="center" wrapText="1"/>
    </xf>
    <xf numFmtId="0" fontId="34" fillId="37" borderId="33" xfId="82" applyFont="1" applyFill="1" applyBorder="1" applyAlignment="1">
      <alignment horizontal="center" vertical="center"/>
    </xf>
    <xf numFmtId="0" fontId="33" fillId="63" borderId="90" xfId="82" applyFont="1" applyFill="1" applyBorder="1" applyAlignment="1">
      <alignment horizontal="center"/>
    </xf>
    <xf numFmtId="0" fontId="33" fillId="63" borderId="91" xfId="82" applyFont="1" applyFill="1" applyBorder="1" applyAlignment="1">
      <alignment horizontal="center"/>
    </xf>
    <xf numFmtId="0" fontId="33" fillId="63" borderId="86" xfId="82" applyFont="1" applyFill="1" applyBorder="1" applyAlignment="1">
      <alignment horizontal="center"/>
    </xf>
    <xf numFmtId="176" fontId="34" fillId="37" borderId="174" xfId="82" applyNumberFormat="1" applyFont="1" applyFill="1" applyBorder="1" applyAlignment="1">
      <alignment horizontal="center" vertical="center"/>
    </xf>
    <xf numFmtId="14" fontId="34" fillId="60" borderId="174" xfId="82" applyNumberFormat="1" applyFont="1" applyFill="1" applyBorder="1" applyAlignment="1">
      <alignment horizontal="center" vertical="center"/>
    </xf>
    <xf numFmtId="14" fontId="34" fillId="60" borderId="93" xfId="82" applyNumberFormat="1" applyFont="1" applyFill="1" applyBorder="1" applyAlignment="1">
      <alignment horizontal="center" vertical="center"/>
    </xf>
    <xf numFmtId="0" fontId="33" fillId="63" borderId="164" xfId="82" applyFont="1" applyFill="1" applyBorder="1" applyAlignment="1">
      <alignment horizontal="center"/>
    </xf>
    <xf numFmtId="0" fontId="33" fillId="63" borderId="165" xfId="82" applyFont="1" applyFill="1" applyBorder="1" applyAlignment="1">
      <alignment horizontal="center"/>
    </xf>
    <xf numFmtId="0" fontId="33" fillId="63" borderId="180" xfId="82" applyFont="1" applyFill="1" applyBorder="1" applyAlignment="1">
      <alignment horizontal="center"/>
    </xf>
    <xf numFmtId="0" fontId="33" fillId="63" borderId="166" xfId="82" applyFont="1" applyFill="1" applyBorder="1" applyAlignment="1">
      <alignment horizontal="center"/>
    </xf>
    <xf numFmtId="0" fontId="33" fillId="63" borderId="167" xfId="82" applyFont="1" applyFill="1" applyBorder="1" applyAlignment="1">
      <alignment horizontal="center"/>
    </xf>
    <xf numFmtId="16" fontId="44" fillId="63" borderId="169" xfId="82" applyNumberFormat="1" applyFont="1" applyFill="1" applyBorder="1" applyAlignment="1">
      <alignment horizontal="center" vertical="center"/>
    </xf>
    <xf numFmtId="0" fontId="51" fillId="37" borderId="121" xfId="82" applyFont="1" applyFill="1" applyBorder="1" applyAlignment="1">
      <alignment horizontal="left" vertical="center" wrapText="1"/>
    </xf>
    <xf numFmtId="0" fontId="51" fillId="37" borderId="168" xfId="82" applyFont="1" applyFill="1" applyBorder="1" applyAlignment="1">
      <alignment horizontal="left" vertical="center" wrapText="1"/>
    </xf>
    <xf numFmtId="16" fontId="44" fillId="63" borderId="186" xfId="82" applyNumberFormat="1" applyFont="1" applyFill="1" applyBorder="1" applyAlignment="1">
      <alignment horizontal="center" vertical="center"/>
    </xf>
    <xf numFmtId="0" fontId="51" fillId="37" borderId="157" xfId="82" applyFont="1" applyFill="1" applyBorder="1" applyAlignment="1">
      <alignment horizontal="left" vertical="center" wrapText="1"/>
    </xf>
    <xf numFmtId="0" fontId="51" fillId="37" borderId="171" xfId="82" applyFont="1" applyFill="1" applyBorder="1" applyAlignment="1">
      <alignment horizontal="left" vertical="center" wrapText="1"/>
    </xf>
    <xf numFmtId="0" fontId="51" fillId="37" borderId="185" xfId="82" applyFont="1" applyFill="1" applyBorder="1" applyAlignment="1">
      <alignment horizontal="left" vertical="center" wrapText="1"/>
    </xf>
    <xf numFmtId="0" fontId="51" fillId="37" borderId="187" xfId="82" applyFont="1" applyFill="1" applyBorder="1" applyAlignment="1">
      <alignment horizontal="left" vertical="center" wrapText="1"/>
    </xf>
    <xf numFmtId="0" fontId="51" fillId="37" borderId="80" xfId="82" applyFont="1" applyFill="1" applyBorder="1" applyAlignment="1">
      <alignment horizontal="left" vertical="center" wrapText="1"/>
    </xf>
    <xf numFmtId="0" fontId="51" fillId="37" borderId="81" xfId="82" applyFont="1" applyFill="1" applyBorder="1" applyAlignment="1">
      <alignment horizontal="left" vertical="center" wrapText="1"/>
    </xf>
    <xf numFmtId="0" fontId="43" fillId="64" borderId="17" xfId="81" applyFont="1" applyFill="1" applyBorder="1" applyAlignment="1">
      <alignment horizontal="center" vertical="center"/>
    </xf>
    <xf numFmtId="0" fontId="43" fillId="64" borderId="18" xfId="81" applyFont="1" applyFill="1" applyBorder="1" applyAlignment="1">
      <alignment horizontal="center" vertical="center"/>
    </xf>
    <xf numFmtId="0" fontId="43" fillId="64" borderId="19" xfId="81" applyFont="1" applyFill="1" applyBorder="1" applyAlignment="1">
      <alignment horizontal="center" vertical="center"/>
    </xf>
    <xf numFmtId="0" fontId="43" fillId="64" borderId="20" xfId="81" applyFont="1" applyFill="1" applyBorder="1" applyAlignment="1">
      <alignment horizontal="center" vertical="center"/>
    </xf>
    <xf numFmtId="49" fontId="45" fillId="24" borderId="0" xfId="82" applyNumberFormat="1" applyFont="1" applyFill="1" applyAlignment="1">
      <alignment horizontal="center" vertical="center" wrapText="1"/>
    </xf>
    <xf numFmtId="49" fontId="45" fillId="24" borderId="0" xfId="82" applyNumberFormat="1" applyFont="1" applyFill="1" applyAlignment="1">
      <alignment horizontal="center" vertical="center"/>
    </xf>
    <xf numFmtId="1" fontId="49" fillId="0" borderId="40" xfId="82" applyNumberFormat="1" applyFont="1" applyBorder="1" applyAlignment="1">
      <alignment horizontal="center" vertical="center"/>
    </xf>
    <xf numFmtId="1" fontId="49" fillId="0" borderId="49" xfId="82" applyNumberFormat="1" applyFont="1" applyBorder="1" applyAlignment="1">
      <alignment horizontal="center" vertical="center"/>
    </xf>
    <xf numFmtId="49" fontId="46" fillId="27" borderId="48" xfId="116" applyNumberFormat="1" applyFont="1" applyFill="1" applyBorder="1" applyAlignment="1">
      <alignment horizontal="center" vertical="center" wrapText="1"/>
    </xf>
    <xf numFmtId="49" fontId="46" fillId="27" borderId="50" xfId="116" applyNumberFormat="1" applyFont="1" applyFill="1" applyBorder="1" applyAlignment="1">
      <alignment horizontal="center" vertical="center" wrapText="1"/>
    </xf>
    <xf numFmtId="49" fontId="46" fillId="27" borderId="45" xfId="116" applyNumberFormat="1" applyFont="1" applyFill="1" applyBorder="1" applyAlignment="1">
      <alignment horizontal="center" vertical="center" wrapText="1"/>
    </xf>
    <xf numFmtId="49" fontId="46" fillId="20" borderId="46" xfId="116" applyNumberFormat="1" applyFont="1" applyFill="1" applyBorder="1" applyAlignment="1">
      <alignment horizontal="center" vertical="center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48" xfId="116" applyNumberFormat="1" applyFont="1" applyFill="1" applyBorder="1" applyAlignment="1">
      <alignment horizontal="center" vertical="center" wrapText="1"/>
    </xf>
    <xf numFmtId="49" fontId="46" fillId="20" borderId="45" xfId="116" applyNumberFormat="1" applyFont="1" applyFill="1" applyBorder="1" applyAlignment="1">
      <alignment horizontal="center" vertical="center" wrapText="1"/>
    </xf>
    <xf numFmtId="49" fontId="46" fillId="20" borderId="65" xfId="116" applyNumberFormat="1" applyFont="1" applyFill="1" applyBorder="1" applyAlignment="1">
      <alignment horizontal="center" vertical="center" wrapText="1"/>
    </xf>
    <xf numFmtId="49" fontId="46" fillId="20" borderId="66" xfId="116" applyNumberFormat="1" applyFont="1" applyFill="1" applyBorder="1" applyAlignment="1">
      <alignment horizontal="center" vertical="center" wrapText="1"/>
    </xf>
    <xf numFmtId="4" fontId="46" fillId="20" borderId="48" xfId="82" applyNumberFormat="1" applyFont="1" applyFill="1" applyBorder="1" applyAlignment="1">
      <alignment horizontal="center" vertical="center"/>
    </xf>
    <xf numFmtId="4" fontId="46" fillId="20" borderId="45" xfId="82" applyNumberFormat="1" applyFont="1" applyFill="1" applyBorder="1" applyAlignment="1">
      <alignment horizontal="center" vertical="center"/>
    </xf>
    <xf numFmtId="4" fontId="46" fillId="20" borderId="65" xfId="82" applyNumberFormat="1" applyFont="1" applyFill="1" applyBorder="1" applyAlignment="1">
      <alignment horizontal="center" vertical="center"/>
    </xf>
    <xf numFmtId="4" fontId="46" fillId="20" borderId="66" xfId="82" applyNumberFormat="1" applyFont="1" applyFill="1" applyBorder="1" applyAlignment="1">
      <alignment horizontal="center" vertical="center"/>
    </xf>
    <xf numFmtId="49" fontId="46" fillId="20" borderId="40" xfId="116" applyNumberFormat="1" applyFont="1" applyFill="1" applyBorder="1" applyAlignment="1">
      <alignment horizontal="center" vertical="center"/>
    </xf>
    <xf numFmtId="49" fontId="46" fillId="20" borderId="51" xfId="116" applyNumberFormat="1" applyFont="1" applyFill="1" applyBorder="1" applyAlignment="1">
      <alignment horizontal="center" vertical="center"/>
    </xf>
    <xf numFmtId="49" fontId="46" fillId="20" borderId="49" xfId="116" applyNumberFormat="1" applyFont="1" applyFill="1" applyBorder="1" applyAlignment="1">
      <alignment horizontal="center" vertical="center"/>
    </xf>
    <xf numFmtId="0" fontId="52" fillId="0" borderId="140" xfId="82" applyBorder="1" applyAlignment="1">
      <alignment horizontal="center" vertical="center" wrapText="1"/>
    </xf>
    <xf numFmtId="0" fontId="52" fillId="0" borderId="150" xfId="82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43" fillId="0" borderId="0" xfId="82" applyFont="1" applyAlignment="1">
      <alignment horizontal="center"/>
    </xf>
    <xf numFmtId="0" fontId="33" fillId="20" borderId="44" xfId="82" applyFont="1" applyFill="1" applyBorder="1" applyAlignment="1">
      <alignment horizontal="center" vertical="center"/>
    </xf>
    <xf numFmtId="174" fontId="0" fillId="0" borderId="44" xfId="82" applyNumberFormat="1" applyFont="1" applyBorder="1" applyAlignment="1">
      <alignment horizontal="center" vertical="center"/>
    </xf>
    <xf numFmtId="0" fontId="52" fillId="26" borderId="0" xfId="83" applyFill="1" applyAlignment="1">
      <alignment horizontal="center"/>
    </xf>
    <xf numFmtId="0" fontId="52" fillId="0" borderId="137" xfId="80" applyBorder="1" applyAlignment="1">
      <alignment horizontal="left"/>
    </xf>
    <xf numFmtId="0" fontId="52" fillId="0" borderId="139" xfId="80" applyBorder="1" applyAlignment="1">
      <alignment horizontal="left"/>
    </xf>
    <xf numFmtId="0" fontId="52" fillId="0" borderId="141" xfId="80" applyBorder="1" applyAlignment="1">
      <alignment horizontal="left"/>
    </xf>
    <xf numFmtId="0" fontId="33" fillId="62" borderId="137" xfId="72" applyFont="1" applyFill="1" applyBorder="1" applyAlignment="1">
      <alignment horizontal="center"/>
    </xf>
    <xf numFmtId="0" fontId="33" fillId="62" borderId="139" xfId="72" applyFont="1" applyFill="1" applyBorder="1" applyAlignment="1">
      <alignment horizontal="center"/>
    </xf>
    <xf numFmtId="0" fontId="33" fillId="62" borderId="141" xfId="72" applyFont="1" applyFill="1" applyBorder="1" applyAlignment="1">
      <alignment horizontal="center"/>
    </xf>
    <xf numFmtId="0" fontId="33" fillId="62" borderId="146" xfId="72" applyFont="1" applyFill="1" applyBorder="1" applyAlignment="1">
      <alignment horizontal="center" vertical="center"/>
    </xf>
    <xf numFmtId="0" fontId="33" fillId="62" borderId="18" xfId="72" applyFont="1" applyFill="1" applyBorder="1" applyAlignment="1">
      <alignment horizontal="center" vertical="center"/>
    </xf>
    <xf numFmtId="0" fontId="33" fillId="62" borderId="144" xfId="72" applyFont="1" applyFill="1" applyBorder="1" applyAlignment="1">
      <alignment horizontal="center" vertical="center"/>
    </xf>
    <xf numFmtId="0" fontId="33" fillId="62" borderId="136" xfId="72" applyFont="1" applyFill="1" applyBorder="1" applyAlignment="1">
      <alignment horizontal="center" vertical="center"/>
    </xf>
    <xf numFmtId="0" fontId="33" fillId="62" borderId="61" xfId="72" applyFont="1" applyFill="1" applyBorder="1" applyAlignment="1">
      <alignment horizontal="center" vertical="center"/>
    </xf>
    <xf numFmtId="0" fontId="33" fillId="62" borderId="62" xfId="72" applyFont="1" applyFill="1" applyBorder="1" applyAlignment="1">
      <alignment horizontal="center" vertical="center"/>
    </xf>
    <xf numFmtId="4" fontId="52" fillId="0" borderId="137" xfId="80" applyNumberFormat="1" applyBorder="1" applyAlignment="1">
      <alignment horizontal="left"/>
    </xf>
    <xf numFmtId="4" fontId="52" fillId="0" borderId="139" xfId="80" applyNumberFormat="1" applyBorder="1" applyAlignment="1">
      <alignment horizontal="left"/>
    </xf>
    <xf numFmtId="4" fontId="52" fillId="0" borderId="141" xfId="80" applyNumberFormat="1" applyBorder="1" applyAlignment="1">
      <alignment horizontal="left"/>
    </xf>
    <xf numFmtId="187" fontId="0" fillId="0" borderId="18" xfId="627" applyFont="1" applyBorder="1" applyAlignment="1">
      <alignment horizontal="left" vertical="center"/>
    </xf>
    <xf numFmtId="187" fontId="92" fillId="0" borderId="191" xfId="627" applyFont="1" applyFill="1" applyBorder="1" applyAlignment="1">
      <alignment horizontal="left" vertical="center"/>
    </xf>
    <xf numFmtId="187" fontId="92" fillId="0" borderId="183" xfId="627" applyFont="1" applyFill="1" applyBorder="1" applyAlignment="1">
      <alignment horizontal="left" vertical="center"/>
    </xf>
    <xf numFmtId="187" fontId="92" fillId="0" borderId="141" xfId="627" applyFont="1" applyFill="1" applyBorder="1" applyAlignment="1">
      <alignment horizontal="left" vertical="center"/>
    </xf>
    <xf numFmtId="187" fontId="0" fillId="0" borderId="205" xfId="627" applyFont="1" applyBorder="1" applyAlignment="1">
      <alignment horizontal="left" vertical="center"/>
    </xf>
    <xf numFmtId="0" fontId="1" fillId="0" borderId="0" xfId="626" applyAlignment="1">
      <alignment horizontal="justify" vertical="center" wrapText="1"/>
    </xf>
    <xf numFmtId="0" fontId="99" fillId="0" borderId="191" xfId="626" applyFont="1" applyBorder="1" applyAlignment="1">
      <alignment horizontal="center" vertical="center" wrapText="1"/>
    </xf>
    <xf numFmtId="0" fontId="99" fillId="0" borderId="141" xfId="626" applyFont="1" applyBorder="1" applyAlignment="1">
      <alignment horizontal="center" vertical="center" wrapText="1"/>
    </xf>
    <xf numFmtId="0" fontId="99" fillId="0" borderId="27" xfId="626" applyFont="1" applyBorder="1" applyAlignment="1">
      <alignment horizontal="center" vertical="center" wrapText="1"/>
    </xf>
    <xf numFmtId="0" fontId="88" fillId="0" borderId="27" xfId="626" applyFont="1" applyBorder="1" applyAlignment="1">
      <alignment horizontal="center" vertical="center" wrapText="1"/>
    </xf>
    <xf numFmtId="187" fontId="87" fillId="0" borderId="0" xfId="627" applyFont="1" applyAlignment="1" applyProtection="1">
      <alignment horizontal="center" wrapText="1"/>
    </xf>
    <xf numFmtId="0" fontId="89" fillId="66" borderId="0" xfId="626" applyFont="1" applyFill="1" applyAlignment="1">
      <alignment horizontal="center"/>
    </xf>
    <xf numFmtId="0" fontId="90" fillId="66" borderId="0" xfId="626" applyFont="1" applyFill="1" applyAlignment="1">
      <alignment horizontal="center"/>
    </xf>
    <xf numFmtId="187" fontId="92" fillId="64" borderId="0" xfId="627" applyFont="1" applyFill="1" applyBorder="1" applyAlignment="1" applyProtection="1">
      <alignment horizontal="center" vertical="center"/>
    </xf>
    <xf numFmtId="0" fontId="85" fillId="66" borderId="193" xfId="626" applyFont="1" applyFill="1" applyBorder="1" applyAlignment="1">
      <alignment horizontal="center" vertical="center"/>
    </xf>
    <xf numFmtId="0" fontId="85" fillId="66" borderId="194" xfId="626" applyFont="1" applyFill="1" applyBorder="1" applyAlignment="1">
      <alignment horizontal="center" vertical="center"/>
    </xf>
    <xf numFmtId="0" fontId="95" fillId="0" borderId="198" xfId="626" applyFont="1" applyBorder="1" applyAlignment="1">
      <alignment horizontal="left" wrapText="1"/>
    </xf>
    <xf numFmtId="0" fontId="95" fillId="0" borderId="199" xfId="626" applyFont="1" applyBorder="1" applyAlignment="1">
      <alignment horizontal="left" wrapText="1"/>
    </xf>
    <xf numFmtId="0" fontId="85" fillId="66" borderId="198" xfId="626" applyFont="1" applyFill="1" applyBorder="1" applyAlignment="1">
      <alignment horizontal="center" vertical="center"/>
    </xf>
    <xf numFmtId="0" fontId="85" fillId="66" borderId="199" xfId="626" applyFont="1" applyFill="1" applyBorder="1" applyAlignment="1">
      <alignment horizontal="center" vertical="center"/>
    </xf>
    <xf numFmtId="0" fontId="85" fillId="67" borderId="193" xfId="626" applyFont="1" applyFill="1" applyBorder="1" applyAlignment="1">
      <alignment horizontal="center" vertical="center"/>
    </xf>
    <xf numFmtId="0" fontId="85" fillId="68" borderId="193" xfId="626" applyFont="1" applyFill="1" applyBorder="1" applyAlignment="1">
      <alignment horizontal="center" vertical="center"/>
    </xf>
    <xf numFmtId="0" fontId="85" fillId="69" borderId="83" xfId="626" applyFont="1" applyFill="1" applyBorder="1" applyAlignment="1">
      <alignment horizontal="center" vertical="center"/>
    </xf>
    <xf numFmtId="0" fontId="85" fillId="69" borderId="84" xfId="626" applyFont="1" applyFill="1" applyBorder="1" applyAlignment="1">
      <alignment horizontal="center" vertical="center"/>
    </xf>
    <xf numFmtId="0" fontId="99" fillId="0" borderId="183" xfId="626" applyFont="1" applyBorder="1" applyAlignment="1">
      <alignment horizontal="center" vertical="center" wrapText="1"/>
    </xf>
    <xf numFmtId="0" fontId="103" fillId="64" borderId="27" xfId="626" applyFont="1" applyFill="1" applyBorder="1" applyAlignment="1">
      <alignment horizontal="center" vertical="center"/>
    </xf>
    <xf numFmtId="2" fontId="87" fillId="0" borderId="27" xfId="626" applyNumberFormat="1" applyFont="1" applyBorder="1" applyAlignment="1">
      <alignment horizontal="right"/>
    </xf>
    <xf numFmtId="1" fontId="1" fillId="0" borderId="191" xfId="627" applyNumberFormat="1" applyFont="1" applyBorder="1" applyAlignment="1">
      <alignment horizontal="right"/>
    </xf>
    <xf numFmtId="1" fontId="1" fillId="0" borderId="141" xfId="627" applyNumberFormat="1" applyFont="1" applyBorder="1" applyAlignment="1">
      <alignment horizontal="right"/>
    </xf>
    <xf numFmtId="187" fontId="1" fillId="0" borderId="27" xfId="627" applyFont="1" applyBorder="1" applyAlignment="1">
      <alignment horizontal="center"/>
    </xf>
    <xf numFmtId="191" fontId="1" fillId="0" borderId="191" xfId="627" applyNumberFormat="1" applyFont="1" applyBorder="1" applyAlignment="1">
      <alignment horizontal="center"/>
    </xf>
    <xf numFmtId="191" fontId="1" fillId="0" borderId="141" xfId="627" applyNumberFormat="1" applyFont="1" applyBorder="1" applyAlignment="1">
      <alignment horizontal="center"/>
    </xf>
    <xf numFmtId="0" fontId="87" fillId="72" borderId="27" xfId="626" applyFont="1" applyFill="1" applyBorder="1" applyAlignment="1">
      <alignment horizontal="center"/>
    </xf>
    <xf numFmtId="0" fontId="87" fillId="72" borderId="191" xfId="626" applyFont="1" applyFill="1" applyBorder="1" applyAlignment="1">
      <alignment horizontal="center"/>
    </xf>
    <xf numFmtId="0" fontId="1" fillId="26" borderId="27" xfId="626" applyFill="1" applyBorder="1" applyAlignment="1">
      <alignment horizontal="center"/>
    </xf>
    <xf numFmtId="0" fontId="87" fillId="0" borderId="0" xfId="626" applyFont="1" applyAlignment="1">
      <alignment horizontal="center"/>
    </xf>
    <xf numFmtId="0" fontId="87" fillId="0" borderId="27" xfId="626" applyFont="1" applyBorder="1" applyAlignment="1">
      <alignment horizontal="left" wrapText="1"/>
    </xf>
    <xf numFmtId="0" fontId="87" fillId="0" borderId="27" xfId="626" applyFont="1" applyBorder="1" applyAlignment="1">
      <alignment horizontal="left"/>
    </xf>
    <xf numFmtId="0" fontId="87" fillId="64" borderId="27" xfId="626" applyFont="1" applyFill="1" applyBorder="1" applyAlignment="1">
      <alignment horizontal="center"/>
    </xf>
    <xf numFmtId="189" fontId="1" fillId="0" borderId="27" xfId="626" applyNumberFormat="1" applyBorder="1" applyAlignment="1">
      <alignment horizontal="center"/>
    </xf>
    <xf numFmtId="0" fontId="1" fillId="0" borderId="0" xfId="626" applyAlignment="1">
      <alignment horizontal="center"/>
    </xf>
    <xf numFmtId="189" fontId="1" fillId="0" borderId="191" xfId="627" applyNumberFormat="1" applyFont="1" applyBorder="1" applyAlignment="1">
      <alignment horizontal="right"/>
    </xf>
    <xf numFmtId="189" fontId="1" fillId="0" borderId="141" xfId="627" applyNumberFormat="1" applyFont="1" applyBorder="1" applyAlignment="1">
      <alignment horizontal="right"/>
    </xf>
    <xf numFmtId="189" fontId="1" fillId="0" borderId="27" xfId="627" applyNumberFormat="1" applyFont="1" applyBorder="1" applyAlignment="1">
      <alignment horizontal="center"/>
    </xf>
    <xf numFmtId="187" fontId="1" fillId="0" borderId="191" xfId="627" applyFont="1" applyBorder="1" applyAlignment="1">
      <alignment horizontal="center"/>
    </xf>
    <xf numFmtId="187" fontId="1" fillId="0" borderId="141" xfId="627" applyFont="1" applyBorder="1" applyAlignment="1">
      <alignment horizontal="center"/>
    </xf>
    <xf numFmtId="2" fontId="44" fillId="54" borderId="0" xfId="0" applyNumberFormat="1" applyFont="1" applyFill="1" applyBorder="1" applyAlignment="1" applyProtection="1">
      <alignment horizontal="center" vertical="center"/>
      <protection locked="0"/>
    </xf>
    <xf numFmtId="4" fontId="69" fillId="41" borderId="0" xfId="0" applyNumberFormat="1" applyFont="1" applyFill="1" applyBorder="1" applyAlignment="1">
      <alignment horizontal="center" vertical="center"/>
    </xf>
    <xf numFmtId="2" fontId="34" fillId="41" borderId="0" xfId="0" applyNumberFormat="1" applyFont="1" applyFill="1" applyBorder="1" applyAlignment="1" applyProtection="1">
      <alignment horizontal="center" vertical="center"/>
      <protection locked="0"/>
    </xf>
    <xf numFmtId="4" fontId="68" fillId="0" borderId="207" xfId="0" applyNumberFormat="1" applyFont="1" applyBorder="1" applyAlignment="1">
      <alignment horizontal="center" vertical="center" wrapText="1"/>
    </xf>
    <xf numFmtId="14" fontId="52" fillId="0" borderId="208" xfId="0" applyNumberFormat="1" applyFont="1" applyBorder="1" applyAlignment="1">
      <alignment horizontal="left" vertical="center"/>
    </xf>
    <xf numFmtId="0" fontId="32" fillId="0" borderId="0" xfId="83" applyFont="1" applyBorder="1" applyAlignment="1">
      <alignment horizontal="center" vertical="center"/>
    </xf>
  </cellXfs>
  <cellStyles count="630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142" xr:uid="{00000000-0005-0000-0000-000024000000}"/>
    <cellStyle name="Bad 1" xfId="37" xr:uid="{00000000-0005-0000-0000-000025000000}"/>
    <cellStyle name="Bad 2" xfId="38" xr:uid="{00000000-0005-0000-0000-000026000000}"/>
    <cellStyle name="Calculation" xfId="39" xr:uid="{00000000-0005-0000-0000-000027000000}"/>
    <cellStyle name="Calculation 2" xfId="207" xr:uid="{00000000-0005-0000-0000-000028000000}"/>
    <cellStyle name="Calculation 2 2" xfId="324" xr:uid="{00000000-0005-0000-0000-000029000000}"/>
    <cellStyle name="Calculation 2 2 2" xfId="535" xr:uid="{00000000-0005-0000-0000-00002A000000}"/>
    <cellStyle name="Calculation 2 3" xfId="351" xr:uid="{00000000-0005-0000-0000-00002B000000}"/>
    <cellStyle name="Calculation 2 3 2" xfId="560" xr:uid="{00000000-0005-0000-0000-00002C000000}"/>
    <cellStyle name="Calculation 2 4" xfId="354" xr:uid="{00000000-0005-0000-0000-00002D000000}"/>
    <cellStyle name="Calculation 2 4 2" xfId="563" xr:uid="{00000000-0005-0000-0000-00002E000000}"/>
    <cellStyle name="Calculation 2 5" xfId="339" xr:uid="{00000000-0005-0000-0000-00002F000000}"/>
    <cellStyle name="Calculation 2 5 2" xfId="550" xr:uid="{00000000-0005-0000-0000-000030000000}"/>
    <cellStyle name="Calculation 2 6" xfId="434" xr:uid="{00000000-0005-0000-0000-000031000000}"/>
    <cellStyle name="Calculation 2 6 2" xfId="591" xr:uid="{00000000-0005-0000-0000-000032000000}"/>
    <cellStyle name="Calculation 2 7" xfId="463" xr:uid="{00000000-0005-0000-0000-000033000000}"/>
    <cellStyle name="Calculation 3" xfId="435" xr:uid="{00000000-0005-0000-0000-000034000000}"/>
    <cellStyle name="Calculation 3 2" xfId="592" xr:uid="{00000000-0005-0000-0000-000035000000}"/>
    <cellStyle name="Calculation 4" xfId="453" xr:uid="{00000000-0005-0000-0000-000036000000}"/>
    <cellStyle name="Calculation 4 2" xfId="605" xr:uid="{00000000-0005-0000-0000-000037000000}"/>
    <cellStyle name="Calculation 5" xfId="359" xr:uid="{00000000-0005-0000-0000-000038000000}"/>
    <cellStyle name="Calculation 5 2" xfId="566" xr:uid="{00000000-0005-0000-0000-000039000000}"/>
    <cellStyle name="Calculation 6" xfId="381" xr:uid="{00000000-0005-0000-0000-00003A000000}"/>
    <cellStyle name="Calculation 6 2" xfId="575" xr:uid="{00000000-0005-0000-0000-00003B000000}"/>
    <cellStyle name="Calculation 7" xfId="462" xr:uid="{00000000-0005-0000-0000-00003C000000}"/>
    <cellStyle name="Calculation 7 2" xfId="613" xr:uid="{00000000-0005-0000-0000-00003D000000}"/>
    <cellStyle name="Calculation 8" xfId="375" xr:uid="{00000000-0005-0000-0000-00003E000000}"/>
    <cellStyle name="Check Cell" xfId="40" xr:uid="{00000000-0005-0000-0000-00003F000000}"/>
    <cellStyle name="Euro" xfId="41" xr:uid="{00000000-0005-0000-0000-000040000000}"/>
    <cellStyle name="Euro 2" xfId="42" xr:uid="{00000000-0005-0000-0000-000041000000}"/>
    <cellStyle name="Euro 2 2" xfId="43" xr:uid="{00000000-0005-0000-0000-000042000000}"/>
    <cellStyle name="Euro 3" xfId="162" xr:uid="{00000000-0005-0000-0000-000043000000}"/>
    <cellStyle name="Excel Built-in Excel Built-in Total" xfId="143" xr:uid="{00000000-0005-0000-0000-000044000000}"/>
    <cellStyle name="Excel Built-in Excel Built-in Total 10" xfId="360" xr:uid="{00000000-0005-0000-0000-000045000000}"/>
    <cellStyle name="Excel Built-in Excel Built-in Total 10 2" xfId="567" xr:uid="{00000000-0005-0000-0000-000046000000}"/>
    <cellStyle name="Excel Built-in Excel Built-in Total 11" xfId="388" xr:uid="{00000000-0005-0000-0000-000047000000}"/>
    <cellStyle name="Excel Built-in Excel Built-in Total 2" xfId="189" xr:uid="{00000000-0005-0000-0000-000048000000}"/>
    <cellStyle name="Excel Built-in Excel Built-in Total 2 2" xfId="217" xr:uid="{00000000-0005-0000-0000-000049000000}"/>
    <cellStyle name="Excel Built-in Excel Built-in Total 2 2 2" xfId="320" xr:uid="{00000000-0005-0000-0000-00004A000000}"/>
    <cellStyle name="Excel Built-in Excel Built-in Total 2 2 2 2" xfId="531" xr:uid="{00000000-0005-0000-0000-00004B000000}"/>
    <cellStyle name="Excel Built-in Excel Built-in Total 2 2 3" xfId="321" xr:uid="{00000000-0005-0000-0000-00004C000000}"/>
    <cellStyle name="Excel Built-in Excel Built-in Total 2 2 3 2" xfId="532" xr:uid="{00000000-0005-0000-0000-00004D000000}"/>
    <cellStyle name="Excel Built-in Excel Built-in Total 2 2 4" xfId="346" xr:uid="{00000000-0005-0000-0000-00004E000000}"/>
    <cellStyle name="Excel Built-in Excel Built-in Total 2 2 4 2" xfId="556" xr:uid="{00000000-0005-0000-0000-00004F000000}"/>
    <cellStyle name="Excel Built-in Excel Built-in Total 2 2 5" xfId="370" xr:uid="{00000000-0005-0000-0000-000050000000}"/>
    <cellStyle name="Excel Built-in Excel Built-in Total 2 2 5 2" xfId="572" xr:uid="{00000000-0005-0000-0000-000051000000}"/>
    <cellStyle name="Excel Built-in Excel Built-in Total 2 2 6" xfId="396" xr:uid="{00000000-0005-0000-0000-000052000000}"/>
    <cellStyle name="Excel Built-in Excel Built-in Total 2 2 6 2" xfId="581" xr:uid="{00000000-0005-0000-0000-000053000000}"/>
    <cellStyle name="Excel Built-in Excel Built-in Total 2 2 7" xfId="470" xr:uid="{00000000-0005-0000-0000-000054000000}"/>
    <cellStyle name="Excel Built-in Excel Built-in Total 2 3" xfId="325" xr:uid="{00000000-0005-0000-0000-000055000000}"/>
    <cellStyle name="Excel Built-in Excel Built-in Total 2 3 2" xfId="536" xr:uid="{00000000-0005-0000-0000-000056000000}"/>
    <cellStyle name="Excel Built-in Excel Built-in Total 2 4" xfId="349" xr:uid="{00000000-0005-0000-0000-000057000000}"/>
    <cellStyle name="Excel Built-in Excel Built-in Total 2 4 2" xfId="559" xr:uid="{00000000-0005-0000-0000-000058000000}"/>
    <cellStyle name="Excel Built-in Excel Built-in Total 2 5" xfId="353" xr:uid="{00000000-0005-0000-0000-000059000000}"/>
    <cellStyle name="Excel Built-in Excel Built-in Total 2 5 2" xfId="562" xr:uid="{00000000-0005-0000-0000-00005A000000}"/>
    <cellStyle name="Excel Built-in Excel Built-in Total 2 6" xfId="357" xr:uid="{00000000-0005-0000-0000-00005B000000}"/>
    <cellStyle name="Excel Built-in Excel Built-in Total 2 6 2" xfId="565" xr:uid="{00000000-0005-0000-0000-00005C000000}"/>
    <cellStyle name="Excel Built-in Excel Built-in Total 2 7" xfId="444" xr:uid="{00000000-0005-0000-0000-00005D000000}"/>
    <cellStyle name="Excel Built-in Excel Built-in Total 2 7 2" xfId="597" xr:uid="{00000000-0005-0000-0000-00005E000000}"/>
    <cellStyle name="Excel Built-in Excel Built-in Total 2 8" xfId="362" xr:uid="{00000000-0005-0000-0000-00005F000000}"/>
    <cellStyle name="Excel Built-in Excel Built-in Total 3" xfId="176" xr:uid="{00000000-0005-0000-0000-000060000000}"/>
    <cellStyle name="Excel Built-in Excel Built-in Total 3 2" xfId="218" xr:uid="{00000000-0005-0000-0000-000061000000}"/>
    <cellStyle name="Excel Built-in Excel Built-in Total 3 2 2" xfId="319" xr:uid="{00000000-0005-0000-0000-000062000000}"/>
    <cellStyle name="Excel Built-in Excel Built-in Total 3 2 2 2" xfId="530" xr:uid="{00000000-0005-0000-0000-000063000000}"/>
    <cellStyle name="Excel Built-in Excel Built-in Total 3 2 3" xfId="330" xr:uid="{00000000-0005-0000-0000-000064000000}"/>
    <cellStyle name="Excel Built-in Excel Built-in Total 3 2 3 2" xfId="541" xr:uid="{00000000-0005-0000-0000-000065000000}"/>
    <cellStyle name="Excel Built-in Excel Built-in Total 3 2 4" xfId="311" xr:uid="{00000000-0005-0000-0000-000066000000}"/>
    <cellStyle name="Excel Built-in Excel Built-in Total 3 2 4 2" xfId="523" xr:uid="{00000000-0005-0000-0000-000067000000}"/>
    <cellStyle name="Excel Built-in Excel Built-in Total 3 2 5" xfId="365" xr:uid="{00000000-0005-0000-0000-000068000000}"/>
    <cellStyle name="Excel Built-in Excel Built-in Total 3 2 5 2" xfId="570" xr:uid="{00000000-0005-0000-0000-000069000000}"/>
    <cellStyle name="Excel Built-in Excel Built-in Total 3 2 6" xfId="333" xr:uid="{00000000-0005-0000-0000-00006A000000}"/>
    <cellStyle name="Excel Built-in Excel Built-in Total 3 2 6 2" xfId="544" xr:uid="{00000000-0005-0000-0000-00006B000000}"/>
    <cellStyle name="Excel Built-in Excel Built-in Total 3 2 7" xfId="452" xr:uid="{00000000-0005-0000-0000-00006C000000}"/>
    <cellStyle name="Excel Built-in Excel Built-in Total 3 3" xfId="328" xr:uid="{00000000-0005-0000-0000-00006D000000}"/>
    <cellStyle name="Excel Built-in Excel Built-in Total 3 3 2" xfId="539" xr:uid="{00000000-0005-0000-0000-00006E000000}"/>
    <cellStyle name="Excel Built-in Excel Built-in Total 3 4" xfId="356" xr:uid="{00000000-0005-0000-0000-00006F000000}"/>
    <cellStyle name="Excel Built-in Excel Built-in Total 3 4 2" xfId="564" xr:uid="{00000000-0005-0000-0000-000070000000}"/>
    <cellStyle name="Excel Built-in Excel Built-in Total 3 5" xfId="458" xr:uid="{00000000-0005-0000-0000-000071000000}"/>
    <cellStyle name="Excel Built-in Excel Built-in Total 3 5 2" xfId="609" xr:uid="{00000000-0005-0000-0000-000072000000}"/>
    <cellStyle name="Excel Built-in Excel Built-in Total 3 6" xfId="308" xr:uid="{00000000-0005-0000-0000-000073000000}"/>
    <cellStyle name="Excel Built-in Excel Built-in Total 3 6 2" xfId="520" xr:uid="{00000000-0005-0000-0000-000074000000}"/>
    <cellStyle name="Excel Built-in Excel Built-in Total 3 7" xfId="469" xr:uid="{00000000-0005-0000-0000-000075000000}"/>
    <cellStyle name="Excel Built-in Excel Built-in Total 3 7 2" xfId="616" xr:uid="{00000000-0005-0000-0000-000076000000}"/>
    <cellStyle name="Excel Built-in Excel Built-in Total 3 8" xfId="313" xr:uid="{00000000-0005-0000-0000-000077000000}"/>
    <cellStyle name="Excel Built-in Excel Built-in Total 4" xfId="203" xr:uid="{00000000-0005-0000-0000-000078000000}"/>
    <cellStyle name="Excel Built-in Excel Built-in Total 4 2" xfId="219" xr:uid="{00000000-0005-0000-0000-000079000000}"/>
    <cellStyle name="Excel Built-in Excel Built-in Total 4 2 2" xfId="318" xr:uid="{00000000-0005-0000-0000-00007A000000}"/>
    <cellStyle name="Excel Built-in Excel Built-in Total 4 2 2 2" xfId="529" xr:uid="{00000000-0005-0000-0000-00007B000000}"/>
    <cellStyle name="Excel Built-in Excel Built-in Total 4 2 3" xfId="394" xr:uid="{00000000-0005-0000-0000-00007C000000}"/>
    <cellStyle name="Excel Built-in Excel Built-in Total 4 2 3 2" xfId="579" xr:uid="{00000000-0005-0000-0000-00007D000000}"/>
    <cellStyle name="Excel Built-in Excel Built-in Total 4 2 4" xfId="337" xr:uid="{00000000-0005-0000-0000-00007E000000}"/>
    <cellStyle name="Excel Built-in Excel Built-in Total 4 2 4 2" xfId="548" xr:uid="{00000000-0005-0000-0000-00007F000000}"/>
    <cellStyle name="Excel Built-in Excel Built-in Total 4 2 5" xfId="438" xr:uid="{00000000-0005-0000-0000-000080000000}"/>
    <cellStyle name="Excel Built-in Excel Built-in Total 4 2 5 2" xfId="594" xr:uid="{00000000-0005-0000-0000-000081000000}"/>
    <cellStyle name="Excel Built-in Excel Built-in Total 4 2 6" xfId="451" xr:uid="{00000000-0005-0000-0000-000082000000}"/>
    <cellStyle name="Excel Built-in Excel Built-in Total 4 2 6 2" xfId="604" xr:uid="{00000000-0005-0000-0000-000083000000}"/>
    <cellStyle name="Excel Built-in Excel Built-in Total 4 2 7" xfId="431" xr:uid="{00000000-0005-0000-0000-000084000000}"/>
    <cellStyle name="Excel Built-in Excel Built-in Total 4 3" xfId="393" xr:uid="{00000000-0005-0000-0000-000085000000}"/>
    <cellStyle name="Excel Built-in Excel Built-in Total 4 3 2" xfId="578" xr:uid="{00000000-0005-0000-0000-000086000000}"/>
    <cellStyle name="Excel Built-in Excel Built-in Total 4 4" xfId="361" xr:uid="{00000000-0005-0000-0000-000087000000}"/>
    <cellStyle name="Excel Built-in Excel Built-in Total 4 4 2" xfId="568" xr:uid="{00000000-0005-0000-0000-000088000000}"/>
    <cellStyle name="Excel Built-in Excel Built-in Total 4 5" xfId="374" xr:uid="{00000000-0005-0000-0000-000089000000}"/>
    <cellStyle name="Excel Built-in Excel Built-in Total 4 5 2" xfId="573" xr:uid="{00000000-0005-0000-0000-00008A000000}"/>
    <cellStyle name="Excel Built-in Excel Built-in Total 4 6" xfId="457" xr:uid="{00000000-0005-0000-0000-00008B000000}"/>
    <cellStyle name="Excel Built-in Excel Built-in Total 4 6 2" xfId="608" xr:uid="{00000000-0005-0000-0000-00008C000000}"/>
    <cellStyle name="Excel Built-in Excel Built-in Total 4 7" xfId="334" xr:uid="{00000000-0005-0000-0000-00008D000000}"/>
    <cellStyle name="Excel Built-in Excel Built-in Total 4 7 2" xfId="545" xr:uid="{00000000-0005-0000-0000-00008E000000}"/>
    <cellStyle name="Excel Built-in Excel Built-in Total 4 8" xfId="358" xr:uid="{00000000-0005-0000-0000-00008F000000}"/>
    <cellStyle name="Excel Built-in Excel Built-in Total 5" xfId="220" xr:uid="{00000000-0005-0000-0000-000090000000}"/>
    <cellStyle name="Excel Built-in Excel Built-in Total 5 2" xfId="317" xr:uid="{00000000-0005-0000-0000-000091000000}"/>
    <cellStyle name="Excel Built-in Excel Built-in Total 5 2 2" xfId="528" xr:uid="{00000000-0005-0000-0000-000092000000}"/>
    <cellStyle name="Excel Built-in Excel Built-in Total 5 3" xfId="432" xr:uid="{00000000-0005-0000-0000-000093000000}"/>
    <cellStyle name="Excel Built-in Excel Built-in Total 5 3 2" xfId="589" xr:uid="{00000000-0005-0000-0000-000094000000}"/>
    <cellStyle name="Excel Built-in Excel Built-in Total 5 4" xfId="323" xr:uid="{00000000-0005-0000-0000-000095000000}"/>
    <cellStyle name="Excel Built-in Excel Built-in Total 5 4 2" xfId="534" xr:uid="{00000000-0005-0000-0000-000096000000}"/>
    <cellStyle name="Excel Built-in Excel Built-in Total 5 5" xfId="312" xr:uid="{00000000-0005-0000-0000-000097000000}"/>
    <cellStyle name="Excel Built-in Excel Built-in Total 5 5 2" xfId="524" xr:uid="{00000000-0005-0000-0000-000098000000}"/>
    <cellStyle name="Excel Built-in Excel Built-in Total 5 6" xfId="415" xr:uid="{00000000-0005-0000-0000-000099000000}"/>
    <cellStyle name="Excel Built-in Excel Built-in Total 5 6 2" xfId="582" xr:uid="{00000000-0005-0000-0000-00009A000000}"/>
    <cellStyle name="Excel Built-in Excel Built-in Total 5 7" xfId="416" xr:uid="{00000000-0005-0000-0000-00009B000000}"/>
    <cellStyle name="Excel Built-in Excel Built-in Total 6" xfId="336" xr:uid="{00000000-0005-0000-0000-00009C000000}"/>
    <cellStyle name="Excel Built-in Excel Built-in Total 6 2" xfId="547" xr:uid="{00000000-0005-0000-0000-00009D000000}"/>
    <cellStyle name="Excel Built-in Excel Built-in Total 7" xfId="331" xr:uid="{00000000-0005-0000-0000-00009E000000}"/>
    <cellStyle name="Excel Built-in Excel Built-in Total 7 2" xfId="542" xr:uid="{00000000-0005-0000-0000-00009F000000}"/>
    <cellStyle name="Excel Built-in Excel Built-in Total 8" xfId="314" xr:uid="{00000000-0005-0000-0000-0000A0000000}"/>
    <cellStyle name="Excel Built-in Excel Built-in Total 8 2" xfId="525" xr:uid="{00000000-0005-0000-0000-0000A1000000}"/>
    <cellStyle name="Excel Built-in Excel Built-in Total 9" xfId="307" xr:uid="{00000000-0005-0000-0000-0000A2000000}"/>
    <cellStyle name="Excel Built-in Excel Built-in Total 9 2" xfId="519" xr:uid="{00000000-0005-0000-0000-0000A3000000}"/>
    <cellStyle name="Excel Built-in Normal 2" xfId="144" xr:uid="{00000000-0005-0000-0000-0000A4000000}"/>
    <cellStyle name="Excel Built-in Normal 2 2 2" xfId="145" xr:uid="{00000000-0005-0000-0000-0000A5000000}"/>
    <cellStyle name="Excel Built-in Normal 7" xfId="146" xr:uid="{00000000-0005-0000-0000-0000A6000000}"/>
    <cellStyle name="Excel Built-in Normal_CONTRATOS " xfId="147" xr:uid="{00000000-0005-0000-0000-0000A7000000}"/>
    <cellStyle name="Excel Built-in Separador de milhares 2" xfId="148" xr:uid="{00000000-0005-0000-0000-0000A8000000}"/>
    <cellStyle name="Excel Built-in Separador de milhares 3" xfId="149" xr:uid="{00000000-0005-0000-0000-0000A9000000}"/>
    <cellStyle name="Explanatory Text" xfId="44" xr:uid="{00000000-0005-0000-0000-0000AA000000}"/>
    <cellStyle name="Good" xfId="150" xr:uid="{00000000-0005-0000-0000-0000AB000000}"/>
    <cellStyle name="Good 1" xfId="45" xr:uid="{00000000-0005-0000-0000-0000AC000000}"/>
    <cellStyle name="Good 2" xfId="46" xr:uid="{00000000-0005-0000-0000-0000AD000000}"/>
    <cellStyle name="Heading 1" xfId="151" xr:uid="{00000000-0005-0000-0000-0000AE000000}"/>
    <cellStyle name="Heading 1 1" xfId="47" xr:uid="{00000000-0005-0000-0000-0000AF000000}"/>
    <cellStyle name="Heading 1 2" xfId="48" xr:uid="{00000000-0005-0000-0000-0000B0000000}"/>
    <cellStyle name="Heading 2" xfId="152" xr:uid="{00000000-0005-0000-0000-0000B1000000}"/>
    <cellStyle name="Heading 2 1" xfId="49" xr:uid="{00000000-0005-0000-0000-0000B2000000}"/>
    <cellStyle name="Heading 2 2" xfId="50" xr:uid="{00000000-0005-0000-0000-0000B3000000}"/>
    <cellStyle name="Heading 3" xfId="51" xr:uid="{00000000-0005-0000-0000-0000B4000000}"/>
    <cellStyle name="Heading 3 2" xfId="221" xr:uid="{00000000-0005-0000-0000-0000B5000000}"/>
    <cellStyle name="Heading 4" xfId="52" xr:uid="{00000000-0005-0000-0000-0000B6000000}"/>
    <cellStyle name="Hiperlink" xfId="141" builtinId="8"/>
    <cellStyle name="Hiperlink 2" xfId="628" xr:uid="{4A17388F-3192-4A16-B8C2-5668027EF48D}"/>
    <cellStyle name="Hyperlink 2" xfId="241" xr:uid="{00000000-0005-0000-0000-0000B8000000}"/>
    <cellStyle name="Input" xfId="53" xr:uid="{00000000-0005-0000-0000-0000B9000000}"/>
    <cellStyle name="Input 2" xfId="222" xr:uid="{00000000-0005-0000-0000-0000BA000000}"/>
    <cellStyle name="Input 2 2" xfId="316" xr:uid="{00000000-0005-0000-0000-0000BB000000}"/>
    <cellStyle name="Input 2 2 2" xfId="527" xr:uid="{00000000-0005-0000-0000-0000BC000000}"/>
    <cellStyle name="Input 2 3" xfId="433" xr:uid="{00000000-0005-0000-0000-0000BD000000}"/>
    <cellStyle name="Input 2 3 2" xfId="590" xr:uid="{00000000-0005-0000-0000-0000BE000000}"/>
    <cellStyle name="Input 2 4" xfId="390" xr:uid="{00000000-0005-0000-0000-0000BF000000}"/>
    <cellStyle name="Input 2 4 2" xfId="577" xr:uid="{00000000-0005-0000-0000-0000C0000000}"/>
    <cellStyle name="Input 2 5" xfId="464" xr:uid="{00000000-0005-0000-0000-0000C1000000}"/>
    <cellStyle name="Input 2 5 2" xfId="614" xr:uid="{00000000-0005-0000-0000-0000C2000000}"/>
    <cellStyle name="Input 2 6" xfId="326" xr:uid="{00000000-0005-0000-0000-0000C3000000}"/>
    <cellStyle name="Input 2 6 2" xfId="537" xr:uid="{00000000-0005-0000-0000-0000C4000000}"/>
    <cellStyle name="Input 2 7" xfId="355" xr:uid="{00000000-0005-0000-0000-0000C5000000}"/>
    <cellStyle name="Input 3" xfId="352" xr:uid="{00000000-0005-0000-0000-0000C6000000}"/>
    <cellStyle name="Input 3 2" xfId="561" xr:uid="{00000000-0005-0000-0000-0000C7000000}"/>
    <cellStyle name="Input 4" xfId="329" xr:uid="{00000000-0005-0000-0000-0000C8000000}"/>
    <cellStyle name="Input 4 2" xfId="540" xr:uid="{00000000-0005-0000-0000-0000C9000000}"/>
    <cellStyle name="Input 5" xfId="436" xr:uid="{00000000-0005-0000-0000-0000CA000000}"/>
    <cellStyle name="Input 5 2" xfId="593" xr:uid="{00000000-0005-0000-0000-0000CB000000}"/>
    <cellStyle name="Input 6" xfId="461" xr:uid="{00000000-0005-0000-0000-0000CC000000}"/>
    <cellStyle name="Input 6 2" xfId="612" xr:uid="{00000000-0005-0000-0000-0000CD000000}"/>
    <cellStyle name="Input 7" xfId="471" xr:uid="{00000000-0005-0000-0000-0000CE000000}"/>
    <cellStyle name="Input 7 2" xfId="617" xr:uid="{00000000-0005-0000-0000-0000CF000000}"/>
    <cellStyle name="Input 8" xfId="468" xr:uid="{00000000-0005-0000-0000-0000D0000000}"/>
    <cellStyle name="Linked Cell" xfId="54" xr:uid="{00000000-0005-0000-0000-0000D1000000}"/>
    <cellStyle name="Moeda" xfId="304" builtinId="4"/>
    <cellStyle name="Moeda 2" xfId="55" xr:uid="{00000000-0005-0000-0000-0000D3000000}"/>
    <cellStyle name="Moeda 2 2" xfId="56" xr:uid="{00000000-0005-0000-0000-0000D4000000}"/>
    <cellStyle name="Moeda 2 3" xfId="164" xr:uid="{00000000-0005-0000-0000-0000D5000000}"/>
    <cellStyle name="Moeda 3" xfId="57" xr:uid="{00000000-0005-0000-0000-0000D6000000}"/>
    <cellStyle name="Moeda 4" xfId="58" xr:uid="{00000000-0005-0000-0000-0000D7000000}"/>
    <cellStyle name="Moeda 5" xfId="163" xr:uid="{00000000-0005-0000-0000-0000D8000000}"/>
    <cellStyle name="Moeda 6" xfId="216" xr:uid="{00000000-0005-0000-0000-0000D9000000}"/>
    <cellStyle name="Moeda 6 2" xfId="242" xr:uid="{00000000-0005-0000-0000-0000DA000000}"/>
    <cellStyle name="Moeda 6 2 2" xfId="401" xr:uid="{00000000-0005-0000-0000-0000DB000000}"/>
    <cellStyle name="Moeda 6 2 3" xfId="493" xr:uid="{00000000-0005-0000-0000-0000DC000000}"/>
    <cellStyle name="Moeda 6 3" xfId="392" xr:uid="{00000000-0005-0000-0000-0000DD000000}"/>
    <cellStyle name="Moeda 6 4" xfId="489" xr:uid="{00000000-0005-0000-0000-0000DE000000}"/>
    <cellStyle name="Moeda 7" xfId="243" xr:uid="{00000000-0005-0000-0000-0000DF000000}"/>
    <cellStyle name="Moeda 7 2" xfId="402" xr:uid="{00000000-0005-0000-0000-0000E0000000}"/>
    <cellStyle name="Moeda 7 3" xfId="494" xr:uid="{00000000-0005-0000-0000-0000E1000000}"/>
    <cellStyle name="Moeda 7 7" xfId="622" xr:uid="{00000000-0005-0000-0000-0000E2000000}"/>
    <cellStyle name="Moeda 8" xfId="244" xr:uid="{00000000-0005-0000-0000-0000E3000000}"/>
    <cellStyle name="Moeda 9 5" xfId="627" xr:uid="{F04EB60D-659D-40CB-9994-D0B722008277}"/>
    <cellStyle name="Neutral" xfId="153" xr:uid="{00000000-0005-0000-0000-0000E4000000}"/>
    <cellStyle name="Neutral 1" xfId="59" xr:uid="{00000000-0005-0000-0000-0000E5000000}"/>
    <cellStyle name="Neutral 2" xfId="60" xr:uid="{00000000-0005-0000-0000-0000E6000000}"/>
    <cellStyle name="Normal" xfId="0" builtinId="0"/>
    <cellStyle name="Normal 10" xfId="61" xr:uid="{00000000-0005-0000-0000-0000E8000000}"/>
    <cellStyle name="Normal 10 2" xfId="62" xr:uid="{00000000-0005-0000-0000-0000E9000000}"/>
    <cellStyle name="Normal 11" xfId="63" xr:uid="{00000000-0005-0000-0000-0000EA000000}"/>
    <cellStyle name="Normal 11 2" xfId="64" xr:uid="{00000000-0005-0000-0000-0000EB000000}"/>
    <cellStyle name="Normal 12" xfId="65" xr:uid="{00000000-0005-0000-0000-0000EC000000}"/>
    <cellStyle name="Normal 12 2" xfId="66" xr:uid="{00000000-0005-0000-0000-0000ED000000}"/>
    <cellStyle name="Normal 12 2 2" xfId="192" xr:uid="{00000000-0005-0000-0000-0000EE000000}"/>
    <cellStyle name="Normal 12 2 3" xfId="175" xr:uid="{00000000-0005-0000-0000-0000EF000000}"/>
    <cellStyle name="Normal 13" xfId="67" xr:uid="{00000000-0005-0000-0000-0000F0000000}"/>
    <cellStyle name="Normal 13 2" xfId="68" xr:uid="{00000000-0005-0000-0000-0000F1000000}"/>
    <cellStyle name="Normal 13 2 2" xfId="69" xr:uid="{00000000-0005-0000-0000-0000F2000000}"/>
    <cellStyle name="Normal 13 3" xfId="70" xr:uid="{00000000-0005-0000-0000-0000F3000000}"/>
    <cellStyle name="Normal 14" xfId="71" xr:uid="{00000000-0005-0000-0000-0000F4000000}"/>
    <cellStyle name="Normal 14 2" xfId="72" xr:uid="{00000000-0005-0000-0000-0000F5000000}"/>
    <cellStyle name="Normal 15" xfId="73" xr:uid="{00000000-0005-0000-0000-0000F6000000}"/>
    <cellStyle name="Normal 15 2" xfId="74" xr:uid="{00000000-0005-0000-0000-0000F7000000}"/>
    <cellStyle name="Normal 15 3" xfId="198" xr:uid="{00000000-0005-0000-0000-0000F8000000}"/>
    <cellStyle name="Normal 16" xfId="75" xr:uid="{00000000-0005-0000-0000-0000F9000000}"/>
    <cellStyle name="Normal 16 2" xfId="191" xr:uid="{00000000-0005-0000-0000-0000FA000000}"/>
    <cellStyle name="Normal 16 2 2" xfId="245" xr:uid="{00000000-0005-0000-0000-0000FB000000}"/>
    <cellStyle name="Normal 16 2 2 2" xfId="403" xr:uid="{00000000-0005-0000-0000-0000FC000000}"/>
    <cellStyle name="Normal 16 2 2 3" xfId="495" xr:uid="{00000000-0005-0000-0000-0000FD000000}"/>
    <cellStyle name="Normal 16 2 3" xfId="380" xr:uid="{00000000-0005-0000-0000-0000FE000000}"/>
    <cellStyle name="Normal 16 2 4" xfId="481" xr:uid="{00000000-0005-0000-0000-0000FF000000}"/>
    <cellStyle name="Normal 17" xfId="76" xr:uid="{00000000-0005-0000-0000-000000010000}"/>
    <cellStyle name="Normal 18" xfId="77" xr:uid="{00000000-0005-0000-0000-000001010000}"/>
    <cellStyle name="Normal 19" xfId="78" xr:uid="{00000000-0005-0000-0000-000002010000}"/>
    <cellStyle name="Normal 19 2" xfId="208" xr:uid="{00000000-0005-0000-0000-000003010000}"/>
    <cellStyle name="Normal 2" xfId="79" xr:uid="{00000000-0005-0000-0000-000004010000}"/>
    <cellStyle name="Normal 2 2" xfId="80" xr:uid="{00000000-0005-0000-0000-000005010000}"/>
    <cellStyle name="Normal 2 2 2" xfId="81" xr:uid="{00000000-0005-0000-0000-000006010000}"/>
    <cellStyle name="Normal 2 2 2 2" xfId="82" xr:uid="{00000000-0005-0000-0000-000007010000}"/>
    <cellStyle name="Normal 2 2 2 3" xfId="154" xr:uid="{00000000-0005-0000-0000-000008010000}"/>
    <cellStyle name="Normal 2 2 3" xfId="83" xr:uid="{00000000-0005-0000-0000-000009010000}"/>
    <cellStyle name="Normal 2 2 3 2" xfId="201" xr:uid="{00000000-0005-0000-0000-00000A010000}"/>
    <cellStyle name="Normal 2 2 3 3" xfId="187" xr:uid="{00000000-0005-0000-0000-00000B010000}"/>
    <cellStyle name="Normal 2 2 3 3 2" xfId="246" xr:uid="{00000000-0005-0000-0000-00000C010000}"/>
    <cellStyle name="Normal 2 2 3 3 2 2" xfId="404" xr:uid="{00000000-0005-0000-0000-00000D010000}"/>
    <cellStyle name="Normal 2 2 3 3 2 3" xfId="496" xr:uid="{00000000-0005-0000-0000-00000E010000}"/>
    <cellStyle name="Normal 2 2 3 3 3" xfId="377" xr:uid="{00000000-0005-0000-0000-00000F010000}"/>
    <cellStyle name="Normal 2 2 3 3 4" xfId="479" xr:uid="{00000000-0005-0000-0000-000010010000}"/>
    <cellStyle name="Normal 2 2 4" xfId="178" xr:uid="{00000000-0005-0000-0000-000011010000}"/>
    <cellStyle name="Normal 2 2 4 2" xfId="247" xr:uid="{00000000-0005-0000-0000-000012010000}"/>
    <cellStyle name="Normal 2 2 4 2 2" xfId="405" xr:uid="{00000000-0005-0000-0000-000013010000}"/>
    <cellStyle name="Normal 2 2 4 2 3" xfId="497" xr:uid="{00000000-0005-0000-0000-000014010000}"/>
    <cellStyle name="Normal 2 2 4 3" xfId="372" xr:uid="{00000000-0005-0000-0000-000015010000}"/>
    <cellStyle name="Normal 2 2 4 4" xfId="476" xr:uid="{00000000-0005-0000-0000-000016010000}"/>
    <cellStyle name="Normal 2 3" xfId="84" xr:uid="{00000000-0005-0000-0000-000017010000}"/>
    <cellStyle name="Normal 2 3 2" xfId="85" xr:uid="{00000000-0005-0000-0000-000018010000}"/>
    <cellStyle name="Normal 2 3 2 2" xfId="86" xr:uid="{00000000-0005-0000-0000-000019010000}"/>
    <cellStyle name="Normal 2 3 2 3" xfId="188" xr:uid="{00000000-0005-0000-0000-00001A010000}"/>
    <cellStyle name="Normal 2 3 2 3 2" xfId="248" xr:uid="{00000000-0005-0000-0000-00001B010000}"/>
    <cellStyle name="Normal 2 3 2 3 2 2" xfId="406" xr:uid="{00000000-0005-0000-0000-00001C010000}"/>
    <cellStyle name="Normal 2 3 2 3 2 3" xfId="498" xr:uid="{00000000-0005-0000-0000-00001D010000}"/>
    <cellStyle name="Normal 2 3 2 3 3" xfId="378" xr:uid="{00000000-0005-0000-0000-00001E010000}"/>
    <cellStyle name="Normal 2 3 2 3 4" xfId="480" xr:uid="{00000000-0005-0000-0000-00001F010000}"/>
    <cellStyle name="Normal 2 3 3" xfId="87" xr:uid="{00000000-0005-0000-0000-000020010000}"/>
    <cellStyle name="Normal 2 3 3 2" xfId="179" xr:uid="{00000000-0005-0000-0000-000021010000}"/>
    <cellStyle name="Normal 2 3 3 2 2" xfId="249" xr:uid="{00000000-0005-0000-0000-000022010000}"/>
    <cellStyle name="Normal 2 3 3 2 2 2" xfId="407" xr:uid="{00000000-0005-0000-0000-000023010000}"/>
    <cellStyle name="Normal 2 3 3 2 2 3" xfId="499" xr:uid="{00000000-0005-0000-0000-000024010000}"/>
    <cellStyle name="Normal 2 3 3 2 3" xfId="373" xr:uid="{00000000-0005-0000-0000-000025010000}"/>
    <cellStyle name="Normal 2 3 3 2 4" xfId="477" xr:uid="{00000000-0005-0000-0000-000026010000}"/>
    <cellStyle name="Normal 2 3 4" xfId="194" xr:uid="{00000000-0005-0000-0000-000027010000}"/>
    <cellStyle name="Normal 2 3 4 2" xfId="250" xr:uid="{00000000-0005-0000-0000-000028010000}"/>
    <cellStyle name="Normal 2 3 4 2 2" xfId="408" xr:uid="{00000000-0005-0000-0000-000029010000}"/>
    <cellStyle name="Normal 2 3 4 2 3" xfId="500" xr:uid="{00000000-0005-0000-0000-00002A010000}"/>
    <cellStyle name="Normal 2 3 4 3" xfId="383" xr:uid="{00000000-0005-0000-0000-00002B010000}"/>
    <cellStyle name="Normal 2 3 4 4" xfId="483" xr:uid="{00000000-0005-0000-0000-00002C010000}"/>
    <cellStyle name="Normal 2 3 5" xfId="166" xr:uid="{00000000-0005-0000-0000-00002D010000}"/>
    <cellStyle name="Normal 2 3 5 2" xfId="251" xr:uid="{00000000-0005-0000-0000-00002E010000}"/>
    <cellStyle name="Normal 2 3 5 2 2" xfId="409" xr:uid="{00000000-0005-0000-0000-00002F010000}"/>
    <cellStyle name="Normal 2 3 5 2 3" xfId="501" xr:uid="{00000000-0005-0000-0000-000030010000}"/>
    <cellStyle name="Normal 2 3 5 3" xfId="368" xr:uid="{00000000-0005-0000-0000-000031010000}"/>
    <cellStyle name="Normal 2 3 5 4" xfId="474" xr:uid="{00000000-0005-0000-0000-000032010000}"/>
    <cellStyle name="Normal 2 4" xfId="88" xr:uid="{00000000-0005-0000-0000-000033010000}"/>
    <cellStyle name="Normal 2 4 2" xfId="89" xr:uid="{00000000-0005-0000-0000-000034010000}"/>
    <cellStyle name="Normal 2 4 3" xfId="167" xr:uid="{00000000-0005-0000-0000-000035010000}"/>
    <cellStyle name="Normal 2 5" xfId="90" xr:uid="{00000000-0005-0000-0000-000036010000}"/>
    <cellStyle name="Normal 2 5 2" xfId="91" xr:uid="{00000000-0005-0000-0000-000037010000}"/>
    <cellStyle name="Normal 2 5 3" xfId="186" xr:uid="{00000000-0005-0000-0000-000038010000}"/>
    <cellStyle name="Normal 2 5 3 2" xfId="252" xr:uid="{00000000-0005-0000-0000-000039010000}"/>
    <cellStyle name="Normal 2 5 3 2 2" xfId="410" xr:uid="{00000000-0005-0000-0000-00003A010000}"/>
    <cellStyle name="Normal 2 5 3 2 3" xfId="502" xr:uid="{00000000-0005-0000-0000-00003B010000}"/>
    <cellStyle name="Normal 2 5 3 3" xfId="376" xr:uid="{00000000-0005-0000-0000-00003C010000}"/>
    <cellStyle name="Normal 2 5 3 4" xfId="478" xr:uid="{00000000-0005-0000-0000-00003D010000}"/>
    <cellStyle name="Normal 2 6" xfId="177" xr:uid="{00000000-0005-0000-0000-00003E010000}"/>
    <cellStyle name="Normal 2 6 2" xfId="253" xr:uid="{00000000-0005-0000-0000-00003F010000}"/>
    <cellStyle name="Normal 2 6 2 2" xfId="411" xr:uid="{00000000-0005-0000-0000-000040010000}"/>
    <cellStyle name="Normal 2 6 2 3" xfId="503" xr:uid="{00000000-0005-0000-0000-000041010000}"/>
    <cellStyle name="Normal 2 6 3" xfId="371" xr:uid="{00000000-0005-0000-0000-000042010000}"/>
    <cellStyle name="Normal 2 6 4" xfId="475" xr:uid="{00000000-0005-0000-0000-000043010000}"/>
    <cellStyle name="Normal 2 7" xfId="193" xr:uid="{00000000-0005-0000-0000-000044010000}"/>
    <cellStyle name="Normal 2 7 2" xfId="254" xr:uid="{00000000-0005-0000-0000-000045010000}"/>
    <cellStyle name="Normal 2 7 2 2" xfId="412" xr:uid="{00000000-0005-0000-0000-000046010000}"/>
    <cellStyle name="Normal 2 7 2 3" xfId="504" xr:uid="{00000000-0005-0000-0000-000047010000}"/>
    <cellStyle name="Normal 2 7 3" xfId="382" xr:uid="{00000000-0005-0000-0000-000048010000}"/>
    <cellStyle name="Normal 2 7 4" xfId="482" xr:uid="{00000000-0005-0000-0000-000049010000}"/>
    <cellStyle name="Normal 2 8" xfId="165" xr:uid="{00000000-0005-0000-0000-00004A010000}"/>
    <cellStyle name="Normal 2 8 2" xfId="255" xr:uid="{00000000-0005-0000-0000-00004B010000}"/>
    <cellStyle name="Normal 2 8 2 2" xfId="413" xr:uid="{00000000-0005-0000-0000-00004C010000}"/>
    <cellStyle name="Normal 2 8 2 3" xfId="505" xr:uid="{00000000-0005-0000-0000-00004D010000}"/>
    <cellStyle name="Normal 2 8 3" xfId="367" xr:uid="{00000000-0005-0000-0000-00004E010000}"/>
    <cellStyle name="Normal 2 8 4" xfId="473" xr:uid="{00000000-0005-0000-0000-00004F010000}"/>
    <cellStyle name="Normal 2_APONTAMENTO" xfId="95" xr:uid="{00000000-0005-0000-0000-000050010000}"/>
    <cellStyle name="Normal 20" xfId="92" xr:uid="{00000000-0005-0000-0000-000051010000}"/>
    <cellStyle name="Normal 21" xfId="93" xr:uid="{00000000-0005-0000-0000-000052010000}"/>
    <cellStyle name="Normal 22" xfId="94" xr:uid="{00000000-0005-0000-0000-000053010000}"/>
    <cellStyle name="Normal 23" xfId="158" xr:uid="{00000000-0005-0000-0000-000054010000}"/>
    <cellStyle name="Normal 23 2" xfId="209" xr:uid="{00000000-0005-0000-0000-000055010000}"/>
    <cellStyle name="Normal 23 3" xfId="256" xr:uid="{00000000-0005-0000-0000-000056010000}"/>
    <cellStyle name="Normal 23 3 2" xfId="414" xr:uid="{00000000-0005-0000-0000-000057010000}"/>
    <cellStyle name="Normal 23 3 3" xfId="506" xr:uid="{00000000-0005-0000-0000-000058010000}"/>
    <cellStyle name="Normal 23 4" xfId="364" xr:uid="{00000000-0005-0000-0000-000059010000}"/>
    <cellStyle name="Normal 23 5" xfId="472" xr:uid="{00000000-0005-0000-0000-00005A010000}"/>
    <cellStyle name="Normal 24" xfId="159" xr:uid="{00000000-0005-0000-0000-00005B010000}"/>
    <cellStyle name="Normal 25" xfId="160" xr:uid="{00000000-0005-0000-0000-00005C010000}"/>
    <cellStyle name="Normal 25 2" xfId="210" xr:uid="{00000000-0005-0000-0000-00005D010000}"/>
    <cellStyle name="Normal 26" xfId="161" xr:uid="{00000000-0005-0000-0000-00005E010000}"/>
    <cellStyle name="Normal 26 2" xfId="257" xr:uid="{00000000-0005-0000-0000-00005F010000}"/>
    <cellStyle name="Normal 27" xfId="168" xr:uid="{00000000-0005-0000-0000-000060010000}"/>
    <cellStyle name="Normal 27 2" xfId="258" xr:uid="{00000000-0005-0000-0000-000061010000}"/>
    <cellStyle name="Normal 28" xfId="202" xr:uid="{00000000-0005-0000-0000-000062010000}"/>
    <cellStyle name="Normal 28 2" xfId="259" xr:uid="{00000000-0005-0000-0000-000063010000}"/>
    <cellStyle name="Normal 29" xfId="206" xr:uid="{00000000-0005-0000-0000-000064010000}"/>
    <cellStyle name="Normal 29 2" xfId="260" xr:uid="{00000000-0005-0000-0000-000065010000}"/>
    <cellStyle name="Normal 29 2 2" xfId="417" xr:uid="{00000000-0005-0000-0000-000066010000}"/>
    <cellStyle name="Normal 29 2 3" xfId="507" xr:uid="{00000000-0005-0000-0000-000067010000}"/>
    <cellStyle name="Normal 29 3" xfId="387" xr:uid="{00000000-0005-0000-0000-000068010000}"/>
    <cellStyle name="Normal 29 4" xfId="486" xr:uid="{00000000-0005-0000-0000-000069010000}"/>
    <cellStyle name="Normal 3" xfId="96" xr:uid="{00000000-0005-0000-0000-00006A010000}"/>
    <cellStyle name="Normal 3 2" xfId="97" xr:uid="{00000000-0005-0000-0000-00006B010000}"/>
    <cellStyle name="Normal 3 2 2" xfId="204" xr:uid="{00000000-0005-0000-0000-00006C010000}"/>
    <cellStyle name="Normal 3 3" xfId="98" xr:uid="{00000000-0005-0000-0000-00006D010000}"/>
    <cellStyle name="Normal 3 3 2" xfId="197" xr:uid="{00000000-0005-0000-0000-00006E010000}"/>
    <cellStyle name="Normal 3 3 2 2" xfId="261" xr:uid="{00000000-0005-0000-0000-00006F010000}"/>
    <cellStyle name="Normal 3 3 2 2 2" xfId="418" xr:uid="{00000000-0005-0000-0000-000070010000}"/>
    <cellStyle name="Normal 3 3 2 2 3" xfId="508" xr:uid="{00000000-0005-0000-0000-000071010000}"/>
    <cellStyle name="Normal 3 3 2 3" xfId="385" xr:uid="{00000000-0005-0000-0000-000072010000}"/>
    <cellStyle name="Normal 3 3 2 4" xfId="485" xr:uid="{00000000-0005-0000-0000-000073010000}"/>
    <cellStyle name="Normal 30" xfId="211" xr:uid="{00000000-0005-0000-0000-000074010000}"/>
    <cellStyle name="Normal 30 2" xfId="262" xr:uid="{00000000-0005-0000-0000-000075010000}"/>
    <cellStyle name="Normal 30 2 2" xfId="419" xr:uid="{00000000-0005-0000-0000-000076010000}"/>
    <cellStyle name="Normal 30 2 3" xfId="509" xr:uid="{00000000-0005-0000-0000-000077010000}"/>
    <cellStyle name="Normal 30 3" xfId="389" xr:uid="{00000000-0005-0000-0000-000078010000}"/>
    <cellStyle name="Normal 30 4" xfId="487" xr:uid="{00000000-0005-0000-0000-000079010000}"/>
    <cellStyle name="Normal 31" xfId="215" xr:uid="{00000000-0005-0000-0000-00007A010000}"/>
    <cellStyle name="Normal 31 2" xfId="263" xr:uid="{00000000-0005-0000-0000-00007B010000}"/>
    <cellStyle name="Normal 31 2 2" xfId="420" xr:uid="{00000000-0005-0000-0000-00007C010000}"/>
    <cellStyle name="Normal 31 2 3" xfId="510" xr:uid="{00000000-0005-0000-0000-00007D010000}"/>
    <cellStyle name="Normal 31 3" xfId="391" xr:uid="{00000000-0005-0000-0000-00007E010000}"/>
    <cellStyle name="Normal 31 4" xfId="488" xr:uid="{00000000-0005-0000-0000-00007F010000}"/>
    <cellStyle name="Normal 32" xfId="240" xr:uid="{00000000-0005-0000-0000-000080010000}"/>
    <cellStyle name="Normal 32 2" xfId="264" xr:uid="{00000000-0005-0000-0000-000081010000}"/>
    <cellStyle name="Normal 32 2 2" xfId="421" xr:uid="{00000000-0005-0000-0000-000082010000}"/>
    <cellStyle name="Normal 32 2 3" xfId="511" xr:uid="{00000000-0005-0000-0000-000083010000}"/>
    <cellStyle name="Normal 32 3" xfId="399" xr:uid="{00000000-0005-0000-0000-000084010000}"/>
    <cellStyle name="Normal 32 4" xfId="492" xr:uid="{00000000-0005-0000-0000-000085010000}"/>
    <cellStyle name="Normal 33" xfId="265" xr:uid="{00000000-0005-0000-0000-000086010000}"/>
    <cellStyle name="Normal 33 2" xfId="422" xr:uid="{00000000-0005-0000-0000-000087010000}"/>
    <cellStyle name="Normal 33 3" xfId="512" xr:uid="{00000000-0005-0000-0000-000088010000}"/>
    <cellStyle name="Normal 33 7" xfId="620" xr:uid="{00000000-0005-0000-0000-000089010000}"/>
    <cellStyle name="Normal 34" xfId="302" xr:uid="{00000000-0005-0000-0000-00008A010000}"/>
    <cellStyle name="Normal 35 5" xfId="626" xr:uid="{4B94EA99-8DAB-4B88-9C73-F70B22740BBA}"/>
    <cellStyle name="Normal 4" xfId="99" xr:uid="{00000000-0005-0000-0000-00008B010000}"/>
    <cellStyle name="Normal 4 2" xfId="100" xr:uid="{00000000-0005-0000-0000-00008C010000}"/>
    <cellStyle name="Normal 4 2 2" xfId="195" xr:uid="{00000000-0005-0000-0000-00008D010000}"/>
    <cellStyle name="Normal 4 2 2 2" xfId="266" xr:uid="{00000000-0005-0000-0000-00008E010000}"/>
    <cellStyle name="Normal 4 2 2 2 2" xfId="423" xr:uid="{00000000-0005-0000-0000-00008F010000}"/>
    <cellStyle name="Normal 4 2 2 2 3" xfId="513" xr:uid="{00000000-0005-0000-0000-000090010000}"/>
    <cellStyle name="Normal 4 2 2 3" xfId="384" xr:uid="{00000000-0005-0000-0000-000091010000}"/>
    <cellStyle name="Normal 4 2 2 4" xfId="484" xr:uid="{00000000-0005-0000-0000-000092010000}"/>
    <cellStyle name="Normal 4 3" xfId="101" xr:uid="{00000000-0005-0000-0000-000093010000}"/>
    <cellStyle name="Normal 41" xfId="303" xr:uid="{00000000-0005-0000-0000-000094010000}"/>
    <cellStyle name="Normal 5" xfId="102" xr:uid="{00000000-0005-0000-0000-000095010000}"/>
    <cellStyle name="Normal 5 2" xfId="103" xr:uid="{00000000-0005-0000-0000-000096010000}"/>
    <cellStyle name="Normal 5 3" xfId="104" xr:uid="{00000000-0005-0000-0000-000097010000}"/>
    <cellStyle name="Normal 6" xfId="105" xr:uid="{00000000-0005-0000-0000-000098010000}"/>
    <cellStyle name="Normal 6 2" xfId="106" xr:uid="{00000000-0005-0000-0000-000099010000}"/>
    <cellStyle name="Normal 7" xfId="107" xr:uid="{00000000-0005-0000-0000-00009A010000}"/>
    <cellStyle name="Normal 7 2" xfId="108" xr:uid="{00000000-0005-0000-0000-00009B010000}"/>
    <cellStyle name="Normal 7 2 2" xfId="109" xr:uid="{00000000-0005-0000-0000-00009C010000}"/>
    <cellStyle name="Normal 7 3" xfId="110" xr:uid="{00000000-0005-0000-0000-00009D010000}"/>
    <cellStyle name="Normal 8" xfId="111" xr:uid="{00000000-0005-0000-0000-00009E010000}"/>
    <cellStyle name="Normal 9" xfId="112" xr:uid="{00000000-0005-0000-0000-00009F010000}"/>
    <cellStyle name="Normal 9 2" xfId="113" xr:uid="{00000000-0005-0000-0000-0000A0010000}"/>
    <cellStyle name="Normal 9 3" xfId="114" xr:uid="{00000000-0005-0000-0000-0000A1010000}"/>
    <cellStyle name="Normal_DADOSADMCS" xfId="115" xr:uid="{00000000-0005-0000-0000-0000A2010000}"/>
    <cellStyle name="Normal_DADOSADMCS_4 2" xfId="400" xr:uid="{00000000-0005-0000-0000-0000A3010000}"/>
    <cellStyle name="Normal_DADOSADMCS_5 2" xfId="619" xr:uid="{00000000-0005-0000-0000-0000A4010000}"/>
    <cellStyle name="Normal_ORGANIZADO" xfId="625" xr:uid="{00000000-0005-0000-0000-0000A5010000}"/>
    <cellStyle name="Normal_Plan1" xfId="116" xr:uid="{00000000-0005-0000-0000-0000A6010000}"/>
    <cellStyle name="Normal_Plan1 2 2" xfId="621" xr:uid="{00000000-0005-0000-0000-0000A7010000}"/>
    <cellStyle name="Note" xfId="155" xr:uid="{00000000-0005-0000-0000-0000A8010000}"/>
    <cellStyle name="Note 1" xfId="117" xr:uid="{00000000-0005-0000-0000-0000A9010000}"/>
    <cellStyle name="Note 1 2" xfId="212" xr:uid="{00000000-0005-0000-0000-0000AA010000}"/>
    <cellStyle name="Note 1 2 2" xfId="267" xr:uid="{00000000-0005-0000-0000-0000AB010000}"/>
    <cellStyle name="Note 1 2 2 2" xfId="424" xr:uid="{00000000-0005-0000-0000-0000AC010000}"/>
    <cellStyle name="Note 1 2 2 2 2" xfId="583" xr:uid="{00000000-0005-0000-0000-0000AD010000}"/>
    <cellStyle name="Note 1 2 2 3" xfId="445" xr:uid="{00000000-0005-0000-0000-0000AE010000}"/>
    <cellStyle name="Note 1 2 2 3 2" xfId="598" xr:uid="{00000000-0005-0000-0000-0000AF010000}"/>
    <cellStyle name="Note 1 2 2 4" xfId="341" xr:uid="{00000000-0005-0000-0000-0000B0010000}"/>
    <cellStyle name="Note 1 2 2 4 2" xfId="552" xr:uid="{00000000-0005-0000-0000-0000B1010000}"/>
    <cellStyle name="Note 1 2 2 5" xfId="379" xr:uid="{00000000-0005-0000-0000-0000B2010000}"/>
    <cellStyle name="Note 1 2 2 5 2" xfId="574" xr:uid="{00000000-0005-0000-0000-0000B3010000}"/>
    <cellStyle name="Note 1 2 2 6" xfId="306" xr:uid="{00000000-0005-0000-0000-0000B4010000}"/>
    <cellStyle name="Note 1 2 2 6 2" xfId="518" xr:uid="{00000000-0005-0000-0000-0000B5010000}"/>
    <cellStyle name="Note 1 2 2 7" xfId="350" xr:uid="{00000000-0005-0000-0000-0000B6010000}"/>
    <cellStyle name="Note 1 3" xfId="268" xr:uid="{00000000-0005-0000-0000-0000B7010000}"/>
    <cellStyle name="Note 1 3 2" xfId="425" xr:uid="{00000000-0005-0000-0000-0000B8010000}"/>
    <cellStyle name="Note 1 3 2 2" xfId="584" xr:uid="{00000000-0005-0000-0000-0000B9010000}"/>
    <cellStyle name="Note 1 3 3" xfId="446" xr:uid="{00000000-0005-0000-0000-0000BA010000}"/>
    <cellStyle name="Note 1 3 3 2" xfId="599" xr:uid="{00000000-0005-0000-0000-0000BB010000}"/>
    <cellStyle name="Note 1 3 4" xfId="363" xr:uid="{00000000-0005-0000-0000-0000BC010000}"/>
    <cellStyle name="Note 1 3 4 2" xfId="569" xr:uid="{00000000-0005-0000-0000-0000BD010000}"/>
    <cellStyle name="Note 1 3 5" xfId="345" xr:uid="{00000000-0005-0000-0000-0000BE010000}"/>
    <cellStyle name="Note 1 3 5 2" xfId="555" xr:uid="{00000000-0005-0000-0000-0000BF010000}"/>
    <cellStyle name="Note 1 3 6" xfId="340" xr:uid="{00000000-0005-0000-0000-0000C0010000}"/>
    <cellStyle name="Note 1 3 6 2" xfId="551" xr:uid="{00000000-0005-0000-0000-0000C1010000}"/>
    <cellStyle name="Note 1 3 7" xfId="467" xr:uid="{00000000-0005-0000-0000-0000C2010000}"/>
    <cellStyle name="Note 2" xfId="118" xr:uid="{00000000-0005-0000-0000-0000C3010000}"/>
    <cellStyle name="Note 2 2" xfId="213" xr:uid="{00000000-0005-0000-0000-0000C4010000}"/>
    <cellStyle name="Note 2 2 2" xfId="269" xr:uid="{00000000-0005-0000-0000-0000C5010000}"/>
    <cellStyle name="Note 2 2 2 2" xfId="426" xr:uid="{00000000-0005-0000-0000-0000C6010000}"/>
    <cellStyle name="Note 2 2 2 2 2" xfId="585" xr:uid="{00000000-0005-0000-0000-0000C7010000}"/>
    <cellStyle name="Note 2 2 2 3" xfId="447" xr:uid="{00000000-0005-0000-0000-0000C8010000}"/>
    <cellStyle name="Note 2 2 2 3 2" xfId="600" xr:uid="{00000000-0005-0000-0000-0000C9010000}"/>
    <cellStyle name="Note 2 2 2 4" xfId="310" xr:uid="{00000000-0005-0000-0000-0000CA010000}"/>
    <cellStyle name="Note 2 2 2 4 2" xfId="522" xr:uid="{00000000-0005-0000-0000-0000CB010000}"/>
    <cellStyle name="Note 2 2 2 5" xfId="348" xr:uid="{00000000-0005-0000-0000-0000CC010000}"/>
    <cellStyle name="Note 2 2 2 5 2" xfId="558" xr:uid="{00000000-0005-0000-0000-0000CD010000}"/>
    <cellStyle name="Note 2 2 2 6" xfId="322" xr:uid="{00000000-0005-0000-0000-0000CE010000}"/>
    <cellStyle name="Note 2 2 2 6 2" xfId="533" xr:uid="{00000000-0005-0000-0000-0000CF010000}"/>
    <cellStyle name="Note 2 2 2 7" xfId="369" xr:uid="{00000000-0005-0000-0000-0000D0010000}"/>
    <cellStyle name="Note 2 3" xfId="270" xr:uid="{00000000-0005-0000-0000-0000D1010000}"/>
    <cellStyle name="Note 2 3 2" xfId="427" xr:uid="{00000000-0005-0000-0000-0000D2010000}"/>
    <cellStyle name="Note 2 3 2 2" xfId="586" xr:uid="{00000000-0005-0000-0000-0000D3010000}"/>
    <cellStyle name="Note 2 3 3" xfId="448" xr:uid="{00000000-0005-0000-0000-0000D4010000}"/>
    <cellStyle name="Note 2 3 3 2" xfId="601" xr:uid="{00000000-0005-0000-0000-0000D5010000}"/>
    <cellStyle name="Note 2 3 4" xfId="455" xr:uid="{00000000-0005-0000-0000-0000D6010000}"/>
    <cellStyle name="Note 2 3 4 2" xfId="606" xr:uid="{00000000-0005-0000-0000-0000D7010000}"/>
    <cellStyle name="Note 2 3 5" xfId="335" xr:uid="{00000000-0005-0000-0000-0000D8010000}"/>
    <cellStyle name="Note 2 3 5 2" xfId="546" xr:uid="{00000000-0005-0000-0000-0000D9010000}"/>
    <cellStyle name="Note 2 3 6" xfId="309" xr:uid="{00000000-0005-0000-0000-0000DA010000}"/>
    <cellStyle name="Note 2 3 6 2" xfId="521" xr:uid="{00000000-0005-0000-0000-0000DB010000}"/>
    <cellStyle name="Note 2 3 7" xfId="437" xr:uid="{00000000-0005-0000-0000-0000DC010000}"/>
    <cellStyle name="Note 3" xfId="214" xr:uid="{00000000-0005-0000-0000-0000DD010000}"/>
    <cellStyle name="Note 3 2" xfId="271" xr:uid="{00000000-0005-0000-0000-0000DE010000}"/>
    <cellStyle name="Note 3 2 2" xfId="428" xr:uid="{00000000-0005-0000-0000-0000DF010000}"/>
    <cellStyle name="Note 3 2 2 2" xfId="587" xr:uid="{00000000-0005-0000-0000-0000E0010000}"/>
    <cellStyle name="Note 3 2 3" xfId="449" xr:uid="{00000000-0005-0000-0000-0000E1010000}"/>
    <cellStyle name="Note 3 2 3 2" xfId="602" xr:uid="{00000000-0005-0000-0000-0000E2010000}"/>
    <cellStyle name="Note 3 2 4" xfId="456" xr:uid="{00000000-0005-0000-0000-0000E3010000}"/>
    <cellStyle name="Note 3 2 4 2" xfId="607" xr:uid="{00000000-0005-0000-0000-0000E4010000}"/>
    <cellStyle name="Note 3 2 5" xfId="459" xr:uid="{00000000-0005-0000-0000-0000E5010000}"/>
    <cellStyle name="Note 3 2 5 2" xfId="610" xr:uid="{00000000-0005-0000-0000-0000E6010000}"/>
    <cellStyle name="Note 3 2 6" xfId="386" xr:uid="{00000000-0005-0000-0000-0000E7010000}"/>
    <cellStyle name="Note 3 2 6 2" xfId="576" xr:uid="{00000000-0005-0000-0000-0000E8010000}"/>
    <cellStyle name="Note 3 2 7" xfId="342" xr:uid="{00000000-0005-0000-0000-0000E9010000}"/>
    <cellStyle name="Note 4" xfId="272" xr:uid="{00000000-0005-0000-0000-0000EA010000}"/>
    <cellStyle name="Note 4 2" xfId="429" xr:uid="{00000000-0005-0000-0000-0000EB010000}"/>
    <cellStyle name="Note 4 2 2" xfId="588" xr:uid="{00000000-0005-0000-0000-0000EC010000}"/>
    <cellStyle name="Note 4 3" xfId="450" xr:uid="{00000000-0005-0000-0000-0000ED010000}"/>
    <cellStyle name="Note 4 3 2" xfId="603" xr:uid="{00000000-0005-0000-0000-0000EE010000}"/>
    <cellStyle name="Note 4 4" xfId="443" xr:uid="{00000000-0005-0000-0000-0000EF010000}"/>
    <cellStyle name="Note 4 4 2" xfId="596" xr:uid="{00000000-0005-0000-0000-0000F0010000}"/>
    <cellStyle name="Note 4 5" xfId="460" xr:uid="{00000000-0005-0000-0000-0000F1010000}"/>
    <cellStyle name="Note 4 5 2" xfId="611" xr:uid="{00000000-0005-0000-0000-0000F2010000}"/>
    <cellStyle name="Note 4 6" xfId="347" xr:uid="{00000000-0005-0000-0000-0000F3010000}"/>
    <cellStyle name="Note 4 6 2" xfId="557" xr:uid="{00000000-0005-0000-0000-0000F4010000}"/>
    <cellStyle name="Note 4 7" xfId="454" xr:uid="{00000000-0005-0000-0000-0000F5010000}"/>
    <cellStyle name="Output" xfId="119" xr:uid="{00000000-0005-0000-0000-0000F6010000}"/>
    <cellStyle name="Output 2" xfId="223" xr:uid="{00000000-0005-0000-0000-0000F7010000}"/>
    <cellStyle name="Output 2 2" xfId="315" xr:uid="{00000000-0005-0000-0000-0000F8010000}"/>
    <cellStyle name="Output 2 2 2" xfId="526" xr:uid="{00000000-0005-0000-0000-0000F9010000}"/>
    <cellStyle name="Output 2 3" xfId="395" xr:uid="{00000000-0005-0000-0000-0000FA010000}"/>
    <cellStyle name="Output 2 3 2" xfId="580" xr:uid="{00000000-0005-0000-0000-0000FB010000}"/>
    <cellStyle name="Output 2 4" xfId="332" xr:uid="{00000000-0005-0000-0000-0000FC010000}"/>
    <cellStyle name="Output 2 4 2" xfId="543" xr:uid="{00000000-0005-0000-0000-0000FD010000}"/>
    <cellStyle name="Output 2 5" xfId="327" xr:uid="{00000000-0005-0000-0000-0000FE010000}"/>
    <cellStyle name="Output 2 5 2" xfId="538" xr:uid="{00000000-0005-0000-0000-0000FF010000}"/>
    <cellStyle name="Output 2 6" xfId="465" xr:uid="{00000000-0005-0000-0000-000000020000}"/>
    <cellStyle name="Output 2 6 2" xfId="615" xr:uid="{00000000-0005-0000-0000-000001020000}"/>
    <cellStyle name="Output 2 7" xfId="305" xr:uid="{00000000-0005-0000-0000-000002020000}"/>
    <cellStyle name="Output 3" xfId="366" xr:uid="{00000000-0005-0000-0000-000003020000}"/>
    <cellStyle name="Output 3 2" xfId="571" xr:uid="{00000000-0005-0000-0000-000004020000}"/>
    <cellStyle name="Output 4" xfId="344" xr:uid="{00000000-0005-0000-0000-000005020000}"/>
    <cellStyle name="Output 4 2" xfId="554" xr:uid="{00000000-0005-0000-0000-000006020000}"/>
    <cellStyle name="Output 5" xfId="343" xr:uid="{00000000-0005-0000-0000-000007020000}"/>
    <cellStyle name="Output 5 2" xfId="553" xr:uid="{00000000-0005-0000-0000-000008020000}"/>
    <cellStyle name="Output 6" xfId="441" xr:uid="{00000000-0005-0000-0000-000009020000}"/>
    <cellStyle name="Output 6 2" xfId="595" xr:uid="{00000000-0005-0000-0000-00000A020000}"/>
    <cellStyle name="Output 7" xfId="338" xr:uid="{00000000-0005-0000-0000-00000B020000}"/>
    <cellStyle name="Output 7 2" xfId="549" xr:uid="{00000000-0005-0000-0000-00000C020000}"/>
    <cellStyle name="Output 8" xfId="466" xr:uid="{00000000-0005-0000-0000-00000D020000}"/>
    <cellStyle name="Porcentagem 2" xfId="120" xr:uid="{00000000-0005-0000-0000-00000E020000}"/>
    <cellStyle name="Porcentagem 2 2" xfId="121" xr:uid="{00000000-0005-0000-0000-00000F020000}"/>
    <cellStyle name="Porcentagem 2 3" xfId="169" xr:uid="{00000000-0005-0000-0000-000010020000}"/>
    <cellStyle name="Porcentagem 3" xfId="122" xr:uid="{00000000-0005-0000-0000-000011020000}"/>
    <cellStyle name="Porcentagem 3 2" xfId="205" xr:uid="{00000000-0005-0000-0000-000012020000}"/>
    <cellStyle name="Porcentagem 4" xfId="123" xr:uid="{00000000-0005-0000-0000-000013020000}"/>
    <cellStyle name="Porcentagem 5" xfId="273" xr:uid="{00000000-0005-0000-0000-000014020000}"/>
    <cellStyle name="Porcentagem 5 2" xfId="430" xr:uid="{00000000-0005-0000-0000-000015020000}"/>
    <cellStyle name="Porcentagem 5 3" xfId="514" xr:uid="{00000000-0005-0000-0000-000016020000}"/>
    <cellStyle name="Porcentagem 5 7" xfId="624" xr:uid="{00000000-0005-0000-0000-000017020000}"/>
    <cellStyle name="Porcentagem 6 5" xfId="629" xr:uid="{AFB53FF2-E5EB-4FF5-891C-3A670E47B806}"/>
    <cellStyle name="Separador de milhares 2" xfId="124" xr:uid="{00000000-0005-0000-0000-000018020000}"/>
    <cellStyle name="Separador de milhares 2 2" xfId="125" xr:uid="{00000000-0005-0000-0000-000019020000}"/>
    <cellStyle name="Separador de milhares 2 2 2" xfId="126" xr:uid="{00000000-0005-0000-0000-00001A020000}"/>
    <cellStyle name="Separador de milhares 2 2 2 2" xfId="181" xr:uid="{00000000-0005-0000-0000-00001B020000}"/>
    <cellStyle name="Separador de milhares 2 2 2 2 2" xfId="224" xr:uid="{00000000-0005-0000-0000-00001C020000}"/>
    <cellStyle name="Separador de milhares 2 2 2 2 2 2" xfId="274" xr:uid="{00000000-0005-0000-0000-00001D020000}"/>
    <cellStyle name="Separador de milhares 2 2 2 2 3" xfId="275" xr:uid="{00000000-0005-0000-0000-00001E020000}"/>
    <cellStyle name="Separador de milhares 2 2 3" xfId="174" xr:uid="{00000000-0005-0000-0000-00001F020000}"/>
    <cellStyle name="Separador de milhares 2 2 3 2" xfId="276" xr:uid="{00000000-0005-0000-0000-000020020000}"/>
    <cellStyle name="Separador de milhares 2 3" xfId="127" xr:uid="{00000000-0005-0000-0000-000021020000}"/>
    <cellStyle name="Separador de milhares 2 3 2" xfId="199" xr:uid="{00000000-0005-0000-0000-000022020000}"/>
    <cellStyle name="Separador de milhares 2 3 2 2" xfId="225" xr:uid="{00000000-0005-0000-0000-000023020000}"/>
    <cellStyle name="Separador de milhares 2 3 2 2 2" xfId="277" xr:uid="{00000000-0005-0000-0000-000024020000}"/>
    <cellStyle name="Separador de milhares 2 3 3" xfId="190" xr:uid="{00000000-0005-0000-0000-000025020000}"/>
    <cellStyle name="Separador de milhares 2 3 3 2" xfId="226" xr:uid="{00000000-0005-0000-0000-000026020000}"/>
    <cellStyle name="Separador de milhares 2 3 3 2 2" xfId="278" xr:uid="{00000000-0005-0000-0000-000027020000}"/>
    <cellStyle name="Separador de milhares 2 3 3 3" xfId="279" xr:uid="{00000000-0005-0000-0000-000028020000}"/>
    <cellStyle name="Separador de milhares 2 3 4" xfId="227" xr:uid="{00000000-0005-0000-0000-000029020000}"/>
    <cellStyle name="Separador de milhares 2 3 4 2" xfId="280" xr:uid="{00000000-0005-0000-0000-00002A020000}"/>
    <cellStyle name="Separador de milhares 2 4" xfId="128" xr:uid="{00000000-0005-0000-0000-00002B020000}"/>
    <cellStyle name="Separador de milhares 2 4 2" xfId="180" xr:uid="{00000000-0005-0000-0000-00002C020000}"/>
    <cellStyle name="Separador de milhares 2 4 2 2" xfId="228" xr:uid="{00000000-0005-0000-0000-00002D020000}"/>
    <cellStyle name="Separador de milhares 2 4 2 2 2" xfId="281" xr:uid="{00000000-0005-0000-0000-00002E020000}"/>
    <cellStyle name="Separador de milhares 2 4 2 3" xfId="282" xr:uid="{00000000-0005-0000-0000-00002F020000}"/>
    <cellStyle name="Separador de milhares 2 5" xfId="171" xr:uid="{00000000-0005-0000-0000-000030020000}"/>
    <cellStyle name="Separador de milhares 2 5 2" xfId="283" xr:uid="{00000000-0005-0000-0000-000031020000}"/>
    <cellStyle name="Separador de milhares 3" xfId="129" xr:uid="{00000000-0005-0000-0000-000032020000}"/>
    <cellStyle name="Separador de milhares 3 2" xfId="130" xr:uid="{00000000-0005-0000-0000-000033020000}"/>
    <cellStyle name="Separador de milhares 3 2 2" xfId="200" xr:uid="{00000000-0005-0000-0000-000034020000}"/>
    <cellStyle name="Separador de milhares 3 2 2 2" xfId="229" xr:uid="{00000000-0005-0000-0000-000035020000}"/>
    <cellStyle name="Separador de milhares 3 2 2 2 2" xfId="284" xr:uid="{00000000-0005-0000-0000-000036020000}"/>
    <cellStyle name="Separador de milhares 3 2 3" xfId="182" xr:uid="{00000000-0005-0000-0000-000037020000}"/>
    <cellStyle name="Separador de milhares 3 2 3 2" xfId="230" xr:uid="{00000000-0005-0000-0000-000038020000}"/>
    <cellStyle name="Separador de milhares 3 2 3 2 2" xfId="285" xr:uid="{00000000-0005-0000-0000-000039020000}"/>
    <cellStyle name="Separador de milhares 3 2 3 3" xfId="286" xr:uid="{00000000-0005-0000-0000-00003A020000}"/>
    <cellStyle name="Separador de milhares 3 3" xfId="156" xr:uid="{00000000-0005-0000-0000-00003B020000}"/>
    <cellStyle name="Separador de milhares 3 3 2" xfId="157" xr:uid="{00000000-0005-0000-0000-00003C020000}"/>
    <cellStyle name="Separador de milhares 3 3 2 2" xfId="231" xr:uid="{00000000-0005-0000-0000-00003D020000}"/>
    <cellStyle name="Separador de milhares 3 3 2 2 2" xfId="287" xr:uid="{00000000-0005-0000-0000-00003E020000}"/>
    <cellStyle name="Separador de milhares 3 3 3" xfId="232" xr:uid="{00000000-0005-0000-0000-00003F020000}"/>
    <cellStyle name="Separador de milhares 3 3 3 2" xfId="288" xr:uid="{00000000-0005-0000-0000-000040020000}"/>
    <cellStyle name="Separador de milhares 4" xfId="131" xr:uid="{00000000-0005-0000-0000-000041020000}"/>
    <cellStyle name="Separador de milhares 4 2" xfId="132" xr:uid="{00000000-0005-0000-0000-000042020000}"/>
    <cellStyle name="Separador de milhares 4 2 2" xfId="183" xr:uid="{00000000-0005-0000-0000-000043020000}"/>
    <cellStyle name="Separador de milhares 4 2 2 2" xfId="233" xr:uid="{00000000-0005-0000-0000-000044020000}"/>
    <cellStyle name="Separador de milhares 4 2 2 2 2" xfId="289" xr:uid="{00000000-0005-0000-0000-000045020000}"/>
    <cellStyle name="Separador de milhares 4 2 2 3" xfId="290" xr:uid="{00000000-0005-0000-0000-000046020000}"/>
    <cellStyle name="Separador de milhares 4 3" xfId="172" xr:uid="{00000000-0005-0000-0000-000047020000}"/>
    <cellStyle name="Separador de milhares 4 3 2" xfId="291" xr:uid="{00000000-0005-0000-0000-000048020000}"/>
    <cellStyle name="Separador de milhares 5" xfId="133" xr:uid="{00000000-0005-0000-0000-000049020000}"/>
    <cellStyle name="Separador de milhares 5 2" xfId="184" xr:uid="{00000000-0005-0000-0000-00004A020000}"/>
    <cellStyle name="Separador de milhares 5 2 2" xfId="234" xr:uid="{00000000-0005-0000-0000-00004B020000}"/>
    <cellStyle name="Separador de milhares 5 2 2 2" xfId="292" xr:uid="{00000000-0005-0000-0000-00004C020000}"/>
    <cellStyle name="Separador de milhares 5 2 3" xfId="293" xr:uid="{00000000-0005-0000-0000-00004D020000}"/>
    <cellStyle name="Separador de milhares 5 3" xfId="173" xr:uid="{00000000-0005-0000-0000-00004E020000}"/>
    <cellStyle name="Separador de milhares 5 3 2" xfId="294" xr:uid="{00000000-0005-0000-0000-00004F020000}"/>
    <cellStyle name="Separador de milhares 6" xfId="134" xr:uid="{00000000-0005-0000-0000-000050020000}"/>
    <cellStyle name="Separador de milhares 7" xfId="135" xr:uid="{00000000-0005-0000-0000-000051020000}"/>
    <cellStyle name="Separador de milhares 7 2" xfId="235" xr:uid="{00000000-0005-0000-0000-000052020000}"/>
    <cellStyle name="Separador de milhares 7 2 2" xfId="295" xr:uid="{00000000-0005-0000-0000-000053020000}"/>
    <cellStyle name="Separador de milhares 7 2 2 2" xfId="439" xr:uid="{00000000-0005-0000-0000-000054020000}"/>
    <cellStyle name="Separador de milhares 7 2 2 3" xfId="515" xr:uid="{00000000-0005-0000-0000-000055020000}"/>
    <cellStyle name="Separador de milhares 7 2 3" xfId="397" xr:uid="{00000000-0005-0000-0000-000056020000}"/>
    <cellStyle name="Separador de milhares 7 2 4" xfId="490" xr:uid="{00000000-0005-0000-0000-000057020000}"/>
    <cellStyle name="Separador de milhares 8" xfId="296" xr:uid="{00000000-0005-0000-0000-000058020000}"/>
    <cellStyle name="Separador de milhares 8 2" xfId="440" xr:uid="{00000000-0005-0000-0000-000059020000}"/>
    <cellStyle name="Separador de milhares 8 3" xfId="516" xr:uid="{00000000-0005-0000-0000-00005A020000}"/>
    <cellStyle name="Separador de milhares 8 7" xfId="623" xr:uid="{00000000-0005-0000-0000-00005B020000}"/>
    <cellStyle name="TableStyleLight1" xfId="136" xr:uid="{00000000-0005-0000-0000-00005C020000}"/>
    <cellStyle name="Title" xfId="137" xr:uid="{00000000-0005-0000-0000-00005D020000}"/>
    <cellStyle name="Vírgula" xfId="618" builtinId="3"/>
    <cellStyle name="Vírgula 2" xfId="138" xr:uid="{00000000-0005-0000-0000-00005F020000}"/>
    <cellStyle name="Vírgula 2 2" xfId="185" xr:uid="{00000000-0005-0000-0000-000060020000}"/>
    <cellStyle name="Vírgula 2 2 2" xfId="236" xr:uid="{00000000-0005-0000-0000-000061020000}"/>
    <cellStyle name="Vírgula 2 2 2 2" xfId="297" xr:uid="{00000000-0005-0000-0000-000062020000}"/>
    <cellStyle name="Vírgula 2 2 3" xfId="298" xr:uid="{00000000-0005-0000-0000-000063020000}"/>
    <cellStyle name="Vírgula 3" xfId="139" xr:uid="{00000000-0005-0000-0000-000064020000}"/>
    <cellStyle name="Vírgula 3 2" xfId="196" xr:uid="{00000000-0005-0000-0000-000065020000}"/>
    <cellStyle name="Vírgula 3 2 2" xfId="237" xr:uid="{00000000-0005-0000-0000-000066020000}"/>
    <cellStyle name="Vírgula 3 2 2 2" xfId="299" xr:uid="{00000000-0005-0000-0000-000067020000}"/>
    <cellStyle name="Vírgula 4" xfId="170" xr:uid="{00000000-0005-0000-0000-000068020000}"/>
    <cellStyle name="Vírgula 4 2" xfId="238" xr:uid="{00000000-0005-0000-0000-000069020000}"/>
    <cellStyle name="Vírgula 4 2 2" xfId="300" xr:uid="{00000000-0005-0000-0000-00006A020000}"/>
    <cellStyle name="Vírgula 5" xfId="239" xr:uid="{00000000-0005-0000-0000-00006B020000}"/>
    <cellStyle name="Vírgula 5 2" xfId="301" xr:uid="{00000000-0005-0000-0000-00006C020000}"/>
    <cellStyle name="Vírgula 5 2 2" xfId="442" xr:uid="{00000000-0005-0000-0000-00006D020000}"/>
    <cellStyle name="Vírgula 5 2 3" xfId="517" xr:uid="{00000000-0005-0000-0000-00006E020000}"/>
    <cellStyle name="Vírgula 5 3" xfId="398" xr:uid="{00000000-0005-0000-0000-00006F020000}"/>
    <cellStyle name="Vírgula 5 4" xfId="491" xr:uid="{00000000-0005-0000-0000-000070020000}"/>
    <cellStyle name="Warning Text" xfId="140" xr:uid="{00000000-0005-0000-0000-000071020000}"/>
  </cellStyles>
  <dxfs count="297"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CCFFCC"/>
      <color rgb="FFFFCCFF"/>
      <color rgb="FFFFFF66"/>
      <color rgb="FFFFFFCC"/>
      <color rgb="FFFFCCCC"/>
      <color rgb="FF99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4</xdr:row>
      <xdr:rowOff>76200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62821"/>
          <a:ext cx="7383910" cy="1101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85725</xdr:rowOff>
    </xdr:from>
    <xdr:to>
      <xdr:col>9</xdr:col>
      <xdr:colOff>28575</xdr:colOff>
      <xdr:row>7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D73FC72-BFDF-49EF-864B-4DA6295CB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571500"/>
          <a:ext cx="798195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</xdr:col>
      <xdr:colOff>28575</xdr:colOff>
      <xdr:row>6</xdr:row>
      <xdr:rowOff>11208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4210050" cy="9827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721659</xdr:colOff>
      <xdr:row>7</xdr:row>
      <xdr:rowOff>63697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579534" cy="1406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151699</xdr:colOff>
      <xdr:row>1</xdr:row>
      <xdr:rowOff>77610</xdr:rowOff>
    </xdr:from>
    <xdr:to>
      <xdr:col>4</xdr:col>
      <xdr:colOff>1186914</xdr:colOff>
      <xdr:row>1</xdr:row>
      <xdr:rowOff>878416</xdr:rowOff>
    </xdr:to>
    <xdr:pic>
      <xdr:nvPicPr>
        <xdr:cNvPr id="2" name="Imagem 1" descr="Forma&#10;&#10;O conteúdo gerado por IA pode estar incorreto.">
          <a:extLst>
            <a:ext uri="{FF2B5EF4-FFF2-40B4-BE49-F238E27FC236}">
              <a16:creationId xmlns:a16="http://schemas.microsoft.com/office/drawing/2014/main" id="{86092D83-B4BE-43EB-B319-C6E0AA55D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2999" y="249060"/>
          <a:ext cx="2511590" cy="8008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LANS_GERENCIAL\2025\10.OUTUBRO\ATESTES\10%20ATESTE%20BT%20PF%20OUT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_Adm"/>
      <sheetName val="CALCULO_ADM"/>
      <sheetName val="APONTAMENTO CREDENCIAMENTO"/>
      <sheetName val="CONTINUA"/>
      <sheetName val="ATESTE-LIQ"/>
      <sheetName val="DEMO"/>
      <sheetName val="Revisao"/>
      <sheetName val="VALORES TABE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385.23</v>
          </cell>
        </row>
        <row r="3">
          <cell r="B3">
            <v>7492.52</v>
          </cell>
        </row>
        <row r="4">
          <cell r="B4">
            <v>2043.65</v>
          </cell>
        </row>
        <row r="5">
          <cell r="B5">
            <v>621.14</v>
          </cell>
        </row>
        <row r="6">
          <cell r="B6">
            <v>11465.63</v>
          </cell>
        </row>
        <row r="7">
          <cell r="B7">
            <v>1.28</v>
          </cell>
        </row>
        <row r="8">
          <cell r="B8">
            <v>9.64</v>
          </cell>
        </row>
        <row r="9">
          <cell r="B9">
            <v>56.200375000000001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0"/>
  </sheetPr>
  <dimension ref="A1:IC173"/>
  <sheetViews>
    <sheetView showGridLines="0" zoomScale="85" zoomScaleNormal="85" workbookViewId="0">
      <selection activeCell="Q106" sqref="Q106:EO110"/>
    </sheetView>
  </sheetViews>
  <sheetFormatPr defaultColWidth="9.140625" defaultRowHeight="18" outlineLevelCol="2" x14ac:dyDescent="0.25"/>
  <cols>
    <col min="1" max="1" width="12.85546875" style="5" customWidth="1" outlineLevel="2"/>
    <col min="2" max="2" width="22.140625" style="5" customWidth="1" outlineLevel="2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12" width="9.5703125" style="5" customWidth="1"/>
    <col min="13" max="13" width="10.140625" style="5" bestFit="1" customWidth="1"/>
    <col min="14" max="14" width="10.85546875" style="5" customWidth="1"/>
    <col min="15" max="15" width="27" style="5" hidden="1" customWidth="1"/>
    <col min="16" max="16" width="13.85546875" style="5" hidden="1" customWidth="1"/>
    <col min="17" max="20" width="11.140625" style="84" customWidth="1"/>
    <col min="21" max="140" width="11.140625" style="79" customWidth="1"/>
    <col min="141" max="141" width="40.85546875" style="6" customWidth="1"/>
    <col min="142" max="142" width="30.5703125" style="5" customWidth="1"/>
    <col min="143" max="143" width="15.42578125" style="274" customWidth="1" outlineLevel="1"/>
    <col min="144" max="144" width="12.7109375" style="275" customWidth="1" outlineLevel="1"/>
    <col min="145" max="145" width="17.28515625" style="276" customWidth="1" outlineLevel="1"/>
    <col min="146" max="147" width="17.28515625" style="86" customWidth="1"/>
    <col min="148" max="148" width="14.28515625" style="86" customWidth="1"/>
    <col min="149" max="149" width="15.7109375" style="86" customWidth="1"/>
    <col min="150" max="150" width="15.42578125" style="86" customWidth="1"/>
    <col min="151" max="151" width="14.28515625" style="86" customWidth="1"/>
    <col min="152" max="152" width="13.5703125" style="87" customWidth="1"/>
    <col min="153" max="153" width="25.140625" style="4" customWidth="1" outlineLevel="1"/>
    <col min="154" max="154" width="20" style="5" bestFit="1" customWidth="1" outlineLevel="1"/>
    <col min="155" max="155" width="18.42578125" style="5" bestFit="1" customWidth="1" outlineLevel="1"/>
    <col min="156" max="156" width="22.7109375" style="5" bestFit="1" customWidth="1" outlineLevel="1"/>
    <col min="157" max="157" width="17" style="5" customWidth="1" outlineLevel="1"/>
    <col min="158" max="158" width="19.85546875" style="5" bestFit="1" customWidth="1" outlineLevel="1"/>
    <col min="159" max="159" width="17.140625" style="5" bestFit="1" customWidth="1" outlineLevel="1"/>
    <col min="160" max="160" width="18.7109375" style="5" customWidth="1" outlineLevel="1"/>
    <col min="161" max="161" width="20.7109375" style="6" customWidth="1"/>
    <col min="162" max="162" width="20.7109375" style="6" customWidth="1" outlineLevel="1"/>
    <col min="163" max="193" width="20.7109375" style="5" customWidth="1" outlineLevel="1"/>
    <col min="194" max="195" width="20.7109375" style="96" customWidth="1" outlineLevel="1"/>
    <col min="196" max="224" width="20.7109375" style="5" customWidth="1" outlineLevel="1"/>
    <col min="225" max="225" width="9.140625" style="5" customWidth="1" outlineLevel="1"/>
    <col min="226" max="226" width="9.140625" style="5" customWidth="1"/>
    <col min="227" max="230" width="9.140625" style="5"/>
    <col min="231" max="231" width="21.85546875" style="6" customWidth="1"/>
    <col min="232" max="232" width="9.5703125" style="5" bestFit="1" customWidth="1"/>
    <col min="233" max="233" width="15.42578125" style="274" customWidth="1" outlineLevel="1"/>
    <col min="234" max="234" width="12.7109375" style="275" customWidth="1" outlineLevel="1"/>
    <col min="235" max="235" width="17.28515625" style="276" customWidth="1" outlineLevel="1"/>
    <col min="236" max="236" width="14.28515625" style="5" bestFit="1" customWidth="1"/>
    <col min="237" max="16384" width="9.140625" style="5"/>
  </cols>
  <sheetData>
    <row r="1" spans="1:237" ht="18" customHeight="1" thickBot="1" x14ac:dyDescent="0.3">
      <c r="A1" s="657" t="s">
        <v>3181</v>
      </c>
      <c r="B1" s="657"/>
      <c r="C1" s="657"/>
      <c r="D1" s="657"/>
      <c r="E1" s="657"/>
      <c r="F1" s="657"/>
      <c r="G1" s="281" t="str">
        <f>'BASE C'!E4</f>
        <v>ABRIL</v>
      </c>
      <c r="H1" s="281"/>
      <c r="I1" s="659" t="s">
        <v>37</v>
      </c>
      <c r="J1" s="659"/>
      <c r="K1" s="8"/>
      <c r="L1" s="8"/>
      <c r="M1" s="8"/>
      <c r="N1" s="8"/>
      <c r="O1" s="8"/>
      <c r="P1" s="8"/>
      <c r="T1" s="84" t="s">
        <v>38</v>
      </c>
      <c r="EK1"/>
      <c r="EL1" s="663" t="s">
        <v>39</v>
      </c>
      <c r="EM1"/>
      <c r="EN1"/>
      <c r="EO1"/>
    </row>
    <row r="2" spans="1:237" s="78" customFormat="1" ht="44.25" customHeight="1" thickBot="1" x14ac:dyDescent="0.25">
      <c r="A2" s="657"/>
      <c r="B2" s="657"/>
      <c r="C2" s="657"/>
      <c r="D2" s="657"/>
      <c r="E2" s="657"/>
      <c r="F2" s="657"/>
      <c r="G2" s="282" t="s">
        <v>167</v>
      </c>
      <c r="H2" s="283"/>
      <c r="I2" s="659"/>
      <c r="J2" s="659"/>
      <c r="K2" s="8"/>
      <c r="L2" s="8"/>
      <c r="M2" s="8"/>
      <c r="N2" s="8"/>
      <c r="O2" s="8"/>
      <c r="P2" s="8"/>
      <c r="Q2" s="89"/>
      <c r="R2" s="89"/>
      <c r="S2" s="89"/>
      <c r="T2" s="89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"/>
      <c r="EL2" s="663"/>
      <c r="EM2" s="9"/>
      <c r="EO2" s="9"/>
      <c r="EP2" s="93"/>
      <c r="EQ2" s="93"/>
      <c r="ER2" s="93"/>
      <c r="ES2" s="93"/>
      <c r="ET2" s="93"/>
      <c r="EU2" s="93"/>
      <c r="EV2" s="91"/>
      <c r="EW2" s="92"/>
      <c r="FE2" s="9"/>
      <c r="FF2" s="9"/>
      <c r="GL2" s="97"/>
      <c r="GM2" s="97"/>
      <c r="HW2" s="9"/>
      <c r="HY2" s="274"/>
      <c r="HZ2" s="277"/>
      <c r="IA2" s="274"/>
    </row>
    <row r="3" spans="1:237" s="9" customFormat="1" x14ac:dyDescent="0.2">
      <c r="A3" s="9">
        <v>1</v>
      </c>
      <c r="B3" s="9">
        <f>A3+1</f>
        <v>2</v>
      </c>
      <c r="C3" s="9">
        <f t="shared" ref="C3:BN3" si="0">B3+1</f>
        <v>3</v>
      </c>
      <c r="D3" s="9">
        <v>1</v>
      </c>
      <c r="E3" s="9">
        <f t="shared" si="0"/>
        <v>2</v>
      </c>
      <c r="F3" s="9">
        <f t="shared" si="0"/>
        <v>3</v>
      </c>
      <c r="G3" s="9">
        <f t="shared" si="0"/>
        <v>4</v>
      </c>
      <c r="H3" s="9">
        <f t="shared" si="0"/>
        <v>5</v>
      </c>
      <c r="I3" s="9">
        <f t="shared" si="0"/>
        <v>6</v>
      </c>
      <c r="J3" s="9">
        <f t="shared" si="0"/>
        <v>7</v>
      </c>
      <c r="K3" s="9">
        <f t="shared" si="0"/>
        <v>8</v>
      </c>
      <c r="L3" s="9">
        <f t="shared" si="0"/>
        <v>9</v>
      </c>
      <c r="M3" s="9">
        <f t="shared" si="0"/>
        <v>10</v>
      </c>
      <c r="N3" s="9">
        <v>10</v>
      </c>
      <c r="O3" s="9">
        <f t="shared" si="0"/>
        <v>11</v>
      </c>
      <c r="P3" s="9">
        <v>13</v>
      </c>
      <c r="Q3" s="9">
        <f t="shared" si="0"/>
        <v>14</v>
      </c>
      <c r="R3" s="9">
        <f t="shared" si="0"/>
        <v>15</v>
      </c>
      <c r="S3" s="9">
        <f t="shared" si="0"/>
        <v>16</v>
      </c>
      <c r="T3" s="9">
        <f t="shared" si="0"/>
        <v>17</v>
      </c>
      <c r="U3" s="9">
        <f t="shared" si="0"/>
        <v>18</v>
      </c>
      <c r="V3" s="9">
        <f t="shared" si="0"/>
        <v>19</v>
      </c>
      <c r="W3" s="9">
        <f t="shared" si="0"/>
        <v>20</v>
      </c>
      <c r="X3" s="9">
        <f t="shared" si="0"/>
        <v>21</v>
      </c>
      <c r="Y3" s="9">
        <f t="shared" si="0"/>
        <v>22</v>
      </c>
      <c r="Z3" s="9">
        <f t="shared" si="0"/>
        <v>23</v>
      </c>
      <c r="AA3" s="9">
        <f t="shared" si="0"/>
        <v>24</v>
      </c>
      <c r="AB3" s="9">
        <f t="shared" si="0"/>
        <v>25</v>
      </c>
      <c r="AC3" s="9">
        <f t="shared" si="0"/>
        <v>26</v>
      </c>
      <c r="AD3" s="9">
        <f t="shared" si="0"/>
        <v>27</v>
      </c>
      <c r="AE3" s="9">
        <f t="shared" si="0"/>
        <v>28</v>
      </c>
      <c r="AF3" s="9">
        <f t="shared" si="0"/>
        <v>29</v>
      </c>
      <c r="AG3" s="9">
        <f t="shared" si="0"/>
        <v>30</v>
      </c>
      <c r="AH3" s="9">
        <f t="shared" si="0"/>
        <v>31</v>
      </c>
      <c r="AI3" s="9">
        <f t="shared" si="0"/>
        <v>32</v>
      </c>
      <c r="AJ3" s="9">
        <f t="shared" si="0"/>
        <v>33</v>
      </c>
      <c r="AK3" s="9">
        <f t="shared" si="0"/>
        <v>34</v>
      </c>
      <c r="AL3" s="9">
        <f t="shared" si="0"/>
        <v>35</v>
      </c>
      <c r="AM3" s="9">
        <f t="shared" si="0"/>
        <v>36</v>
      </c>
      <c r="AN3" s="9">
        <f t="shared" si="0"/>
        <v>37</v>
      </c>
      <c r="AO3" s="9">
        <f t="shared" si="0"/>
        <v>38</v>
      </c>
      <c r="AP3" s="9">
        <f t="shared" si="0"/>
        <v>39</v>
      </c>
      <c r="AQ3" s="9">
        <f t="shared" si="0"/>
        <v>40</v>
      </c>
      <c r="AR3" s="9">
        <f t="shared" si="0"/>
        <v>41</v>
      </c>
      <c r="AS3" s="9">
        <f t="shared" si="0"/>
        <v>42</v>
      </c>
      <c r="AT3" s="9">
        <f t="shared" si="0"/>
        <v>43</v>
      </c>
      <c r="AU3" s="9">
        <f t="shared" si="0"/>
        <v>44</v>
      </c>
      <c r="AV3" s="9">
        <f t="shared" si="0"/>
        <v>45</v>
      </c>
      <c r="AW3" s="9">
        <f t="shared" si="0"/>
        <v>46</v>
      </c>
      <c r="AX3" s="9">
        <f t="shared" si="0"/>
        <v>47</v>
      </c>
      <c r="AY3" s="9">
        <f t="shared" si="0"/>
        <v>48</v>
      </c>
      <c r="AZ3" s="9">
        <f t="shared" si="0"/>
        <v>49</v>
      </c>
      <c r="BA3" s="9">
        <f t="shared" si="0"/>
        <v>50</v>
      </c>
      <c r="BB3" s="9">
        <f t="shared" si="0"/>
        <v>51</v>
      </c>
      <c r="BC3" s="9">
        <f t="shared" si="0"/>
        <v>52</v>
      </c>
      <c r="BD3" s="9">
        <f t="shared" si="0"/>
        <v>53</v>
      </c>
      <c r="BE3" s="9">
        <f t="shared" si="0"/>
        <v>54</v>
      </c>
      <c r="BF3" s="9">
        <f t="shared" si="0"/>
        <v>55</v>
      </c>
      <c r="BG3" s="9">
        <f t="shared" si="0"/>
        <v>56</v>
      </c>
      <c r="BH3" s="9">
        <f t="shared" si="0"/>
        <v>57</v>
      </c>
      <c r="BI3" s="9">
        <f t="shared" si="0"/>
        <v>58</v>
      </c>
      <c r="BJ3" s="9">
        <f t="shared" si="0"/>
        <v>59</v>
      </c>
      <c r="BK3" s="9">
        <f t="shared" si="0"/>
        <v>60</v>
      </c>
      <c r="BL3" s="9">
        <f t="shared" si="0"/>
        <v>61</v>
      </c>
      <c r="BM3" s="9">
        <f t="shared" si="0"/>
        <v>62</v>
      </c>
      <c r="BN3" s="9">
        <f t="shared" si="0"/>
        <v>63</v>
      </c>
      <c r="BO3" s="9">
        <f t="shared" ref="BO3:DZ3" si="1">BN3+1</f>
        <v>64</v>
      </c>
      <c r="BP3" s="9">
        <f t="shared" si="1"/>
        <v>65</v>
      </c>
      <c r="BQ3" s="9">
        <f t="shared" si="1"/>
        <v>66</v>
      </c>
      <c r="BR3" s="9">
        <f t="shared" si="1"/>
        <v>67</v>
      </c>
      <c r="BS3" s="9">
        <f t="shared" si="1"/>
        <v>68</v>
      </c>
      <c r="BT3" s="9">
        <f t="shared" si="1"/>
        <v>69</v>
      </c>
      <c r="BU3" s="9">
        <f t="shared" si="1"/>
        <v>70</v>
      </c>
      <c r="BV3" s="9">
        <f t="shared" si="1"/>
        <v>71</v>
      </c>
      <c r="BW3" s="9">
        <f t="shared" si="1"/>
        <v>72</v>
      </c>
      <c r="BX3" s="9">
        <f t="shared" si="1"/>
        <v>73</v>
      </c>
      <c r="BY3" s="9">
        <f t="shared" si="1"/>
        <v>74</v>
      </c>
      <c r="BZ3" s="9">
        <f t="shared" si="1"/>
        <v>75</v>
      </c>
      <c r="CA3" s="9">
        <f t="shared" si="1"/>
        <v>76</v>
      </c>
      <c r="CB3" s="9">
        <f t="shared" si="1"/>
        <v>77</v>
      </c>
      <c r="CC3" s="9">
        <f t="shared" si="1"/>
        <v>78</v>
      </c>
      <c r="CD3" s="9">
        <f t="shared" si="1"/>
        <v>79</v>
      </c>
      <c r="CE3" s="9">
        <f t="shared" si="1"/>
        <v>80</v>
      </c>
      <c r="CF3" s="9">
        <f t="shared" si="1"/>
        <v>81</v>
      </c>
      <c r="CG3" s="9">
        <f t="shared" si="1"/>
        <v>82</v>
      </c>
      <c r="CH3" s="9">
        <f t="shared" si="1"/>
        <v>83</v>
      </c>
      <c r="CI3" s="9">
        <f t="shared" si="1"/>
        <v>84</v>
      </c>
      <c r="CJ3" s="9">
        <f t="shared" si="1"/>
        <v>85</v>
      </c>
      <c r="CK3" s="9">
        <f t="shared" si="1"/>
        <v>86</v>
      </c>
      <c r="CL3" s="9">
        <f t="shared" si="1"/>
        <v>87</v>
      </c>
      <c r="CM3" s="9">
        <f t="shared" si="1"/>
        <v>88</v>
      </c>
      <c r="CN3" s="9">
        <f t="shared" si="1"/>
        <v>89</v>
      </c>
      <c r="CO3" s="9">
        <f t="shared" si="1"/>
        <v>90</v>
      </c>
      <c r="CP3" s="9">
        <f t="shared" si="1"/>
        <v>91</v>
      </c>
      <c r="CQ3" s="9">
        <f t="shared" si="1"/>
        <v>92</v>
      </c>
      <c r="CR3" s="9">
        <f t="shared" si="1"/>
        <v>93</v>
      </c>
      <c r="CS3" s="9">
        <f t="shared" si="1"/>
        <v>94</v>
      </c>
      <c r="CT3" s="9">
        <f t="shared" si="1"/>
        <v>95</v>
      </c>
      <c r="CU3" s="9">
        <f t="shared" si="1"/>
        <v>96</v>
      </c>
      <c r="CV3" s="9">
        <f t="shared" si="1"/>
        <v>97</v>
      </c>
      <c r="CW3" s="9">
        <f t="shared" si="1"/>
        <v>98</v>
      </c>
      <c r="CX3" s="9">
        <f t="shared" si="1"/>
        <v>99</v>
      </c>
      <c r="CY3" s="9">
        <f t="shared" si="1"/>
        <v>100</v>
      </c>
      <c r="CZ3" s="9">
        <f t="shared" si="1"/>
        <v>101</v>
      </c>
      <c r="DA3" s="9">
        <f t="shared" si="1"/>
        <v>102</v>
      </c>
      <c r="DB3" s="9">
        <f t="shared" si="1"/>
        <v>103</v>
      </c>
      <c r="DC3" s="9">
        <f t="shared" si="1"/>
        <v>104</v>
      </c>
      <c r="DD3" s="9">
        <f t="shared" si="1"/>
        <v>105</v>
      </c>
      <c r="DE3" s="9">
        <f t="shared" si="1"/>
        <v>106</v>
      </c>
      <c r="DF3" s="9">
        <f t="shared" si="1"/>
        <v>107</v>
      </c>
      <c r="DG3" s="9">
        <f t="shared" si="1"/>
        <v>108</v>
      </c>
      <c r="DH3" s="9">
        <f t="shared" si="1"/>
        <v>109</v>
      </c>
      <c r="DI3" s="9">
        <f t="shared" si="1"/>
        <v>110</v>
      </c>
      <c r="DJ3" s="9">
        <f t="shared" si="1"/>
        <v>111</v>
      </c>
      <c r="DK3" s="9">
        <f t="shared" si="1"/>
        <v>112</v>
      </c>
      <c r="DL3" s="9">
        <f t="shared" si="1"/>
        <v>113</v>
      </c>
      <c r="DM3" s="9">
        <f t="shared" si="1"/>
        <v>114</v>
      </c>
      <c r="DN3" s="9">
        <f t="shared" si="1"/>
        <v>115</v>
      </c>
      <c r="DO3" s="9">
        <f t="shared" si="1"/>
        <v>116</v>
      </c>
      <c r="DP3" s="9">
        <f t="shared" si="1"/>
        <v>117</v>
      </c>
      <c r="DQ3" s="9">
        <f t="shared" si="1"/>
        <v>118</v>
      </c>
      <c r="DR3" s="9">
        <f t="shared" si="1"/>
        <v>119</v>
      </c>
      <c r="DS3" s="9">
        <f t="shared" si="1"/>
        <v>120</v>
      </c>
      <c r="DT3" s="9">
        <f t="shared" si="1"/>
        <v>121</v>
      </c>
      <c r="DU3" s="9">
        <f t="shared" si="1"/>
        <v>122</v>
      </c>
      <c r="DV3" s="9">
        <f t="shared" si="1"/>
        <v>123</v>
      </c>
      <c r="DW3" s="9">
        <f t="shared" si="1"/>
        <v>124</v>
      </c>
      <c r="DX3" s="9">
        <f t="shared" si="1"/>
        <v>125</v>
      </c>
      <c r="DY3" s="9">
        <f t="shared" si="1"/>
        <v>126</v>
      </c>
      <c r="DZ3" s="9">
        <f t="shared" si="1"/>
        <v>127</v>
      </c>
      <c r="EA3" s="9">
        <f t="shared" ref="EA3:EL3" si="2">DZ3+1</f>
        <v>128</v>
      </c>
      <c r="EB3" s="9">
        <f t="shared" si="2"/>
        <v>129</v>
      </c>
      <c r="EC3" s="9">
        <f t="shared" si="2"/>
        <v>130</v>
      </c>
      <c r="ED3" s="9">
        <f t="shared" si="2"/>
        <v>131</v>
      </c>
      <c r="EE3" s="9">
        <f t="shared" si="2"/>
        <v>132</v>
      </c>
      <c r="EF3" s="9">
        <f t="shared" si="2"/>
        <v>133</v>
      </c>
      <c r="EG3" s="9">
        <f t="shared" si="2"/>
        <v>134</v>
      </c>
      <c r="EH3" s="9">
        <f t="shared" si="2"/>
        <v>135</v>
      </c>
      <c r="EI3" s="9">
        <f t="shared" si="2"/>
        <v>136</v>
      </c>
      <c r="EJ3" s="9">
        <f t="shared" si="2"/>
        <v>137</v>
      </c>
      <c r="EK3" s="9">
        <f t="shared" si="2"/>
        <v>138</v>
      </c>
      <c r="EL3" s="9">
        <f t="shared" si="2"/>
        <v>139</v>
      </c>
      <c r="EM3" s="85">
        <v>140</v>
      </c>
      <c r="EN3" s="94">
        <f>EM3+1</f>
        <v>141</v>
      </c>
      <c r="EO3" s="94">
        <f t="shared" ref="EO3:GZ3" si="3">EN3+1</f>
        <v>142</v>
      </c>
      <c r="EP3" s="94">
        <f t="shared" si="3"/>
        <v>143</v>
      </c>
      <c r="EQ3" s="94">
        <f t="shared" si="3"/>
        <v>144</v>
      </c>
      <c r="ER3" s="94">
        <f t="shared" si="3"/>
        <v>145</v>
      </c>
      <c r="ES3" s="94">
        <f t="shared" si="3"/>
        <v>146</v>
      </c>
      <c r="ET3" s="94">
        <f t="shared" si="3"/>
        <v>147</v>
      </c>
      <c r="EU3" s="94">
        <f t="shared" si="3"/>
        <v>148</v>
      </c>
      <c r="EV3" s="94">
        <f t="shared" si="3"/>
        <v>149</v>
      </c>
      <c r="EW3" s="94">
        <f t="shared" si="3"/>
        <v>150</v>
      </c>
      <c r="EX3" s="94">
        <f t="shared" si="3"/>
        <v>151</v>
      </c>
      <c r="EY3" s="94">
        <f t="shared" si="3"/>
        <v>152</v>
      </c>
      <c r="EZ3" s="94">
        <f t="shared" si="3"/>
        <v>153</v>
      </c>
      <c r="FA3" s="94">
        <f t="shared" si="3"/>
        <v>154</v>
      </c>
      <c r="FB3" s="94">
        <f t="shared" si="3"/>
        <v>155</v>
      </c>
      <c r="FC3" s="94">
        <f t="shared" si="3"/>
        <v>156</v>
      </c>
      <c r="FD3" s="94">
        <f t="shared" si="3"/>
        <v>157</v>
      </c>
      <c r="FE3" s="94">
        <f t="shared" si="3"/>
        <v>158</v>
      </c>
      <c r="FF3" s="94">
        <f t="shared" si="3"/>
        <v>159</v>
      </c>
      <c r="FG3" s="94">
        <f t="shared" si="3"/>
        <v>160</v>
      </c>
      <c r="FH3" s="94">
        <f t="shared" si="3"/>
        <v>161</v>
      </c>
      <c r="FI3" s="94">
        <f t="shared" si="3"/>
        <v>162</v>
      </c>
      <c r="FJ3" s="94">
        <f t="shared" si="3"/>
        <v>163</v>
      </c>
      <c r="FK3" s="94">
        <f t="shared" si="3"/>
        <v>164</v>
      </c>
      <c r="FL3" s="94">
        <f t="shared" si="3"/>
        <v>165</v>
      </c>
      <c r="FM3" s="94">
        <f t="shared" si="3"/>
        <v>166</v>
      </c>
      <c r="FN3" s="94">
        <f t="shared" si="3"/>
        <v>167</v>
      </c>
      <c r="FO3" s="94">
        <f t="shared" si="3"/>
        <v>168</v>
      </c>
      <c r="FP3" s="94">
        <f t="shared" si="3"/>
        <v>169</v>
      </c>
      <c r="FQ3" s="94">
        <f t="shared" si="3"/>
        <v>170</v>
      </c>
      <c r="FR3" s="94">
        <f t="shared" si="3"/>
        <v>171</v>
      </c>
      <c r="FS3" s="94">
        <f t="shared" si="3"/>
        <v>172</v>
      </c>
      <c r="FT3" s="94">
        <f t="shared" si="3"/>
        <v>173</v>
      </c>
      <c r="FU3" s="94">
        <f t="shared" si="3"/>
        <v>174</v>
      </c>
      <c r="FV3" s="94">
        <f t="shared" si="3"/>
        <v>175</v>
      </c>
      <c r="FW3" s="94">
        <f t="shared" si="3"/>
        <v>176</v>
      </c>
      <c r="FX3" s="94">
        <f t="shared" si="3"/>
        <v>177</v>
      </c>
      <c r="FY3" s="94">
        <f t="shared" si="3"/>
        <v>178</v>
      </c>
      <c r="FZ3" s="94">
        <f t="shared" si="3"/>
        <v>179</v>
      </c>
      <c r="GA3" s="94">
        <f t="shared" si="3"/>
        <v>180</v>
      </c>
      <c r="GB3" s="94">
        <f t="shared" si="3"/>
        <v>181</v>
      </c>
      <c r="GC3" s="94">
        <f t="shared" si="3"/>
        <v>182</v>
      </c>
      <c r="GD3" s="94">
        <f t="shared" si="3"/>
        <v>183</v>
      </c>
      <c r="GE3" s="94">
        <f t="shared" si="3"/>
        <v>184</v>
      </c>
      <c r="GF3" s="94">
        <f t="shared" si="3"/>
        <v>185</v>
      </c>
      <c r="GG3" s="94">
        <f t="shared" si="3"/>
        <v>186</v>
      </c>
      <c r="GH3" s="94">
        <f t="shared" si="3"/>
        <v>187</v>
      </c>
      <c r="GI3" s="94">
        <f t="shared" si="3"/>
        <v>188</v>
      </c>
      <c r="GJ3" s="94">
        <f t="shared" si="3"/>
        <v>189</v>
      </c>
      <c r="GK3" s="94">
        <f t="shared" si="3"/>
        <v>190</v>
      </c>
      <c r="GL3" s="94">
        <f t="shared" si="3"/>
        <v>191</v>
      </c>
      <c r="GM3" s="94">
        <f t="shared" si="3"/>
        <v>192</v>
      </c>
      <c r="GN3" s="94">
        <f t="shared" si="3"/>
        <v>193</v>
      </c>
      <c r="GO3" s="94">
        <f t="shared" si="3"/>
        <v>194</v>
      </c>
      <c r="GP3" s="94">
        <f t="shared" si="3"/>
        <v>195</v>
      </c>
      <c r="GQ3" s="94">
        <f t="shared" si="3"/>
        <v>196</v>
      </c>
      <c r="GR3" s="94">
        <f t="shared" si="3"/>
        <v>197</v>
      </c>
      <c r="GS3" s="94">
        <f t="shared" si="3"/>
        <v>198</v>
      </c>
      <c r="GT3" s="94">
        <f t="shared" si="3"/>
        <v>199</v>
      </c>
      <c r="GU3" s="94">
        <f t="shared" si="3"/>
        <v>200</v>
      </c>
      <c r="GV3" s="94">
        <f t="shared" si="3"/>
        <v>201</v>
      </c>
      <c r="GW3" s="94">
        <f t="shared" si="3"/>
        <v>202</v>
      </c>
      <c r="GX3" s="94">
        <f t="shared" si="3"/>
        <v>203</v>
      </c>
      <c r="GY3" s="94">
        <f t="shared" si="3"/>
        <v>204</v>
      </c>
      <c r="GZ3" s="94">
        <f t="shared" si="3"/>
        <v>205</v>
      </c>
      <c r="HA3" s="94">
        <f t="shared" ref="HA3:IA3" si="4">GZ3+1</f>
        <v>206</v>
      </c>
      <c r="HB3" s="94">
        <f t="shared" si="4"/>
        <v>207</v>
      </c>
      <c r="HC3" s="94">
        <f t="shared" si="4"/>
        <v>208</v>
      </c>
      <c r="HD3" s="94">
        <f t="shared" si="4"/>
        <v>209</v>
      </c>
      <c r="HE3" s="94">
        <f t="shared" si="4"/>
        <v>210</v>
      </c>
      <c r="HF3" s="94">
        <f t="shared" si="4"/>
        <v>211</v>
      </c>
      <c r="HG3" s="94">
        <f t="shared" si="4"/>
        <v>212</v>
      </c>
      <c r="HH3" s="94">
        <f t="shared" si="4"/>
        <v>213</v>
      </c>
      <c r="HI3" s="94">
        <f t="shared" si="4"/>
        <v>214</v>
      </c>
      <c r="HJ3" s="94">
        <f t="shared" si="4"/>
        <v>215</v>
      </c>
      <c r="HK3" s="94">
        <f t="shared" si="4"/>
        <v>216</v>
      </c>
      <c r="HL3" s="94">
        <f t="shared" si="4"/>
        <v>217</v>
      </c>
      <c r="HM3" s="94">
        <f t="shared" si="4"/>
        <v>218</v>
      </c>
      <c r="HN3" s="94">
        <f t="shared" si="4"/>
        <v>219</v>
      </c>
      <c r="HO3" s="94">
        <f t="shared" si="4"/>
        <v>220</v>
      </c>
      <c r="HP3" s="94">
        <f t="shared" si="4"/>
        <v>221</v>
      </c>
      <c r="HQ3" s="94">
        <f t="shared" si="4"/>
        <v>222</v>
      </c>
      <c r="HR3" s="94">
        <f t="shared" si="4"/>
        <v>223</v>
      </c>
      <c r="HS3" s="94">
        <f t="shared" si="4"/>
        <v>224</v>
      </c>
      <c r="HT3" s="94">
        <f t="shared" si="4"/>
        <v>225</v>
      </c>
      <c r="HU3" s="94">
        <f t="shared" si="4"/>
        <v>226</v>
      </c>
      <c r="HV3" s="94">
        <f t="shared" si="4"/>
        <v>227</v>
      </c>
      <c r="HW3" s="94">
        <f t="shared" si="4"/>
        <v>228</v>
      </c>
      <c r="HX3" s="94">
        <f t="shared" si="4"/>
        <v>229</v>
      </c>
      <c r="HY3" s="94">
        <f t="shared" si="4"/>
        <v>230</v>
      </c>
      <c r="HZ3" s="94">
        <f t="shared" si="4"/>
        <v>231</v>
      </c>
      <c r="IA3" s="94">
        <f t="shared" si="4"/>
        <v>232</v>
      </c>
    </row>
    <row r="4" spans="1:237" s="63" customFormat="1" ht="78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244" t="s">
        <v>16</v>
      </c>
      <c r="G4" s="244"/>
      <c r="H4" s="245" t="s">
        <v>12</v>
      </c>
      <c r="I4" s="246" t="s">
        <v>42</v>
      </c>
      <c r="J4" s="285" t="s">
        <v>43</v>
      </c>
      <c r="K4" s="286" t="s">
        <v>44</v>
      </c>
      <c r="L4" s="286" t="s">
        <v>45</v>
      </c>
      <c r="M4" s="286" t="s">
        <v>46</v>
      </c>
      <c r="N4" s="340" t="s">
        <v>47</v>
      </c>
      <c r="O4" s="287" t="s">
        <v>168</v>
      </c>
      <c r="P4" s="287" t="s">
        <v>169</v>
      </c>
      <c r="Q4" s="660" t="str">
        <f>F5</f>
        <v>01/04/2026</v>
      </c>
      <c r="R4" s="661"/>
      <c r="S4" s="661"/>
      <c r="T4" s="662"/>
      <c r="U4" s="658">
        <f>Q4+1</f>
        <v>46114</v>
      </c>
      <c r="V4" s="658"/>
      <c r="W4" s="658"/>
      <c r="X4" s="658"/>
      <c r="Y4" s="658">
        <f>U4+1</f>
        <v>46115</v>
      </c>
      <c r="Z4" s="658"/>
      <c r="AA4" s="658"/>
      <c r="AB4" s="658"/>
      <c r="AC4" s="658">
        <f>Y4+1</f>
        <v>46116</v>
      </c>
      <c r="AD4" s="658"/>
      <c r="AE4" s="658"/>
      <c r="AF4" s="658"/>
      <c r="AG4" s="658">
        <f>AC4+1</f>
        <v>46117</v>
      </c>
      <c r="AH4" s="658"/>
      <c r="AI4" s="658"/>
      <c r="AJ4" s="658"/>
      <c r="AK4" s="658">
        <f>AG4+1</f>
        <v>46118</v>
      </c>
      <c r="AL4" s="658"/>
      <c r="AM4" s="658"/>
      <c r="AN4" s="658"/>
      <c r="AO4" s="658">
        <f>AK4+1</f>
        <v>46119</v>
      </c>
      <c r="AP4" s="658"/>
      <c r="AQ4" s="658"/>
      <c r="AR4" s="658"/>
      <c r="AS4" s="658">
        <f>AO4+1</f>
        <v>46120</v>
      </c>
      <c r="AT4" s="658"/>
      <c r="AU4" s="658"/>
      <c r="AV4" s="658"/>
      <c r="AW4" s="658">
        <f>AS4+1</f>
        <v>46121</v>
      </c>
      <c r="AX4" s="658"/>
      <c r="AY4" s="658"/>
      <c r="AZ4" s="658"/>
      <c r="BA4" s="658">
        <f>AW4+1</f>
        <v>46122</v>
      </c>
      <c r="BB4" s="658"/>
      <c r="BC4" s="658"/>
      <c r="BD4" s="658"/>
      <c r="BE4" s="658">
        <f>BA4+1</f>
        <v>46123</v>
      </c>
      <c r="BF4" s="658"/>
      <c r="BG4" s="658"/>
      <c r="BH4" s="658"/>
      <c r="BI4" s="658">
        <f>BE4+1</f>
        <v>46124</v>
      </c>
      <c r="BJ4" s="658"/>
      <c r="BK4" s="658"/>
      <c r="BL4" s="658"/>
      <c r="BM4" s="658">
        <f>BI4+1</f>
        <v>46125</v>
      </c>
      <c r="BN4" s="658"/>
      <c r="BO4" s="658"/>
      <c r="BP4" s="658"/>
      <c r="BQ4" s="658">
        <f>BM4+1</f>
        <v>46126</v>
      </c>
      <c r="BR4" s="658"/>
      <c r="BS4" s="658"/>
      <c r="BT4" s="658"/>
      <c r="BU4" s="658">
        <f>BQ4+1</f>
        <v>46127</v>
      </c>
      <c r="BV4" s="658"/>
      <c r="BW4" s="658"/>
      <c r="BX4" s="658"/>
      <c r="BY4" s="658">
        <f>BU4+1</f>
        <v>46128</v>
      </c>
      <c r="BZ4" s="658"/>
      <c r="CA4" s="658"/>
      <c r="CB4" s="658"/>
      <c r="CC4" s="658">
        <f>BY4+1</f>
        <v>46129</v>
      </c>
      <c r="CD4" s="658"/>
      <c r="CE4" s="658"/>
      <c r="CF4" s="658"/>
      <c r="CG4" s="658">
        <f>CC4+1</f>
        <v>46130</v>
      </c>
      <c r="CH4" s="658"/>
      <c r="CI4" s="658"/>
      <c r="CJ4" s="658"/>
      <c r="CK4" s="658">
        <f>CG4+1</f>
        <v>46131</v>
      </c>
      <c r="CL4" s="658"/>
      <c r="CM4" s="658"/>
      <c r="CN4" s="658"/>
      <c r="CO4" s="658">
        <f>CK4+1</f>
        <v>46132</v>
      </c>
      <c r="CP4" s="658"/>
      <c r="CQ4" s="658"/>
      <c r="CR4" s="658"/>
      <c r="CS4" s="658">
        <f>CO4+1</f>
        <v>46133</v>
      </c>
      <c r="CT4" s="658"/>
      <c r="CU4" s="658"/>
      <c r="CV4" s="658"/>
      <c r="CW4" s="658">
        <f>CS4+1</f>
        <v>46134</v>
      </c>
      <c r="CX4" s="658"/>
      <c r="CY4" s="658"/>
      <c r="CZ4" s="658"/>
      <c r="DA4" s="658">
        <f>CW4+1</f>
        <v>46135</v>
      </c>
      <c r="DB4" s="658"/>
      <c r="DC4" s="658"/>
      <c r="DD4" s="658"/>
      <c r="DE4" s="658">
        <f>DA4+1</f>
        <v>46136</v>
      </c>
      <c r="DF4" s="658"/>
      <c r="DG4" s="658"/>
      <c r="DH4" s="658"/>
      <c r="DI4" s="658">
        <f>DE4+1</f>
        <v>46137</v>
      </c>
      <c r="DJ4" s="658"/>
      <c r="DK4" s="658"/>
      <c r="DL4" s="658"/>
      <c r="DM4" s="658">
        <f>DI4+1</f>
        <v>46138</v>
      </c>
      <c r="DN4" s="658"/>
      <c r="DO4" s="658"/>
      <c r="DP4" s="658"/>
      <c r="DQ4" s="658">
        <f>DM4+1</f>
        <v>46139</v>
      </c>
      <c r="DR4" s="658"/>
      <c r="DS4" s="658"/>
      <c r="DT4" s="658"/>
      <c r="DU4" s="658">
        <f>DQ4+1</f>
        <v>46140</v>
      </c>
      <c r="DV4" s="658"/>
      <c r="DW4" s="658"/>
      <c r="DX4" s="658"/>
      <c r="DY4" s="658">
        <f t="shared" ref="DY4" si="5">DU4+1</f>
        <v>46141</v>
      </c>
      <c r="DZ4" s="658"/>
      <c r="EA4" s="658"/>
      <c r="EB4" s="658"/>
      <c r="EC4" s="658">
        <f t="shared" ref="EC4" si="6">DY4+1</f>
        <v>46142</v>
      </c>
      <c r="ED4" s="658"/>
      <c r="EE4" s="658"/>
      <c r="EF4" s="658"/>
      <c r="EG4" s="658"/>
      <c r="EH4" s="658"/>
      <c r="EI4" s="658"/>
      <c r="EJ4" s="658"/>
      <c r="EK4" s="338" t="s">
        <v>48</v>
      </c>
      <c r="EL4" s="339" t="s">
        <v>49</v>
      </c>
      <c r="EM4" s="346" t="s">
        <v>62</v>
      </c>
      <c r="EN4" s="346" t="s">
        <v>63</v>
      </c>
      <c r="EO4" s="347" t="s">
        <v>64</v>
      </c>
      <c r="EP4" s="148" t="s">
        <v>3178</v>
      </c>
      <c r="EQ4" s="148" t="s">
        <v>3177</v>
      </c>
      <c r="ER4" s="148" t="s">
        <v>51</v>
      </c>
      <c r="ES4" s="149" t="s">
        <v>3179</v>
      </c>
      <c r="ET4" s="149" t="s">
        <v>3180</v>
      </c>
      <c r="EU4" s="149" t="s">
        <v>53</v>
      </c>
      <c r="EV4" s="150" t="s">
        <v>54</v>
      </c>
      <c r="EW4" s="151" t="s">
        <v>55</v>
      </c>
      <c r="EX4" s="152" t="s">
        <v>56</v>
      </c>
      <c r="EY4" s="152" t="s">
        <v>57</v>
      </c>
      <c r="EZ4" s="152" t="s">
        <v>58</v>
      </c>
      <c r="FA4" s="152" t="s">
        <v>59</v>
      </c>
      <c r="FB4" s="152" t="s">
        <v>60</v>
      </c>
      <c r="FC4" s="123" t="s">
        <v>61</v>
      </c>
      <c r="FD4" s="154" t="s">
        <v>153</v>
      </c>
      <c r="FE4" s="155" t="s">
        <v>66</v>
      </c>
      <c r="FF4" s="156">
        <v>30</v>
      </c>
      <c r="FG4" s="157">
        <f>FF4-1</f>
        <v>29</v>
      </c>
      <c r="FH4" s="157">
        <f>FG4-1</f>
        <v>28</v>
      </c>
      <c r="FI4" s="157">
        <f t="shared" ref="FI4:GF4" si="7">FH4-1</f>
        <v>27</v>
      </c>
      <c r="FJ4" s="157">
        <f t="shared" si="7"/>
        <v>26</v>
      </c>
      <c r="FK4" s="157">
        <f t="shared" si="7"/>
        <v>25</v>
      </c>
      <c r="FL4" s="157">
        <f t="shared" si="7"/>
        <v>24</v>
      </c>
      <c r="FM4" s="157">
        <f t="shared" si="7"/>
        <v>23</v>
      </c>
      <c r="FN4" s="157">
        <f t="shared" si="7"/>
        <v>22</v>
      </c>
      <c r="FO4" s="157">
        <f t="shared" si="7"/>
        <v>21</v>
      </c>
      <c r="FP4" s="157">
        <f t="shared" si="7"/>
        <v>20</v>
      </c>
      <c r="FQ4" s="157">
        <f t="shared" si="7"/>
        <v>19</v>
      </c>
      <c r="FR4" s="157">
        <f t="shared" si="7"/>
        <v>18</v>
      </c>
      <c r="FS4" s="157">
        <f t="shared" si="7"/>
        <v>17</v>
      </c>
      <c r="FT4" s="157">
        <f t="shared" si="7"/>
        <v>16</v>
      </c>
      <c r="FU4" s="157">
        <f t="shared" si="7"/>
        <v>15</v>
      </c>
      <c r="FV4" s="157">
        <f t="shared" si="7"/>
        <v>14</v>
      </c>
      <c r="FW4" s="157">
        <f t="shared" si="7"/>
        <v>13</v>
      </c>
      <c r="FX4" s="157">
        <f t="shared" si="7"/>
        <v>12</v>
      </c>
      <c r="FY4" s="157">
        <f t="shared" si="7"/>
        <v>11</v>
      </c>
      <c r="FZ4" s="157">
        <f t="shared" si="7"/>
        <v>10</v>
      </c>
      <c r="GA4" s="157">
        <f t="shared" si="7"/>
        <v>9</v>
      </c>
      <c r="GB4" s="157">
        <f t="shared" si="7"/>
        <v>8</v>
      </c>
      <c r="GC4" s="157">
        <f t="shared" si="7"/>
        <v>7</v>
      </c>
      <c r="GD4" s="157">
        <f t="shared" si="7"/>
        <v>6</v>
      </c>
      <c r="GE4" s="157">
        <f t="shared" si="7"/>
        <v>5</v>
      </c>
      <c r="GF4" s="157">
        <f t="shared" si="7"/>
        <v>4</v>
      </c>
      <c r="GG4" s="157">
        <f>GF4-1</f>
        <v>3</v>
      </c>
      <c r="GH4" s="157">
        <f>GG4-1</f>
        <v>2</v>
      </c>
      <c r="GI4" s="157">
        <f>GH4-1</f>
        <v>1</v>
      </c>
      <c r="GJ4" s="158">
        <v>1</v>
      </c>
      <c r="GK4" s="159" t="s">
        <v>65</v>
      </c>
      <c r="GL4" s="99" t="s">
        <v>67</v>
      </c>
      <c r="GM4" s="99" t="s">
        <v>68</v>
      </c>
      <c r="GN4" s="160">
        <v>29</v>
      </c>
      <c r="GO4" s="160">
        <f>GN4-1</f>
        <v>28</v>
      </c>
      <c r="GP4" s="160">
        <f>GO4-1</f>
        <v>27</v>
      </c>
      <c r="GQ4" s="160">
        <f>GP4-1</f>
        <v>26</v>
      </c>
      <c r="GR4" s="160">
        <f>GQ4-1</f>
        <v>25</v>
      </c>
      <c r="GS4" s="160">
        <f t="shared" ref="GS4:HL4" si="8">GR4-1</f>
        <v>24</v>
      </c>
      <c r="GT4" s="160">
        <f t="shared" si="8"/>
        <v>23</v>
      </c>
      <c r="GU4" s="160">
        <f t="shared" si="8"/>
        <v>22</v>
      </c>
      <c r="GV4" s="160">
        <f t="shared" si="8"/>
        <v>21</v>
      </c>
      <c r="GW4" s="160">
        <f t="shared" si="8"/>
        <v>20</v>
      </c>
      <c r="GX4" s="160">
        <f t="shared" si="8"/>
        <v>19</v>
      </c>
      <c r="GY4" s="160">
        <f t="shared" si="8"/>
        <v>18</v>
      </c>
      <c r="GZ4" s="160">
        <f t="shared" si="8"/>
        <v>17</v>
      </c>
      <c r="HA4" s="160">
        <f t="shared" si="8"/>
        <v>16</v>
      </c>
      <c r="HB4" s="160">
        <f t="shared" si="8"/>
        <v>15</v>
      </c>
      <c r="HC4" s="160">
        <f t="shared" si="8"/>
        <v>14</v>
      </c>
      <c r="HD4" s="160">
        <f t="shared" si="8"/>
        <v>13</v>
      </c>
      <c r="HE4" s="160">
        <f t="shared" si="8"/>
        <v>12</v>
      </c>
      <c r="HF4" s="160">
        <f t="shared" si="8"/>
        <v>11</v>
      </c>
      <c r="HG4" s="160">
        <f t="shared" si="8"/>
        <v>10</v>
      </c>
      <c r="HH4" s="160">
        <f t="shared" si="8"/>
        <v>9</v>
      </c>
      <c r="HI4" s="160">
        <f t="shared" si="8"/>
        <v>8</v>
      </c>
      <c r="HJ4" s="160">
        <f t="shared" si="8"/>
        <v>7</v>
      </c>
      <c r="HK4" s="160">
        <f t="shared" si="8"/>
        <v>6</v>
      </c>
      <c r="HL4" s="160">
        <f t="shared" si="8"/>
        <v>5</v>
      </c>
      <c r="HM4" s="160">
        <f>HL4-1</f>
        <v>4</v>
      </c>
      <c r="HN4" s="160">
        <f>HM4-1</f>
        <v>3</v>
      </c>
      <c r="HO4" s="160">
        <f>HN4-1</f>
        <v>2</v>
      </c>
      <c r="HP4" s="160">
        <f>HO4-1</f>
        <v>1</v>
      </c>
      <c r="HW4" s="155" t="s">
        <v>66</v>
      </c>
      <c r="HY4" s="278" t="s">
        <v>62</v>
      </c>
      <c r="HZ4" s="278" t="s">
        <v>63</v>
      </c>
      <c r="IA4" s="279" t="s">
        <v>64</v>
      </c>
    </row>
    <row r="5" spans="1:237" s="10" customFormat="1" ht="19.5" customHeight="1" thickBot="1" x14ac:dyDescent="0.25">
      <c r="A5" s="154"/>
      <c r="B5" s="161"/>
      <c r="C5" s="161"/>
      <c r="D5" s="161"/>
      <c r="E5" s="161"/>
      <c r="F5" s="365" t="s">
        <v>3182</v>
      </c>
      <c r="G5" s="366" t="s">
        <v>3183</v>
      </c>
      <c r="H5" s="162"/>
      <c r="I5" s="163"/>
      <c r="J5" s="164"/>
      <c r="K5" s="164"/>
      <c r="L5" s="164"/>
      <c r="M5" s="164"/>
      <c r="N5" s="341"/>
      <c r="O5" s="284"/>
      <c r="P5" s="284"/>
      <c r="Q5" s="116" t="s">
        <v>69</v>
      </c>
      <c r="R5" s="117" t="s">
        <v>70</v>
      </c>
      <c r="S5" s="116" t="s">
        <v>71</v>
      </c>
      <c r="T5" s="117" t="s">
        <v>72</v>
      </c>
      <c r="U5" s="116" t="s">
        <v>69</v>
      </c>
      <c r="V5" s="117" t="s">
        <v>70</v>
      </c>
      <c r="W5" s="116" t="s">
        <v>71</v>
      </c>
      <c r="X5" s="117" t="s">
        <v>72</v>
      </c>
      <c r="Y5" s="116" t="s">
        <v>69</v>
      </c>
      <c r="Z5" s="117" t="s">
        <v>70</v>
      </c>
      <c r="AA5" s="116" t="s">
        <v>71</v>
      </c>
      <c r="AB5" s="117" t="s">
        <v>72</v>
      </c>
      <c r="AC5" s="116" t="s">
        <v>69</v>
      </c>
      <c r="AD5" s="117" t="s">
        <v>70</v>
      </c>
      <c r="AE5" s="116" t="s">
        <v>71</v>
      </c>
      <c r="AF5" s="117" t="s">
        <v>72</v>
      </c>
      <c r="AG5" s="116" t="s">
        <v>69</v>
      </c>
      <c r="AH5" s="117" t="s">
        <v>70</v>
      </c>
      <c r="AI5" s="116" t="s">
        <v>71</v>
      </c>
      <c r="AJ5" s="117" t="s">
        <v>72</v>
      </c>
      <c r="AK5" s="116" t="s">
        <v>69</v>
      </c>
      <c r="AL5" s="117" t="s">
        <v>70</v>
      </c>
      <c r="AM5" s="116" t="s">
        <v>71</v>
      </c>
      <c r="AN5" s="117" t="s">
        <v>72</v>
      </c>
      <c r="AO5" s="116" t="s">
        <v>69</v>
      </c>
      <c r="AP5" s="117" t="s">
        <v>70</v>
      </c>
      <c r="AQ5" s="116" t="s">
        <v>71</v>
      </c>
      <c r="AR5" s="117" t="s">
        <v>72</v>
      </c>
      <c r="AS5" s="116" t="s">
        <v>69</v>
      </c>
      <c r="AT5" s="117" t="s">
        <v>70</v>
      </c>
      <c r="AU5" s="116" t="s">
        <v>71</v>
      </c>
      <c r="AV5" s="117" t="s">
        <v>72</v>
      </c>
      <c r="AW5" s="116" t="s">
        <v>69</v>
      </c>
      <c r="AX5" s="117" t="s">
        <v>70</v>
      </c>
      <c r="AY5" s="116" t="s">
        <v>71</v>
      </c>
      <c r="AZ5" s="117" t="s">
        <v>72</v>
      </c>
      <c r="BA5" s="116" t="s">
        <v>69</v>
      </c>
      <c r="BB5" s="117" t="s">
        <v>70</v>
      </c>
      <c r="BC5" s="116" t="s">
        <v>71</v>
      </c>
      <c r="BD5" s="117" t="s">
        <v>72</v>
      </c>
      <c r="BE5" s="116" t="s">
        <v>69</v>
      </c>
      <c r="BF5" s="117" t="s">
        <v>70</v>
      </c>
      <c r="BG5" s="116" t="s">
        <v>71</v>
      </c>
      <c r="BH5" s="117" t="s">
        <v>72</v>
      </c>
      <c r="BI5" s="116" t="s">
        <v>69</v>
      </c>
      <c r="BJ5" s="117" t="s">
        <v>70</v>
      </c>
      <c r="BK5" s="116" t="s">
        <v>71</v>
      </c>
      <c r="BL5" s="117" t="s">
        <v>72</v>
      </c>
      <c r="BM5" s="116" t="s">
        <v>69</v>
      </c>
      <c r="BN5" s="117" t="s">
        <v>70</v>
      </c>
      <c r="BO5" s="116" t="s">
        <v>71</v>
      </c>
      <c r="BP5" s="117" t="s">
        <v>72</v>
      </c>
      <c r="BQ5" s="116" t="s">
        <v>69</v>
      </c>
      <c r="BR5" s="117" t="s">
        <v>70</v>
      </c>
      <c r="BS5" s="116" t="s">
        <v>71</v>
      </c>
      <c r="BT5" s="117" t="s">
        <v>72</v>
      </c>
      <c r="BU5" s="116" t="s">
        <v>69</v>
      </c>
      <c r="BV5" s="117" t="s">
        <v>70</v>
      </c>
      <c r="BW5" s="116" t="s">
        <v>71</v>
      </c>
      <c r="BX5" s="117" t="s">
        <v>72</v>
      </c>
      <c r="BY5" s="116" t="s">
        <v>69</v>
      </c>
      <c r="BZ5" s="117" t="s">
        <v>70</v>
      </c>
      <c r="CA5" s="116" t="s">
        <v>71</v>
      </c>
      <c r="CB5" s="117" t="s">
        <v>72</v>
      </c>
      <c r="CC5" s="116" t="s">
        <v>69</v>
      </c>
      <c r="CD5" s="117" t="s">
        <v>70</v>
      </c>
      <c r="CE5" s="116" t="s">
        <v>71</v>
      </c>
      <c r="CF5" s="117" t="s">
        <v>72</v>
      </c>
      <c r="CG5" s="116" t="s">
        <v>69</v>
      </c>
      <c r="CH5" s="117" t="s">
        <v>70</v>
      </c>
      <c r="CI5" s="116" t="s">
        <v>71</v>
      </c>
      <c r="CJ5" s="117" t="s">
        <v>72</v>
      </c>
      <c r="CK5" s="116" t="s">
        <v>69</v>
      </c>
      <c r="CL5" s="117" t="s">
        <v>70</v>
      </c>
      <c r="CM5" s="116" t="s">
        <v>71</v>
      </c>
      <c r="CN5" s="117" t="s">
        <v>72</v>
      </c>
      <c r="CO5" s="116" t="s">
        <v>69</v>
      </c>
      <c r="CP5" s="117" t="s">
        <v>70</v>
      </c>
      <c r="CQ5" s="116" t="s">
        <v>71</v>
      </c>
      <c r="CR5" s="117" t="s">
        <v>72</v>
      </c>
      <c r="CS5" s="116" t="s">
        <v>69</v>
      </c>
      <c r="CT5" s="117" t="s">
        <v>70</v>
      </c>
      <c r="CU5" s="116" t="s">
        <v>71</v>
      </c>
      <c r="CV5" s="117" t="s">
        <v>72</v>
      </c>
      <c r="CW5" s="116" t="s">
        <v>69</v>
      </c>
      <c r="CX5" s="117" t="s">
        <v>70</v>
      </c>
      <c r="CY5" s="116" t="s">
        <v>71</v>
      </c>
      <c r="CZ5" s="117" t="s">
        <v>72</v>
      </c>
      <c r="DA5" s="116" t="s">
        <v>69</v>
      </c>
      <c r="DB5" s="117" t="s">
        <v>70</v>
      </c>
      <c r="DC5" s="116" t="s">
        <v>71</v>
      </c>
      <c r="DD5" s="117" t="s">
        <v>72</v>
      </c>
      <c r="DE5" s="116" t="s">
        <v>69</v>
      </c>
      <c r="DF5" s="117" t="s">
        <v>70</v>
      </c>
      <c r="DG5" s="116" t="s">
        <v>71</v>
      </c>
      <c r="DH5" s="117" t="s">
        <v>72</v>
      </c>
      <c r="DI5" s="116" t="s">
        <v>69</v>
      </c>
      <c r="DJ5" s="117" t="s">
        <v>70</v>
      </c>
      <c r="DK5" s="116" t="s">
        <v>71</v>
      </c>
      <c r="DL5" s="117" t="s">
        <v>72</v>
      </c>
      <c r="DM5" s="116" t="s">
        <v>69</v>
      </c>
      <c r="DN5" s="117" t="s">
        <v>70</v>
      </c>
      <c r="DO5" s="116" t="s">
        <v>71</v>
      </c>
      <c r="DP5" s="117" t="s">
        <v>72</v>
      </c>
      <c r="DQ5" s="116" t="s">
        <v>69</v>
      </c>
      <c r="DR5" s="117" t="s">
        <v>70</v>
      </c>
      <c r="DS5" s="116" t="s">
        <v>71</v>
      </c>
      <c r="DT5" s="117" t="s">
        <v>72</v>
      </c>
      <c r="DU5" s="116" t="s">
        <v>69</v>
      </c>
      <c r="DV5" s="117" t="s">
        <v>70</v>
      </c>
      <c r="DW5" s="116" t="s">
        <v>71</v>
      </c>
      <c r="DX5" s="117" t="s">
        <v>72</v>
      </c>
      <c r="DY5" s="116" t="s">
        <v>69</v>
      </c>
      <c r="DZ5" s="117" t="s">
        <v>70</v>
      </c>
      <c r="EA5" s="116" t="s">
        <v>71</v>
      </c>
      <c r="EB5" s="117" t="s">
        <v>72</v>
      </c>
      <c r="EC5" s="116" t="s">
        <v>69</v>
      </c>
      <c r="ED5" s="117" t="s">
        <v>70</v>
      </c>
      <c r="EE5" s="116" t="s">
        <v>71</v>
      </c>
      <c r="EF5" s="117" t="s">
        <v>72</v>
      </c>
      <c r="EG5" s="116" t="s">
        <v>69</v>
      </c>
      <c r="EH5" s="117" t="s">
        <v>70</v>
      </c>
      <c r="EI5" s="116" t="s">
        <v>71</v>
      </c>
      <c r="EJ5" s="117" t="s">
        <v>72</v>
      </c>
      <c r="EK5" s="449"/>
      <c r="EL5" s="451"/>
      <c r="EM5" s="346"/>
      <c r="EN5" s="346"/>
      <c r="EO5" s="347"/>
      <c r="EP5" s="165"/>
      <c r="EQ5" s="165"/>
      <c r="ER5" s="166"/>
      <c r="ES5" s="166"/>
      <c r="ET5" s="166"/>
      <c r="EU5" s="166"/>
      <c r="EV5" s="150"/>
      <c r="EW5" s="167"/>
      <c r="EX5" s="123"/>
      <c r="EY5" s="81"/>
      <c r="EZ5" s="81"/>
      <c r="FA5" s="81"/>
      <c r="FB5" s="81"/>
      <c r="FC5" s="168"/>
      <c r="FD5" s="152"/>
      <c r="FE5" s="169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70"/>
      <c r="GL5" s="98"/>
      <c r="GM5" s="98"/>
      <c r="HW5" s="169"/>
      <c r="HY5" s="278"/>
      <c r="HZ5" s="278"/>
      <c r="IA5" s="279"/>
    </row>
    <row r="6" spans="1:237" s="64" customFormat="1" ht="22.5" customHeight="1" x14ac:dyDescent="0.25">
      <c r="A6" t="s">
        <v>3190</v>
      </c>
      <c r="B6" s="522" t="s">
        <v>3191</v>
      </c>
      <c r="C6" s="523">
        <v>1</v>
      </c>
      <c r="D6" s="524" t="s">
        <v>3192</v>
      </c>
      <c r="E6" s="524" t="s">
        <v>3193</v>
      </c>
      <c r="F6" s="525" t="s">
        <v>3182</v>
      </c>
      <c r="G6" s="525" t="s">
        <v>3183</v>
      </c>
      <c r="H6" s="350" t="s">
        <v>336</v>
      </c>
      <c r="I6" s="351" t="s">
        <v>336</v>
      </c>
      <c r="J6" s="409" t="s">
        <v>3184</v>
      </c>
      <c r="K6" s="410" t="s">
        <v>3185</v>
      </c>
      <c r="L6" s="329">
        <f>CONTINUA!BV6</f>
        <v>0</v>
      </c>
      <c r="M6" s="329">
        <f>CONTINUA!BW6</f>
        <v>0</v>
      </c>
      <c r="N6" s="342"/>
      <c r="O6" s="288" t="s">
        <v>3274</v>
      </c>
      <c r="P6" s="330">
        <v>0</v>
      </c>
      <c r="Q6" s="400"/>
      <c r="R6" s="401"/>
      <c r="S6" s="400"/>
      <c r="T6" s="401"/>
      <c r="U6" s="400"/>
      <c r="V6" s="401"/>
      <c r="W6" s="400"/>
      <c r="X6" s="401"/>
      <c r="Y6" s="400"/>
      <c r="Z6" s="401"/>
      <c r="AA6" s="400"/>
      <c r="AB6" s="401"/>
      <c r="AC6" s="400"/>
      <c r="AD6" s="401"/>
      <c r="AE6" s="400"/>
      <c r="AF6" s="401"/>
      <c r="AG6" s="400"/>
      <c r="AH6" s="401"/>
      <c r="AI6" s="400"/>
      <c r="AJ6" s="401"/>
      <c r="AK6" s="400"/>
      <c r="AL6" s="401"/>
      <c r="AM6" s="400"/>
      <c r="AN6" s="401"/>
      <c r="AO6" s="400"/>
      <c r="AP6" s="401"/>
      <c r="AQ6" s="400"/>
      <c r="AR6" s="401"/>
      <c r="AS6" s="400"/>
      <c r="AT6" s="401"/>
      <c r="AU6" s="400"/>
      <c r="AV6" s="401"/>
      <c r="AW6" s="400"/>
      <c r="AX6" s="401"/>
      <c r="AY6" s="400"/>
      <c r="AZ6" s="401"/>
      <c r="BA6" s="400"/>
      <c r="BB6" s="401"/>
      <c r="BC6" s="400"/>
      <c r="BD6" s="401"/>
      <c r="BE6" s="400"/>
      <c r="BF6" s="401"/>
      <c r="BG6" s="400"/>
      <c r="BH6" s="401"/>
      <c r="BI6" s="400"/>
      <c r="BJ6" s="401"/>
      <c r="BK6" s="400"/>
      <c r="BL6" s="401"/>
      <c r="BM6" s="400"/>
      <c r="BN6" s="401"/>
      <c r="BO6" s="400"/>
      <c r="BP6" s="401"/>
      <c r="BQ6" s="400"/>
      <c r="BR6" s="401"/>
      <c r="BS6" s="400"/>
      <c r="BT6" s="401"/>
      <c r="BU6" s="400"/>
      <c r="BV6" s="401"/>
      <c r="BW6" s="400"/>
      <c r="BX6" s="401"/>
      <c r="BY6" s="400"/>
      <c r="BZ6" s="401"/>
      <c r="CA6" s="400"/>
      <c r="CB6" s="401"/>
      <c r="CC6" s="400"/>
      <c r="CD6" s="401"/>
      <c r="CE6" s="400"/>
      <c r="CF6" s="401"/>
      <c r="CG6" s="400"/>
      <c r="CH6" s="401"/>
      <c r="CI6" s="400"/>
      <c r="CJ6" s="401"/>
      <c r="CK6" s="400"/>
      <c r="CL6" s="401"/>
      <c r="CM6" s="400"/>
      <c r="CN6" s="401"/>
      <c r="CO6" s="400"/>
      <c r="CP6" s="401"/>
      <c r="CQ6" s="400"/>
      <c r="CR6" s="401"/>
      <c r="CS6" s="400"/>
      <c r="CT6" s="401"/>
      <c r="CU6" s="400"/>
      <c r="CV6" s="401"/>
      <c r="CW6" s="400"/>
      <c r="CX6" s="401"/>
      <c r="CY6" s="400"/>
      <c r="CZ6" s="401"/>
      <c r="DA6" s="400"/>
      <c r="DB6" s="401"/>
      <c r="DC6" s="400"/>
      <c r="DD6" s="401"/>
      <c r="DE6" s="400"/>
      <c r="DF6" s="401"/>
      <c r="DG6" s="400"/>
      <c r="DH6" s="401"/>
      <c r="DI6" s="400"/>
      <c r="DJ6" s="401"/>
      <c r="DK6" s="400"/>
      <c r="DL6" s="401"/>
      <c r="DM6" s="400"/>
      <c r="DN6" s="401"/>
      <c r="DO6" s="400"/>
      <c r="DP6" s="401"/>
      <c r="DQ6" s="400"/>
      <c r="DR6" s="401"/>
      <c r="DS6" s="400"/>
      <c r="DT6" s="401"/>
      <c r="DU6" s="400"/>
      <c r="DV6" s="401"/>
      <c r="DW6" s="400"/>
      <c r="DX6" s="401"/>
      <c r="DY6" s="400"/>
      <c r="DZ6" s="401"/>
      <c r="EA6" s="400"/>
      <c r="EB6" s="401"/>
      <c r="EC6" s="400"/>
      <c r="ED6" s="401"/>
      <c r="EE6" s="400"/>
      <c r="EF6" s="401"/>
      <c r="EG6" s="400"/>
      <c r="EH6" s="401"/>
      <c r="EI6" s="400"/>
      <c r="EJ6" s="447"/>
      <c r="EK6" s="510"/>
      <c r="EL6" s="513"/>
      <c r="EM6" s="520"/>
      <c r="EN6" s="520"/>
      <c r="EO6" s="520"/>
      <c r="EP6" s="171">
        <f t="shared" ref="EP6:EP10" si="9">Q6</f>
        <v>0</v>
      </c>
      <c r="EQ6" s="171">
        <f t="shared" ref="EQ6:EQ10" si="10">U6+Y6+AC6+AG6+AK6+AO6+AS6+AW6+BA6+BE6+BI6+BM6+BQ6+BU6+BY6+CC6+CG6+CK6+CO6+CS6+CW6+DA6+DE6+DI6+DM6+DQ6+DU6+DY6+EC6+EG6</f>
        <v>0</v>
      </c>
      <c r="ER6" s="171">
        <f t="shared" ref="ER6:ER10" si="11">S6+W6+AA6+AE6+AI6+AM6+AQ6+AU6+AY6+BC6+BG6+BK6+BO6+BS6+BW6+CA6+CE6+CI6+CM6+CQ6+CU6+CY6+DC6+DG6+DK6+DO6+DS6+DW6+EA6+EE6+EI6</f>
        <v>0</v>
      </c>
      <c r="ES6" s="171">
        <f t="shared" ref="ES6:ES10" si="12">R6</f>
        <v>0</v>
      </c>
      <c r="ET6" s="171">
        <f t="shared" ref="ET6:ET10" si="13">V6+Z6+AD6+AH6+AL6+AP6+AT6+AX6+BB6+BF6+BJ6+BN6+BR6+BV6+BZ6+CD6+CH6+CL6+CP6+CT6+CX6+DB6+DF6+DJ6+DN6+DR6+DV6+DZ6+ED6+EH6</f>
        <v>0</v>
      </c>
      <c r="EU6" s="171">
        <f t="shared" ref="EU6:EU10" si="14">T6+X6+AB6+AF6+AJ6+AN6+AR6+AV6+AZ6+BD6+BH6+BL6+BP6+BT6+BX6+CB6+CF6+CJ6+CN6+CR6+CV6+CZ6+DD6+DH6+DL6+DP6+DT6+DX6+EB6+EF6+EJ6</f>
        <v>0</v>
      </c>
      <c r="EV6" s="172">
        <f t="shared" ref="EV6:EV10" si="15">EP6+EQ6+ES6+ET6+ER6+EU6</f>
        <v>0</v>
      </c>
      <c r="EW6" s="367">
        <f>IF(C6=4,IF(MAX(Q6:EJ8)&gt;0,(Especiall/30*(IF(($G6-$F6)=($G$5-$F$5),30,IF(DAY($G6)=31,($G6-$F6),($G6-$F6)+1)))),0),0)</f>
        <v>0</v>
      </c>
      <c r="EX6" s="248">
        <f t="shared" ref="EX6:EX9" si="16">FF6</f>
        <v>12885.740000000002</v>
      </c>
      <c r="EY6" s="174">
        <f>(L6*regular)+(M6*Cadeirantee)</f>
        <v>0</v>
      </c>
      <c r="EZ6" s="249">
        <f>SUMIF(FG6:GJ6,"&gt;0")</f>
        <v>141.251</v>
      </c>
      <c r="FA6" s="249">
        <f>SUMIF(FG6:GJ6,"&lt;0")+SUMIF(GN6:HP6,"&lt;0")</f>
        <v>0</v>
      </c>
      <c r="FB6" s="174">
        <v>0</v>
      </c>
      <c r="FC6" s="175">
        <f>N6*km*'VALORES TABELA'!$B$13</f>
        <v>0</v>
      </c>
      <c r="FD6" s="250">
        <f>GL6</f>
        <v>0</v>
      </c>
      <c r="FE6" s="176">
        <f>(EW6+EW7+EW8+EW9+EX6+EX7+EX8+EX9+EY6+EY7+EY8+EY9+EY10+EZ6+EZ7+EZ8+EZ9+FA6+FA7+FA8+FA9+FC6+FC7+FC8+FC9+HY6-HZ6-IA6+FD6+FD7+FD8+FD9+FB10)</f>
        <v>13065.551000000001</v>
      </c>
      <c r="FF6" s="177">
        <f>IF(C6=4,SUM(Q6+Q7+Q8+S6+S7+S8)*Percapita/30*FF$4+(R6+R7+R8+T6+T7+T8)*Cadeirante/30*FF$4,IF(C6=3,IF(Q9+S9=10,Fixo/30*FF$4+(Q6+Q7+Q8+S6+S7+S8)*Percapita/30*FF$4+(R9+T9)*Cadeirante/30*FF$4,IF(Q9+S9&lt;=9,(Q9+S9)*Crechee/30*FF$4)+(R9+T9)*Cadeirante/30*FF$4+(Q6+Q7+Q8+S6+S7+S8)*Percapita/30*FF$4)+IF(Q9+S9&gt;=11,Fixo/30*FF$4+(Q9+S9-10)*Crechee/30*FF$4,0),IF(C6=2,IF(R6+R7+R8+R9+T6+T7+T8+T9=1,Cadeirante/30*FF$4,IF(R6+R7+R8+R9+T6+T7+T8+T9=2,Fixo/30*FF$4,IF(R6+R7+R8+R9+T6+T7+T8+T9&gt;2,Fixo/30*FF$4+(R6+R7+R8+R9+T6+T7+T8+T9-2)*Cadeirante/30*FF$4)))+(Q6+Q7+Q8+S6+S7+S8)*Percapita/30*FF$4+(Q9+S9)*Crechee/30*FF$4,IF(C6=1,IF(Q6+Q7+Q8+R6+R7+R8+S6+S7+S8+T6+T7+T8&lt;=15,(Q6+Q7+Q8+S6+S7+S8)*Percapita/30*FF$4,IF(Q6+Q7+Q8+R6+R7+R8+S6+S7+S8+T6+T7+T8&gt;=16,Fixo/30*FF$4+(Q6+Q7+Q8+R6+R7+R8+S6+S7+S8+T6+T7-16)*Percapita/30*FF$4))))))</f>
        <v>12885.740000000002</v>
      </c>
      <c r="FG6" s="177">
        <f>IF(C6=4,SUM(U6+U7+U8+W6+W7+W8)*Percapita/30*FG$4+(V6+V7+V8+X6+X7+X8)*Cadeirante/30*FG$4,IF(C6=3,IF(U9+W9=10,Fixo/30*FG$4+(U6+U7+U8+W6+W7+W8)*Percapita/30*FG$4+(V9+X9)*Cadeirante/30*FG$4,IF(U9+W9&lt;=9,(U9+W9)*Crechee/30*FG$4)+(V9+X9)*Cadeirante/30*FG$4+(U6+U7+U8+W6+W7+W8)*Percapita/30*FG$4)+IF(U9+W9&gt;=11,Fixo/30*FG$4+(U9+W9-10)*Crechee/30*FG$4,0),IF(C6=2,IF(V6+V7+V8+V9+X6+X7+X8+X9=1,Cadeirante/30*FG$4,IF(V6+V7+V8+V9+X6+X7+X8+X9=2,Fixo/30*FG$4,IF(V6+V7+V8+V9+X6+X7+X8+X9&gt;2,Fixo/30*FG$4+(V6+V7+V8+V9+X6+X7+X8+X9-2)*Cadeirante/30*FG$4)))+(U6+U7+U8+W6+W7+W8)*Percapita/30*FG$4+(U9+W9)*Crechee/30*FG$4,IF(C6=1,IF(U6+U7+U8+V6+V7+V8+W6+W7+W8+X6+X7+X8&lt;=15,(U6+U7+U8+W6+W7+W8)*Percapita/30*FG$4,IF(U6+U7+U8+V6+V7+V8+W6+W7+W8+X6+X7+X8&gt;=16,Fixo/30*FG$4+(U6+U7+U8+V6+V7+V8+W6+W7+W8+X6+X7-16)*Percapita/30*FG$4))))))</f>
        <v>0</v>
      </c>
      <c r="FH6" s="177">
        <f>IF(C6=4,SUM(Y6+Y7+Y8+AA6+AA7+AA8)*Percapita/30*FH$4+(Z6+Z7+Z8+AB6+AB7+AB8)*Cadeirante/30*FH$4,IF(C6=3,IF(Y9+AA9=10,Fixo/30*FH$4+(Y6+Y7+Y8+AA6+AA7+AA8)*Percapita/30*FH$4+(Z9+AB9)*Cadeirante/30*FH$4,IF(Y9+AA9&lt;=9,(Y9+AA9)*Crechee/30*FH$4)+(Z9+AB9)*Cadeirante/30*FH$4+(Y6+Y7+Y8+AA6+AA7+AA8)*Percapita/30*FH$4)+IF(Y9+AA9&gt;=11,Fixo/30*FH$4+(Y9+AA9-10)*Crechee/30*FH$4,0),IF(C6=2,IF(Z6+Z7+Z8+Z9+AB6+AB7+AB8+AB9=1,Cadeirante/30*FH$4,IF(Z6+Z7+Z8+Z9+AB6+AB7+AB8+AB9=2,Fixo/30*FH$4,IF(Z6+Z7+Z8+Z9+AB6+AB7+AB8+AB9&gt;2,Fixo/30*FH$4+(Z6+Z7+Z8+Z9+AB6+AB7+AB8+AB9-2)*Cadeirante/30*FH$4)))+(Y6+Y7+Y8+AA6+AA7+AA8)*Percapita/30*FH$4+(Y9+AA9)*Crechee/30*FH$4,IF(C6=1,IF(Y6+Y7+Y8+Z6+Z7+Z8+AA6+AA7+AA8+AB6+AB7+AB8&lt;=15,(Y6+Y7+Y8+AA6+AA7+AA8)*Percapita/30*FH$4,IF(Y6+Y7+Y8+Z6+Z7+Z8+AA6+AA7+AA8+AB6+AB7+AB8&gt;=16,Fixo/30*FH$4+(Y6+Y7+Y8+Z6+Z7+Z8+AA6+AA7+AA8+AB6+AB7-16)*Percapita/30*FH$4))))))</f>
        <v>0</v>
      </c>
      <c r="FI6" s="177">
        <f>IF(C6=4,SUM(AC6+AC7+AC8+AE6+AE7+AE8)*Percapita/30*FI$4+(AD6+AD7+AD8+AF6+AF7+AF8)*Cadeirante/30*FI$4,IF(C6=3,IF(AC9+AE9=10,Fixo/30*FI$4+(AC6+AC7+AC8+AE6+AE7+AE8)*Percapita/30*FI$4+(AD9+AF9)*Cadeirante/30*FI$4,IF(AC9+AE9&lt;=9,(AC9+AE9)*Crechee/30*FI$4)+(AD9+AF9)*Cadeirante/30*FI$4+(AC6+AC7+AC8+AE6+AE7+AE8)*Percapita/30*FI$4)+IF(AC9+AE9&gt;=11,Fixo/30*FI$4+(AC9+AE9-10)*Crechee/30*FI$4,0),IF(C6=2,IF(AD6+AD7+AD8+AD9+AF6+AF7+AF8+AF9=1,Cadeirante/30*FI$4,IF(AD6+AD7+AD8+AD9+AF6+AF7+AF8+AF9=2,Fixo/30*FI$4,IF(AD6+AD7+AD8+AD9+AF6+AF7+AF8+AF9&gt;2,Fixo/30*FI$4+(AD6+AD7+AD8+AD9+AF6+AF7+AF8+AF9-2)*Cadeirante/30*FI$4)))+(AC6+AC7+AC8+AE6+AE7+AE8)*Percapita/30*FI$4+(AC9+AE9)*Crechee/30*FI$4,IF(C6=1,IF(AC6+AC7+AC8+AD6+AD7+AD8+AE6+AE7+AE8+AF6+AF7+AF8&lt;=15,(AC6+AC7+AC8+AE6+AE7+AE8)*Percapita/30*FI$4,IF(AC6+AC7+AC8+AD6+AD7+AD8+AE6+AE7+AE8+AF6+AF7+AF8&gt;=16,Fixo/30*FI$4+(AC6+AC7+AC8+AD6+AD7+AD8+AE6+AE7+AE8+AF6+AF7-16)*Percapita/30*FI$4))))))</f>
        <v>0</v>
      </c>
      <c r="FJ6" s="177">
        <f>IF(C6=4,SUM(AG6+AG7+AG8+AI6+AI7+AI8)*Percapita/30*FJ$4+(AH6+AH7+AH8+AJ6+AJ7+AJ8)*Cadeirante/30*FJ$4,IF(C6=3,IF(AG9+AI9=10,Fixo/30*FJ$4+(AG6+AG7+AG8+AI6+AI7+AI8)*Percapita/30*FJ$4+(AH9+AJ9)*Cadeirante/30*FJ$4,IF(AG9+AI9&lt;=9,(AG9+AI9)*Crechee/30*FJ$4)+(AH9+AJ9)*Cadeirante/30*FJ$4+(AG6+AG7+AG8+AI6+AI7+AI8)*Percapita/30*FJ$4)+IF(AG9+AI9&gt;=11,Fixo/30*FJ$4+(AG9+AI9-10)*Crechee/30*FJ$4,0),IF(C6=2,IF(AH6+AH7+AH8+AH9+AJ6+AJ7+AJ8+AJ9=1,Cadeirante/30*FJ$4,IF(AH6+AH7+AH8+AH9+AJ6+AJ7+AJ8+AJ9=2,Fixo/30*FJ$4,IF(AH6+AH7+AH8+AH9+AJ6+AJ7+AJ8+AJ9&gt;2,Fixo/30*FJ$4+(AH6+AH7+AH8+AH9+AJ6+AJ7+AJ8+AJ9-2)*Cadeirante/30*FJ$4)))+(AG6+AG7+AG8+AI6+AI7+AI8)*Percapita/30*FJ$4+(AG9+AI9)*Crechee/30*FJ$4,IF(C6=1,IF(AG6+AG7+AG8+AH6+AH7+AH8+AI6+AI7+AI8+AJ6+AJ7+AJ8&lt;=15,(AG6+AG7+AG8+AI6+AI7+AI8)*Percapita/30*FJ$4,IF(AG6+AG7+AG8+AH6+AH7+AH8+AI6+AI7+AI8+AJ6+AJ7+AJ8&gt;=16,Fixo/30*FJ$4+(AG6+AG7+AG8+AH6+AH7+AH8+AI6+AI7+AI8+AJ6+AJ7-16)*Percapita/30*FJ$4))))))</f>
        <v>0</v>
      </c>
      <c r="FK6" s="177">
        <f>IF(C6=4,SUM(AK6+AK7+AK8+AM6+AM7+AM8)*Percapita/30*FK$4+(AL6+AL7+AL8+AN6+AN7+AN8)*Cadeirante/30*FK$4,IF(C6=3,IF(AK9+AM9=10,Fixo/30*FK$4+(AK6+AK7+AK8+AM6+AM7+AM8)*Percapita/30*FK$4+(AL9+AN9)*Cadeirante/30*FK$4,IF(AK9+AM9&lt;=9,(AK9+AM9)*Crechee/30*FK$4)+(AL9+AN9)*Cadeirante/30*FK$4+(AK6+AK7+AK8+AM6+AM7+AM8)*Percapita/30*FK$4)+IF(AK9+AM9&gt;=11,Fixo/30*FK$4+(AK9+AM9-10)*Crechee/30*FK$4,0),IF(C6=2,IF(AL6+AL7+AL8+AL9+AN6+AN7+AN8+AN9=1,Cadeirante/30*FK$4,IF(AL6+AL7+AL8+AL9+AN6+AN7+AN8+AN9=2,Fixo/30*FK$4,IF(AL6+AL7+AL8+AL9+AN6+AN7+AN8+AN9&gt;2,Fixo/30*FK$4+(AL6+AL7+AL8+AL9+AN6+AN7+AN8+AN9-2)*Cadeirante/30*FK$4)))+(AK6+AK7+AK8+AM6+AM7+AM8)*Percapita/30*FK$4+(AK9+AM9)*Crechee/30*FK$4,IF(C6=1,IF(AK6+AK7+AK8+AL6+AL7+AL8+AM6+AM7+AM8+AN6+AN7+AN8&lt;=15,(AK6+AK7+AK8+AM6+AM7+AM8)*Percapita/30*FK$4,IF(AK6+AK7+AK8+AL6+AL7+AL8+AM6+AM7+AM8+AN6+AN7+AN8&gt;=16,Fixo/30*FK$4+(AK6+AK7+AK8+AL6+AL7+AL8+AM6+AM7+AM8+AN6+AN7-16)*Percapita/30*FK$4))))))</f>
        <v>0</v>
      </c>
      <c r="FL6" s="177">
        <f>IF(C6=4,SUM(AO6+AO7+AO8+AQ6+AQ7+AQ8)*Percapita/30*FL$4+(AP6+AP7+AP8+AR6+AR7+AR8)*Cadeirante/30*FL$4,IF(C6=3,IF(AO9+AQ9=10,Fixo/30*FL$4+(AO6+AO7+AO8+AQ6+AQ7+AQ8)*Percapita/30*FL$4+(AP9+AR9)*Cadeirante/30*FL$4,IF(AO9+AQ9&lt;=9,(AO9+AQ9)*Crechee/30*FL$4)+(AP9+AR9)*Cadeirante/30*FL$4+(AO6+AO7+AO8+AQ6+AQ7+AQ8)*Percapita/30*FL$4)+IF(AO9+AQ9&gt;=11,Fixo/30*FL$4+(AO9+AQ9-10)*Crechee/30*FL$4,0),IF(C6=2,IF(AP6+AP7+AP8+AP9+AR6+AR7+AR8+AR9=1,Cadeirante/30*FL$4,IF(AP6+AP7+AP8+AP9+AR6+AR7+AR8+AR9=2,Fixo/30*FL$4,IF(AP6+AP7+AP8+AP9+AR6+AR7+AR8+AR9&gt;2,Fixo/30*FL$4+(AP6+AP7+AP8+AP9+AR6+AR7+AR8+AR9-2)*Cadeirante/30*FL$4)))+(AO6+AO7+AO8+AQ6+AQ7+AQ8)*Percapita/30*FL$4+(AO9+AQ9)*Crechee/30*FL$4,IF(C6=1,IF(AO6+AO7+AO8+AP6+AP7+AP8+AQ6+AQ7+AQ8+AR6+AR7+AR8&lt;=15,(AO6+AO7+AO8+AQ6+AQ7+AQ8)*Percapita/30*FL$4,IF(AO6+AO7+AO8+AP6+AP7+AP8+AQ6+AQ7+AQ8+AR6+AR7+AR8&gt;=16,Fixo/30*FL$4+(AO6+AO7+AO8+AP6+AP7+AP8+AQ6+AQ7+AQ8+AR6+AR7-16)*Percapita/30*FL$4))))))</f>
        <v>0</v>
      </c>
      <c r="FM6" s="177">
        <f>IF(C6=4,SUM(AS6+AS7+AS8+AU6+AU7+AU8)*Percapita/30*FM$4+(AT6+AT7+AT8+AV6+AV7+AV8)*Cadeirante/30*FM$4,IF(C6=3,IF(AS9+AU9=10,Fixo/30*FM$4+(AS6+AS7+AS8+AU6+AU7+AU8)*Percapita/30*FM$4+(AT9+AV9)*Cadeirante/30*FM$4,IF(AS9+AU9&lt;=9,(AS9+AU9)*Crechee/30*FM$4)+(AT9+AV9)*Cadeirante/30*FM$4+(AS6+AS7+AS8+AU6+AU7+AU8)*Percapita/30*FM$4)+IF(AS9+AU9&gt;=11,Fixo/30*FM$4+(AS9+AU9-10)*Crechee/30*FM$4,0),IF(C6=2,IF(AT6+AT7+AT8+AT9+AV6+AV7+AV8+AV9=1,Cadeirante/30*FM$4,IF(AT6+AT7+AT8+AT9+AV6+AV7+AV8+AV9=2,Fixo/30*FM$4,IF(AT6+AT7+AT8+AT9+AV6+AV7+AV8+AV9&gt;2,Fixo/30*FM$4+(AT6+AT7+AT8+AT9+AV6+AV7+AV8+AV9-2)*Cadeirante/30*FM$4)))+(AS6+AS7+AS8+AU6+AU7+AU8)*Percapita/30*FM$4+(AS9+AU9)*Crechee/30*FM$4,IF(C6=1,IF(AS6+AS7+AS8+AT6+AT7+AT8+AU6+AU7+AU8+AV6+AV7+AV8&lt;=15,(AS6+AS7+AS8+AU6+AU7+AU8)*Percapita/30*FM$4,IF(AS6+AS7+AS8+AT6+AT7+AT8+AU6+AU7+AU8+AV6+AV7+AV8&gt;=16,Fixo/30*FM$4+(AS6+AS7+AS8+AT6+AT7+AT8+AU6+AU7+AU8+AV6+AV7-16)*Percapita/30*FM$4))))))</f>
        <v>0</v>
      </c>
      <c r="FN6" s="177">
        <f>IF(C6=4,SUM(AW6+AW7+AW8+AY6+AY7+AY8)*Percapita/30*FN$4+(AX6+AX7+AX8+AZ6+AZ7+AZ8)*Cadeirante/30*FN$4,IF(C6=3,IF(AW9+AY9=10,Fixo/30*FN$4+(AW6+AW7+AW8+AY6+AY7+AY8)*Percapita/30*FN$4+(AX9+AZ9)*Cadeirante/30*FN$4,IF(AW9+AY9&lt;=9,(AW9+AY9)*Crechee/30*FN$4)+(AX9+AZ9)*Cadeirante/30*FN$4+(AW6+AW7+AW8+AY6+AY7+AY8)*Percapita/30*FN$4)+IF(AW9+AY9&gt;=11,Fixo/30*FN$4+(AW9+AY9-10)*Crechee/30*FN$4,0),IF(C6=2,IF(AX6+AX7+AX8+AX9+AZ6+AZ7+AZ8+AZ9=1,Cadeirante/30*FN$4,IF(AX6+AX7+AX8+AX9+AZ6+AZ7+AZ8+AZ9=2,Fixo/30*FN$4,IF(AX6+AX7+AX8+AX9+AZ6+AZ7+AZ8+AZ9&gt;2,Fixo/30*FN$4+(AX6+AX7+AX8+AX9+AZ6+AZ7+AZ8+AZ9-2)*Cadeirante/30*FN$4)))+(AW6+AW7+AW8+AY6+AY7+AY8)*Percapita/30*FN$4+(AW9+AY9)*Crechee/30*FN$4,IF(C6=1,IF(AW6+AW7+AW8+AX6+AX7+AX8+AY6+AY7+AY8+AZ6+AZ7+AZ8&lt;=15,(AW6+AW7+AW8+AY6+AY7+AY8)*Percapita/30*FN$4,IF(AW6+AW7+AW8+AX6+AX7+AX8+AY6+AY7+AY8+AZ6+AZ7+AZ8&gt;=16,Fixo/30*FN$4+(AW6+AW7+AW8+AX6+AX7+AX8+AY6+AY7+AY8+AZ6+AZ7-16)*Percapita/30*FN$4))))))</f>
        <v>0</v>
      </c>
      <c r="FO6" s="177">
        <f>IF(C6=4,SUM(BA6+BA7+BA8+BC6+BC7+BC8)*Percapita/30*FO$4+(BB6+BB7+BB8+BD6+BD7+BD8)*Cadeirante/30*FO$4,IF(C6=3,IF(BA9+BC9=10,Fixo/30*FO$4+(BA6+BA7+BA8+BC6+BC7+BC8)*Percapita/30*FO$4+(BB9+BD9)*Cadeirante/30*FO$4,IF(BA9+BC9&lt;=9,(BA9+BC9)*Crechee/30*FO$4)+(BB9+BD9)*Cadeirante/30*FO$4+(BA6+BA7+BA8+BC6+BC7+BC8)*Percapita/30*FO$4)+IF(BA9+BC9&gt;=11,Fixo/30*FO$4+(BA9+BC9-10)*Crechee/30*FO$4,0),IF(C6=2,IF(BB6+BB7+BB8+BB9+BD6+BD7+BD8+BD9=1,Cadeirante/30*FO$4,IF(BB6+BB7+BB8+BB9+BD6+BD7+BD8+BD9=2,Fixo/30*FO$4,IF(BB6+BB7+BB8+BB9+BD6+BD7+BD8+BD9&gt;2,Fixo/30*FO$4+(BB6+BB7+BB8+BB9+BD6+BD7+BD8+BD9-2)*Cadeirante/30*FO$4)))+(BA6+BA7+BA8+BC6+BC7+BC8)*Percapita/30*FO$4+(BA9+BC9)*Crechee/30*FO$4,IF(C6=1,IF(BA6+BA7+BA8+BB6+BB7+BB8+BC6+BC7+BC8+BD6+BD7+BD8&lt;=15,(BA6+BA7+BA8+BC6+BC7+BC8)*Percapita/30*FO$4,IF(BA6+BA7+BA8+BB6+BB7+BB8+BC6+BC7+BC8+BD6+BD7+BD8&gt;=16,Fixo/30*FO$4+(BA6+BA7+BA8+BB6+BB7+BB8+BC6+BC7+BC8+BD6+BD7-16)*Percapita/30*FO$4))))))</f>
        <v>0</v>
      </c>
      <c r="FP6" s="177">
        <f>IF(C6=4,SUM(BE6+BE7+BE8+BG6+BG7+BG8)*Percapita/30*FP$4+(BF6+BF7+BF8+BH6+BH7+BH8)*Cadeirante/30*FP$4,IF(C6=3,IF(BE9+BG9=10,Fixo/30*FP$4+(BE6+BE7+BE8+BG6+BG7+BG8)*Percapita/30*FP$4+(BF9+BH9)*Cadeirante/30*FP$4,IF(BE9+BG9&lt;=9,(BE9+BG9)*Crechee/30*FP$4)+(BF9+BH9)*Cadeirante/30*FP$4+(BE6+BE7+BE8+BG6+BG7+BG8)*Percapita/30*FP$4)+IF(BE9+BG9&gt;=11,Fixo/30*FP$4+(BE9+BG9-10)*Crechee/30*FP$4,0),IF(C6=2,IF(BF6+BF7+BF8+BF9+BH6+BH7+BH8+BH9=1,Cadeirante/30*FP$4,IF(BF6+BF7+BF8+BF9+BH6+BH7+BH8+BH9=2,Fixo/30*FP$4,IF(BF6+BF7+BF8+BF9+BH6+BH7+BH8+BH9&gt;2,Fixo/30*FP$4+(BF6+BF7+BF8+BF9+BH6+BH7+BH8+BH9-2)*Cadeirante/30*FP$4)))+(BE6+BE7+BE8+BG6+BG7+BG8)*Percapita/30*FP$4+(BE9+BG9)*Crechee/30*FP$4,IF(C6=1,IF(BE6+BE7+BE8+BF6+BF7+BF8+BG6+BG7+BG8+BH6+BH7+BH8&lt;=15,(BE6+BE7+BE8+BG6+BG7+BG8)*Percapita/30*FP$4,IF(BE6+BE7+BE8+BF6+BF7+BF8+BG6+BG7+BG8+BH6+BH7+BH8&gt;=16,Fixo/30*FP$4+(BE6+BE7+BE8+BF6+BF7+BF8+BG6+BG7+BG8+BH6+BH7-16)*Percapita/30*FP$4))))))</f>
        <v>0</v>
      </c>
      <c r="FQ6" s="177">
        <f>IF(C6=4,SUM(BI6+BI7+BI8+BK6+BK7+BK8)*Percapita/30*FQ$4+(BJ6+BJ7+BJ8+BL6+BL7+BL8)*Cadeirante/30*FQ$4,IF(C6=3,IF(BI9+BK9=10,Fixo/30*FQ$4+(BI6+BI7+BI8+BK6+BK7+BK8)*Percapita/30*FQ$4+(BJ9+BL9)*Cadeirante/30*FQ$4,IF(BI9+BK9&lt;=9,(BI9+BK9)*Crechee/30*FQ$4)+(BJ9+BL9)*Cadeirante/30*FQ$4+(BI6+BI7+BI8+BK6+BK7+BK8)*Percapita/30*FQ$4)+IF(BI9+BK9&gt;=11,Fixo/30*FQ$4+(BI9+BK9-10)*Crechee/30*FQ$4,0),IF(C6=2,IF(BJ6+BJ7+BJ8+BJ9+BL6+BL7+BL8+BL9=1,Cadeirante/30*FQ$4,IF(BJ6+BJ7+BJ8+BJ9+BL6+BL7+BL8+BL9=2,Fixo/30*FQ$4,IF(BJ6+BJ7+BJ8+BJ9+BL6+BL7+BL8+BL9&gt;2,Fixo/30*FQ$4+(BJ6+BJ7+BJ8+BJ9+BL6+BL7+BL8+BL9-2)*Cadeirante/30*FQ$4)))+(BI6+BI7+BI8+BK6+BK7+BK8)*Percapita/30*FQ$4+(BI9+BK9)*Crechee/30*FQ$4,IF(C6=1,IF(BI6+BI7+BI8+BJ6+BJ7+BJ8+BK6+BK7+BK8+BL6+BL7+BL8&lt;=15,(BI6+BI7+BI8+BK6+BK7+BK8)*Percapita/30*FQ$4,IF(BI6+BI7+BI8+BJ6+BJ7+BJ8+BK6+BK7+BK8+BL6+BL7+BL8&gt;=16,Fixo/30*FQ$4+(BI6+BI7+BI8+BJ6+BJ7+BJ8+BK6+BK7+BK8+BL6+BL7-16)*Percapita/30*FQ$4))))))</f>
        <v>0</v>
      </c>
      <c r="FR6" s="177">
        <f>IF(C6=4,SUM(BM6+BM7+BM8+BO6+BO7+BO8)*Percapita/30*FR$4+(BN6+BN7+BN8+BP6+BP7+BP8)*Cadeirante/30*FR$4,IF(C6=3,IF(BM9+BO9=10,Fixo/30*FR$4+(BM6+BM7+BM8+BO6+BO7+BO8)*Percapita/30*FR$4+(BN9+BP9)*Cadeirante/30*FR$4,IF(BM9+BO9&lt;=9,(BM9+BO9)*Crechee/30*FR$4)+(BN9+BP9)*Cadeirante/30*FR$4+(BM6+BM7+BM8+BO6+BO7+BO8)*Percapita/30*FR$4)+IF(BM9+BO9&gt;=11,Fixo/30*FR$4+(BM9+BO9-10)*Crechee/30*FR$4,0),IF(C6=2,IF(BN6+BN7+BN8+BN9+BP6+BP7+BP8+BP9=1,Cadeirante/30*FR$4,IF(BN6+BN7+BN8+BN9+BP6+BP7+BP8+BP9=2,Fixo/30*FR$4,IF(BN6+BN7+BN8+BN9+BP6+BP7+BP8+BP9&gt;2,Fixo/30*FR$4+(BN6+BN7+BN8+BN9+BP6+BP7+BP8+BP9-2)*Cadeirante/30*FR$4)))+(BM6+BM7+BM8+BO6+BO7+BO8)*Percapita/30*FR$4+(BM9+BO9)*Crechee/30*FR$4,IF(C6=1,IF(BM6+BM7+BM8+BN6+BN7+BN8+BO6+BO7+BO8+BP6+BP7+BP8&lt;=15,(BM6+BM7+BM8+BO6+BO7+BO8)*Percapita/30*FR$4,IF(BM6+BM7+BM8+BN6+BN7+BN8+BO6+BO7+BO8+BP6+BP7+BP8&gt;=16,Fixo/30*FR$4+(BM6+BM7+BM8+BN6+BN7+BN8+BO6+BO7+BO8+BP6+BP7-16)*Percapita/30*FR$4))))))</f>
        <v>0</v>
      </c>
      <c r="FS6" s="177">
        <f>IF(C6=4,SUM(BQ6+BQ7+BQ8+BS6+BS7+BS8)*Percapita/30*FS$4+(BR6+BR7+BR8+BT6+BT7+BT8)*Cadeirante/30*FS$4,IF(C6=3,IF(BQ9+BS9=10,Fixo/30*FS$4+(BQ6+BQ7+BQ8+BS6+BS7+BS8)*Percapita/30*FS$4+(BR9+BT9)*Cadeirante/30*FS$4,IF(BQ9+BS9&lt;=9,(BQ9+BS9)*Crechee/30*FS$4)+(BR9+BT9)*Cadeirante/30*FS$4+(BQ6+BQ7+BQ8+BS6+BS7+BS8)*Percapita/30*FS$4)+IF(BQ9+BS9&gt;=11,Fixo/30*FS$4+(BQ9+BS9-10)*Crechee/30*FS$4,0),IF(C6=2,IF(BR6+BR7+BR8+BR9+BT6+BT7+BT8+BT9=1,Cadeirante/30*FS$4,IF(BR6+BR7+BR8+BR9+BT6+BT7+BT8+BT9=2,Fixo/30*FS$4,IF(BR6+BR7+BR8+BR9+BT6+BT7+BT8+BT9&gt;2,Fixo/30*FS$4+(BR6+BR7+BR8+BR9+BT6+BT7+BT8+BT9-2)*Cadeirante/30*FS$4)))+(BQ6+BQ7+BQ8+BS6+BS7+BS8)*Percapita/30*FS$4+(BQ9+BS9)*Crechee/30*FS$4,IF(C6=1,IF(BQ6+BQ7+BQ8+BR6+BR7+BR8+BS6+BS7+BS8+BT6+BT7+BT8&lt;=15,(BQ6+BQ7+BQ8+BS6+BS7+BS8)*Percapita/30*FS$4,IF(BQ6+BQ7+BQ8+BR6+BR7+BR8+BS6+BS7+BS8+BT6+BT7+BT8&gt;=16,Fixo/30*FS$4+(BQ6+BQ7+BQ8+BR6+BR7+BR8+BS6+BS7+BS8+BT6+BT7-16)*Percapita/30*FS$4))))))</f>
        <v>0</v>
      </c>
      <c r="FT6" s="177">
        <f>IF(C6=4,SUM(BU6+BU7+BU8+BW6+BW7+BW8)*Percapita/30*FT$4+(BV6+BV7+BV8+BX6+BX7+BX8)*Cadeirante/30*FT$4,IF(C6=3,IF(BU9+BW9=10,Fixo/30*FT$4+(BU6+BU7+BU8+BW6+BW7+BW8)*Percapita/30*FT$4+(BV9+BX9)*Cadeirante/30*FT$4,IF(BU9+BW9&lt;=9,(BU9+BW9)*Crechee/30*FT$4)+(BV9+BX9)*Cadeirante/30*FT$4+(BU6+BU7+BU8+BW6+BW7+BW8)*Percapita/30*FT$4)+IF(BU9+BW9&gt;=11,Fixo/30*FT$4+(BU9+BW9-10)*Crechee/30*FT$4,0),IF(C6=2,IF(BV6+BV7+BV8+BV9+BX6+BX7+BX8+BX9=1,Cadeirante/30*FT$4,IF(BV6+BV7+BV8+BV9+BX6+BX7+BX8+BX9=2,Fixo/30*FT$4,IF(BV6+BV7+BV8+BV9+BX6+BX7+BX8+BX9&gt;2,Fixo/30*FT$4+(BV6+BV7+BV8+BV9+BX6+BX7+BX8+BX9-2)*Cadeirante/30*FT$4)))+(BU6+BU7+BU8+BW6+BW7+BW8)*Percapita/30*FT$4+(BU9+BW9)*Crechee/30*FT$4,IF(C6=1,IF(BU6+BU7+BU8+BV6+BV7+BV8+BW6+BW7+BW8+BX6+BX7+BX8&lt;=15,(BU6+BU7+BU8+BW6+BW7+BW8)*Percapita/30*FT$4,IF(BU6+BU7+BU8+BV6+BV7+BV8+BW6+BW7+BW8+BX6+BX7+BX8&gt;=16,Fixo/30*FT$4+(BU6+BU7+BU8+BV6+BV7+BV8+BW6+BW7+BW8+BX6+BX7-16)*Percapita/30*FT$4))))))</f>
        <v>0</v>
      </c>
      <c r="FU6" s="177">
        <f>IF(C6=4,SUM(BY6+BY7+BY8+CA6+CA7+CA8)*Percapita/30*FU$4+(BZ6+BZ7+BZ8+CB6+CB7+CB8)*Cadeirante/30*FU$4,IF(C6=3,IF(BY9+CA9=10,Fixo/30*FU$4+(BY6+BY7+BY8+CA6+CA7+CA8)*Percapita/30*FU$4+(BZ9+CB9)*Cadeirante/30*FU$4,IF(BY9+CA9&lt;=9,(BY9+CA9)*Crechee/30*FU$4)+(BZ9+CB9)*Cadeirante/30*FU$4+(BY6+BY7+BY8+CA6+CA7+CA8)*Percapita/30*FU$4)+IF(BY9+CA9&gt;=11,Fixo/30*FU$4+(BY9+CA9-10)*Crechee/30*FU$4,0),IF(C6=2,IF(BZ6+BZ7+BZ8+BZ9+CB6+CB7+CB8+CB9=1,Cadeirante/30*FU$4,IF(BZ6+BZ7+BZ8+BZ9+CB6+CB7+CB8+CB9=2,Fixo/30*FU$4,IF(BZ6+BZ7+BZ8+BZ9+CB6+CB7+CB8+CB9&gt;2,Fixo/30*FU$4+(BZ6+BZ7+BZ8+BZ9+CB6+CB7+CB8+CB9-2)*Cadeirante/30*FU$4)))+(BY6+BY7+BY8+CA6+CA7+CA8)*Percapita/30*FU$4+(BY9+CA9)*Crechee/30*FU$4,IF(C6=1,IF(BY6+BY7+BY8+BZ6+BZ7+BZ8+CA6+CA7+CA8+CB6+CB7+CB8&lt;=15,(BY6+BY7+BY8+CA6+CA7+CA8)*Percapita/30*FU$4,IF(BY6+BY7+BY8+BZ6+BZ7+BZ8+CA6+CA7+CA8+CB6+CB7+CB8&gt;=16,Fixo/30*FU$4+(BY6+BY7+BY8+BZ6+BZ7+BZ8+CA6+CA7+CA8+CB6+CB7-16)*Percapita/30*FU$4))))))</f>
        <v>0</v>
      </c>
      <c r="FV6" s="177">
        <f>IF(C6=4,SUM(CC6+CC7+CC8+CE6+CE7+CE8)*Percapita/30*FV$4+(CD6+CD7+CD8+CF6+CF7+CF8)*Cadeirante/30*FV$4,IF(C6=3,IF(CC9+CE9=10,Fixo/30*FV$4+(CC6+CC7+CC8+CE6+CE7+CE8)*Percapita/30*FV$4+(CD9+CF9)*Cadeirante/30*FV$4,IF(CC9+CE9&lt;=9,(CC9+CE9)*Crechee/30*FV$4)+(CD9+CF9)*Cadeirante/30*FV$4+(CC6+CC7+CC8+CE6+CE7+CE8)*Percapita/30*FV$4)+IF(CC9+CE9&gt;=11,Fixo/30*FV$4+(CC9+CE9-10)*Crechee/30*FV$4,0),IF(C6=2,IF(CD6+CD7+CD8+CD9+CF6+CF7+CF8+CF9=1,Cadeirante/30*FV$4,IF(CD6+CD7+CD8+CD9+CF6+CF7+CF8+CF9=2,Fixo/30*FV$4,IF(CD6+CD7+CD8+CD9+CF6+CF7+CF8+CF9&gt;2,Fixo/30*FV$4+(CD6+CD7+CD8+CD9+CF6+CF7+CF8+CF9-2)*Cadeirante/30*FV$4)))+(CC6+CC7+CC8+CE6+CE7+CE8)*Percapita/30*FV$4+(CC9+CE9)*Crechee/30*FV$4,IF(C6=1,IF(CC6+CC7+CC8+CD6+CD7+CD8+CE6+CE7+CE8+CF6+CF7+CF8&lt;=15,(CC6+CC7+CC8+CE6+CE7+CE8)*Percapita/30*FV$4,IF(CC6+CC7+CC8+CD6+CD7+CD8+CE6+CE7+CE8+CF6+CF7+CF8&gt;=16,Fixo/30*FV$4+(CC6+CC7+CC8+CD6+CD7+CD8+CE6+CE7+CE8+CF6+CF7-16)*Percapita/30*FV$4))))))</f>
        <v>0</v>
      </c>
      <c r="FW6" s="177">
        <f>IF(C6=4,SUM(CG6+CG7+CG8+CI6+CI7+CI8)*Percapita/30*FW$4+(CH6+CH7+CH8+CJ6+CJ7+CJ8)*Cadeirante/30*FW$4,IF(C6=3,IF(CG9+CI9=10,Fixo/30*FW$4+(CG6+CG7+CG8+CI6+CI7+CI8)*Percapita/30*FW$4+(CH9+CJ9)*Cadeirante/30*FW$4,IF(CG9+CI9&lt;=9,(CG9+CI9)*Crechee/30*FW$4)+(CH9+CJ9)*Cadeirante/30*FW$4+(CG6+CG7+CG8+CI6+CI7+CI8)*Percapita/30*FW$4)+IF(CG9+CI9&gt;=11,Fixo/30*FW$4+(CG9+CI9-10)*Crechee/30*FW$4,0),IF(C6=2,IF(CH6+CH7+CH8+CH9+CJ6+CJ7+CJ8+CJ9=1,Cadeirante/30*FW$4,IF(CH6+CH7+CH8+CH9+CJ6+CJ7+CJ8+CJ9=2,Fixo/30*FW$4,IF(CH6+CH7+CH8+CH9+CJ6+CJ7+CJ8+CJ9&gt;2,Fixo/30*FW$4+(CH6+CH7+CH8+CH9+CJ6+CJ7+CJ8+CJ9-2)*Cadeirante/30*FW$4)))+(CG6+CG7+CG8+CI6+CI7+CI8)*Percapita/30*FW$4+(CG9+CI9)*Crechee/30*FW$4,IF(C6=1,IF(CG6+CG7+CG8+CH6+CH7+CH8+CI6+CI7+CI8+CJ6+CJ7+CJ8&lt;=15,(CG6+CG7+CG8+CI6+CI7+CI8)*Percapita/30*FW$4,IF(CG6+CG7+CG8+CH6+CH7+CH8+CI6+CI7+CI8+CJ6+CJ7+CJ8&gt;=16,Fixo/30*FW$4+(CG6+CG7+CG8+CH6+CH7+CH8+CI6+CI7+CI8+CJ6+CJ7-16)*Percapita/30*FW$4))))))</f>
        <v>0</v>
      </c>
      <c r="FX6" s="177">
        <f>IF(C6=4,SUM(CK6+CK7+CK8+CM6+CM7+CM8)*Percapita/30*FX$4+(CL6+CL7+CL8+CN6+CN7+CN8)*Cadeirante/30*FX$4,IF(C6=3,IF(CK9+CM9=10,Fixo/30*FX$4+(CK6+CK7+CK8+CM6+CM7+CM8)*Percapita/30*FX$4+(CL9+CN9)*Cadeirante/30*FX$4,IF(CK9+CM9&lt;=9,(CK9+CM9)*Crechee/30*FX$4)+(CL9+CN9)*Cadeirante/30*FX$4+(CK6+CK7+CK8+CM6+CM7+CM8)*Percapita/30*FX$4)+IF(CK9+CM9&gt;=11,Fixo/30*FX$4+(CK9+CM9-10)*Crechee/30*FX$4,0),IF(C6=2,IF(CL6+CL7+CL8+CL9+CN6+CN7+CN8+CN9=1,Cadeirante/30*FX$4,IF(CL6+CL7+CL8+CL9+CN6+CN7+CN8+CN9=2,Fixo/30*FX$4,IF(CL6+CL7+CL8+CL9+CN6+CN7+CN8+CN9&gt;2,Fixo/30*FX$4+(CL6+CL7+CL8+CL9+CN6+CN7+CN8+CN9-2)*Cadeirante/30*FX$4)))+(CK6+CK7+CK8+CM6+CM7+CM8)*Percapita/30*FX$4+(CK9+CM9)*Crechee/30*FX$4,IF(C6=1,IF(CK6+CK7+CK8+CL6+CL7+CL8+CM6+CM7+CM8+CN6+CN7+CN8&lt;=15,(CK6+CK7+CK8+CM6+CM7+CM8)*Percapita/30*FX$4,IF(CK6+CK7+CK8+CL6+CL7+CL8+CM6+CM7+CM8+CN6+CN7+CN8&gt;=16,Fixo/30*FX$4+(CK6+CK7+CK8+CL6+CL7+CL8+CM6+CM7+CM8+CN6+CN7-16)*Percapita/30*FX$4))))))</f>
        <v>0</v>
      </c>
      <c r="FY6" s="177">
        <f>IF(C6=4,SUM(CO6+CO7+CO8+CQ6+CQ7+CQ8)*Percapita/30*FY$4+(CP6+CP7+CP8+CR6+CR7+CR8)*Cadeirante/30*FY$4,IF(C6=3,IF(CO9+CQ9=10,Fixo/30*FY$4+(CO6+CO7+CO8+CQ6+CQ7+CQ8)*Percapita/30*FY$4+(CP9+CR9)*Cadeirante/30*FY$4,IF(CO9+CQ9&lt;=9,(CO9+CQ9)*Crechee/30*FY$4)+(CP9+CR9)*Cadeirante/30*FY$4+(CO6+CO7+CO8+CQ6+CQ7+CQ8)*Percapita/30*FY$4)+IF(CO9+CQ9&gt;=11,Fixo/30*FY$4+(CO9+CQ9-10)*Crechee/30*FY$4,0),IF(C6=2,IF(CP6+CP7+CP8+CP9+CR6+CR7+CR8+CR9=1,Cadeirante/30*FY$4,IF(CP6+CP7+CP8+CP9+CR6+CR7+CR8+CR9=2,Fixo/30*FY$4,IF(CP6+CP7+CP8+CP9+CR6+CR7+CR8+CR9&gt;2,Fixo/30*FY$4+(CP6+CP7+CP8+CP9+CR6+CR7+CR8+CR9-2)*Cadeirante/30*FY$4)))+(CO6+CO7+CO8+CQ6+CQ7+CQ8)*Percapita/30*FY$4+(CO9+CQ9)*Crechee/30*FY$4,IF(C6=1,IF(CO6+CO7+CO8+CP6+CP7+CP8+CQ6+CQ7+CQ8+CR6+CR7+CR8&lt;=15,(CO6+CO7+CO8+CQ6+CQ7+CQ8)*Percapita/30*FY$4,IF(CO6+CO7+CO8+CP6+CP7+CP8+CQ6+CQ7+CQ8+CR6+CR7+CR8&gt;=16,Fixo/30*FY$4+(CO6+CO7+CO8+CP6+CP7+CP8+CQ6+CQ7+CQ8+CR6+CR7-16)*Percapita/30*FY$4))))))</f>
        <v>141.251</v>
      </c>
      <c r="FZ6" s="177">
        <f>IF(C6=4,SUM(CS6+CS7+CS8+CU6+CU7+CU8)*Percapita/30*FZ$4+(CT6+CT7+CT8+CV6+CV7+CV8)*Cadeirante/30*FZ$4,IF(C6=3,IF(CS9+CU9=10,Fixo/30*FZ$4+(CS6+CS7+CS8+CU6+CU7+CU8)*Percapita/30*FZ$4+(CT9+CV9)*Cadeirante/30*FZ$4,IF(CS9+CU9&lt;=9,(CS9+CU9)*Crechee/30*FZ$4)+(CT9+CV9)*Cadeirante/30*FZ$4+(CS6+CS7+CS8+CU6+CU7+CU8)*Percapita/30*FZ$4)+IF(CS9+CU9&gt;=11,Fixo/30*FZ$4+(CS9+CU9-10)*Crechee/30*FZ$4,0),IF(C6=2,IF(CT6+CT7+CT8+CT9+CV6+CV7+CV8+CV9=1,Cadeirante/30*FZ$4,IF(CT6+CT7+CT8+CT9+CV6+CV7+CV8+CV9=2,Fixo/30*FZ$4,IF(CT6+CT7+CT8+CT9+CV6+CV7+CV8+CV9&gt;2,Fixo/30*FZ$4+(CT6+CT7+CT8+CT9+CV6+CV7+CV8+CV9-2)*Cadeirante/30*FZ$4)))+(CS6+CS7+CS8+CU6+CU7+CU8)*Percapita/30*FZ$4+(CS9+CU9)*Crechee/30*FZ$4,IF(C6=1,IF(CS6+CS7+CS8+CT6+CT7+CT8+CU6+CU7+CU8+CV6+CV7+CV8&lt;=15,(CS6+CS7+CS8+CU6+CU7+CU8)*Percapita/30*FZ$4,IF(CS6+CS7+CS8+CT6+CT7+CT8+CU6+CU7+CU8+CV6+CV7+CV8&gt;=16,Fixo/30*FZ$4+(CS6+CS7+CS8+CT6+CT7+CT8+CU6+CU7+CU8+CV6+CV7-16)*Percapita/30*FZ$4))))))</f>
        <v>0</v>
      </c>
      <c r="GA6" s="177">
        <f>IF(C6=4,SUM(CW6+CW7+CW8+CY6+CY7+CY8)*Percapita/30*GA$4+(CX6+CX7+CX8+CZ6+CZ7+CZ8)*Cadeirante/30*GA$4,IF(C6=3,IF(CW9+CY9=10,Fixo/30*GA$4+(CW6+CW7+CW8+CY6+CY7+CY8)*Percapita/30*GA$4+(CX9+CZ9)*Cadeirante/30*GA$4,IF(CW9+CY9&lt;=9,(CW9+CY9)*Crechee/30*GA$4)+(CX9+CZ9)*Cadeirante/30*GA$4+(CW6+CW7+CW8+CY6+CY7+CY8)*Percapita/30*GA$4)+IF(CW9+CY9&gt;=11,Fixo/30*GA$4+(CW9+CY9-10)*Crechee/30*GA$4,0),IF(C6=2,IF(CX6+CX7+CX8+CX9+CZ6+CZ7+CZ8+CZ9=1,Cadeirante/30*GA$4,IF(CX6+CX7+CX8+CX9+CZ6+CZ7+CZ8+CZ9=2,Fixo/30*GA$4,IF(CX6+CX7+CX8+CX9+CZ6+CZ7+CZ8+CZ9&gt;2,Fixo/30*GA$4+(CX6+CX7+CX8+CX9+CZ6+CZ7+CZ8+CZ9-2)*Cadeirante/30*GA$4)))+(CW6+CW7+CW8+CY6+CY7+CY8)*Percapita/30*GA$4+(CW9+CY9)*Crechee/30*GA$4,IF(C6=1,IF(CW6+CW7+CW8+CX6+CX7+CX8+CY6+CY7+CY8+CZ6+CZ7+CZ8&lt;=15,(CW6+CW7+CW8+CY6+CY7+CY8)*Percapita/30*GA$4,IF(CW6+CW7+CW8+CX6+CX7+CX8+CY6+CY7+CY8+CZ6+CZ7+CZ8&gt;=16,Fixo/30*GA$4+(CW6+CW7+CW8+CX6+CX7+CX8+CY6+CY7+CY8+CZ6+CZ7-16)*Percapita/30*GA$4))))))</f>
        <v>0</v>
      </c>
      <c r="GB6" s="177">
        <f>IF(C6=4,SUM(DA6+DA7+DA8+DC6+DC7+DC8)*Percapita/30*GB$4+(DB6+DB7+DB8+DD6+DD7+DD8)*Cadeirante/30*GB$4,IF(C6=3,IF(DA9+DC9=10,Fixo/30*GB$4+(DA6+DA7+DA8+DC6+DC7+DC8)*Percapita/30*GB$4+(DB9+DD9)*Cadeirante/30*GB$4,IF(DA9+DC9&lt;=9,(DA9+DC9)*Crechee/30*GB$4)+(DB9+DD9)*Cadeirante/30*GB$4+(DA6+DA7+DA8+DC6+DC7+DC8)*Percapita/30*GB$4)+IF(DA9+DC9&gt;=11,Fixo/30*GB$4+(DA9+DC9-10)*Crechee/30*GB$4,0),IF(C6=2,IF(DB6+DB7+DB8+DB9+DD6+DD7+DD8+DD9=1,Cadeirante/30*GB$4,IF(DB6+DB7+DB8+DB9+DD6+DD7+DD8+DD9=2,Fixo/30*GB$4,IF(DB6+DB7+DB8+DB9+DD6+DD7+DD8+DD9&gt;2,Fixo/30*GB$4+(DB6+DB7+DB8+DB9+DD6+DD7+DD8+DD9-2)*Cadeirante/30*GB$4)))+(DA6+DA7+DA8+DC6+DC7+DC8)*Percapita/30*GB$4+(DA9+DC9)*Crechee/30*GB$4,IF(C6=1,IF(DA6+DA7+DA8+DB6+DB7+DB8+DC6+DC7+DC8+DD6+DD7+DD8&lt;=15,(DA6+DA7+DA8+DC6+DC7+DC8)*Percapita/30*GB$4,IF(DA6+DA7+DA8+DB6+DB7+DB8+DC6+DC7+DC8+DD6+DD7+DD8&gt;=16,Fixo/30*GB$4+(DA6+DA7+DA8+DB6+DB7+DB8+DC6+DC7+DC8+DD6+DD7-16)*Percapita/30*GB$4))))))</f>
        <v>0</v>
      </c>
      <c r="GC6" s="177">
        <f>IF(C6=4,SUM(DE6+DE7+DE8+DG6+DG7+DG8)*Percapita/30*GC$4+(DF6+DF7+DF8+DH6+DH7+DH8)*Cadeirante/30*GC$4,IF(C6=3,IF(DE9+DG9=10,Fixo/30*GC$4+(DE6+DE7+DE8+DG6+DG7+DG8)*Percapita/30*GC$4+(DF9+DH9)*Cadeirante/30*GC$4,IF(DE9+DG9&lt;=9,(DE9+DG9)*Crechee/30*GC$4)+(DF9+DH9)*Cadeirante/30*GC$4+(DE6+DE7+DE8+DG6+DG7+DG8)*Percapita/30*GC$4)+IF(DE9+DG9&gt;=11,Fixo/30*GC$4+(DE9+DG9-10)*Crechee/30*GC$4,0),IF(C6=2,IF(DF6+DF7+DF8+DF9+DH6+DH7+DH8+DH9=1,Cadeirante/30*GC$4,IF(DF6+DF7+DF8+DF9+DH6+DH7+DH8+DH9=2,Fixo/30*GC$4,IF(DF6+DF7+DF8+DF9+DH6+DH7+DH8+DH9&gt;2,Fixo/30*GC$4+(DF6+DF7+DF8+DF9+DH6+DH7+DH8+DH9-2)*Cadeirante/30*GC$4)))+(DE6+DE7+DE8+DG6+DG7+DG8)*Percapita/30*GC$4+(DE9+DG9)*Crechee/30*GC$4,IF(C6=1,IF(DE6+DE7+DE8+DF6+DF7+DF8+DG6+DG7+DG8+DH6+DH7+DH8&lt;=15,(DE6+DE7+DE8+DG6+DG7+DG8)*Percapita/30*GC$4,IF(DE6+DE7+DE8+DF6+DF7+DF8+DG6+DG7+DG8+DH6+DH7+DH8&gt;=16,Fixo/30*GC$4+(DE6+DE7+DE8+DF6+DF7+DF8+DG6+DG7+DG8+DH6+DH7-16)*Percapita/30*GC$4))))))</f>
        <v>0</v>
      </c>
      <c r="GD6" s="177">
        <f>IF(C6=4,SUM(DI6+DI7+DI8+DK6+DK7+DK8)*Percapita/30*GD$4+(DJ6+DJ7+DJ8+DL6+DL7+DL8)*Cadeirante/30*GD$4,IF(C6=3,IF(DI9+DK9=10,Fixo/30*GD$4+(DI6+DI7+DI8+DK6+DK7+DK8)*Percapita/30*GD$4+(DJ9+DL9)*Cadeirante/30*GD$4,IF(DI9+DK9&lt;=9,(DI9+DK9)*Crechee/30*GD$4)+(DJ9+DL9)*Cadeirante/30*GD$4+(DI6+DI7+DI8+DK6+DK7+DK8)*Percapita/30*GD$4)+IF(DI9+DK9&gt;=11,Fixo/30*GD$4+(DI9+DK9-10)*Crechee/30*GD$4,0),IF(C6=2,IF(DJ6+DJ7+DJ8+DJ9+DL6+DL7+DL8+DL9=1,Cadeirante/30*GD$4,IF(DJ6+DJ7+DJ8+DJ9+DL6+DL7+DL8+DL9=2,Fixo/30*GD$4,IF(DJ6+DJ7+DJ8+DJ9+DL6+DL7+DL8+DL9&gt;2,Fixo/30*GD$4+(DJ6+DJ7+DJ8+DJ9+DL6+DL7+DL8+DL9-2)*Cadeirante/30*GD$4)))+(DI6+DI7+DI8+DK6+DK7+DK8)*Percapita/30*GD$4+(DI9+DK9)*Crechee/30*GD$4,IF(C6=1,IF(DI6+DI7+DI8+DJ6+DJ7+DJ8+DK6+DK7+DK8+DL6+DL7+DL8&lt;=15,(DI6+DI7+DI8+DK6+DK7+DK8)*Percapita/30*GD$4,IF(DI6+DI7+DI8+DJ6+DJ7+DJ8+DK6+DK7+DK8+DL6+DL7+DL8&gt;=16,Fixo/30*GD$4+(DI6+DI7+DI8+DJ6+DJ7+DJ8+DK6+DK7+DK8+DL6+DL7-16)*Percapita/30*GD$4))))))</f>
        <v>0</v>
      </c>
      <c r="GE6" s="177">
        <f>IF(C6=4,SUM(DM6+DM7+DM8+DO6+DO7+DO8)*Percapita/30*GE$4+(DN6+DN7+DN8+DP6+DP7+DP8)*Cadeirante/30*GE$4,IF(C6=3,IF(DM9+DO9=10,Fixo/30*GE$4+(DM6+DM7+DM8+DO6+DO7+DO8)*Percapita/30*GE$4+(DN9+DP9)*Cadeirante/30*GE$4,IF(DM9+DO9&lt;=9,(DM9+DO9)*Crechee/30*GE$4)+(DN9+DP9)*Cadeirante/30*GE$4+(DM6+DM7+DM8+DO6+DO7+DO8)*Percapita/30*GE$4)+IF(DM9+DO9&gt;=11,Fixo/30*GE$4+(DM9+DO9-10)*Crechee/30*GE$4,0),IF(C6=2,IF(DN6+DN7+DN8+DN9+DP6+DP7+DP8+DP9=1,Cadeirante/30*GE$4,IF(DN6+DN7+DN8+DN9+DP6+DP7+DP8+DP9=2,Fixo/30*GE$4,IF(DN6+DN7+DN8+DN9+DP6+DP7+DP8+DP9&gt;2,Fixo/30*GE$4+(DN6+DN7+DN8+DN9+DP6+DP7+DP8+DP9-2)*Cadeirante/30*GE$4)))+(DM6+DM7+DM8+DO6+DO7+DO8)*Percapita/30*GE$4+(DM9+DO9)*Crechee/30*GE$4,IF(C6=1,IF(DM6+DM7+DM8+DN6+DN7+DN8+DO6+DO7+DO8+DP6+DP7+DP8&lt;=15,(DM6+DM7+DM8+DO6+DO7+DO8)*Percapita/30*GE$4,IF(DM6+DM7+DM8+DN6+DN7+DN8+DO6+DO7+DO8+DP6+DP7+DP8&gt;=16,Fixo/30*GE$4+(DM6+DM7+DM8+DN6+DN7+DN8+DO6+DO7+DO8+DP6+DP7-16)*Percapita/30*GE$4))))))</f>
        <v>0</v>
      </c>
      <c r="GF6" s="177">
        <f>IF(C6=4,SUM(DQ6+DQ7+DQ8+DS6+DS7+DS8)*Percapita/30*GF$4+(DR6+DR7+DR8+DT6+DT7+DT8)*Cadeirante/30*GF$4,IF(C6=3,IF(DQ9+DS9=10,Fixo/30*GF$4+(DQ6+DQ7+DQ8+DS6+DS7+DS8)*Percapita/30*GF$4+(DR9+DT9)*Cadeirante/30*GF$4,IF(DQ9+DS9&lt;=9,(DQ9+DS9)*Crechee/30*GF$4)+(DR9+DT9)*Cadeirante/30*GF$4+(DQ6+DQ7+DQ8+DS6+DS7+DS8)*Percapita/30*GF$4)+IF(DQ9+DS9&gt;=11,Fixo/30*GF$4+(DQ9+DS9-10)*Crechee/30*GF$4,0),IF(C6=2,IF(DR6+DR7+DR8+DR9+DT6+DT7+DT8+DT9=1,Cadeirante/30*GF$4,IF(DR6+DR7+DR8+DR9+DT6+DT7+DT8+DT9=2,Fixo/30*GF$4,IF(DR6+DR7+DR8+DR9+DT6+DT7+DT8+DT9&gt;2,Fixo/30*GF$4+(DR6+DR7+DR8+DR9+DT6+DT7+DT8+DT9-2)*Cadeirante/30*GF$4)))+(DQ6+DQ7+DQ8+DS6+DS7+DS8)*Percapita/30*GF$4+(DQ9+DS9)*Crechee/30*GF$4,IF(C6=1,IF(DQ6+DQ7+DQ8+DR6+DR7+DR8+DS6+DS7+DS8+DT6+DT7+DT8&lt;=15,(DQ6+DQ7+DQ8+DS6+DS7+DS8)*Percapita/30*GF$4,IF(DQ6+DQ7+DQ8+DR6+DR7+DR8+DS6+DS7+DS8+DT6+DT7+DT8&gt;=16,Fixo/30*GF$4+(DQ6+DQ7+DQ8+DR6+DR7+DR8+DS6+DS7+DS8+DT6+DT7-16)*Percapita/30*GF$4))))))</f>
        <v>0</v>
      </c>
      <c r="GG6" s="177">
        <f>IF(C6=4,SUM(DU6+DU7+DU8+DW6+DW7+DW8)*Percapita/30*GG$4+(DV6+DV7+DV8+DX6+DX7+DX8)*Cadeirante/30*GG$4,IF(C6=3,IF(DU9+DW9=10,Fixo/30*GG$4+(DU6+DU7+DU8+DW6+DW7+DW8)*Percapita/30*GG$4+(DV9+DX9)*Cadeirante/30*GG$4,IF(DU9+DW9&lt;=9,(DU9+DW9)*Crechee/30*GG$4)+(DV9+DX9)*Cadeirante/30*GG$4+(DU6+DU7+DU8+DW6+DW7+DW8)*Percapita/30*GG$4)+IF(DU9+DW9&gt;=11,Fixo/30*GG$4+(DU9+DW9-10)*Crechee/30*GG$4,0),IF(C6=2,IF(DV6+DV7+DV8+DV9+DX6+DX7+DX8+DX9=1,Cadeirante/30*GG$4,IF(DV6+DV7+DV8+DV9+DX6+DX7+DX8+DX9=2,Fixo/30*GG$4,IF(DV6+DV7+DV8+DV9+DX6+DX7+DX8+DX9&gt;2,Fixo/30*GG$4+(DV6+DV7+DV8+DV9+DX6+DX7+DX8+DX9-2)*Cadeirante/30*GG$4)))+(DU6+DU7+DU8+DW6+DW7+DW8)*Percapita/30*GG$4+(DU9+DW9)*Crechee/30*GG$4,IF(C6=1,IF(DU6+DU7+DU8+DV6+DV7+DV8+DW6+DW7+DW8+DX6+DX7+DX8&lt;=15,(DU6+DU7+DU8+DW6+DW7+DW8)*Percapita/30*GG$4,IF(DU6+DU7+DU8+DV6+DV7+DV8+DW6+DW7+DW8+DX6+DX7+DX8&gt;=16,Fixo/30*GG$4+(DU6+DU7+DU8+DV6+DV7+DV8+DW6+DW7+DW8+DX6+DX7-16)*Percapita/30*GG$4))))))</f>
        <v>0</v>
      </c>
      <c r="GH6" s="177">
        <f>IF(C6=4,SUM(DY6+DY7+DY8+EA6+EA7+EA8)*Percapita/30*GH$4+(DZ6+DZ7+DZ8+EB6+EB7+EB8)*Cadeirante/30*GH$4,IF(C6=3,IF(DY9+EA9=10,Fixo/30*GH$4+(DY6+DY7+DY8+EA6+EA7+EA8)*Percapita/30*GH$4+(DZ9+EB9)*Cadeirante/30*GH$4,IF(DY9+EA9&lt;=9,(DY9+EA9)*Crechee/30*GH$4)+(DZ9+EB9)*Cadeirante/30*GH$4+(DY6+DY7+DY8+EA6+EA7+EA8)*Percapita/30*GH$4)+IF(DY9+EA9&gt;=11,Fixo/30*GH$4+(DY9+EA9-10)*Crechee/30*GH$4,0),IF(C6=2,IF(DZ6+DZ7+DZ8+DZ9+EB6+EB7+EB8+EB9=1,Cadeirante/30*GH$4,IF(DZ6+DZ7+DZ8+DZ9+EB6+EB7+EB8+EB9=2,Fixo/30*GH$4,IF(DZ6+DZ7+DZ8+DZ9+EB6+EB7+EB8+EB9&gt;2,Fixo/30*GH$4+(DZ6+DZ7+DZ8+DZ9+EB6+EB7+EB8+EB9-2)*Cadeirante/30*GH$4)))+(DY6+DY7+DY8+EA6+EA7+EA8)*Percapita/30*GH$4+(DY9+EA9)*Crechee/30*GH$4,IF(C6=1,IF(DY6+DY7+DY8+DZ6+DZ7+DZ8+EA6+EA7+EA8+EB6+EB7+EB8&lt;=15,(DY6+DY7+DY8+EA6+EA7+EA8)*Percapita/30*GH$4,IF(DY6+DY7+DY8+DZ6+DZ7+DZ8+EA6+EA7+EA8+EB6+EB7+EB8&gt;=16,Fixo/30*GH$4+(DY6+DY7+DY8+DZ6+DZ7+DZ8+EA6+EA7+EA8+EB6+EB7-16)*Percapita/30*GH$4))))))</f>
        <v>0</v>
      </c>
      <c r="GI6" s="177">
        <f>IF(C6=4,SUM(EC6+EC7+EC8+EE6+EE7+EE8)*Percapita/30*GI$4+(ED6+ED7+ED8+EF6+EF7+EF8)*Cadeirante/30*GI$4,IF(C6=3,IF(EC9+EE9=10,Fixo/30*GI$4+(EC6+EC7+EC8+EE6+EE7+EE8)*Percapita/30*GI$4+(ED9+EF9)*Cadeirante/30*GI$4,IF(EC9+EE9&lt;=9,(EC9+EE9)*Crechee/30*GI$4)+(ED9+EF9)*Cadeirante/30*GI$4+(EC6+EC7+EC8+EE6+EE7+EE8)*Percapita/30*GI$4)+IF(EC9+EE9&gt;=11,Fixo/30*GI$4+(EC9+EE9-10)*Crechee/30*GI$4,0),IF(C6=2,IF(ED6+ED7+ED8+ED9+EF6+EF7+EF8+EF9=1,Cadeirante/30*GI$4,IF(ED6+ED7+ED8+ED9+EF6+EF7+EF8+EF9=2,Fixo/30*GI$4,IF(ED6+ED7+ED8+ED9+EF6+EF7+EF8+EF9&gt;2,Fixo/30*GI$4+(ED6+ED7+ED8+ED9+EF6+EF7+EF8+EF9-2)*Cadeirante/30*GI$4)))+(EC6+EC7+EC8+EE6+EE7+EE8)*Percapita/30*GI$4+(EC9+EE9)*Crechee/30*GI$4,IF(C6=1,IF(EC6+EC7+EC8+ED6+ED7+ED8+EE6+EE7+EE8+EF6+EF7+EF8&lt;=15,(EC6+EC7+EC8+EE6+EE7+EE8)*Percapita/30*GI$4,IF(EC6+EC7+EC8+ED6+ED7+ED8+EE6+EE7+EE8+EF6+EF7+EF8&gt;=16,Fixo/30*GI$4+(EC6+EC7+EC8+ED6+ED7+ED8+EE6+EE7+EE8+EF6+EF7-16)*Percapita/30*GI$4))))))</f>
        <v>0</v>
      </c>
      <c r="GJ6" s="177">
        <f>IF(C6=4,SUM(EG6+EG7+EG8+EI6+EI7+EI8)*Percapita/30*GJ$4+(EH6+EH7+EH8+EJ6+EJ7+EJ8)*Cadeirante/30*GJ$4,IF(C6=3,IF(EG9+EI9=10,Fixo/30*GJ$4+(EG6+EG7+EG8+EI6+EI7+EI8)*Percapita/30*GJ$4+(EH9+EJ9)*Cadeirante/30*GJ$4,IF(EG9+EI9&lt;=9,(EG9+EI9)*Crechee/30*GJ$4)+(EH9+EJ9)*Cadeirante/30*GJ$4+(EG6+EG7+EG8+EI6+EI7+EI8)*Percapita/30*GJ$4)+IF(EG9+EI9&gt;=11,Fixo/30*GJ$4+(EG9+EI9-10)*Crechee/30*GJ$4,0),IF(C6=2,IF(EH6+EH7+EH8+EH9+EJ6+EJ7+EJ8+EJ9=1,Cadeirante/30*GJ$4,IF(EH6+EH7+EH8+EH9+EJ6+EJ7+EJ8+EJ9=2,Fixo/30*GJ$4,IF(EH6+EH7+EH8+EH9+EJ6+EJ7+EJ8+EJ9&gt;2,Fixo/30*GJ$4+(EH6+EH7+EH8+EH9+EJ6+EJ7+EJ8+EJ9-2)*Cadeirante/30*GJ$4)))+(EG6+EG7+EG8+EI6+EI7+EI8)*Percapita/30*GJ$4+(EG9+EI9)*Crechee/30*GJ$4,IF(C6=1,IF(EG6+EG7+EG8+EH6+EH7+EH8+EI6+EI7+EI8+EJ6+EJ7+EJ8&lt;=15,(EG6+EG7+EG8+EI6+EI7+EI8)*Percapita/30*GJ$4,IF(EG6+EG7+EG8+EH6+EH7+EH8+EI6+EI7+EI8+EJ6+EJ7+EJ8&gt;=16,Fixo/30*GJ$4+(EG6+EG7+EG8+EH6+EH7+EH8+EI6+EI7+EI8+EJ6+EJ7-16)*Percapita/30*GJ$4))))))</f>
        <v>0</v>
      </c>
      <c r="GK6" s="178"/>
      <c r="GL6" s="103">
        <f t="shared" ref="GL6:GL10" si="17">IF(J6="ADAPTADO",T6*Cadeirante/30*GM6+S6*Percapita/30*GM6,IF(J6="NORMAL",(S6+T6)*Percapita/30*GM6,IF(J6="CRECHE",0)))*-1</f>
        <v>0</v>
      </c>
      <c r="GM6" s="124"/>
      <c r="GN6" s="104">
        <f>SUMIF(V6:V9,"&lt;0")*Cadeirante/30*GN$4+SUMIF(X6:X9,"&lt;0")*Cadeirante/30*GN$4</f>
        <v>0</v>
      </c>
      <c r="GO6" s="104">
        <f>SUMIF(Z6:Z9,"&lt;0")*Cadeirante/30*GO$4+SUMIF(AB6:AB9,"&lt;0")*Cadeirante/30*GO$4</f>
        <v>0</v>
      </c>
      <c r="GP6" s="104">
        <f>SUMIF(AD6:AD9,"&lt;0")*Cadeirante/30*GP$4+SUMIF(AF6:AF9,"&lt;0")*Cadeirante/30*GP$4</f>
        <v>0</v>
      </c>
      <c r="GQ6" s="104">
        <f>SUMIF(AH6:AH9,"&lt;0")*Cadeirante/30*GQ$4+SUMIF(AJ6:AJ9,"&lt;0")*Cadeirante/30*GQ$4</f>
        <v>0</v>
      </c>
      <c r="GR6" s="104">
        <f>SUMIF(AL6:AL9,"&lt;0")*Cadeirante/30*GR$4+SUMIF(AN6:AN9,"&lt;0")*Cadeirante/30*GR$4</f>
        <v>0</v>
      </c>
      <c r="GS6" s="104">
        <f>SUMIF(AP6:AP9,"&lt;0")*Cadeirante/30*GS$4+SUMIF(AR6:AR9,"&lt;0")*Cadeirante/30*GS$4</f>
        <v>0</v>
      </c>
      <c r="GT6" s="104">
        <f>SUMIF(AT6:AT9,"&lt;0")*Cadeirante/30*GT$4+SUMIF(AV6:AV9,"&lt;0")*Cadeirante/30*GT$4</f>
        <v>0</v>
      </c>
      <c r="GU6" s="104">
        <f>SUMIF(AX6:AX9,"&lt;0")*Cadeirante/30*GU$4+SUMIF(AZ6:AZ9,"&lt;0")*Cadeirante/30*GU$4</f>
        <v>0</v>
      </c>
      <c r="GV6" s="104">
        <f>SUMIF(BB6:BB9,"&lt;0")*Cadeirante/30*GV$4+SUMIF(BD6:BD9,"&lt;0")*Cadeirante/30*GV$4</f>
        <v>0</v>
      </c>
      <c r="GW6" s="104">
        <f>SUMIF(BF6:BF9,"&lt;0")*Cadeirante/30*GW$4+SUMIF(BH6:BH9,"&lt;0")*Cadeirante/30*GW$4</f>
        <v>0</v>
      </c>
      <c r="GX6" s="104">
        <f>SUMIF(BJ6:BJ9,"&lt;0")*Cadeirante/30*GX$4+SUMIF(BL6:BL9,"&lt;0")*Cadeirante/30*GX$4</f>
        <v>0</v>
      </c>
      <c r="GY6" s="104">
        <f>SUMIF(BN6:BN9,"&lt;0")*Cadeirante/30*GY$4+SUMIF(BP6:BP9,"&lt;0")*Cadeirante/30*GY$4</f>
        <v>0</v>
      </c>
      <c r="GZ6" s="104">
        <f>SUMIF(BR6:BR9,"&lt;0")*Cadeirante/30*GZ$4+SUMIF(BT6:BT9,"&lt;0")*Cadeirante/30*GZ$4</f>
        <v>0</v>
      </c>
      <c r="HA6" s="104">
        <f>SUMIF(BV6:BV9,"&lt;0")*Cadeirante/30*HA$4+SUMIF(BX6:BX9,"&lt;0")*Cadeirante/30*HA$4</f>
        <v>0</v>
      </c>
      <c r="HB6" s="104">
        <f>SUMIF(BZ6:BZ9,"&lt;0")*Cadeirante/30*HB$4+SUMIF(CB6:CB9,"&lt;0")*Cadeirante/30*HB$4</f>
        <v>0</v>
      </c>
      <c r="HC6" s="104">
        <f>SUMIF(CD6:CD9,"&lt;0")*Cadeirante/30*HC$4+SUMIF(CF6:CF9,"&lt;0")*Cadeirante/30*HC$4</f>
        <v>0</v>
      </c>
      <c r="HD6" s="104">
        <f>SUMIF(CH6:CH9,"&lt;0")*Cadeirante/30*HD$4+SUMIF(CJ6:CJ9,"&lt;0")*Cadeirante/30*HD$4</f>
        <v>0</v>
      </c>
      <c r="HE6" s="104">
        <f>SUMIF(CL6:CL9,"&lt;0")*Cadeirante/30*HE$4+SUMIF(CN6:CN9,"&lt;0")*Cadeirante/30*HE$4</f>
        <v>0</v>
      </c>
      <c r="HF6" s="104">
        <f>SUMIF(CP6:CP9,"&lt;0")*Cadeirante/30*HF$4+SUMIF(CR6:CR9,"&lt;0")*Cadeirante/30*HF$4</f>
        <v>0</v>
      </c>
      <c r="HG6" s="104">
        <f>SUMIF(CT6:CT9,"&lt;0")*Cadeirante/30*HG$4+SUMIF(CV6:CV9,"&lt;0")*Cadeirante/30*HG$4</f>
        <v>0</v>
      </c>
      <c r="HH6" s="104">
        <f>SUMIF(CX6:CX9,"&lt;0")*Cadeirante/30*HH$4+SUMIF(CZ6:CZ9,"&lt;0")*Cadeirante/30*HH$4</f>
        <v>0</v>
      </c>
      <c r="HI6" s="104">
        <f>SUMIF(DB6:DB9,"&lt;0")*Cadeirante/30*HI$4+SUMIF(DD6:DD9,"&lt;0")*Cadeirante/30*HI$4</f>
        <v>0</v>
      </c>
      <c r="HJ6" s="104">
        <f>SUMIF(DF6:DF9,"&lt;0")*Cadeirante/30*HJ$4+SUMIF(DH6:DH9,"&lt;0")*Cadeirante/30*HJ$4</f>
        <v>0</v>
      </c>
      <c r="HK6" s="104">
        <f>SUMIF(DJ6:DJ9,"&lt;0")*Cadeirante/30*HK$4+SUMIF(DL6:DL9,"&lt;0")*Cadeirante/30*HK$4</f>
        <v>0</v>
      </c>
      <c r="HL6" s="104">
        <f>SUMIF(DN6:DN9,"&lt;0")*Cadeirante/30*HL$4+SUMIF(DP6:DP9,"&lt;0")*Cadeirante/30*HL$4</f>
        <v>0</v>
      </c>
      <c r="HM6" s="104">
        <f>SUMIF(DR6:DR9,"&lt;0")*Cadeirante/30*HM$4+SUMIF(DT6:DT9,"&lt;0")*Cadeirante/30*HM$4</f>
        <v>0</v>
      </c>
      <c r="HN6" s="104">
        <f>SUMIF(DV6:DV9,"&lt;0")*Cadeirante/30*HN$4+SUMIF(DX6:DX9,"&lt;0")*Cadeirante/30*HN$4</f>
        <v>0</v>
      </c>
      <c r="HO6" s="104">
        <f>SUMIF(DZ6:DZ9,"&lt;0")*Cadeirante/30*HO$4+SUMIF(EB6:EB9,"&lt;0")*Cadeirante/30*HO$4</f>
        <v>0</v>
      </c>
      <c r="HP6" s="104">
        <f>SUMIF(ED6:ED9,"&lt;0")*Cadeirante/30*HP$4+SUMIF(EF6:EF9,"&lt;0")*Cadeirante/30*HP$4</f>
        <v>0</v>
      </c>
      <c r="HW6" s="176">
        <v>17629.309999999998</v>
      </c>
      <c r="HY6" s="280">
        <f>IF(ISTEXT(EM6), VALUE(EM6), EM6)</f>
        <v>0</v>
      </c>
      <c r="HZ6" s="280">
        <f>IF(ISTEXT(EN6), VALUE(EN6), EN6)</f>
        <v>0</v>
      </c>
      <c r="IA6" s="280">
        <f>IF(ISTEXT(EO6), VALUE(EO6), EO6)</f>
        <v>0</v>
      </c>
      <c r="IB6" s="64" t="b">
        <f>HW6=FE6</f>
        <v>0</v>
      </c>
    </row>
    <row r="7" spans="1:237" s="64" customFormat="1" ht="22.5" customHeight="1" x14ac:dyDescent="0.25">
      <c r="A7" s="368" t="s">
        <v>3190</v>
      </c>
      <c r="B7" s="369" t="s">
        <v>3191</v>
      </c>
      <c r="C7" s="370" t="s">
        <v>3186</v>
      </c>
      <c r="D7" s="371" t="s">
        <v>3192</v>
      </c>
      <c r="E7" s="371" t="s">
        <v>3193</v>
      </c>
      <c r="F7" s="372" t="s">
        <v>3182</v>
      </c>
      <c r="G7" s="372" t="s">
        <v>3183</v>
      </c>
      <c r="H7" s="373" t="s">
        <v>336</v>
      </c>
      <c r="I7" s="374" t="s">
        <v>336</v>
      </c>
      <c r="J7" s="421" t="s">
        <v>3184</v>
      </c>
      <c r="K7" s="421" t="s">
        <v>3187</v>
      </c>
      <c r="L7" s="329">
        <f>CONTINUA!BV7</f>
        <v>4</v>
      </c>
      <c r="M7" s="329">
        <f>CONTINUA!BW7</f>
        <v>0</v>
      </c>
      <c r="N7" s="342"/>
      <c r="O7" s="289" t="s">
        <v>3274</v>
      </c>
      <c r="P7" s="330">
        <v>0</v>
      </c>
      <c r="Q7" s="400">
        <v>30</v>
      </c>
      <c r="R7" s="401"/>
      <c r="S7" s="400"/>
      <c r="T7" s="401"/>
      <c r="U7" s="400"/>
      <c r="V7" s="401"/>
      <c r="W7" s="400"/>
      <c r="X7" s="401"/>
      <c r="Y7" s="400"/>
      <c r="Z7" s="401"/>
      <c r="AA7" s="400"/>
      <c r="AB7" s="401"/>
      <c r="AC7" s="400"/>
      <c r="AD7" s="401"/>
      <c r="AE7" s="400"/>
      <c r="AF7" s="401"/>
      <c r="AG7" s="400"/>
      <c r="AH7" s="401"/>
      <c r="AI7" s="400"/>
      <c r="AJ7" s="401"/>
      <c r="AK7" s="400"/>
      <c r="AL7" s="401"/>
      <c r="AM7" s="400"/>
      <c r="AN7" s="401"/>
      <c r="AO7" s="400"/>
      <c r="AP7" s="401"/>
      <c r="AQ7" s="400"/>
      <c r="AR7" s="401"/>
      <c r="AS7" s="400"/>
      <c r="AT7" s="401"/>
      <c r="AU7" s="400"/>
      <c r="AV7" s="401"/>
      <c r="AW7" s="400"/>
      <c r="AX7" s="401"/>
      <c r="AY7" s="400"/>
      <c r="AZ7" s="401"/>
      <c r="BA7" s="400"/>
      <c r="BB7" s="401"/>
      <c r="BC7" s="400"/>
      <c r="BD7" s="401"/>
      <c r="BE7" s="400"/>
      <c r="BF7" s="401"/>
      <c r="BG7" s="400"/>
      <c r="BH7" s="401"/>
      <c r="BI7" s="400"/>
      <c r="BJ7" s="401"/>
      <c r="BK7" s="400"/>
      <c r="BL7" s="401"/>
      <c r="BM7" s="400"/>
      <c r="BN7" s="401"/>
      <c r="BO7" s="400"/>
      <c r="BP7" s="401"/>
      <c r="BQ7" s="400"/>
      <c r="BR7" s="401"/>
      <c r="BS7" s="400"/>
      <c r="BT7" s="401"/>
      <c r="BU7" s="400"/>
      <c r="BV7" s="401"/>
      <c r="BW7" s="400"/>
      <c r="BX7" s="401"/>
      <c r="BY7" s="400"/>
      <c r="BZ7" s="401"/>
      <c r="CA7" s="400"/>
      <c r="CB7" s="401"/>
      <c r="CC7" s="400"/>
      <c r="CD7" s="401"/>
      <c r="CE7" s="400"/>
      <c r="CF7" s="401"/>
      <c r="CG7" s="400"/>
      <c r="CH7" s="401"/>
      <c r="CI7" s="400"/>
      <c r="CJ7" s="401"/>
      <c r="CK7" s="400"/>
      <c r="CL7" s="401"/>
      <c r="CM7" s="400"/>
      <c r="CN7" s="401"/>
      <c r="CO7" s="400"/>
      <c r="CP7" s="401"/>
      <c r="CQ7" s="400">
        <v>1</v>
      </c>
      <c r="CR7" s="401"/>
      <c r="CS7" s="400"/>
      <c r="CT7" s="401"/>
      <c r="CU7" s="400"/>
      <c r="CV7" s="401"/>
      <c r="CW7" s="400"/>
      <c r="CX7" s="401"/>
      <c r="CY7" s="400"/>
      <c r="CZ7" s="401"/>
      <c r="DA7" s="400"/>
      <c r="DB7" s="401"/>
      <c r="DC7" s="400"/>
      <c r="DD7" s="401"/>
      <c r="DE7" s="400"/>
      <c r="DF7" s="401"/>
      <c r="DG7" s="400">
        <v>0</v>
      </c>
      <c r="DH7" s="401"/>
      <c r="DI7" s="400"/>
      <c r="DJ7" s="401"/>
      <c r="DK7" s="400"/>
      <c r="DL7" s="401"/>
      <c r="DM7" s="400"/>
      <c r="DN7" s="401"/>
      <c r="DO7" s="400"/>
      <c r="DP7" s="401"/>
      <c r="DQ7" s="400"/>
      <c r="DR7" s="401"/>
      <c r="DS7" s="400"/>
      <c r="DT7" s="401"/>
      <c r="DU7" s="400"/>
      <c r="DV7" s="401"/>
      <c r="DW7" s="400"/>
      <c r="DX7" s="401"/>
      <c r="DY7" s="400"/>
      <c r="DZ7" s="401"/>
      <c r="EA7" s="400"/>
      <c r="EB7" s="401"/>
      <c r="EC7" s="400"/>
      <c r="ED7" s="401"/>
      <c r="EE7" s="400"/>
      <c r="EF7" s="401"/>
      <c r="EG7" s="400"/>
      <c r="EH7" s="401"/>
      <c r="EI7" s="400"/>
      <c r="EJ7" s="447"/>
      <c r="EK7" s="511"/>
      <c r="EL7" s="514"/>
      <c r="EM7" s="448"/>
      <c r="EN7" s="344"/>
      <c r="EO7" s="345"/>
      <c r="EP7" s="171">
        <f t="shared" si="9"/>
        <v>30</v>
      </c>
      <c r="EQ7" s="171">
        <f t="shared" si="10"/>
        <v>0</v>
      </c>
      <c r="ER7" s="171">
        <f t="shared" si="11"/>
        <v>1</v>
      </c>
      <c r="ES7" s="171">
        <f t="shared" si="12"/>
        <v>0</v>
      </c>
      <c r="ET7" s="171">
        <f t="shared" si="13"/>
        <v>0</v>
      </c>
      <c r="EU7" s="171">
        <f t="shared" si="14"/>
        <v>0</v>
      </c>
      <c r="EV7" s="172">
        <f t="shared" si="15"/>
        <v>31</v>
      </c>
      <c r="EW7" s="173"/>
      <c r="EX7" s="248">
        <f t="shared" si="16"/>
        <v>0</v>
      </c>
      <c r="EY7" s="174">
        <f>(L7*regular)+(M7*Cadeirantee)</f>
        <v>38.56</v>
      </c>
      <c r="EZ7" s="249">
        <f>SUMIF(FG7:GJ7,"&gt;0")</f>
        <v>0</v>
      </c>
      <c r="FA7" s="249">
        <f>SUMIF(FG7:GJ7,"&lt;0")+SUMIF(GN7:HP7,"&lt;0")</f>
        <v>0</v>
      </c>
      <c r="FB7" s="174">
        <v>0</v>
      </c>
      <c r="FC7" s="126">
        <f>N7*km*'VALORES TABELA'!$B$13</f>
        <v>0</v>
      </c>
      <c r="FD7" s="250">
        <f t="shared" ref="FD7:FD10" si="18">GL7</f>
        <v>0</v>
      </c>
      <c r="FE7" s="105"/>
      <c r="FF7" s="119"/>
      <c r="FG7" s="119"/>
      <c r="FH7" s="119"/>
      <c r="FI7" s="119"/>
      <c r="FJ7" s="119"/>
      <c r="FK7" s="119"/>
      <c r="FL7" s="119"/>
      <c r="FM7" s="119"/>
      <c r="FN7" s="119"/>
      <c r="FO7" s="119"/>
      <c r="FP7" s="119"/>
      <c r="FQ7" s="119"/>
      <c r="FR7" s="119"/>
      <c r="FS7" s="119"/>
      <c r="FT7" s="119"/>
      <c r="FU7" s="119"/>
      <c r="FV7" s="119"/>
      <c r="FW7" s="119"/>
      <c r="FX7" s="119"/>
      <c r="FY7" s="119"/>
      <c r="FZ7" s="119"/>
      <c r="GA7" s="119"/>
      <c r="GB7" s="119"/>
      <c r="GC7" s="119"/>
      <c r="GD7" s="119"/>
      <c r="GE7" s="119"/>
      <c r="GF7" s="119"/>
      <c r="GG7" s="119"/>
      <c r="GH7" s="119"/>
      <c r="GI7" s="119"/>
      <c r="GJ7" s="119"/>
      <c r="GK7" s="251"/>
      <c r="GL7" s="103">
        <f t="shared" si="17"/>
        <v>0</v>
      </c>
      <c r="GM7" s="124"/>
      <c r="GN7" s="104"/>
      <c r="GO7" s="104"/>
      <c r="GP7" s="104"/>
      <c r="GQ7" s="104"/>
      <c r="GR7" s="104"/>
      <c r="GS7" s="104"/>
      <c r="GT7" s="104"/>
      <c r="GU7" s="104"/>
      <c r="GV7" s="104"/>
      <c r="GW7" s="104"/>
      <c r="GX7" s="104"/>
      <c r="GY7" s="104"/>
      <c r="GZ7" s="104"/>
      <c r="HA7" s="104"/>
      <c r="HB7" s="104"/>
      <c r="HC7" s="104"/>
      <c r="HD7" s="104"/>
      <c r="HE7" s="104"/>
      <c r="HF7" s="104"/>
      <c r="HG7" s="104"/>
      <c r="HH7" s="104"/>
      <c r="HI7" s="104"/>
      <c r="HJ7" s="104"/>
      <c r="HK7" s="104"/>
      <c r="HL7" s="104"/>
      <c r="HM7" s="104"/>
      <c r="HN7" s="104"/>
      <c r="HO7" s="104"/>
      <c r="HP7" s="104"/>
      <c r="HW7" s="105"/>
      <c r="HY7" s="280">
        <f t="shared" ref="HY7:HY10" si="19">IF(ISTEXT(EM7), VALUE(EM7), EM7)</f>
        <v>0</v>
      </c>
      <c r="HZ7" s="280">
        <f t="shared" ref="HZ7:HZ10" si="20">IF(ISTEXT(EN7), VALUE(EN7), EN7)</f>
        <v>0</v>
      </c>
      <c r="IA7" s="280">
        <f t="shared" ref="IA7:IA10" si="21">IF(ISTEXT(EO7), VALUE(EO7), EO7)</f>
        <v>0</v>
      </c>
    </row>
    <row r="8" spans="1:237" s="64" customFormat="1" ht="22.5" customHeight="1" x14ac:dyDescent="0.25">
      <c r="A8" s="368" t="s">
        <v>3190</v>
      </c>
      <c r="B8" s="369" t="s">
        <v>3191</v>
      </c>
      <c r="C8" s="375" t="s">
        <v>3186</v>
      </c>
      <c r="D8" s="371" t="s">
        <v>3192</v>
      </c>
      <c r="E8" s="371" t="s">
        <v>3193</v>
      </c>
      <c r="F8" s="376" t="s">
        <v>3182</v>
      </c>
      <c r="G8" s="376" t="s">
        <v>3183</v>
      </c>
      <c r="H8" s="373" t="s">
        <v>336</v>
      </c>
      <c r="I8" s="374" t="s">
        <v>336</v>
      </c>
      <c r="J8" s="421" t="s">
        <v>3184</v>
      </c>
      <c r="K8" s="422" t="s">
        <v>3188</v>
      </c>
      <c r="L8" s="329">
        <f>CONTINUA!BV8</f>
        <v>0</v>
      </c>
      <c r="M8" s="329">
        <f>CONTINUA!BW8</f>
        <v>0</v>
      </c>
      <c r="N8" s="342"/>
      <c r="O8" s="289" t="s">
        <v>3274</v>
      </c>
      <c r="P8" s="330">
        <v>0</v>
      </c>
      <c r="Q8" s="400"/>
      <c r="R8" s="401"/>
      <c r="S8" s="400"/>
      <c r="T8" s="401"/>
      <c r="U8" s="400"/>
      <c r="V8" s="401"/>
      <c r="W8" s="400"/>
      <c r="X8" s="401"/>
      <c r="Y8" s="400"/>
      <c r="Z8" s="401"/>
      <c r="AA8" s="400"/>
      <c r="AB8" s="401"/>
      <c r="AC8" s="400"/>
      <c r="AD8" s="401"/>
      <c r="AE8" s="400"/>
      <c r="AF8" s="401"/>
      <c r="AG8" s="400"/>
      <c r="AH8" s="401"/>
      <c r="AI8" s="400"/>
      <c r="AJ8" s="401"/>
      <c r="AK8" s="400"/>
      <c r="AL8" s="401"/>
      <c r="AM8" s="400"/>
      <c r="AN8" s="401"/>
      <c r="AO8" s="400"/>
      <c r="AP8" s="401"/>
      <c r="AQ8" s="400"/>
      <c r="AR8" s="401"/>
      <c r="AS8" s="400"/>
      <c r="AT8" s="401"/>
      <c r="AU8" s="400"/>
      <c r="AV8" s="401"/>
      <c r="AW8" s="400"/>
      <c r="AX8" s="401"/>
      <c r="AY8" s="400"/>
      <c r="AZ8" s="401"/>
      <c r="BA8" s="400"/>
      <c r="BB8" s="401"/>
      <c r="BC8" s="400"/>
      <c r="BD8" s="401"/>
      <c r="BE8" s="400"/>
      <c r="BF8" s="401"/>
      <c r="BG8" s="400"/>
      <c r="BH8" s="401"/>
      <c r="BI8" s="400"/>
      <c r="BJ8" s="401"/>
      <c r="BK8" s="400"/>
      <c r="BL8" s="401"/>
      <c r="BM8" s="400"/>
      <c r="BN8" s="401"/>
      <c r="BO8" s="400"/>
      <c r="BP8" s="401"/>
      <c r="BQ8" s="400"/>
      <c r="BR8" s="401"/>
      <c r="BS8" s="400"/>
      <c r="BT8" s="401"/>
      <c r="BU8" s="400"/>
      <c r="BV8" s="401"/>
      <c r="BW8" s="400"/>
      <c r="BX8" s="401"/>
      <c r="BY8" s="400"/>
      <c r="BZ8" s="401"/>
      <c r="CA8" s="400"/>
      <c r="CB8" s="401"/>
      <c r="CC8" s="400"/>
      <c r="CD8" s="401"/>
      <c r="CE8" s="400"/>
      <c r="CF8" s="401"/>
      <c r="CG8" s="400"/>
      <c r="CH8" s="401"/>
      <c r="CI8" s="400"/>
      <c r="CJ8" s="401"/>
      <c r="CK8" s="400"/>
      <c r="CL8" s="401"/>
      <c r="CM8" s="400"/>
      <c r="CN8" s="401"/>
      <c r="CO8" s="400"/>
      <c r="CP8" s="401"/>
      <c r="CQ8" s="400"/>
      <c r="CR8" s="401"/>
      <c r="CS8" s="400"/>
      <c r="CT8" s="401"/>
      <c r="CU8" s="400"/>
      <c r="CV8" s="401"/>
      <c r="CW8" s="400"/>
      <c r="CX8" s="401"/>
      <c r="CY8" s="400"/>
      <c r="CZ8" s="401"/>
      <c r="DA8" s="400"/>
      <c r="DB8" s="401"/>
      <c r="DC8" s="400"/>
      <c r="DD8" s="401"/>
      <c r="DE8" s="400"/>
      <c r="DF8" s="401"/>
      <c r="DG8" s="400"/>
      <c r="DH8" s="401"/>
      <c r="DI8" s="400"/>
      <c r="DJ8" s="401"/>
      <c r="DK8" s="400"/>
      <c r="DL8" s="401"/>
      <c r="DM8" s="400"/>
      <c r="DN8" s="401"/>
      <c r="DO8" s="400"/>
      <c r="DP8" s="401"/>
      <c r="DQ8" s="400"/>
      <c r="DR8" s="401"/>
      <c r="DS8" s="400"/>
      <c r="DT8" s="401"/>
      <c r="DU8" s="400"/>
      <c r="DV8" s="401"/>
      <c r="DW8" s="400"/>
      <c r="DX8" s="401"/>
      <c r="DY8" s="400"/>
      <c r="DZ8" s="401"/>
      <c r="EA8" s="400"/>
      <c r="EB8" s="401"/>
      <c r="EC8" s="400"/>
      <c r="ED8" s="401"/>
      <c r="EE8" s="400"/>
      <c r="EF8" s="401"/>
      <c r="EG8" s="400"/>
      <c r="EH8" s="401"/>
      <c r="EI8" s="400"/>
      <c r="EJ8" s="447"/>
      <c r="EK8" s="511"/>
      <c r="EL8" s="514"/>
      <c r="EM8" s="448"/>
      <c r="EN8" s="344"/>
      <c r="EO8" s="345"/>
      <c r="EP8" s="171">
        <f t="shared" si="9"/>
        <v>0</v>
      </c>
      <c r="EQ8" s="171">
        <f t="shared" si="10"/>
        <v>0</v>
      </c>
      <c r="ER8" s="171">
        <f t="shared" si="11"/>
        <v>0</v>
      </c>
      <c r="ES8" s="171">
        <f t="shared" si="12"/>
        <v>0</v>
      </c>
      <c r="ET8" s="171">
        <f t="shared" si="13"/>
        <v>0</v>
      </c>
      <c r="EU8" s="171">
        <f t="shared" si="14"/>
        <v>0</v>
      </c>
      <c r="EV8" s="172">
        <f t="shared" si="15"/>
        <v>0</v>
      </c>
      <c r="EW8" s="125"/>
      <c r="EX8" s="248">
        <f t="shared" si="16"/>
        <v>0</v>
      </c>
      <c r="EY8" s="174">
        <f>(L8*regular)+(M8*Cadeirantee)</f>
        <v>0</v>
      </c>
      <c r="EZ8" s="249">
        <f>SUMIF(FG8:GJ8,"&gt;0")</f>
        <v>0</v>
      </c>
      <c r="FA8" s="249">
        <f>SUMIF(FG8:GJ8,"&lt;0")+SUMIF(GN8:HP8,"&lt;0")</f>
        <v>0</v>
      </c>
      <c r="FB8" s="174">
        <v>0</v>
      </c>
      <c r="FC8" s="126">
        <f>N8*km*'VALORES TABELA'!$B$13</f>
        <v>0</v>
      </c>
      <c r="FD8" s="250">
        <f t="shared" si="18"/>
        <v>0</v>
      </c>
      <c r="FE8" s="105"/>
      <c r="FF8" s="108"/>
      <c r="FG8" s="108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08"/>
      <c r="GE8" s="108"/>
      <c r="GF8" s="108"/>
      <c r="GG8" s="108"/>
      <c r="GH8" s="108"/>
      <c r="GI8" s="108"/>
      <c r="GJ8" s="108"/>
      <c r="GK8" s="251"/>
      <c r="GL8" s="103">
        <f t="shared" si="17"/>
        <v>0</v>
      </c>
      <c r="GM8" s="124"/>
      <c r="GN8" s="104"/>
      <c r="GO8" s="104"/>
      <c r="GP8" s="104"/>
      <c r="GQ8" s="104"/>
      <c r="GR8" s="104"/>
      <c r="GS8" s="104"/>
      <c r="GT8" s="104"/>
      <c r="GU8" s="104"/>
      <c r="GV8" s="104"/>
      <c r="GW8" s="104"/>
      <c r="GX8" s="104"/>
      <c r="GY8" s="104"/>
      <c r="GZ8" s="104"/>
      <c r="HA8" s="104"/>
      <c r="HB8" s="104"/>
      <c r="HC8" s="104"/>
      <c r="HD8" s="104"/>
      <c r="HE8" s="104"/>
      <c r="HF8" s="104"/>
      <c r="HG8" s="104"/>
      <c r="HH8" s="104"/>
      <c r="HI8" s="104"/>
      <c r="HJ8" s="104"/>
      <c r="HK8" s="104"/>
      <c r="HL8" s="104"/>
      <c r="HM8" s="104"/>
      <c r="HN8" s="104"/>
      <c r="HO8" s="104"/>
      <c r="HP8" s="104"/>
      <c r="HW8" s="105"/>
      <c r="HY8" s="280">
        <f t="shared" si="19"/>
        <v>0</v>
      </c>
      <c r="HZ8" s="280">
        <f t="shared" si="20"/>
        <v>0</v>
      </c>
      <c r="IA8" s="280">
        <f t="shared" si="21"/>
        <v>0</v>
      </c>
    </row>
    <row r="9" spans="1:237" s="65" customFormat="1" ht="22.5" customHeight="1" x14ac:dyDescent="0.25">
      <c r="A9" s="368" t="s">
        <v>3190</v>
      </c>
      <c r="B9" s="369" t="s">
        <v>3191</v>
      </c>
      <c r="C9" s="375" t="s">
        <v>3186</v>
      </c>
      <c r="D9" s="371" t="s">
        <v>3192</v>
      </c>
      <c r="E9" s="371" t="s">
        <v>3193</v>
      </c>
      <c r="F9" s="376" t="s">
        <v>3182</v>
      </c>
      <c r="G9" s="376" t="s">
        <v>3183</v>
      </c>
      <c r="H9" s="373" t="s">
        <v>336</v>
      </c>
      <c r="I9" s="374" t="s">
        <v>336</v>
      </c>
      <c r="J9" s="421" t="s">
        <v>3184</v>
      </c>
      <c r="K9" s="423" t="s">
        <v>3189</v>
      </c>
      <c r="L9" s="329">
        <f>CONTINUA!BV9</f>
        <v>0</v>
      </c>
      <c r="M9" s="329">
        <f>CONTINUA!BW9</f>
        <v>0</v>
      </c>
      <c r="N9" s="342"/>
      <c r="O9" s="289" t="s">
        <v>3274</v>
      </c>
      <c r="P9" s="330">
        <v>0</v>
      </c>
      <c r="Q9" s="400"/>
      <c r="R9" s="401"/>
      <c r="S9" s="400"/>
      <c r="T9" s="401"/>
      <c r="U9" s="400"/>
      <c r="V9" s="401"/>
      <c r="W9" s="400"/>
      <c r="X9" s="401"/>
      <c r="Y9" s="400"/>
      <c r="Z9" s="401"/>
      <c r="AA9" s="400"/>
      <c r="AB9" s="401"/>
      <c r="AC9" s="400"/>
      <c r="AD9" s="401"/>
      <c r="AE9" s="400"/>
      <c r="AF9" s="401"/>
      <c r="AG9" s="400"/>
      <c r="AH9" s="401"/>
      <c r="AI9" s="400"/>
      <c r="AJ9" s="401"/>
      <c r="AK9" s="400"/>
      <c r="AL9" s="401"/>
      <c r="AM9" s="400"/>
      <c r="AN9" s="401"/>
      <c r="AO9" s="400"/>
      <c r="AP9" s="401"/>
      <c r="AQ9" s="400"/>
      <c r="AR9" s="401"/>
      <c r="AS9" s="400"/>
      <c r="AT9" s="401"/>
      <c r="AU9" s="400"/>
      <c r="AV9" s="401"/>
      <c r="AW9" s="400"/>
      <c r="AX9" s="401"/>
      <c r="AY9" s="400"/>
      <c r="AZ9" s="401"/>
      <c r="BA9" s="400"/>
      <c r="BB9" s="401"/>
      <c r="BC9" s="400"/>
      <c r="BD9" s="401"/>
      <c r="BE9" s="400"/>
      <c r="BF9" s="401"/>
      <c r="BG9" s="400"/>
      <c r="BH9" s="401"/>
      <c r="BI9" s="400"/>
      <c r="BJ9" s="401"/>
      <c r="BK9" s="400"/>
      <c r="BL9" s="401"/>
      <c r="BM9" s="400"/>
      <c r="BN9" s="401"/>
      <c r="BO9" s="400"/>
      <c r="BP9" s="401"/>
      <c r="BQ9" s="400"/>
      <c r="BR9" s="401"/>
      <c r="BS9" s="400"/>
      <c r="BT9" s="401"/>
      <c r="BU9" s="400"/>
      <c r="BV9" s="401"/>
      <c r="BW9" s="400"/>
      <c r="BX9" s="401"/>
      <c r="BY9" s="400"/>
      <c r="BZ9" s="401"/>
      <c r="CA9" s="400"/>
      <c r="CB9" s="401"/>
      <c r="CC9" s="400"/>
      <c r="CD9" s="401"/>
      <c r="CE9" s="400"/>
      <c r="CF9" s="401"/>
      <c r="CG9" s="400"/>
      <c r="CH9" s="401"/>
      <c r="CI9" s="400"/>
      <c r="CJ9" s="401"/>
      <c r="CK9" s="400"/>
      <c r="CL9" s="401"/>
      <c r="CM9" s="400"/>
      <c r="CN9" s="401"/>
      <c r="CO9" s="400"/>
      <c r="CP9" s="401"/>
      <c r="CQ9" s="400"/>
      <c r="CR9" s="401"/>
      <c r="CS9" s="400"/>
      <c r="CT9" s="401"/>
      <c r="CU9" s="400"/>
      <c r="CV9" s="401"/>
      <c r="CW9" s="400"/>
      <c r="CX9" s="401"/>
      <c r="CY9" s="400"/>
      <c r="CZ9" s="401"/>
      <c r="DA9" s="400"/>
      <c r="DB9" s="401"/>
      <c r="DC9" s="400"/>
      <c r="DD9" s="401"/>
      <c r="DE9" s="400"/>
      <c r="DF9" s="401"/>
      <c r="DG9" s="400"/>
      <c r="DH9" s="401"/>
      <c r="DI9" s="400"/>
      <c r="DJ9" s="401"/>
      <c r="DK9" s="400"/>
      <c r="DL9" s="401"/>
      <c r="DM9" s="400"/>
      <c r="DN9" s="401"/>
      <c r="DO9" s="400"/>
      <c r="DP9" s="401"/>
      <c r="DQ9" s="400"/>
      <c r="DR9" s="401"/>
      <c r="DS9" s="400"/>
      <c r="DT9" s="401"/>
      <c r="DU9" s="400"/>
      <c r="DV9" s="401"/>
      <c r="DW9" s="400"/>
      <c r="DX9" s="401"/>
      <c r="DY9" s="400"/>
      <c r="DZ9" s="401"/>
      <c r="EA9" s="400"/>
      <c r="EB9" s="401"/>
      <c r="EC9" s="400"/>
      <c r="ED9" s="401"/>
      <c r="EE9" s="400"/>
      <c r="EF9" s="401"/>
      <c r="EG9" s="400"/>
      <c r="EH9" s="401"/>
      <c r="EI9" s="400"/>
      <c r="EJ9" s="447"/>
      <c r="EK9" s="511"/>
      <c r="EL9" s="514"/>
      <c r="EM9" s="448"/>
      <c r="EN9" s="344"/>
      <c r="EO9" s="345"/>
      <c r="EP9" s="171">
        <f t="shared" si="9"/>
        <v>0</v>
      </c>
      <c r="EQ9" s="171">
        <f t="shared" si="10"/>
        <v>0</v>
      </c>
      <c r="ER9" s="171">
        <f t="shared" si="11"/>
        <v>0</v>
      </c>
      <c r="ES9" s="171">
        <f t="shared" si="12"/>
        <v>0</v>
      </c>
      <c r="ET9" s="171">
        <f t="shared" si="13"/>
        <v>0</v>
      </c>
      <c r="EU9" s="171">
        <f t="shared" si="14"/>
        <v>0</v>
      </c>
      <c r="EV9" s="172">
        <f t="shared" si="15"/>
        <v>0</v>
      </c>
      <c r="EW9" s="127"/>
      <c r="EX9" s="248">
        <f t="shared" si="16"/>
        <v>0</v>
      </c>
      <c r="EY9" s="174">
        <f>(L9*regular)+(M9*Cadeirantee)</f>
        <v>0</v>
      </c>
      <c r="EZ9" s="249">
        <f>SUMIF(FG9:GJ9,"&gt;0")</f>
        <v>0</v>
      </c>
      <c r="FA9" s="249">
        <f>SUMIF(FG9:GJ9,"&lt;0")+SUMIF(GN9:HP9,"&lt;0")</f>
        <v>0</v>
      </c>
      <c r="FB9" s="174">
        <v>0</v>
      </c>
      <c r="FC9" s="126">
        <f>N9*km*'VALORES TABELA'!$B$13</f>
        <v>0</v>
      </c>
      <c r="FD9" s="250">
        <f t="shared" si="18"/>
        <v>0</v>
      </c>
      <c r="FE9" s="105"/>
      <c r="FF9" s="118"/>
      <c r="FG9" s="118"/>
      <c r="FH9" s="118"/>
      <c r="FI9" s="118"/>
      <c r="FJ9" s="118"/>
      <c r="FK9" s="118"/>
      <c r="FL9" s="118"/>
      <c r="FM9" s="118"/>
      <c r="FN9" s="118"/>
      <c r="FO9" s="118"/>
      <c r="FP9" s="118"/>
      <c r="FQ9" s="118"/>
      <c r="FR9" s="118"/>
      <c r="FS9" s="118"/>
      <c r="FT9" s="118"/>
      <c r="FU9" s="118"/>
      <c r="FV9" s="118"/>
      <c r="FW9" s="118"/>
      <c r="FX9" s="118"/>
      <c r="FY9" s="118"/>
      <c r="FZ9" s="118"/>
      <c r="GA9" s="118"/>
      <c r="GB9" s="118"/>
      <c r="GC9" s="118"/>
      <c r="GD9" s="118"/>
      <c r="GE9" s="118"/>
      <c r="GF9" s="118"/>
      <c r="GG9" s="118"/>
      <c r="GH9" s="118"/>
      <c r="GI9" s="118"/>
      <c r="GJ9" s="118"/>
      <c r="GK9" s="252"/>
      <c r="GL9" s="103">
        <f t="shared" si="17"/>
        <v>0</v>
      </c>
      <c r="GM9" s="124"/>
      <c r="GN9" s="104"/>
      <c r="GO9" s="104"/>
      <c r="GP9" s="104"/>
      <c r="GQ9" s="104"/>
      <c r="GR9" s="104"/>
      <c r="GS9" s="104"/>
      <c r="GT9" s="104"/>
      <c r="GU9" s="104"/>
      <c r="GV9" s="104"/>
      <c r="GW9" s="104"/>
      <c r="GX9" s="104"/>
      <c r="GY9" s="104"/>
      <c r="GZ9" s="104"/>
      <c r="HA9" s="104"/>
      <c r="HB9" s="104"/>
      <c r="HC9" s="104"/>
      <c r="HD9" s="104"/>
      <c r="HE9" s="104"/>
      <c r="HF9" s="104"/>
      <c r="HG9" s="104"/>
      <c r="HH9" s="104"/>
      <c r="HI9" s="104"/>
      <c r="HJ9" s="104"/>
      <c r="HK9" s="104"/>
      <c r="HL9" s="104"/>
      <c r="HM9" s="104"/>
      <c r="HN9" s="104"/>
      <c r="HO9" s="104"/>
      <c r="HP9" s="104"/>
      <c r="HQ9" s="64"/>
      <c r="HW9" s="105"/>
      <c r="HY9" s="280">
        <f t="shared" si="19"/>
        <v>0</v>
      </c>
      <c r="HZ9" s="280">
        <f t="shared" si="20"/>
        <v>0</v>
      </c>
      <c r="IA9" s="280">
        <f t="shared" si="21"/>
        <v>0</v>
      </c>
    </row>
    <row r="10" spans="1:237" s="106" customFormat="1" ht="22.5" customHeight="1" thickBot="1" x14ac:dyDescent="0.3">
      <c r="A10" s="377" t="s">
        <v>3190</v>
      </c>
      <c r="B10" s="378" t="s">
        <v>3191</v>
      </c>
      <c r="C10" s="379" t="s">
        <v>3186</v>
      </c>
      <c r="D10" s="380" t="s">
        <v>3192</v>
      </c>
      <c r="E10" s="380" t="s">
        <v>3193</v>
      </c>
      <c r="F10" s="381" t="s">
        <v>3182</v>
      </c>
      <c r="G10" s="381" t="s">
        <v>3183</v>
      </c>
      <c r="H10" s="382" t="s">
        <v>336</v>
      </c>
      <c r="I10" s="383" t="s">
        <v>336</v>
      </c>
      <c r="J10" s="421" t="s">
        <v>3184</v>
      </c>
      <c r="K10" s="424" t="s">
        <v>60</v>
      </c>
      <c r="L10" s="329">
        <f>CONTINUA!BV10</f>
        <v>0</v>
      </c>
      <c r="M10" s="329">
        <f>CONTINUA!BW10</f>
        <v>0</v>
      </c>
      <c r="N10" s="343"/>
      <c r="O10" s="290" t="s">
        <v>3274</v>
      </c>
      <c r="P10" s="330">
        <v>0</v>
      </c>
      <c r="Q10" s="400"/>
      <c r="R10" s="401"/>
      <c r="S10" s="400"/>
      <c r="T10" s="401"/>
      <c r="U10" s="400"/>
      <c r="V10" s="401"/>
      <c r="W10" s="400"/>
      <c r="X10" s="401"/>
      <c r="Y10" s="400"/>
      <c r="Z10" s="401"/>
      <c r="AA10" s="400"/>
      <c r="AB10" s="401"/>
      <c r="AC10" s="400"/>
      <c r="AD10" s="401"/>
      <c r="AE10" s="400"/>
      <c r="AF10" s="401"/>
      <c r="AG10" s="400"/>
      <c r="AH10" s="401"/>
      <c r="AI10" s="400"/>
      <c r="AJ10" s="401"/>
      <c r="AK10" s="400"/>
      <c r="AL10" s="401"/>
      <c r="AM10" s="400"/>
      <c r="AN10" s="401"/>
      <c r="AO10" s="400"/>
      <c r="AP10" s="401"/>
      <c r="AQ10" s="400"/>
      <c r="AR10" s="401"/>
      <c r="AS10" s="400"/>
      <c r="AT10" s="401"/>
      <c r="AU10" s="400"/>
      <c r="AV10" s="401"/>
      <c r="AW10" s="400"/>
      <c r="AX10" s="401"/>
      <c r="AY10" s="400"/>
      <c r="AZ10" s="401"/>
      <c r="BA10" s="400"/>
      <c r="BB10" s="401"/>
      <c r="BC10" s="400"/>
      <c r="BD10" s="401"/>
      <c r="BE10" s="400"/>
      <c r="BF10" s="401"/>
      <c r="BG10" s="400"/>
      <c r="BH10" s="401"/>
      <c r="BI10" s="400"/>
      <c r="BJ10" s="401"/>
      <c r="BK10" s="400"/>
      <c r="BL10" s="401"/>
      <c r="BM10" s="400"/>
      <c r="BN10" s="401"/>
      <c r="BO10" s="400"/>
      <c r="BP10" s="401"/>
      <c r="BQ10" s="400"/>
      <c r="BR10" s="401"/>
      <c r="BS10" s="400"/>
      <c r="BT10" s="401"/>
      <c r="BU10" s="400"/>
      <c r="BV10" s="401"/>
      <c r="BW10" s="400"/>
      <c r="BX10" s="401"/>
      <c r="BY10" s="400"/>
      <c r="BZ10" s="401"/>
      <c r="CA10" s="400"/>
      <c r="CB10" s="401"/>
      <c r="CC10" s="400"/>
      <c r="CD10" s="401"/>
      <c r="CE10" s="400"/>
      <c r="CF10" s="401"/>
      <c r="CG10" s="400"/>
      <c r="CH10" s="401"/>
      <c r="CI10" s="400"/>
      <c r="CJ10" s="401"/>
      <c r="CK10" s="400"/>
      <c r="CL10" s="401"/>
      <c r="CM10" s="400"/>
      <c r="CN10" s="401"/>
      <c r="CO10" s="400"/>
      <c r="CP10" s="401"/>
      <c r="CQ10" s="400"/>
      <c r="CR10" s="401"/>
      <c r="CS10" s="400"/>
      <c r="CT10" s="401"/>
      <c r="CU10" s="400"/>
      <c r="CV10" s="401"/>
      <c r="CW10" s="400"/>
      <c r="CX10" s="401"/>
      <c r="CY10" s="400"/>
      <c r="CZ10" s="401"/>
      <c r="DA10" s="400"/>
      <c r="DB10" s="401"/>
      <c r="DC10" s="400"/>
      <c r="DD10" s="401"/>
      <c r="DE10" s="400"/>
      <c r="DF10" s="401"/>
      <c r="DG10" s="400"/>
      <c r="DH10" s="401"/>
      <c r="DI10" s="400"/>
      <c r="DJ10" s="401"/>
      <c r="DK10" s="400"/>
      <c r="DL10" s="401"/>
      <c r="DM10" s="400"/>
      <c r="DN10" s="401"/>
      <c r="DO10" s="400"/>
      <c r="DP10" s="401"/>
      <c r="DQ10" s="400"/>
      <c r="DR10" s="401"/>
      <c r="DS10" s="400"/>
      <c r="DT10" s="401"/>
      <c r="DU10" s="400"/>
      <c r="DV10" s="401"/>
      <c r="DW10" s="400"/>
      <c r="DX10" s="401"/>
      <c r="DY10" s="400"/>
      <c r="DZ10" s="401"/>
      <c r="EA10" s="400"/>
      <c r="EB10" s="401"/>
      <c r="EC10" s="400"/>
      <c r="ED10" s="401"/>
      <c r="EE10" s="400"/>
      <c r="EF10" s="401"/>
      <c r="EG10" s="400"/>
      <c r="EH10" s="401"/>
      <c r="EI10" s="400"/>
      <c r="EJ10" s="447"/>
      <c r="EK10" s="512"/>
      <c r="EL10" s="515"/>
      <c r="EM10" s="450"/>
      <c r="EN10" s="348"/>
      <c r="EO10" s="348"/>
      <c r="EP10" s="179">
        <f t="shared" si="9"/>
        <v>0</v>
      </c>
      <c r="EQ10" s="179">
        <f t="shared" si="10"/>
        <v>0</v>
      </c>
      <c r="ER10" s="179">
        <f t="shared" si="11"/>
        <v>0</v>
      </c>
      <c r="ES10" s="179">
        <f t="shared" si="12"/>
        <v>0</v>
      </c>
      <c r="ET10" s="179">
        <f t="shared" si="13"/>
        <v>0</v>
      </c>
      <c r="EU10" s="179">
        <f t="shared" si="14"/>
        <v>0</v>
      </c>
      <c r="EV10" s="172">
        <f t="shared" si="15"/>
        <v>0</v>
      </c>
      <c r="EW10" s="253"/>
      <c r="EX10" s="254">
        <v>0</v>
      </c>
      <c r="EY10" s="180">
        <v>0</v>
      </c>
      <c r="EZ10" s="255">
        <v>0</v>
      </c>
      <c r="FA10" s="255">
        <v>0</v>
      </c>
      <c r="FB10" s="180">
        <f>SUM(FF10:GI10)/2</f>
        <v>0</v>
      </c>
      <c r="FC10" s="256">
        <f>N10*km*'VALORES TABELA'!$B$13</f>
        <v>0</v>
      </c>
      <c r="FD10" s="250">
        <f t="shared" si="18"/>
        <v>0</v>
      </c>
      <c r="FE10" s="257"/>
      <c r="FF10" s="181">
        <f>((Q10+S10)*Percapita)+((R10+T10)*Cadeirante)</f>
        <v>0</v>
      </c>
      <c r="FG10" s="181">
        <f>((U10+W10)*Percapita/30*FG$4)+((V10+X10)*Cadeirante/30*FG$4)</f>
        <v>0</v>
      </c>
      <c r="FH10" s="181">
        <f>((Y10+AA10)*Percapita/30*FH$4)+((Z10+AB10)*Cadeirante/30*FH$4)</f>
        <v>0</v>
      </c>
      <c r="FI10" s="181">
        <f>((AC10+AE10)*Percapita/30*FI$4)+((AD10+AF10)*Cadeirante/30*FI$4)</f>
        <v>0</v>
      </c>
      <c r="FJ10" s="181">
        <f>((AG10+AI10)*Percapita/30*FJ$4)+((AH10+AJ10)*Cadeirante/30*FJ$4)</f>
        <v>0</v>
      </c>
      <c r="FK10" s="181">
        <f>((AK10+AM10)*Percapita/30*FK$4)+((AL10+AN10)*Cadeirante/30*FK$4)</f>
        <v>0</v>
      </c>
      <c r="FL10" s="181">
        <f>((AO10+AQ10)*Percapita/30*FL$4)+((AP10+AR10)*Cadeirante/30*FL$4)</f>
        <v>0</v>
      </c>
      <c r="FM10" s="181">
        <f>((AS10+AU10)*Percapita/30*FM$4)+((AT10+AV10)*Cadeirante/30*FM$4)</f>
        <v>0</v>
      </c>
      <c r="FN10" s="181">
        <f>((AW10+AY10)*Percapita/30*FN$4)+((AX10+AZ10)*Cadeirante/30*FN$4)</f>
        <v>0</v>
      </c>
      <c r="FO10" s="181">
        <f>((BA10+BC10)*Percapita/30*FO$4)+((BB10+BD10)*Cadeirante/30*FO$4)</f>
        <v>0</v>
      </c>
      <c r="FP10" s="181">
        <f>((BE10+BG10)*Percapita/30*FP$4)+((BF10+BH10)*Cadeirante/30*FP$4)</f>
        <v>0</v>
      </c>
      <c r="FQ10" s="181">
        <f>((BI10+BK10)*Percapita/30*FQ$4)+((BJ10+BL10)*Cadeirante/30*FQ$4)</f>
        <v>0</v>
      </c>
      <c r="FR10" s="181">
        <f>((BM10+BO10)*Percapita/30*FR$4)+((BN10+BP10)*Cadeirante/30*FR$4)</f>
        <v>0</v>
      </c>
      <c r="FS10" s="181">
        <f>((BQ10+BS10)*Percapita/30*FS$4)+((BR10+BT10)*Cadeirante/30*FS$4)</f>
        <v>0</v>
      </c>
      <c r="FT10" s="181">
        <f>((BU10+BW10)*Percapita/30*FT$4)+((BV10+BX10)*Cadeirante/30*FT$4)</f>
        <v>0</v>
      </c>
      <c r="FU10" s="181">
        <f>((BY10+CA10)*Percapita/30*FU$4)+((BZ10+CB10)*Cadeirante/30*FU$4)</f>
        <v>0</v>
      </c>
      <c r="FV10" s="181">
        <f>((CC10+CE10)*Percapita/30*FV$4)+((CD10+CF10)*Cadeirante/30*FV$4)</f>
        <v>0</v>
      </c>
      <c r="FW10" s="181">
        <f>((CG10+CI10)*Percapita/30*FW$4)+((CI10+CK10)*Cadeirante/30*FW$4)</f>
        <v>0</v>
      </c>
      <c r="FX10" s="181">
        <f>((CK10+CM10)*Percapita/30*FX$4)+((CL10+CN10)*Cadeirante/30*FX$4)</f>
        <v>0</v>
      </c>
      <c r="FY10" s="181">
        <f>((CO10+CQ10)*Percapita/30*FY$4)+((CP10+CR10)*Cadeirante/30*FY$4)</f>
        <v>0</v>
      </c>
      <c r="FZ10" s="181">
        <f>((CS10+CU10)*Percapita/30*FZ$4)+((CT10+CV10)*Cadeirante/30*FZ$4)</f>
        <v>0</v>
      </c>
      <c r="GA10" s="181">
        <f>((CW10+CY10)*Percapita/30*GA$4)+((CX10+CZ10)*Cadeirante/30*GA$4)</f>
        <v>0</v>
      </c>
      <c r="GB10" s="181">
        <f>((DA10+DC10)*Percapita/30*GB$4)+((DB10+DD10)*Cadeirante/30*GB$4)</f>
        <v>0</v>
      </c>
      <c r="GC10" s="181">
        <f>((DE10+DG10)*Percapita/30*GC$4)+((DF10+DH10)*Cadeirante/30*GC$4)</f>
        <v>0</v>
      </c>
      <c r="GD10" s="181">
        <f>((DI10+DK10)*Percapita/30*GD$4)+((DJ10+DL10)*Cadeirante/30*GD$4)</f>
        <v>0</v>
      </c>
      <c r="GE10" s="181">
        <f>((DM10+DO10)*Percapita/30*GE$4)+((DN10+DP10)*Cadeirante/30*GE$4)</f>
        <v>0</v>
      </c>
      <c r="GF10" s="181">
        <f>((DQ10+DS10)*Percapita/30*GF$4)+((DR10+DT10)*Cadeirante/30*GF$4)</f>
        <v>0</v>
      </c>
      <c r="GG10" s="181">
        <f>((DU10+DW10)*Percapita/30*GG$4)+((DV10+DX10)*Cadeirante/30*GG$4)</f>
        <v>0</v>
      </c>
      <c r="GH10" s="181">
        <f>((DY10+EA10)*Percapita/30*GH$4)+((DZ10+EB10)*Cadeirante/30*GH$4)</f>
        <v>0</v>
      </c>
      <c r="GI10" s="181">
        <f>((EC10+EE10)*Percapita/30*GI$4)+((ED10+EF10)*Cadeirante/30*GI$4)</f>
        <v>0</v>
      </c>
      <c r="GJ10" s="181">
        <f>((EG10+EI10)*Percapita)+((EH10+EJ10)*Cadeirante)</f>
        <v>0</v>
      </c>
      <c r="GK10" s="258"/>
      <c r="GL10" s="103">
        <f t="shared" si="17"/>
        <v>0</v>
      </c>
      <c r="GM10" s="124"/>
      <c r="GN10" s="182"/>
      <c r="GO10" s="182"/>
      <c r="GP10" s="182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82"/>
      <c r="HB10" s="182"/>
      <c r="HC10" s="182"/>
      <c r="HD10" s="182"/>
      <c r="HE10" s="182"/>
      <c r="HF10" s="182"/>
      <c r="HG10" s="182"/>
      <c r="HH10" s="182"/>
      <c r="HI10" s="182"/>
      <c r="HJ10" s="182"/>
      <c r="HK10" s="182"/>
      <c r="HL10" s="182"/>
      <c r="HM10" s="182"/>
      <c r="HN10" s="182"/>
      <c r="HO10" s="182"/>
      <c r="HP10" s="259"/>
      <c r="HQ10" s="64"/>
      <c r="HW10" s="257"/>
      <c r="HY10" s="280">
        <f t="shared" si="19"/>
        <v>0</v>
      </c>
      <c r="HZ10" s="280">
        <f t="shared" si="20"/>
        <v>0</v>
      </c>
      <c r="IA10" s="280">
        <f t="shared" si="21"/>
        <v>0</v>
      </c>
    </row>
    <row r="11" spans="1:237" s="106" customFormat="1" ht="22.5" customHeight="1" x14ac:dyDescent="0.25">
      <c r="A11" t="s">
        <v>3194</v>
      </c>
      <c r="B11" s="522" t="s">
        <v>3195</v>
      </c>
      <c r="C11" s="523">
        <v>1</v>
      </c>
      <c r="D11" s="524" t="s">
        <v>3196</v>
      </c>
      <c r="E11" s="524" t="s">
        <v>3197</v>
      </c>
      <c r="F11" s="525" t="s">
        <v>3182</v>
      </c>
      <c r="G11" s="525" t="s">
        <v>3183</v>
      </c>
      <c r="H11" s="350" t="s">
        <v>337</v>
      </c>
      <c r="I11" s="351" t="s">
        <v>337</v>
      </c>
      <c r="J11" s="409" t="s">
        <v>3184</v>
      </c>
      <c r="K11" s="410" t="s">
        <v>3185</v>
      </c>
      <c r="L11" s="329">
        <f>CONTINUA!BV11</f>
        <v>0</v>
      </c>
      <c r="M11" s="329">
        <f>CONTINUA!BW11</f>
        <v>0</v>
      </c>
      <c r="N11" s="895"/>
      <c r="O11" s="896" t="s">
        <v>3275</v>
      </c>
      <c r="P11" s="897">
        <v>0</v>
      </c>
      <c r="Q11" s="400"/>
      <c r="R11" s="401"/>
      <c r="S11" s="400"/>
      <c r="T11" s="401"/>
      <c r="U11" s="400"/>
      <c r="V11" s="401"/>
      <c r="W11" s="400"/>
      <c r="X11" s="401"/>
      <c r="Y11" s="400"/>
      <c r="Z11" s="401"/>
      <c r="AA11" s="400"/>
      <c r="AB11" s="401"/>
      <c r="AC11" s="400"/>
      <c r="AD11" s="401"/>
      <c r="AE11" s="400"/>
      <c r="AF11" s="401"/>
      <c r="AG11" s="400"/>
      <c r="AH11" s="401"/>
      <c r="AI11" s="400"/>
      <c r="AJ11" s="401"/>
      <c r="AK11" s="400"/>
      <c r="AL11" s="401"/>
      <c r="AM11" s="400"/>
      <c r="AN11" s="401"/>
      <c r="AO11" s="400"/>
      <c r="AP11" s="401"/>
      <c r="AQ11" s="400"/>
      <c r="AR11" s="401"/>
      <c r="AS11" s="400"/>
      <c r="AT11" s="401"/>
      <c r="AU11" s="400"/>
      <c r="AV11" s="401"/>
      <c r="AW11" s="400"/>
      <c r="AX11" s="401"/>
      <c r="AY11" s="400"/>
      <c r="AZ11" s="401"/>
      <c r="BA11" s="400"/>
      <c r="BB11" s="401"/>
      <c r="BC11" s="400"/>
      <c r="BD11" s="401"/>
      <c r="BE11" s="400"/>
      <c r="BF11" s="401"/>
      <c r="BG11" s="400"/>
      <c r="BH11" s="401"/>
      <c r="BI11" s="400"/>
      <c r="BJ11" s="401"/>
      <c r="BK11" s="400"/>
      <c r="BL11" s="401"/>
      <c r="BM11" s="400"/>
      <c r="BN11" s="401"/>
      <c r="BO11" s="400"/>
      <c r="BP11" s="401"/>
      <c r="BQ11" s="400"/>
      <c r="BR11" s="401"/>
      <c r="BS11" s="400"/>
      <c r="BT11" s="401"/>
      <c r="BU11" s="400"/>
      <c r="BV11" s="401"/>
      <c r="BW11" s="400"/>
      <c r="BX11" s="401"/>
      <c r="BY11" s="400"/>
      <c r="BZ11" s="401"/>
      <c r="CA11" s="400"/>
      <c r="CB11" s="401"/>
      <c r="CC11" s="400"/>
      <c r="CD11" s="401"/>
      <c r="CE11" s="400"/>
      <c r="CF11" s="401"/>
      <c r="CG11" s="400"/>
      <c r="CH11" s="401"/>
      <c r="CI11" s="400"/>
      <c r="CJ11" s="401"/>
      <c r="CK11" s="400"/>
      <c r="CL11" s="401"/>
      <c r="CM11" s="400"/>
      <c r="CN11" s="401"/>
      <c r="CO11" s="400"/>
      <c r="CP11" s="401"/>
      <c r="CQ11" s="400"/>
      <c r="CR11" s="401"/>
      <c r="CS11" s="400"/>
      <c r="CT11" s="401"/>
      <c r="CU11" s="400"/>
      <c r="CV11" s="401"/>
      <c r="CW11" s="400"/>
      <c r="CX11" s="401"/>
      <c r="CY11" s="400"/>
      <c r="CZ11" s="401"/>
      <c r="DA11" s="400"/>
      <c r="DB11" s="401"/>
      <c r="DC11" s="400"/>
      <c r="DD11" s="401"/>
      <c r="DE11" s="400"/>
      <c r="DF11" s="401"/>
      <c r="DG11" s="400"/>
      <c r="DH11" s="401"/>
      <c r="DI11" s="400"/>
      <c r="DJ11" s="401"/>
      <c r="DK11" s="400"/>
      <c r="DL11" s="401"/>
      <c r="DM11" s="400"/>
      <c r="DN11" s="401"/>
      <c r="DO11" s="400"/>
      <c r="DP11" s="401"/>
      <c r="DQ11" s="400"/>
      <c r="DR11" s="401"/>
      <c r="DS11" s="400"/>
      <c r="DT11" s="401"/>
      <c r="DU11" s="400"/>
      <c r="DV11" s="401"/>
      <c r="DW11" s="400"/>
      <c r="DX11" s="401"/>
      <c r="DY11" s="400"/>
      <c r="DZ11" s="401"/>
      <c r="EA11" s="400"/>
      <c r="EB11" s="401"/>
      <c r="EC11" s="400"/>
      <c r="ED11" s="401"/>
      <c r="EE11" s="400"/>
      <c r="EF11" s="401"/>
      <c r="EG11" s="400"/>
      <c r="EH11" s="401"/>
      <c r="EI11" s="400"/>
      <c r="EJ11" s="447"/>
      <c r="EK11" s="510"/>
      <c r="EL11" s="513"/>
      <c r="EM11" s="520"/>
      <c r="EN11" s="520"/>
      <c r="EO11" s="520"/>
      <c r="EP11" s="171">
        <f t="shared" ref="EP11:EP74" si="22">Q11</f>
        <v>0</v>
      </c>
      <c r="EQ11" s="171">
        <f t="shared" ref="EQ11:EQ74" si="23">U11+Y11+AC11+AG11+AK11+AO11+AS11+AW11+BA11+BE11+BI11+BM11+BQ11+BU11+BY11+CC11+CG11+CK11+CO11+CS11+CW11+DA11+DE11+DI11+DM11+DQ11+DU11+DY11+EC11+EG11</f>
        <v>0</v>
      </c>
      <c r="ER11" s="171">
        <f t="shared" ref="ER11:ER74" si="24">S11+W11+AA11+AE11+AI11+AM11+AQ11+AU11+AY11+BC11+BG11+BK11+BO11+BS11+BW11+CA11+CE11+CI11+CM11+CQ11+CU11+CY11+DC11+DG11+DK11+DO11+DS11+DW11+EA11+EE11+EI11</f>
        <v>0</v>
      </c>
      <c r="ES11" s="171">
        <f t="shared" ref="ES11:ES74" si="25">R11</f>
        <v>0</v>
      </c>
      <c r="ET11" s="171">
        <f t="shared" ref="ET11:ET74" si="26">V11+Z11+AD11+AH11+AL11+AP11+AT11+AX11+BB11+BF11+BJ11+BN11+BR11+BV11+BZ11+CD11+CH11+CL11+CP11+CT11+CX11+DB11+DF11+DJ11+DN11+DR11+DV11+DZ11+ED11+EH11</f>
        <v>0</v>
      </c>
      <c r="EU11" s="171">
        <f t="shared" ref="EU11:EU74" si="27">T11+X11+AB11+AF11+AJ11+AN11+AR11+AV11+AZ11+BD11+BH11+BL11+BP11+BT11+BX11+CB11+CF11+CJ11+CN11+CR11+CV11+CZ11+DD11+DH11+DL11+DP11+DT11+DX11+EB11+EF11+EJ11</f>
        <v>0</v>
      </c>
      <c r="EV11" s="172">
        <f t="shared" ref="EV11:EV74" si="28">EP11+EQ11+ES11+ET11+ER11+EU11</f>
        <v>0</v>
      </c>
      <c r="EW11" s="367">
        <f>IF(C11=4,IF(MAX(Q11:EJ13)&gt;0,(Especiall/30*(IF(($G11-$F11)=($G$5-$F$5),30,IF(DAY($G11)=31,($G11-$F11),($G11-$F11)+1)))),0),0)</f>
        <v>0</v>
      </c>
      <c r="EX11" s="248">
        <f t="shared" ref="EX11:EX14" si="29">FF11</f>
        <v>13270.970000000001</v>
      </c>
      <c r="EY11" s="174">
        <f>(L11*regular)+(M11*Cadeirantee)</f>
        <v>0</v>
      </c>
      <c r="EZ11" s="249">
        <f>SUMIF(FG11:GJ11,"&gt;0")</f>
        <v>0</v>
      </c>
      <c r="FA11" s="249">
        <f>SUMIF(FG11:GJ11,"&lt;0")+SUMIF(GN11:HP11,"&lt;0")</f>
        <v>0</v>
      </c>
      <c r="FB11" s="174">
        <v>0</v>
      </c>
      <c r="FC11" s="175">
        <f>N11*km*'VALORES TABELA'!$B$13</f>
        <v>0</v>
      </c>
      <c r="FD11" s="250">
        <f>GL11</f>
        <v>0</v>
      </c>
      <c r="FE11" s="176">
        <f>(EW11+EW12+EW13+EW14+EX11+EX12+EX13+EX14+EY11+EY12+EY13+EY14+EY15+EZ11+EZ12+EZ13+EZ14+FA11+FA12+FA13+FA14+FC11+FC12+FC13+FC14+HY11-HZ11-IA11+FD11+FD12+FD13+FD14+FB15)</f>
        <v>13270.970000000001</v>
      </c>
      <c r="FF11" s="177">
        <f>IF(C11=4,SUM(Q11+Q12+Q13+S11+S12+S13)*Percapita/30*FF$4+(R11+R12+R13+T11+T12+T13)*Cadeirante/30*FF$4,IF(C11=3,IF(Q14+S14=10,Fixo/30*FF$4+(Q11+Q12+Q13+S11+S12+S13)*Percapita/30*FF$4+(R14+T14)*Cadeirante/30*FF$4,IF(Q14+S14&lt;=9,(Q14+S14)*Crechee/30*FF$4)+(R14+T14)*Cadeirante/30*FF$4+(Q11+Q12+Q13+S11+S12+S13)*Percapita/30*FF$4)+IF(Q14+S14&gt;=11,Fixo/30*FF$4+(Q14+S14-10)*Crechee/30*FF$4,0),IF(C11=2,IF(R11+R12+R13+R14+T11+T12+T13+T14=1,Cadeirante/30*FF$4,IF(R11+R12+R13+R14+T11+T12+T13+T14=2,Fixo/30*FF$4,IF(R11+R12+R13+R14+T11+T12+T13+T14&gt;2,Fixo/30*FF$4+(R11+R12+R13+R14+T11+T12+T13+T14-2)*Cadeirante/30*FF$4)))+(Q11+Q12+Q13+S11+S12+S13)*Percapita/30*FF$4+(Q14+S14)*Crechee/30*FF$4,IF(C11=1,IF(Q11+Q12+Q13+R11+R12+R13+S11+S12+S13+T11+T12+T13&lt;=15,(Q11+Q12+Q13+S11+S12+S13)*Percapita/30*FF$4,IF(Q11+Q12+Q13+R11+R12+R13+S11+S12+S13+T11+T12+T13&gt;=16,Fixo/30*FF$4+(Q11+Q12+Q13+R11+R12+R13+S11+S12+S13+T11+T12-16)*Percapita/30*FF$4))))))</f>
        <v>13270.970000000001</v>
      </c>
      <c r="FG11" s="177">
        <f>IF(C11=4,SUM(U11+U12+U13+W11+W12+W13)*Percapita/30*FG$4+(V11+V12+V13+X11+X12+X13)*Cadeirante/30*FG$4,IF(C11=3,IF(U14+W14=10,Fixo/30*FG$4+(U11+U12+U13+W11+W12+W13)*Percapita/30*FG$4+(V14+X14)*Cadeirante/30*FG$4,IF(U14+W14&lt;=9,(U14+W14)*Crechee/30*FG$4)+(V14+X14)*Cadeirante/30*FG$4+(U11+U12+U13+W11+W12+W13)*Percapita/30*FG$4)+IF(U14+W14&gt;=11,Fixo/30*FG$4+(U14+W14-10)*Crechee/30*FG$4,0),IF(C11=2,IF(V11+V12+V13+V14+X11+X12+X13+X14=1,Cadeirante/30*FG$4,IF(V11+V12+V13+V14+X11+X12+X13+X14=2,Fixo/30*FG$4,IF(V11+V12+V13+V14+X11+X12+X13+X14&gt;2,Fixo/30*FG$4+(V11+V12+V13+V14+X11+X12+X13+X14-2)*Cadeirante/30*FG$4)))+(U11+U12+U13+W11+W12+W13)*Percapita/30*FG$4+(U14+W14)*Crechee/30*FG$4,IF(C11=1,IF(U11+U12+U13+V11+V12+V13+W11+W12+W13+X11+X12+X13&lt;=15,(U11+U12+U13+W11+W12+W13)*Percapita/30*FG$4,IF(U11+U12+U13+V11+V12+V13+W11+W12+W13+X11+X12+X13&gt;=16,Fixo/30*FG$4+(U11+U12+U13+V11+V12+V13+W11+W12+W13+X11+X12-16)*Percapita/30*FG$4))))))</f>
        <v>0</v>
      </c>
      <c r="FH11" s="177">
        <f>IF(C11=4,SUM(Y11+Y12+Y13+AA11+AA12+AA13)*Percapita/30*FH$4+(Z11+Z12+Z13+AB11+AB12+AB13)*Cadeirante/30*FH$4,IF(C11=3,IF(Y14+AA14=10,Fixo/30*FH$4+(Y11+Y12+Y13+AA11+AA12+AA13)*Percapita/30*FH$4+(Z14+AB14)*Cadeirante/30*FH$4,IF(Y14+AA14&lt;=9,(Y14+AA14)*Crechee/30*FH$4)+(Z14+AB14)*Cadeirante/30*FH$4+(Y11+Y12+Y13+AA11+AA12+AA13)*Percapita/30*FH$4)+IF(Y14+AA14&gt;=11,Fixo/30*FH$4+(Y14+AA14-10)*Crechee/30*FH$4,0),IF(C11=2,IF(Z11+Z12+Z13+Z14+AB11+AB12+AB13+AB14=1,Cadeirante/30*FH$4,IF(Z11+Z12+Z13+Z14+AB11+AB12+AB13+AB14=2,Fixo/30*FH$4,IF(Z11+Z12+Z13+Z14+AB11+AB12+AB13+AB14&gt;2,Fixo/30*FH$4+(Z11+Z12+Z13+Z14+AB11+AB12+AB13+AB14-2)*Cadeirante/30*FH$4)))+(Y11+Y12+Y13+AA11+AA12+AA13)*Percapita/30*FH$4+(Y14+AA14)*Crechee/30*FH$4,IF(C11=1,IF(Y11+Y12+Y13+Z11+Z12+Z13+AA11+AA12+AA13+AB11+AB12+AB13&lt;=15,(Y11+Y12+Y13+AA11+AA12+AA13)*Percapita/30*FH$4,IF(Y11+Y12+Y13+Z11+Z12+Z13+AA11+AA12+AA13+AB11+AB12+AB13&gt;=16,Fixo/30*FH$4+(Y11+Y12+Y13+Z11+Z12+Z13+AA11+AA12+AA13+AB11+AB12-16)*Percapita/30*FH$4))))))</f>
        <v>0</v>
      </c>
      <c r="FI11" s="177">
        <f>IF(C11=4,SUM(AC11+AC12+AC13+AE11+AE12+AE13)*Percapita/30*FI$4+(AD11+AD12+AD13+AF11+AF12+AF13)*Cadeirante/30*FI$4,IF(C11=3,IF(AC14+AE14=10,Fixo/30*FI$4+(AC11+AC12+AC13+AE11+AE12+AE13)*Percapita/30*FI$4+(AD14+AF14)*Cadeirante/30*FI$4,IF(AC14+AE14&lt;=9,(AC14+AE14)*Crechee/30*FI$4)+(AD14+AF14)*Cadeirante/30*FI$4+(AC11+AC12+AC13+AE11+AE12+AE13)*Percapita/30*FI$4)+IF(AC14+AE14&gt;=11,Fixo/30*FI$4+(AC14+AE14-10)*Crechee/30*FI$4,0),IF(C11=2,IF(AD11+AD12+AD13+AD14+AF11+AF12+AF13+AF14=1,Cadeirante/30*FI$4,IF(AD11+AD12+AD13+AD14+AF11+AF12+AF13+AF14=2,Fixo/30*FI$4,IF(AD11+AD12+AD13+AD14+AF11+AF12+AF13+AF14&gt;2,Fixo/30*FI$4+(AD11+AD12+AD13+AD14+AF11+AF12+AF13+AF14-2)*Cadeirante/30*FI$4)))+(AC11+AC12+AC13+AE11+AE12+AE13)*Percapita/30*FI$4+(AC14+AE14)*Crechee/30*FI$4,IF(C11=1,IF(AC11+AC12+AC13+AD11+AD12+AD13+AE11+AE12+AE13+AF11+AF12+AF13&lt;=15,(AC11+AC12+AC13+AE11+AE12+AE13)*Percapita/30*FI$4,IF(AC11+AC12+AC13+AD11+AD12+AD13+AE11+AE12+AE13+AF11+AF12+AF13&gt;=16,Fixo/30*FI$4+(AC11+AC12+AC13+AD11+AD12+AD13+AE11+AE12+AE13+AF11+AF12-16)*Percapita/30*FI$4))))))</f>
        <v>0</v>
      </c>
      <c r="FJ11" s="177">
        <f>IF(C11=4,SUM(AG11+AG12+AG13+AI11+AI12+AI13)*Percapita/30*FJ$4+(AH11+AH12+AH13+AJ11+AJ12+AJ13)*Cadeirante/30*FJ$4,IF(C11=3,IF(AG14+AI14=10,Fixo/30*FJ$4+(AG11+AG12+AG13+AI11+AI12+AI13)*Percapita/30*FJ$4+(AH14+AJ14)*Cadeirante/30*FJ$4,IF(AG14+AI14&lt;=9,(AG14+AI14)*Crechee/30*FJ$4)+(AH14+AJ14)*Cadeirante/30*FJ$4+(AG11+AG12+AG13+AI11+AI12+AI13)*Percapita/30*FJ$4)+IF(AG14+AI14&gt;=11,Fixo/30*FJ$4+(AG14+AI14-10)*Crechee/30*FJ$4,0),IF(C11=2,IF(AH11+AH12+AH13+AH14+AJ11+AJ12+AJ13+AJ14=1,Cadeirante/30*FJ$4,IF(AH11+AH12+AH13+AH14+AJ11+AJ12+AJ13+AJ14=2,Fixo/30*FJ$4,IF(AH11+AH12+AH13+AH14+AJ11+AJ12+AJ13+AJ14&gt;2,Fixo/30*FJ$4+(AH11+AH12+AH13+AH14+AJ11+AJ12+AJ13+AJ14-2)*Cadeirante/30*FJ$4)))+(AG11+AG12+AG13+AI11+AI12+AI13)*Percapita/30*FJ$4+(AG14+AI14)*Crechee/30*FJ$4,IF(C11=1,IF(AG11+AG12+AG13+AH11+AH12+AH13+AI11+AI12+AI13+AJ11+AJ12+AJ13&lt;=15,(AG11+AG12+AG13+AI11+AI12+AI13)*Percapita/30*FJ$4,IF(AG11+AG12+AG13+AH11+AH12+AH13+AI11+AI12+AI13+AJ11+AJ12+AJ13&gt;=16,Fixo/30*FJ$4+(AG11+AG12+AG13+AH11+AH12+AH13+AI11+AI12+AI13+AJ11+AJ12-16)*Percapita/30*FJ$4))))))</f>
        <v>0</v>
      </c>
      <c r="FK11" s="177">
        <f>IF(C11=4,SUM(AK11+AK12+AK13+AM11+AM12+AM13)*Percapita/30*FK$4+(AL11+AL12+AL13+AN11+AN12+AN13)*Cadeirante/30*FK$4,IF(C11=3,IF(AK14+AM14=10,Fixo/30*FK$4+(AK11+AK12+AK13+AM11+AM12+AM13)*Percapita/30*FK$4+(AL14+AN14)*Cadeirante/30*FK$4,IF(AK14+AM14&lt;=9,(AK14+AM14)*Crechee/30*FK$4)+(AL14+AN14)*Cadeirante/30*FK$4+(AK11+AK12+AK13+AM11+AM12+AM13)*Percapita/30*FK$4)+IF(AK14+AM14&gt;=11,Fixo/30*FK$4+(AK14+AM14-10)*Crechee/30*FK$4,0),IF(C11=2,IF(AL11+AL12+AL13+AL14+AN11+AN12+AN13+AN14=1,Cadeirante/30*FK$4,IF(AL11+AL12+AL13+AL14+AN11+AN12+AN13+AN14=2,Fixo/30*FK$4,IF(AL11+AL12+AL13+AL14+AN11+AN12+AN13+AN14&gt;2,Fixo/30*FK$4+(AL11+AL12+AL13+AL14+AN11+AN12+AN13+AN14-2)*Cadeirante/30*FK$4)))+(AK11+AK12+AK13+AM11+AM12+AM13)*Percapita/30*FK$4+(AK14+AM14)*Crechee/30*FK$4,IF(C11=1,IF(AK11+AK12+AK13+AL11+AL12+AL13+AM11+AM12+AM13+AN11+AN12+AN13&lt;=15,(AK11+AK12+AK13+AM11+AM12+AM13)*Percapita/30*FK$4,IF(AK11+AK12+AK13+AL11+AL12+AL13+AM11+AM12+AM13+AN11+AN12+AN13&gt;=16,Fixo/30*FK$4+(AK11+AK12+AK13+AL11+AL12+AL13+AM11+AM12+AM13+AN11+AN12-16)*Percapita/30*FK$4))))))</f>
        <v>0</v>
      </c>
      <c r="FL11" s="177">
        <f>IF(C11=4,SUM(AO11+AO12+AO13+AQ11+AQ12+AQ13)*Percapita/30*FL$4+(AP11+AP12+AP13+AR11+AR12+AR13)*Cadeirante/30*FL$4,IF(C11=3,IF(AO14+AQ14=10,Fixo/30*FL$4+(AO11+AO12+AO13+AQ11+AQ12+AQ13)*Percapita/30*FL$4+(AP14+AR14)*Cadeirante/30*FL$4,IF(AO14+AQ14&lt;=9,(AO14+AQ14)*Crechee/30*FL$4)+(AP14+AR14)*Cadeirante/30*FL$4+(AO11+AO12+AO13+AQ11+AQ12+AQ13)*Percapita/30*FL$4)+IF(AO14+AQ14&gt;=11,Fixo/30*FL$4+(AO14+AQ14-10)*Crechee/30*FL$4,0),IF(C11=2,IF(AP11+AP12+AP13+AP14+AR11+AR12+AR13+AR14=1,Cadeirante/30*FL$4,IF(AP11+AP12+AP13+AP14+AR11+AR12+AR13+AR14=2,Fixo/30*FL$4,IF(AP11+AP12+AP13+AP14+AR11+AR12+AR13+AR14&gt;2,Fixo/30*FL$4+(AP11+AP12+AP13+AP14+AR11+AR12+AR13+AR14-2)*Cadeirante/30*FL$4)))+(AO11+AO12+AO13+AQ11+AQ12+AQ13)*Percapita/30*FL$4+(AO14+AQ14)*Crechee/30*FL$4,IF(C11=1,IF(AO11+AO12+AO13+AP11+AP12+AP13+AQ11+AQ12+AQ13+AR11+AR12+AR13&lt;=15,(AO11+AO12+AO13+AQ11+AQ12+AQ13)*Percapita/30*FL$4,IF(AO11+AO12+AO13+AP11+AP12+AP13+AQ11+AQ12+AQ13+AR11+AR12+AR13&gt;=16,Fixo/30*FL$4+(AO11+AO12+AO13+AP11+AP12+AP13+AQ11+AQ12+AQ13+AR11+AR12-16)*Percapita/30*FL$4))))))</f>
        <v>0</v>
      </c>
      <c r="FM11" s="177">
        <f>IF(C11=4,SUM(AS11+AS12+AS13+AU11+AU12+AU13)*Percapita/30*FM$4+(AT11+AT12+AT13+AV11+AV12+AV13)*Cadeirante/30*FM$4,IF(C11=3,IF(AS14+AU14=10,Fixo/30*FM$4+(AS11+AS12+AS13+AU11+AU12+AU13)*Percapita/30*FM$4+(AT14+AV14)*Cadeirante/30*FM$4,IF(AS14+AU14&lt;=9,(AS14+AU14)*Crechee/30*FM$4)+(AT14+AV14)*Cadeirante/30*FM$4+(AS11+AS12+AS13+AU11+AU12+AU13)*Percapita/30*FM$4)+IF(AS14+AU14&gt;=11,Fixo/30*FM$4+(AS14+AU14-10)*Crechee/30*FM$4,0),IF(C11=2,IF(AT11+AT12+AT13+AT14+AV11+AV12+AV13+AV14=1,Cadeirante/30*FM$4,IF(AT11+AT12+AT13+AT14+AV11+AV12+AV13+AV14=2,Fixo/30*FM$4,IF(AT11+AT12+AT13+AT14+AV11+AV12+AV13+AV14&gt;2,Fixo/30*FM$4+(AT11+AT12+AT13+AT14+AV11+AV12+AV13+AV14-2)*Cadeirante/30*FM$4)))+(AS11+AS12+AS13+AU11+AU12+AU13)*Percapita/30*FM$4+(AS14+AU14)*Crechee/30*FM$4,IF(C11=1,IF(AS11+AS12+AS13+AT11+AT12+AT13+AU11+AU12+AU13+AV11+AV12+AV13&lt;=15,(AS11+AS12+AS13+AU11+AU12+AU13)*Percapita/30*FM$4,IF(AS11+AS12+AS13+AT11+AT12+AT13+AU11+AU12+AU13+AV11+AV12+AV13&gt;=16,Fixo/30*FM$4+(AS11+AS12+AS13+AT11+AT12+AT13+AU11+AU12+AU13+AV11+AV12-16)*Percapita/30*FM$4))))))</f>
        <v>0</v>
      </c>
      <c r="FN11" s="177">
        <f>IF(C11=4,SUM(AW11+AW12+AW13+AY11+AY12+AY13)*Percapita/30*FN$4+(AX11+AX12+AX13+AZ11+AZ12+AZ13)*Cadeirante/30*FN$4,IF(C11=3,IF(AW14+AY14=10,Fixo/30*FN$4+(AW11+AW12+AW13+AY11+AY12+AY13)*Percapita/30*FN$4+(AX14+AZ14)*Cadeirante/30*FN$4,IF(AW14+AY14&lt;=9,(AW14+AY14)*Crechee/30*FN$4)+(AX14+AZ14)*Cadeirante/30*FN$4+(AW11+AW12+AW13+AY11+AY12+AY13)*Percapita/30*FN$4)+IF(AW14+AY14&gt;=11,Fixo/30*FN$4+(AW14+AY14-10)*Crechee/30*FN$4,0),IF(C11=2,IF(AX11+AX12+AX13+AX14+AZ11+AZ12+AZ13+AZ14=1,Cadeirante/30*FN$4,IF(AX11+AX12+AX13+AX14+AZ11+AZ12+AZ13+AZ14=2,Fixo/30*FN$4,IF(AX11+AX12+AX13+AX14+AZ11+AZ12+AZ13+AZ14&gt;2,Fixo/30*FN$4+(AX11+AX12+AX13+AX14+AZ11+AZ12+AZ13+AZ14-2)*Cadeirante/30*FN$4)))+(AW11+AW12+AW13+AY11+AY12+AY13)*Percapita/30*FN$4+(AW14+AY14)*Crechee/30*FN$4,IF(C11=1,IF(AW11+AW12+AW13+AX11+AX12+AX13+AY11+AY12+AY13+AZ11+AZ12+AZ13&lt;=15,(AW11+AW12+AW13+AY11+AY12+AY13)*Percapita/30*FN$4,IF(AW11+AW12+AW13+AX11+AX12+AX13+AY11+AY12+AY13+AZ11+AZ12+AZ13&gt;=16,Fixo/30*FN$4+(AW11+AW12+AW13+AX11+AX12+AX13+AY11+AY12+AY13+AZ11+AZ12-16)*Percapita/30*FN$4))))))</f>
        <v>0</v>
      </c>
      <c r="FO11" s="177">
        <f>IF(C11=4,SUM(BA11+BA12+BA13+BC11+BC12+BC13)*Percapita/30*FO$4+(BB11+BB12+BB13+BD11+BD12+BD13)*Cadeirante/30*FO$4,IF(C11=3,IF(BA14+BC14=10,Fixo/30*FO$4+(BA11+BA12+BA13+BC11+BC12+BC13)*Percapita/30*FO$4+(BB14+BD14)*Cadeirante/30*FO$4,IF(BA14+BC14&lt;=9,(BA14+BC14)*Crechee/30*FO$4)+(BB14+BD14)*Cadeirante/30*FO$4+(BA11+BA12+BA13+BC11+BC12+BC13)*Percapita/30*FO$4)+IF(BA14+BC14&gt;=11,Fixo/30*FO$4+(BA14+BC14-10)*Crechee/30*FO$4,0),IF(C11=2,IF(BB11+BB12+BB13+BB14+BD11+BD12+BD13+BD14=1,Cadeirante/30*FO$4,IF(BB11+BB12+BB13+BB14+BD11+BD12+BD13+BD14=2,Fixo/30*FO$4,IF(BB11+BB12+BB13+BB14+BD11+BD12+BD13+BD14&gt;2,Fixo/30*FO$4+(BB11+BB12+BB13+BB14+BD11+BD12+BD13+BD14-2)*Cadeirante/30*FO$4)))+(BA11+BA12+BA13+BC11+BC12+BC13)*Percapita/30*FO$4+(BA14+BC14)*Crechee/30*FO$4,IF(C11=1,IF(BA11+BA12+BA13+BB11+BB12+BB13+BC11+BC12+BC13+BD11+BD12+BD13&lt;=15,(BA11+BA12+BA13+BC11+BC12+BC13)*Percapita/30*FO$4,IF(BA11+BA12+BA13+BB11+BB12+BB13+BC11+BC12+BC13+BD11+BD12+BD13&gt;=16,Fixo/30*FO$4+(BA11+BA12+BA13+BB11+BB12+BB13+BC11+BC12+BC13+BD11+BD12-16)*Percapita/30*FO$4))))))</f>
        <v>0</v>
      </c>
      <c r="FP11" s="177">
        <f>IF(C11=4,SUM(BE11+BE12+BE13+BG11+BG12+BG13)*Percapita/30*FP$4+(BF11+BF12+BF13+BH11+BH12+BH13)*Cadeirante/30*FP$4,IF(C11=3,IF(BE14+BG14=10,Fixo/30*FP$4+(BE11+BE12+BE13+BG11+BG12+BG13)*Percapita/30*FP$4+(BF14+BH14)*Cadeirante/30*FP$4,IF(BE14+BG14&lt;=9,(BE14+BG14)*Crechee/30*FP$4)+(BF14+BH14)*Cadeirante/30*FP$4+(BE11+BE12+BE13+BG11+BG12+BG13)*Percapita/30*FP$4)+IF(BE14+BG14&gt;=11,Fixo/30*FP$4+(BE14+BG14-10)*Crechee/30*FP$4,0),IF(C11=2,IF(BF11+BF12+BF13+BF14+BH11+BH12+BH13+BH14=1,Cadeirante/30*FP$4,IF(BF11+BF12+BF13+BF14+BH11+BH12+BH13+BH14=2,Fixo/30*FP$4,IF(BF11+BF12+BF13+BF14+BH11+BH12+BH13+BH14&gt;2,Fixo/30*FP$4+(BF11+BF12+BF13+BF14+BH11+BH12+BH13+BH14-2)*Cadeirante/30*FP$4)))+(BE11+BE12+BE13+BG11+BG12+BG13)*Percapita/30*FP$4+(BE14+BG14)*Crechee/30*FP$4,IF(C11=1,IF(BE11+BE12+BE13+BF11+BF12+BF13+BG11+BG12+BG13+BH11+BH12+BH13&lt;=15,(BE11+BE12+BE13+BG11+BG12+BG13)*Percapita/30*FP$4,IF(BE11+BE12+BE13+BF11+BF12+BF13+BG11+BG12+BG13+BH11+BH12+BH13&gt;=16,Fixo/30*FP$4+(BE11+BE12+BE13+BF11+BF12+BF13+BG11+BG12+BG13+BH11+BH12-16)*Percapita/30*FP$4))))))</f>
        <v>0</v>
      </c>
      <c r="FQ11" s="177">
        <f>IF(C11=4,SUM(BI11+BI12+BI13+BK11+BK12+BK13)*Percapita/30*FQ$4+(BJ11+BJ12+BJ13+BL11+BL12+BL13)*Cadeirante/30*FQ$4,IF(C11=3,IF(BI14+BK14=10,Fixo/30*FQ$4+(BI11+BI12+BI13+BK11+BK12+BK13)*Percapita/30*FQ$4+(BJ14+BL14)*Cadeirante/30*FQ$4,IF(BI14+BK14&lt;=9,(BI14+BK14)*Crechee/30*FQ$4)+(BJ14+BL14)*Cadeirante/30*FQ$4+(BI11+BI12+BI13+BK11+BK12+BK13)*Percapita/30*FQ$4)+IF(BI14+BK14&gt;=11,Fixo/30*FQ$4+(BI14+BK14-10)*Crechee/30*FQ$4,0),IF(C11=2,IF(BJ11+BJ12+BJ13+BJ14+BL11+BL12+BL13+BL14=1,Cadeirante/30*FQ$4,IF(BJ11+BJ12+BJ13+BJ14+BL11+BL12+BL13+BL14=2,Fixo/30*FQ$4,IF(BJ11+BJ12+BJ13+BJ14+BL11+BL12+BL13+BL14&gt;2,Fixo/30*FQ$4+(BJ11+BJ12+BJ13+BJ14+BL11+BL12+BL13+BL14-2)*Cadeirante/30*FQ$4)))+(BI11+BI12+BI13+BK11+BK12+BK13)*Percapita/30*FQ$4+(BI14+BK14)*Crechee/30*FQ$4,IF(C11=1,IF(BI11+BI12+BI13+BJ11+BJ12+BJ13+BK11+BK12+BK13+BL11+BL12+BL13&lt;=15,(BI11+BI12+BI13+BK11+BK12+BK13)*Percapita/30*FQ$4,IF(BI11+BI12+BI13+BJ11+BJ12+BJ13+BK11+BK12+BK13+BL11+BL12+BL13&gt;=16,Fixo/30*FQ$4+(BI11+BI12+BI13+BJ11+BJ12+BJ13+BK11+BK12+BK13+BL11+BL12-16)*Percapita/30*FQ$4))))))</f>
        <v>0</v>
      </c>
      <c r="FR11" s="177">
        <f>IF(C11=4,SUM(BM11+BM12+BM13+BO11+BO12+BO13)*Percapita/30*FR$4+(BN11+BN12+BN13+BP11+BP12+BP13)*Cadeirante/30*FR$4,IF(C11=3,IF(BM14+BO14=10,Fixo/30*FR$4+(BM11+BM12+BM13+BO11+BO12+BO13)*Percapita/30*FR$4+(BN14+BP14)*Cadeirante/30*FR$4,IF(BM14+BO14&lt;=9,(BM14+BO14)*Crechee/30*FR$4)+(BN14+BP14)*Cadeirante/30*FR$4+(BM11+BM12+BM13+BO11+BO12+BO13)*Percapita/30*FR$4)+IF(BM14+BO14&gt;=11,Fixo/30*FR$4+(BM14+BO14-10)*Crechee/30*FR$4,0),IF(C11=2,IF(BN11+BN12+BN13+BN14+BP11+BP12+BP13+BP14=1,Cadeirante/30*FR$4,IF(BN11+BN12+BN13+BN14+BP11+BP12+BP13+BP14=2,Fixo/30*FR$4,IF(BN11+BN12+BN13+BN14+BP11+BP12+BP13+BP14&gt;2,Fixo/30*FR$4+(BN11+BN12+BN13+BN14+BP11+BP12+BP13+BP14-2)*Cadeirante/30*FR$4)))+(BM11+BM12+BM13+BO11+BO12+BO13)*Percapita/30*FR$4+(BM14+BO14)*Crechee/30*FR$4,IF(C11=1,IF(BM11+BM12+BM13+BN11+BN12+BN13+BO11+BO12+BO13+BP11+BP12+BP13&lt;=15,(BM11+BM12+BM13+BO11+BO12+BO13)*Percapita/30*FR$4,IF(BM11+BM12+BM13+BN11+BN12+BN13+BO11+BO12+BO13+BP11+BP12+BP13&gt;=16,Fixo/30*FR$4+(BM11+BM12+BM13+BN11+BN12+BN13+BO11+BO12+BO13+BP11+BP12-16)*Percapita/30*FR$4))))))</f>
        <v>0</v>
      </c>
      <c r="FS11" s="177">
        <f>IF(C11=4,SUM(BQ11+BQ12+BQ13+BS11+BS12+BS13)*Percapita/30*FS$4+(BR11+BR12+BR13+BT11+BT12+BT13)*Cadeirante/30*FS$4,IF(C11=3,IF(BQ14+BS14=10,Fixo/30*FS$4+(BQ11+BQ12+BQ13+BS11+BS12+BS13)*Percapita/30*FS$4+(BR14+BT14)*Cadeirante/30*FS$4,IF(BQ14+BS14&lt;=9,(BQ14+BS14)*Crechee/30*FS$4)+(BR14+BT14)*Cadeirante/30*FS$4+(BQ11+BQ12+BQ13+BS11+BS12+BS13)*Percapita/30*FS$4)+IF(BQ14+BS14&gt;=11,Fixo/30*FS$4+(BQ14+BS14-10)*Crechee/30*FS$4,0),IF(C11=2,IF(BR11+BR12+BR13+BR14+BT11+BT12+BT13+BT14=1,Cadeirante/30*FS$4,IF(BR11+BR12+BR13+BR14+BT11+BT12+BT13+BT14=2,Fixo/30*FS$4,IF(BR11+BR12+BR13+BR14+BT11+BT12+BT13+BT14&gt;2,Fixo/30*FS$4+(BR11+BR12+BR13+BR14+BT11+BT12+BT13+BT14-2)*Cadeirante/30*FS$4)))+(BQ11+BQ12+BQ13+BS11+BS12+BS13)*Percapita/30*FS$4+(BQ14+BS14)*Crechee/30*FS$4,IF(C11=1,IF(BQ11+BQ12+BQ13+BR11+BR12+BR13+BS11+BS12+BS13+BT11+BT12+BT13&lt;=15,(BQ11+BQ12+BQ13+BS11+BS12+BS13)*Percapita/30*FS$4,IF(BQ11+BQ12+BQ13+BR11+BR12+BR13+BS11+BS12+BS13+BT11+BT12+BT13&gt;=16,Fixo/30*FS$4+(BQ11+BQ12+BQ13+BR11+BR12+BR13+BS11+BS12+BS13+BT11+BT12-16)*Percapita/30*FS$4))))))</f>
        <v>0</v>
      </c>
      <c r="FT11" s="177">
        <f>IF(C11=4,SUM(BU11+BU12+BU13+BW11+BW12+BW13)*Percapita/30*FT$4+(BV11+BV12+BV13+BX11+BX12+BX13)*Cadeirante/30*FT$4,IF(C11=3,IF(BU14+BW14=10,Fixo/30*FT$4+(BU11+BU12+BU13+BW11+BW12+BW13)*Percapita/30*FT$4+(BV14+BX14)*Cadeirante/30*FT$4,IF(BU14+BW14&lt;=9,(BU14+BW14)*Crechee/30*FT$4)+(BV14+BX14)*Cadeirante/30*FT$4+(BU11+BU12+BU13+BW11+BW12+BW13)*Percapita/30*FT$4)+IF(BU14+BW14&gt;=11,Fixo/30*FT$4+(BU14+BW14-10)*Crechee/30*FT$4,0),IF(C11=2,IF(BV11+BV12+BV13+BV14+BX11+BX12+BX13+BX14=1,Cadeirante/30*FT$4,IF(BV11+BV12+BV13+BV14+BX11+BX12+BX13+BX14=2,Fixo/30*FT$4,IF(BV11+BV12+BV13+BV14+BX11+BX12+BX13+BX14&gt;2,Fixo/30*FT$4+(BV11+BV12+BV13+BV14+BX11+BX12+BX13+BX14-2)*Cadeirante/30*FT$4)))+(BU11+BU12+BU13+BW11+BW12+BW13)*Percapita/30*FT$4+(BU14+BW14)*Crechee/30*FT$4,IF(C11=1,IF(BU11+BU12+BU13+BV11+BV12+BV13+BW11+BW12+BW13+BX11+BX12+BX13&lt;=15,(BU11+BU12+BU13+BW11+BW12+BW13)*Percapita/30*FT$4,IF(BU11+BU12+BU13+BV11+BV12+BV13+BW11+BW12+BW13+BX11+BX12+BX13&gt;=16,Fixo/30*FT$4+(BU11+BU12+BU13+BV11+BV12+BV13+BW11+BW12+BW13+BX11+BX12-16)*Percapita/30*FT$4))))))</f>
        <v>0</v>
      </c>
      <c r="FU11" s="177">
        <f>IF(C11=4,SUM(BY11+BY12+BY13+CA11+CA12+CA13)*Percapita/30*FU$4+(BZ11+BZ12+BZ13+CB11+CB12+CB13)*Cadeirante/30*FU$4,IF(C11=3,IF(BY14+CA14=10,Fixo/30*FU$4+(BY11+BY12+BY13+CA11+CA12+CA13)*Percapita/30*FU$4+(BZ14+CB14)*Cadeirante/30*FU$4,IF(BY14+CA14&lt;=9,(BY14+CA14)*Crechee/30*FU$4)+(BZ14+CB14)*Cadeirante/30*FU$4+(BY11+BY12+BY13+CA11+CA12+CA13)*Percapita/30*FU$4)+IF(BY14+CA14&gt;=11,Fixo/30*FU$4+(BY14+CA14-10)*Crechee/30*FU$4,0),IF(C11=2,IF(BZ11+BZ12+BZ13+BZ14+CB11+CB12+CB13+CB14=1,Cadeirante/30*FU$4,IF(BZ11+BZ12+BZ13+BZ14+CB11+CB12+CB13+CB14=2,Fixo/30*FU$4,IF(BZ11+BZ12+BZ13+BZ14+CB11+CB12+CB13+CB14&gt;2,Fixo/30*FU$4+(BZ11+BZ12+BZ13+BZ14+CB11+CB12+CB13+CB14-2)*Cadeirante/30*FU$4)))+(BY11+BY12+BY13+CA11+CA12+CA13)*Percapita/30*FU$4+(BY14+CA14)*Crechee/30*FU$4,IF(C11=1,IF(BY11+BY12+BY13+BZ11+BZ12+BZ13+CA11+CA12+CA13+CB11+CB12+CB13&lt;=15,(BY11+BY12+BY13+CA11+CA12+CA13)*Percapita/30*FU$4,IF(BY11+BY12+BY13+BZ11+BZ12+BZ13+CA11+CA12+CA13+CB11+CB12+CB13&gt;=16,Fixo/30*FU$4+(BY11+BY12+BY13+BZ11+BZ12+BZ13+CA11+CA12+CA13+CB11+CB12-16)*Percapita/30*FU$4))))))</f>
        <v>0</v>
      </c>
      <c r="FV11" s="177">
        <f>IF(C11=4,SUM(CC11+CC12+CC13+CE11+CE12+CE13)*Percapita/30*FV$4+(CD11+CD12+CD13+CF11+CF12+CF13)*Cadeirante/30*FV$4,IF(C11=3,IF(CC14+CE14=10,Fixo/30*FV$4+(CC11+CC12+CC13+CE11+CE12+CE13)*Percapita/30*FV$4+(CD14+CF14)*Cadeirante/30*FV$4,IF(CC14+CE14&lt;=9,(CC14+CE14)*Crechee/30*FV$4)+(CD14+CF14)*Cadeirante/30*FV$4+(CC11+CC12+CC13+CE11+CE12+CE13)*Percapita/30*FV$4)+IF(CC14+CE14&gt;=11,Fixo/30*FV$4+(CC14+CE14-10)*Crechee/30*FV$4,0),IF(C11=2,IF(CD11+CD12+CD13+CD14+CF11+CF12+CF13+CF14=1,Cadeirante/30*FV$4,IF(CD11+CD12+CD13+CD14+CF11+CF12+CF13+CF14=2,Fixo/30*FV$4,IF(CD11+CD12+CD13+CD14+CF11+CF12+CF13+CF14&gt;2,Fixo/30*FV$4+(CD11+CD12+CD13+CD14+CF11+CF12+CF13+CF14-2)*Cadeirante/30*FV$4)))+(CC11+CC12+CC13+CE11+CE12+CE13)*Percapita/30*FV$4+(CC14+CE14)*Crechee/30*FV$4,IF(C11=1,IF(CC11+CC12+CC13+CD11+CD12+CD13+CE11+CE12+CE13+CF11+CF12+CF13&lt;=15,(CC11+CC12+CC13+CE11+CE12+CE13)*Percapita/30*FV$4,IF(CC11+CC12+CC13+CD11+CD12+CD13+CE11+CE12+CE13+CF11+CF12+CF13&gt;=16,Fixo/30*FV$4+(CC11+CC12+CC13+CD11+CD12+CD13+CE11+CE12+CE13+CF11+CF12-16)*Percapita/30*FV$4))))))</f>
        <v>0</v>
      </c>
      <c r="FW11" s="177">
        <f>IF(C11=4,SUM(CG11+CG12+CG13+CI11+CI12+CI13)*Percapita/30*FW$4+(CH11+CH12+CH13+CJ11+CJ12+CJ13)*Cadeirante/30*FW$4,IF(C11=3,IF(CG14+CI14=10,Fixo/30*FW$4+(CG11+CG12+CG13+CI11+CI12+CI13)*Percapita/30*FW$4+(CH14+CJ14)*Cadeirante/30*FW$4,IF(CG14+CI14&lt;=9,(CG14+CI14)*Crechee/30*FW$4)+(CH14+CJ14)*Cadeirante/30*FW$4+(CG11+CG12+CG13+CI11+CI12+CI13)*Percapita/30*FW$4)+IF(CG14+CI14&gt;=11,Fixo/30*FW$4+(CG14+CI14-10)*Crechee/30*FW$4,0),IF(C11=2,IF(CH11+CH12+CH13+CH14+CJ11+CJ12+CJ13+CJ14=1,Cadeirante/30*FW$4,IF(CH11+CH12+CH13+CH14+CJ11+CJ12+CJ13+CJ14=2,Fixo/30*FW$4,IF(CH11+CH12+CH13+CH14+CJ11+CJ12+CJ13+CJ14&gt;2,Fixo/30*FW$4+(CH11+CH12+CH13+CH14+CJ11+CJ12+CJ13+CJ14-2)*Cadeirante/30*FW$4)))+(CG11+CG12+CG13+CI11+CI12+CI13)*Percapita/30*FW$4+(CG14+CI14)*Crechee/30*FW$4,IF(C11=1,IF(CG11+CG12+CG13+CH11+CH12+CH13+CI11+CI12+CI13+CJ11+CJ12+CJ13&lt;=15,(CG11+CG12+CG13+CI11+CI12+CI13)*Percapita/30*FW$4,IF(CG11+CG12+CG13+CH11+CH12+CH13+CI11+CI12+CI13+CJ11+CJ12+CJ13&gt;=16,Fixo/30*FW$4+(CG11+CG12+CG13+CH11+CH12+CH13+CI11+CI12+CI13+CJ11+CJ12-16)*Percapita/30*FW$4))))))</f>
        <v>0</v>
      </c>
      <c r="FX11" s="177">
        <f>IF(C11=4,SUM(CK11+CK12+CK13+CM11+CM12+CM13)*Percapita/30*FX$4+(CL11+CL12+CL13+CN11+CN12+CN13)*Cadeirante/30*FX$4,IF(C11=3,IF(CK14+CM14=10,Fixo/30*FX$4+(CK11+CK12+CK13+CM11+CM12+CM13)*Percapita/30*FX$4+(CL14+CN14)*Cadeirante/30*FX$4,IF(CK14+CM14&lt;=9,(CK14+CM14)*Crechee/30*FX$4)+(CL14+CN14)*Cadeirante/30*FX$4+(CK11+CK12+CK13+CM11+CM12+CM13)*Percapita/30*FX$4)+IF(CK14+CM14&gt;=11,Fixo/30*FX$4+(CK14+CM14-10)*Crechee/30*FX$4,0),IF(C11=2,IF(CL11+CL12+CL13+CL14+CN11+CN12+CN13+CN14=1,Cadeirante/30*FX$4,IF(CL11+CL12+CL13+CL14+CN11+CN12+CN13+CN14=2,Fixo/30*FX$4,IF(CL11+CL12+CL13+CL14+CN11+CN12+CN13+CN14&gt;2,Fixo/30*FX$4+(CL11+CL12+CL13+CL14+CN11+CN12+CN13+CN14-2)*Cadeirante/30*FX$4)))+(CK11+CK12+CK13+CM11+CM12+CM13)*Percapita/30*FX$4+(CK14+CM14)*Crechee/30*FX$4,IF(C11=1,IF(CK11+CK12+CK13+CL11+CL12+CL13+CM11+CM12+CM13+CN11+CN12+CN13&lt;=15,(CK11+CK12+CK13+CM11+CM12+CM13)*Percapita/30*FX$4,IF(CK11+CK12+CK13+CL11+CL12+CL13+CM11+CM12+CM13+CN11+CN12+CN13&gt;=16,Fixo/30*FX$4+(CK11+CK12+CK13+CL11+CL12+CL13+CM11+CM12+CM13+CN11+CN12-16)*Percapita/30*FX$4))))))</f>
        <v>0</v>
      </c>
      <c r="FY11" s="177">
        <f>IF(C11=4,SUM(CO11+CO12+CO13+CQ11+CQ12+CQ13)*Percapita/30*FY$4+(CP11+CP12+CP13+CR11+CR12+CR13)*Cadeirante/30*FY$4,IF(C11=3,IF(CO14+CQ14=10,Fixo/30*FY$4+(CO11+CO12+CO13+CQ11+CQ12+CQ13)*Percapita/30*FY$4+(CP14+CR14)*Cadeirante/30*FY$4,IF(CO14+CQ14&lt;=9,(CO14+CQ14)*Crechee/30*FY$4)+(CP14+CR14)*Cadeirante/30*FY$4+(CO11+CO12+CO13+CQ11+CQ12+CQ13)*Percapita/30*FY$4)+IF(CO14+CQ14&gt;=11,Fixo/30*FY$4+(CO14+CQ14-10)*Crechee/30*FY$4,0),IF(C11=2,IF(CP11+CP12+CP13+CP14+CR11+CR12+CR13+CR14=1,Cadeirante/30*FY$4,IF(CP11+CP12+CP13+CP14+CR11+CR12+CR13+CR14=2,Fixo/30*FY$4,IF(CP11+CP12+CP13+CP14+CR11+CR12+CR13+CR14&gt;2,Fixo/30*FY$4+(CP11+CP12+CP13+CP14+CR11+CR12+CR13+CR14-2)*Cadeirante/30*FY$4)))+(CO11+CO12+CO13+CQ11+CQ12+CQ13)*Percapita/30*FY$4+(CO14+CQ14)*Crechee/30*FY$4,IF(C11=1,IF(CO11+CO12+CO13+CP11+CP12+CP13+CQ11+CQ12+CQ13+CR11+CR12+CR13&lt;=15,(CO11+CO12+CO13+CQ11+CQ12+CQ13)*Percapita/30*FY$4,IF(CO11+CO12+CO13+CP11+CP12+CP13+CQ11+CQ12+CQ13+CR11+CR12+CR13&gt;=16,Fixo/30*FY$4+(CO11+CO12+CO13+CP11+CP12+CP13+CQ11+CQ12+CQ13+CR11+CR12-16)*Percapita/30*FY$4))))))</f>
        <v>0</v>
      </c>
      <c r="FZ11" s="177">
        <f>IF(C11=4,SUM(CS11+CS12+CS13+CU11+CU12+CU13)*Percapita/30*FZ$4+(CT11+CT12+CT13+CV11+CV12+CV13)*Cadeirante/30*FZ$4,IF(C11=3,IF(CS14+CU14=10,Fixo/30*FZ$4+(CS11+CS12+CS13+CU11+CU12+CU13)*Percapita/30*FZ$4+(CT14+CV14)*Cadeirante/30*FZ$4,IF(CS14+CU14&lt;=9,(CS14+CU14)*Crechee/30*FZ$4)+(CT14+CV14)*Cadeirante/30*FZ$4+(CS11+CS12+CS13+CU11+CU12+CU13)*Percapita/30*FZ$4)+IF(CS14+CU14&gt;=11,Fixo/30*FZ$4+(CS14+CU14-10)*Crechee/30*FZ$4,0),IF(C11=2,IF(CT11+CT12+CT13+CT14+CV11+CV12+CV13+CV14=1,Cadeirante/30*FZ$4,IF(CT11+CT12+CT13+CT14+CV11+CV12+CV13+CV14=2,Fixo/30*FZ$4,IF(CT11+CT12+CT13+CT14+CV11+CV12+CV13+CV14&gt;2,Fixo/30*FZ$4+(CT11+CT12+CT13+CT14+CV11+CV12+CV13+CV14-2)*Cadeirante/30*FZ$4)))+(CS11+CS12+CS13+CU11+CU12+CU13)*Percapita/30*FZ$4+(CS14+CU14)*Crechee/30*FZ$4,IF(C11=1,IF(CS11+CS12+CS13+CT11+CT12+CT13+CU11+CU12+CU13+CV11+CV12+CV13&lt;=15,(CS11+CS12+CS13+CU11+CU12+CU13)*Percapita/30*FZ$4,IF(CS11+CS12+CS13+CT11+CT12+CT13+CU11+CU12+CU13+CV11+CV12+CV13&gt;=16,Fixo/30*FZ$4+(CS11+CS12+CS13+CT11+CT12+CT13+CU11+CU12+CU13+CV11+CV12-16)*Percapita/30*FZ$4))))))</f>
        <v>0</v>
      </c>
      <c r="GA11" s="177">
        <f>IF(C11=4,SUM(CW11+CW12+CW13+CY11+CY12+CY13)*Percapita/30*GA$4+(CX11+CX12+CX13+CZ11+CZ12+CZ13)*Cadeirante/30*GA$4,IF(C11=3,IF(CW14+CY14=10,Fixo/30*GA$4+(CW11+CW12+CW13+CY11+CY12+CY13)*Percapita/30*GA$4+(CX14+CZ14)*Cadeirante/30*GA$4,IF(CW14+CY14&lt;=9,(CW14+CY14)*Crechee/30*GA$4)+(CX14+CZ14)*Cadeirante/30*GA$4+(CW11+CW12+CW13+CY11+CY12+CY13)*Percapita/30*GA$4)+IF(CW14+CY14&gt;=11,Fixo/30*GA$4+(CW14+CY14-10)*Crechee/30*GA$4,0),IF(C11=2,IF(CX11+CX12+CX13+CX14+CZ11+CZ12+CZ13+CZ14=1,Cadeirante/30*GA$4,IF(CX11+CX12+CX13+CX14+CZ11+CZ12+CZ13+CZ14=2,Fixo/30*GA$4,IF(CX11+CX12+CX13+CX14+CZ11+CZ12+CZ13+CZ14&gt;2,Fixo/30*GA$4+(CX11+CX12+CX13+CX14+CZ11+CZ12+CZ13+CZ14-2)*Cadeirante/30*GA$4)))+(CW11+CW12+CW13+CY11+CY12+CY13)*Percapita/30*GA$4+(CW14+CY14)*Crechee/30*GA$4,IF(C11=1,IF(CW11+CW12+CW13+CX11+CX12+CX13+CY11+CY12+CY13+CZ11+CZ12+CZ13&lt;=15,(CW11+CW12+CW13+CY11+CY12+CY13)*Percapita/30*GA$4,IF(CW11+CW12+CW13+CX11+CX12+CX13+CY11+CY12+CY13+CZ11+CZ12+CZ13&gt;=16,Fixo/30*GA$4+(CW11+CW12+CW13+CX11+CX12+CX13+CY11+CY12+CY13+CZ11+CZ12-16)*Percapita/30*GA$4))))))</f>
        <v>0</v>
      </c>
      <c r="GB11" s="177">
        <f>IF(C11=4,SUM(DA11+DA12+DA13+DC11+DC12+DC13)*Percapita/30*GB$4+(DB11+DB12+DB13+DD11+DD12+DD13)*Cadeirante/30*GB$4,IF(C11=3,IF(DA14+DC14=10,Fixo/30*GB$4+(DA11+DA12+DA13+DC11+DC12+DC13)*Percapita/30*GB$4+(DB14+DD14)*Cadeirante/30*GB$4,IF(DA14+DC14&lt;=9,(DA14+DC14)*Crechee/30*GB$4)+(DB14+DD14)*Cadeirante/30*GB$4+(DA11+DA12+DA13+DC11+DC12+DC13)*Percapita/30*GB$4)+IF(DA14+DC14&gt;=11,Fixo/30*GB$4+(DA14+DC14-10)*Crechee/30*GB$4,0),IF(C11=2,IF(DB11+DB12+DB13+DB14+DD11+DD12+DD13+DD14=1,Cadeirante/30*GB$4,IF(DB11+DB12+DB13+DB14+DD11+DD12+DD13+DD14=2,Fixo/30*GB$4,IF(DB11+DB12+DB13+DB14+DD11+DD12+DD13+DD14&gt;2,Fixo/30*GB$4+(DB11+DB12+DB13+DB14+DD11+DD12+DD13+DD14-2)*Cadeirante/30*GB$4)))+(DA11+DA12+DA13+DC11+DC12+DC13)*Percapita/30*GB$4+(DA14+DC14)*Crechee/30*GB$4,IF(C11=1,IF(DA11+DA12+DA13+DB11+DB12+DB13+DC11+DC12+DC13+DD11+DD12+DD13&lt;=15,(DA11+DA12+DA13+DC11+DC12+DC13)*Percapita/30*GB$4,IF(DA11+DA12+DA13+DB11+DB12+DB13+DC11+DC12+DC13+DD11+DD12+DD13&gt;=16,Fixo/30*GB$4+(DA11+DA12+DA13+DB11+DB12+DB13+DC11+DC12+DC13+DD11+DD12-16)*Percapita/30*GB$4))))))</f>
        <v>0</v>
      </c>
      <c r="GC11" s="177">
        <f>IF(C11=4,SUM(DE11+DE12+DE13+DG11+DG12+DG13)*Percapita/30*GC$4+(DF11+DF12+DF13+DH11+DH12+DH13)*Cadeirante/30*GC$4,IF(C11=3,IF(DE14+DG14=10,Fixo/30*GC$4+(DE11+DE12+DE13+DG11+DG12+DG13)*Percapita/30*GC$4+(DF14+DH14)*Cadeirante/30*GC$4,IF(DE14+DG14&lt;=9,(DE14+DG14)*Crechee/30*GC$4)+(DF14+DH14)*Cadeirante/30*GC$4+(DE11+DE12+DE13+DG11+DG12+DG13)*Percapita/30*GC$4)+IF(DE14+DG14&gt;=11,Fixo/30*GC$4+(DE14+DG14-10)*Crechee/30*GC$4,0),IF(C11=2,IF(DF11+DF12+DF13+DF14+DH11+DH12+DH13+DH14=1,Cadeirante/30*GC$4,IF(DF11+DF12+DF13+DF14+DH11+DH12+DH13+DH14=2,Fixo/30*GC$4,IF(DF11+DF12+DF13+DF14+DH11+DH12+DH13+DH14&gt;2,Fixo/30*GC$4+(DF11+DF12+DF13+DF14+DH11+DH12+DH13+DH14-2)*Cadeirante/30*GC$4)))+(DE11+DE12+DE13+DG11+DG12+DG13)*Percapita/30*GC$4+(DE14+DG14)*Crechee/30*GC$4,IF(C11=1,IF(DE11+DE12+DE13+DF11+DF12+DF13+DG11+DG12+DG13+DH11+DH12+DH13&lt;=15,(DE11+DE12+DE13+DG11+DG12+DG13)*Percapita/30*GC$4,IF(DE11+DE12+DE13+DF11+DF12+DF13+DG11+DG12+DG13+DH11+DH12+DH13&gt;=16,Fixo/30*GC$4+(DE11+DE12+DE13+DF11+DF12+DF13+DG11+DG12+DG13+DH11+DH12-16)*Percapita/30*GC$4))))))</f>
        <v>0</v>
      </c>
      <c r="GD11" s="177">
        <f>IF(C11=4,SUM(DI11+DI12+DI13+DK11+DK12+DK13)*Percapita/30*GD$4+(DJ11+DJ12+DJ13+DL11+DL12+DL13)*Cadeirante/30*GD$4,IF(C11=3,IF(DI14+DK14=10,Fixo/30*GD$4+(DI11+DI12+DI13+DK11+DK12+DK13)*Percapita/30*GD$4+(DJ14+DL14)*Cadeirante/30*GD$4,IF(DI14+DK14&lt;=9,(DI14+DK14)*Crechee/30*GD$4)+(DJ14+DL14)*Cadeirante/30*GD$4+(DI11+DI12+DI13+DK11+DK12+DK13)*Percapita/30*GD$4)+IF(DI14+DK14&gt;=11,Fixo/30*GD$4+(DI14+DK14-10)*Crechee/30*GD$4,0),IF(C11=2,IF(DJ11+DJ12+DJ13+DJ14+DL11+DL12+DL13+DL14=1,Cadeirante/30*GD$4,IF(DJ11+DJ12+DJ13+DJ14+DL11+DL12+DL13+DL14=2,Fixo/30*GD$4,IF(DJ11+DJ12+DJ13+DJ14+DL11+DL12+DL13+DL14&gt;2,Fixo/30*GD$4+(DJ11+DJ12+DJ13+DJ14+DL11+DL12+DL13+DL14-2)*Cadeirante/30*GD$4)))+(DI11+DI12+DI13+DK11+DK12+DK13)*Percapita/30*GD$4+(DI14+DK14)*Crechee/30*GD$4,IF(C11=1,IF(DI11+DI12+DI13+DJ11+DJ12+DJ13+DK11+DK12+DK13+DL11+DL12+DL13&lt;=15,(DI11+DI12+DI13+DK11+DK12+DK13)*Percapita/30*GD$4,IF(DI11+DI12+DI13+DJ11+DJ12+DJ13+DK11+DK12+DK13+DL11+DL12+DL13&gt;=16,Fixo/30*GD$4+(DI11+DI12+DI13+DJ11+DJ12+DJ13+DK11+DK12+DK13+DL11+DL12-16)*Percapita/30*GD$4))))))</f>
        <v>0</v>
      </c>
      <c r="GE11" s="177">
        <f>IF(C11=4,SUM(DM11+DM12+DM13+DO11+DO12+DO13)*Percapita/30*GE$4+(DN11+DN12+DN13+DP11+DP12+DP13)*Cadeirante/30*GE$4,IF(C11=3,IF(DM14+DO14=10,Fixo/30*GE$4+(DM11+DM12+DM13+DO11+DO12+DO13)*Percapita/30*GE$4+(DN14+DP14)*Cadeirante/30*GE$4,IF(DM14+DO14&lt;=9,(DM14+DO14)*Crechee/30*GE$4)+(DN14+DP14)*Cadeirante/30*GE$4+(DM11+DM12+DM13+DO11+DO12+DO13)*Percapita/30*GE$4)+IF(DM14+DO14&gt;=11,Fixo/30*GE$4+(DM14+DO14-10)*Crechee/30*GE$4,0),IF(C11=2,IF(DN11+DN12+DN13+DN14+DP11+DP12+DP13+DP14=1,Cadeirante/30*GE$4,IF(DN11+DN12+DN13+DN14+DP11+DP12+DP13+DP14=2,Fixo/30*GE$4,IF(DN11+DN12+DN13+DN14+DP11+DP12+DP13+DP14&gt;2,Fixo/30*GE$4+(DN11+DN12+DN13+DN14+DP11+DP12+DP13+DP14-2)*Cadeirante/30*GE$4)))+(DM11+DM12+DM13+DO11+DO12+DO13)*Percapita/30*GE$4+(DM14+DO14)*Crechee/30*GE$4,IF(C11=1,IF(DM11+DM12+DM13+DN11+DN12+DN13+DO11+DO12+DO13+DP11+DP12+DP13&lt;=15,(DM11+DM12+DM13+DO11+DO12+DO13)*Percapita/30*GE$4,IF(DM11+DM12+DM13+DN11+DN12+DN13+DO11+DO12+DO13+DP11+DP12+DP13&gt;=16,Fixo/30*GE$4+(DM11+DM12+DM13+DN11+DN12+DN13+DO11+DO12+DO13+DP11+DP12-16)*Percapita/30*GE$4))))))</f>
        <v>0</v>
      </c>
      <c r="GF11" s="177">
        <f>IF(C11=4,SUM(DQ11+DQ12+DQ13+DS11+DS12+DS13)*Percapita/30*GF$4+(DR11+DR12+DR13+DT11+DT12+DT13)*Cadeirante/30*GF$4,IF(C11=3,IF(DQ14+DS14=10,Fixo/30*GF$4+(DQ11+DQ12+DQ13+DS11+DS12+DS13)*Percapita/30*GF$4+(DR14+DT14)*Cadeirante/30*GF$4,IF(DQ14+DS14&lt;=9,(DQ14+DS14)*Crechee/30*GF$4)+(DR14+DT14)*Cadeirante/30*GF$4+(DQ11+DQ12+DQ13+DS11+DS12+DS13)*Percapita/30*GF$4)+IF(DQ14+DS14&gt;=11,Fixo/30*GF$4+(DQ14+DS14-10)*Crechee/30*GF$4,0),IF(C11=2,IF(DR11+DR12+DR13+DR14+DT11+DT12+DT13+DT14=1,Cadeirante/30*GF$4,IF(DR11+DR12+DR13+DR14+DT11+DT12+DT13+DT14=2,Fixo/30*GF$4,IF(DR11+DR12+DR13+DR14+DT11+DT12+DT13+DT14&gt;2,Fixo/30*GF$4+(DR11+DR12+DR13+DR14+DT11+DT12+DT13+DT14-2)*Cadeirante/30*GF$4)))+(DQ11+DQ12+DQ13+DS11+DS12+DS13)*Percapita/30*GF$4+(DQ14+DS14)*Crechee/30*GF$4,IF(C11=1,IF(DQ11+DQ12+DQ13+DR11+DR12+DR13+DS11+DS12+DS13+DT11+DT12+DT13&lt;=15,(DQ11+DQ12+DQ13+DS11+DS12+DS13)*Percapita/30*GF$4,IF(DQ11+DQ12+DQ13+DR11+DR12+DR13+DS11+DS12+DS13+DT11+DT12+DT13&gt;=16,Fixo/30*GF$4+(DQ11+DQ12+DQ13+DR11+DR12+DR13+DS11+DS12+DS13+DT11+DT12-16)*Percapita/30*GF$4))))))</f>
        <v>0</v>
      </c>
      <c r="GG11" s="177">
        <f>IF(C11=4,SUM(DU11+DU12+DU13+DW11+DW12+DW13)*Percapita/30*GG$4+(DV11+DV12+DV13+DX11+DX12+DX13)*Cadeirante/30*GG$4,IF(C11=3,IF(DU14+DW14=10,Fixo/30*GG$4+(DU11+DU12+DU13+DW11+DW12+DW13)*Percapita/30*GG$4+(DV14+DX14)*Cadeirante/30*GG$4,IF(DU14+DW14&lt;=9,(DU14+DW14)*Crechee/30*GG$4)+(DV14+DX14)*Cadeirante/30*GG$4+(DU11+DU12+DU13+DW11+DW12+DW13)*Percapita/30*GG$4)+IF(DU14+DW14&gt;=11,Fixo/30*GG$4+(DU14+DW14-10)*Crechee/30*GG$4,0),IF(C11=2,IF(DV11+DV12+DV13+DV14+DX11+DX12+DX13+DX14=1,Cadeirante/30*GG$4,IF(DV11+DV12+DV13+DV14+DX11+DX12+DX13+DX14=2,Fixo/30*GG$4,IF(DV11+DV12+DV13+DV14+DX11+DX12+DX13+DX14&gt;2,Fixo/30*GG$4+(DV11+DV12+DV13+DV14+DX11+DX12+DX13+DX14-2)*Cadeirante/30*GG$4)))+(DU11+DU12+DU13+DW11+DW12+DW13)*Percapita/30*GG$4+(DU14+DW14)*Crechee/30*GG$4,IF(C11=1,IF(DU11+DU12+DU13+DV11+DV12+DV13+DW11+DW12+DW13+DX11+DX12+DX13&lt;=15,(DU11+DU12+DU13+DW11+DW12+DW13)*Percapita/30*GG$4,IF(DU11+DU12+DU13+DV11+DV12+DV13+DW11+DW12+DW13+DX11+DX12+DX13&gt;=16,Fixo/30*GG$4+(DU11+DU12+DU13+DV11+DV12+DV13+DW11+DW12+DW13+DX11+DX12-16)*Percapita/30*GG$4))))))</f>
        <v>0</v>
      </c>
      <c r="GH11" s="177">
        <f>IF(C11=4,SUM(DY11+DY12+DY13+EA11+EA12+EA13)*Percapita/30*GH$4+(DZ11+DZ12+DZ13+EB11+EB12+EB13)*Cadeirante/30*GH$4,IF(C11=3,IF(DY14+EA14=10,Fixo/30*GH$4+(DY11+DY12+DY13+EA11+EA12+EA13)*Percapita/30*GH$4+(DZ14+EB14)*Cadeirante/30*GH$4,IF(DY14+EA14&lt;=9,(DY14+EA14)*Crechee/30*GH$4)+(DZ14+EB14)*Cadeirante/30*GH$4+(DY11+DY12+DY13+EA11+EA12+EA13)*Percapita/30*GH$4)+IF(DY14+EA14&gt;=11,Fixo/30*GH$4+(DY14+EA14-10)*Crechee/30*GH$4,0),IF(C11=2,IF(DZ11+DZ12+DZ13+DZ14+EB11+EB12+EB13+EB14=1,Cadeirante/30*GH$4,IF(DZ11+DZ12+DZ13+DZ14+EB11+EB12+EB13+EB14=2,Fixo/30*GH$4,IF(DZ11+DZ12+DZ13+DZ14+EB11+EB12+EB13+EB14&gt;2,Fixo/30*GH$4+(DZ11+DZ12+DZ13+DZ14+EB11+EB12+EB13+EB14-2)*Cadeirante/30*GH$4)))+(DY11+DY12+DY13+EA11+EA12+EA13)*Percapita/30*GH$4+(DY14+EA14)*Crechee/30*GH$4,IF(C11=1,IF(DY11+DY12+DY13+DZ11+DZ12+DZ13+EA11+EA12+EA13+EB11+EB12+EB13&lt;=15,(DY11+DY12+DY13+EA11+EA12+EA13)*Percapita/30*GH$4,IF(DY11+DY12+DY13+DZ11+DZ12+DZ13+EA11+EA12+EA13+EB11+EB12+EB13&gt;=16,Fixo/30*GH$4+(DY11+DY12+DY13+DZ11+DZ12+DZ13+EA11+EA12+EA13+EB11+EB12-16)*Percapita/30*GH$4))))))</f>
        <v>0</v>
      </c>
      <c r="GI11" s="177">
        <f>IF(C11=4,SUM(EC11+EC12+EC13+EE11+EE12+EE13)*Percapita/30*GI$4+(ED11+ED12+ED13+EF11+EF12+EF13)*Cadeirante/30*GI$4,IF(C11=3,IF(EC14+EE14=10,Fixo/30*GI$4+(EC11+EC12+EC13+EE11+EE12+EE13)*Percapita/30*GI$4+(ED14+EF14)*Cadeirante/30*GI$4,IF(EC14+EE14&lt;=9,(EC14+EE14)*Crechee/30*GI$4)+(ED14+EF14)*Cadeirante/30*GI$4+(EC11+EC12+EC13+EE11+EE12+EE13)*Percapita/30*GI$4)+IF(EC14+EE14&gt;=11,Fixo/30*GI$4+(EC14+EE14-10)*Crechee/30*GI$4,0),IF(C11=2,IF(ED11+ED12+ED13+ED14+EF11+EF12+EF13+EF14=1,Cadeirante/30*GI$4,IF(ED11+ED12+ED13+ED14+EF11+EF12+EF13+EF14=2,Fixo/30*GI$4,IF(ED11+ED12+ED13+ED14+EF11+EF12+EF13+EF14&gt;2,Fixo/30*GI$4+(ED11+ED12+ED13+ED14+EF11+EF12+EF13+EF14-2)*Cadeirante/30*GI$4)))+(EC11+EC12+EC13+EE11+EE12+EE13)*Percapita/30*GI$4+(EC14+EE14)*Crechee/30*GI$4,IF(C11=1,IF(EC11+EC12+EC13+ED11+ED12+ED13+EE11+EE12+EE13+EF11+EF12+EF13&lt;=15,(EC11+EC12+EC13+EE11+EE12+EE13)*Percapita/30*GI$4,IF(EC11+EC12+EC13+ED11+ED12+ED13+EE11+EE12+EE13+EF11+EF12+EF13&gt;=16,Fixo/30*GI$4+(EC11+EC12+EC13+ED11+ED12+ED13+EE11+EE12+EE13+EF11+EF12-16)*Percapita/30*GI$4))))))</f>
        <v>0</v>
      </c>
      <c r="GJ11" s="177">
        <f>IF(C11=4,SUM(EG11+EG12+EG13+EI11+EI12+EI13)*Percapita/30*GJ$4+(EH11+EH12+EH13+EJ11+EJ12+EJ13)*Cadeirante/30*GJ$4,IF(C11=3,IF(EG14+EI14=10,Fixo/30*GJ$4+(EG11+EG12+EG13+EI11+EI12+EI13)*Percapita/30*GJ$4+(EH14+EJ14)*Cadeirante/30*GJ$4,IF(EG14+EI14&lt;=9,(EG14+EI14)*Crechee/30*GJ$4)+(EH14+EJ14)*Cadeirante/30*GJ$4+(EG11+EG12+EG13+EI11+EI12+EI13)*Percapita/30*GJ$4)+IF(EG14+EI14&gt;=11,Fixo/30*GJ$4+(EG14+EI14-10)*Crechee/30*GJ$4,0),IF(C11=2,IF(EH11+EH12+EH13+EH14+EJ11+EJ12+EJ13+EJ14=1,Cadeirante/30*GJ$4,IF(EH11+EH12+EH13+EH14+EJ11+EJ12+EJ13+EJ14=2,Fixo/30*GJ$4,IF(EH11+EH12+EH13+EH14+EJ11+EJ12+EJ13+EJ14&gt;2,Fixo/30*GJ$4+(EH11+EH12+EH13+EH14+EJ11+EJ12+EJ13+EJ14-2)*Cadeirante/30*GJ$4)))+(EG11+EG12+EG13+EI11+EI12+EI13)*Percapita/30*GJ$4+(EG14+EI14)*Crechee/30*GJ$4,IF(C11=1,IF(EG11+EG12+EG13+EH11+EH12+EH13+EI11+EI12+EI13+EJ11+EJ12+EJ13&lt;=15,(EG11+EG12+EG13+EI11+EI12+EI13)*Percapita/30*GJ$4,IF(EG11+EG12+EG13+EH11+EH12+EH13+EI11+EI12+EI13+EJ11+EJ12+EJ13&gt;=16,Fixo/30*GJ$4+(EG11+EG12+EG13+EH11+EH12+EH13+EI11+EI12+EI13+EJ11+EJ12-16)*Percapita/30*GJ$4))))))</f>
        <v>0</v>
      </c>
      <c r="GK11" s="178"/>
      <c r="GL11" s="103">
        <f t="shared" ref="GL11:GL74" si="30">IF(J11="ADAPTADO",T11*Cadeirante/30*GM11+S11*Percapita/30*GM11,IF(J11="NORMAL",(S11+T11)*Percapita/30*GM11,IF(J11="CRECHE",0)))*-1</f>
        <v>0</v>
      </c>
      <c r="GM11" s="124"/>
      <c r="GN11" s="104">
        <f>SUMIF(V11:V14,"&lt;0")*Cadeirante/30*GN$4+SUMIF(X11:X14,"&lt;0")*Cadeirante/30*GN$4</f>
        <v>0</v>
      </c>
      <c r="GO11" s="104">
        <f>SUMIF(Z11:Z14,"&lt;0")*Cadeirante/30*GO$4+SUMIF(AB11:AB14,"&lt;0")*Cadeirante/30*GO$4</f>
        <v>0</v>
      </c>
      <c r="GP11" s="104">
        <f>SUMIF(AD11:AD14,"&lt;0")*Cadeirante/30*GP$4+SUMIF(AF11:AF14,"&lt;0")*Cadeirante/30*GP$4</f>
        <v>0</v>
      </c>
      <c r="GQ11" s="104">
        <f>SUMIF(AH11:AH14,"&lt;0")*Cadeirante/30*GQ$4+SUMIF(AJ11:AJ14,"&lt;0")*Cadeirante/30*GQ$4</f>
        <v>0</v>
      </c>
      <c r="GR11" s="104">
        <f>SUMIF(AL11:AL14,"&lt;0")*Cadeirante/30*GR$4+SUMIF(AN11:AN14,"&lt;0")*Cadeirante/30*GR$4</f>
        <v>0</v>
      </c>
      <c r="GS11" s="104">
        <f>SUMIF(AP11:AP14,"&lt;0")*Cadeirante/30*GS$4+SUMIF(AR11:AR14,"&lt;0")*Cadeirante/30*GS$4</f>
        <v>0</v>
      </c>
      <c r="GT11" s="104">
        <f>SUMIF(AT11:AT14,"&lt;0")*Cadeirante/30*GT$4+SUMIF(AV11:AV14,"&lt;0")*Cadeirante/30*GT$4</f>
        <v>0</v>
      </c>
      <c r="GU11" s="104">
        <f>SUMIF(AX11:AX14,"&lt;0")*Cadeirante/30*GU$4+SUMIF(AZ11:AZ14,"&lt;0")*Cadeirante/30*GU$4</f>
        <v>0</v>
      </c>
      <c r="GV11" s="104">
        <f>SUMIF(BB11:BB14,"&lt;0")*Cadeirante/30*GV$4+SUMIF(BD11:BD14,"&lt;0")*Cadeirante/30*GV$4</f>
        <v>0</v>
      </c>
      <c r="GW11" s="104">
        <f>SUMIF(BF11:BF14,"&lt;0")*Cadeirante/30*GW$4+SUMIF(BH11:BH14,"&lt;0")*Cadeirante/30*GW$4</f>
        <v>0</v>
      </c>
      <c r="GX11" s="104">
        <f>SUMIF(BJ11:BJ14,"&lt;0")*Cadeirante/30*GX$4+SUMIF(BL11:BL14,"&lt;0")*Cadeirante/30*GX$4</f>
        <v>0</v>
      </c>
      <c r="GY11" s="104">
        <f>SUMIF(BN11:BN14,"&lt;0")*Cadeirante/30*GY$4+SUMIF(BP11:BP14,"&lt;0")*Cadeirante/30*GY$4</f>
        <v>0</v>
      </c>
      <c r="GZ11" s="104">
        <f>SUMIF(BR11:BR14,"&lt;0")*Cadeirante/30*GZ$4+SUMIF(BT11:BT14,"&lt;0")*Cadeirante/30*GZ$4</f>
        <v>0</v>
      </c>
      <c r="HA11" s="104">
        <f>SUMIF(BV11:BV14,"&lt;0")*Cadeirante/30*HA$4+SUMIF(BX11:BX14,"&lt;0")*Cadeirante/30*HA$4</f>
        <v>0</v>
      </c>
      <c r="HB11" s="104">
        <f>SUMIF(BZ11:BZ14,"&lt;0")*Cadeirante/30*HB$4+SUMIF(CB11:CB14,"&lt;0")*Cadeirante/30*HB$4</f>
        <v>0</v>
      </c>
      <c r="HC11" s="104">
        <f>SUMIF(CD11:CD14,"&lt;0")*Cadeirante/30*HC$4+SUMIF(CF11:CF14,"&lt;0")*Cadeirante/30*HC$4</f>
        <v>0</v>
      </c>
      <c r="HD11" s="104">
        <f>SUMIF(CH11:CH14,"&lt;0")*Cadeirante/30*HD$4+SUMIF(CJ11:CJ14,"&lt;0")*Cadeirante/30*HD$4</f>
        <v>0</v>
      </c>
      <c r="HE11" s="104">
        <f>SUMIF(CL11:CL14,"&lt;0")*Cadeirante/30*HE$4+SUMIF(CN11:CN14,"&lt;0")*Cadeirante/30*HE$4</f>
        <v>0</v>
      </c>
      <c r="HF11" s="104">
        <f>SUMIF(CP11:CP14,"&lt;0")*Cadeirante/30*HF$4+SUMIF(CR11:CR14,"&lt;0")*Cadeirante/30*HF$4</f>
        <v>0</v>
      </c>
      <c r="HG11" s="104">
        <f>SUMIF(CT11:CT14,"&lt;0")*Cadeirante/30*HG$4+SUMIF(CV11:CV14,"&lt;0")*Cadeirante/30*HG$4</f>
        <v>0</v>
      </c>
      <c r="HH11" s="104">
        <f>SUMIF(CX11:CX14,"&lt;0")*Cadeirante/30*HH$4+SUMIF(CZ11:CZ14,"&lt;0")*Cadeirante/30*HH$4</f>
        <v>0</v>
      </c>
      <c r="HI11" s="104">
        <f>SUMIF(DB11:DB14,"&lt;0")*Cadeirante/30*HI$4+SUMIF(DD11:DD14,"&lt;0")*Cadeirante/30*HI$4</f>
        <v>0</v>
      </c>
      <c r="HJ11" s="104">
        <f>SUMIF(DF11:DF14,"&lt;0")*Cadeirante/30*HJ$4+SUMIF(DH11:DH14,"&lt;0")*Cadeirante/30*HJ$4</f>
        <v>0</v>
      </c>
      <c r="HK11" s="104">
        <f>SUMIF(DJ11:DJ14,"&lt;0")*Cadeirante/30*HK$4+SUMIF(DL11:DL14,"&lt;0")*Cadeirante/30*HK$4</f>
        <v>0</v>
      </c>
      <c r="HL11" s="104">
        <f>SUMIF(DN11:DN14,"&lt;0")*Cadeirante/30*HL$4+SUMIF(DP11:DP14,"&lt;0")*Cadeirante/30*HL$4</f>
        <v>0</v>
      </c>
      <c r="HM11" s="104">
        <f>SUMIF(DR11:DR14,"&lt;0")*Cadeirante/30*HM$4+SUMIF(DT11:DT14,"&lt;0")*Cadeirante/30*HM$4</f>
        <v>0</v>
      </c>
      <c r="HN11" s="104">
        <f>SUMIF(DV11:DV14,"&lt;0")*Cadeirante/30*HN$4+SUMIF(DX11:DX14,"&lt;0")*Cadeirante/30*HN$4</f>
        <v>0</v>
      </c>
      <c r="HO11" s="104">
        <f>SUMIF(DZ11:DZ14,"&lt;0")*Cadeirante/30*HO$4+SUMIF(EB11:EB14,"&lt;0")*Cadeirante/30*HO$4</f>
        <v>0</v>
      </c>
      <c r="HP11" s="104">
        <f>SUMIF(ED11:ED14,"&lt;0")*Cadeirante/30*HP$4+SUMIF(EF11:EF14,"&lt;0")*Cadeirante/30*HP$4</f>
        <v>0</v>
      </c>
      <c r="HQ11" s="64"/>
      <c r="HR11" s="64"/>
      <c r="HS11" s="64"/>
      <c r="HT11" s="64"/>
      <c r="HU11" s="64"/>
      <c r="HV11" s="64"/>
      <c r="HW11" s="176">
        <v>17629.309999999998</v>
      </c>
      <c r="HX11" s="64"/>
      <c r="HY11" s="280">
        <f>IF(ISTEXT(EM11), VALUE(EM11), EM11)</f>
        <v>0</v>
      </c>
      <c r="HZ11" s="280">
        <f>IF(ISTEXT(EN11), VALUE(EN11), EN11)</f>
        <v>0</v>
      </c>
      <c r="IA11" s="280">
        <f>IF(ISTEXT(EO11), VALUE(EO11), EO11)</f>
        <v>0</v>
      </c>
      <c r="IB11" s="64" t="b">
        <f>HW11=FE11</f>
        <v>0</v>
      </c>
      <c r="IC11" s="64"/>
    </row>
    <row r="12" spans="1:237" s="106" customFormat="1" ht="22.5" customHeight="1" x14ac:dyDescent="0.25">
      <c r="A12" s="368" t="s">
        <v>3194</v>
      </c>
      <c r="B12" s="369" t="s">
        <v>3195</v>
      </c>
      <c r="C12" s="370" t="s">
        <v>3186</v>
      </c>
      <c r="D12" s="371" t="s">
        <v>3196</v>
      </c>
      <c r="E12" s="371" t="s">
        <v>3197</v>
      </c>
      <c r="F12" s="372" t="s">
        <v>3182</v>
      </c>
      <c r="G12" s="372" t="s">
        <v>3183</v>
      </c>
      <c r="H12" s="373" t="s">
        <v>337</v>
      </c>
      <c r="I12" s="374" t="s">
        <v>337</v>
      </c>
      <c r="J12" s="421" t="s">
        <v>3184</v>
      </c>
      <c r="K12" s="421" t="s">
        <v>3187</v>
      </c>
      <c r="L12" s="329">
        <f>CONTINUA!BV12</f>
        <v>0</v>
      </c>
      <c r="M12" s="329">
        <f>CONTINUA!BW12</f>
        <v>0</v>
      </c>
      <c r="N12" s="895"/>
      <c r="O12" s="896" t="s">
        <v>3275</v>
      </c>
      <c r="P12" s="897">
        <v>0</v>
      </c>
      <c r="Q12" s="400">
        <v>31</v>
      </c>
      <c r="R12" s="401"/>
      <c r="S12" s="400"/>
      <c r="T12" s="401"/>
      <c r="U12" s="400"/>
      <c r="V12" s="401"/>
      <c r="W12" s="400"/>
      <c r="X12" s="401"/>
      <c r="Y12" s="400"/>
      <c r="Z12" s="401"/>
      <c r="AA12" s="400"/>
      <c r="AB12" s="401"/>
      <c r="AC12" s="400"/>
      <c r="AD12" s="401"/>
      <c r="AE12" s="400"/>
      <c r="AF12" s="401"/>
      <c r="AG12" s="400"/>
      <c r="AH12" s="401"/>
      <c r="AI12" s="400"/>
      <c r="AJ12" s="401"/>
      <c r="AK12" s="400"/>
      <c r="AL12" s="401"/>
      <c r="AM12" s="400"/>
      <c r="AN12" s="401"/>
      <c r="AO12" s="400"/>
      <c r="AP12" s="401"/>
      <c r="AQ12" s="400"/>
      <c r="AR12" s="401"/>
      <c r="AS12" s="400"/>
      <c r="AT12" s="401"/>
      <c r="AU12" s="400"/>
      <c r="AV12" s="401"/>
      <c r="AW12" s="400"/>
      <c r="AX12" s="401"/>
      <c r="AY12" s="400"/>
      <c r="AZ12" s="401"/>
      <c r="BA12" s="400"/>
      <c r="BB12" s="401"/>
      <c r="BC12" s="400"/>
      <c r="BD12" s="401"/>
      <c r="BE12" s="400"/>
      <c r="BF12" s="401"/>
      <c r="BG12" s="400"/>
      <c r="BH12" s="401"/>
      <c r="BI12" s="400"/>
      <c r="BJ12" s="401"/>
      <c r="BK12" s="400"/>
      <c r="BL12" s="401"/>
      <c r="BM12" s="400"/>
      <c r="BN12" s="401"/>
      <c r="BO12" s="400"/>
      <c r="BP12" s="401"/>
      <c r="BQ12" s="400"/>
      <c r="BR12" s="401"/>
      <c r="BS12" s="400"/>
      <c r="BT12" s="401"/>
      <c r="BU12" s="400"/>
      <c r="BV12" s="401"/>
      <c r="BW12" s="400"/>
      <c r="BX12" s="401"/>
      <c r="BY12" s="400"/>
      <c r="BZ12" s="401"/>
      <c r="CA12" s="400"/>
      <c r="CB12" s="401"/>
      <c r="CC12" s="400"/>
      <c r="CD12" s="401"/>
      <c r="CE12" s="400"/>
      <c r="CF12" s="401"/>
      <c r="CG12" s="400"/>
      <c r="CH12" s="401"/>
      <c r="CI12" s="400"/>
      <c r="CJ12" s="401"/>
      <c r="CK12" s="400"/>
      <c r="CL12" s="401"/>
      <c r="CM12" s="400"/>
      <c r="CN12" s="401"/>
      <c r="CO12" s="400"/>
      <c r="CP12" s="401"/>
      <c r="CQ12" s="400"/>
      <c r="CR12" s="401"/>
      <c r="CS12" s="400"/>
      <c r="CT12" s="401"/>
      <c r="CU12" s="400"/>
      <c r="CV12" s="401"/>
      <c r="CW12" s="400"/>
      <c r="CX12" s="401"/>
      <c r="CY12" s="400"/>
      <c r="CZ12" s="401"/>
      <c r="DA12" s="400"/>
      <c r="DB12" s="401"/>
      <c r="DC12" s="400"/>
      <c r="DD12" s="401"/>
      <c r="DE12" s="400"/>
      <c r="DF12" s="401"/>
      <c r="DG12" s="400"/>
      <c r="DH12" s="401"/>
      <c r="DI12" s="400"/>
      <c r="DJ12" s="401"/>
      <c r="DK12" s="400"/>
      <c r="DL12" s="401"/>
      <c r="DM12" s="400"/>
      <c r="DN12" s="401"/>
      <c r="DO12" s="400"/>
      <c r="DP12" s="401"/>
      <c r="DQ12" s="400"/>
      <c r="DR12" s="401"/>
      <c r="DS12" s="400"/>
      <c r="DT12" s="401"/>
      <c r="DU12" s="400"/>
      <c r="DV12" s="401"/>
      <c r="DW12" s="400"/>
      <c r="DX12" s="401"/>
      <c r="DY12" s="400"/>
      <c r="DZ12" s="401"/>
      <c r="EA12" s="400"/>
      <c r="EB12" s="401"/>
      <c r="EC12" s="400"/>
      <c r="ED12" s="401"/>
      <c r="EE12" s="400"/>
      <c r="EF12" s="401"/>
      <c r="EG12" s="400"/>
      <c r="EH12" s="401"/>
      <c r="EI12" s="400"/>
      <c r="EJ12" s="447"/>
      <c r="EK12" s="511"/>
      <c r="EL12" s="514"/>
      <c r="EM12" s="448"/>
      <c r="EN12" s="344"/>
      <c r="EO12" s="345"/>
      <c r="EP12" s="171">
        <f t="shared" si="22"/>
        <v>31</v>
      </c>
      <c r="EQ12" s="171">
        <f t="shared" si="23"/>
        <v>0</v>
      </c>
      <c r="ER12" s="171">
        <f t="shared" si="24"/>
        <v>0</v>
      </c>
      <c r="ES12" s="171">
        <f t="shared" si="25"/>
        <v>0</v>
      </c>
      <c r="ET12" s="171">
        <f t="shared" si="26"/>
        <v>0</v>
      </c>
      <c r="EU12" s="171">
        <f t="shared" si="27"/>
        <v>0</v>
      </c>
      <c r="EV12" s="172">
        <f t="shared" si="28"/>
        <v>31</v>
      </c>
      <c r="EW12" s="173"/>
      <c r="EX12" s="248">
        <f t="shared" si="29"/>
        <v>0</v>
      </c>
      <c r="EY12" s="174">
        <f>(L12*regular)+(M12*Cadeirantee)</f>
        <v>0</v>
      </c>
      <c r="EZ12" s="249">
        <f>SUMIF(FG12:GJ12,"&gt;0")</f>
        <v>0</v>
      </c>
      <c r="FA12" s="249">
        <f>SUMIF(FG12:GJ12,"&lt;0")+SUMIF(GN12:HP12,"&lt;0")</f>
        <v>0</v>
      </c>
      <c r="FB12" s="174">
        <v>0</v>
      </c>
      <c r="FC12" s="126">
        <f>N12*km*'VALORES TABELA'!$B$13</f>
        <v>0</v>
      </c>
      <c r="FD12" s="250">
        <f t="shared" ref="FD12:FD15" si="31">GL12</f>
        <v>0</v>
      </c>
      <c r="FE12" s="105"/>
      <c r="FF12" s="119"/>
      <c r="FG12" s="119"/>
      <c r="FH12" s="119"/>
      <c r="FI12" s="119"/>
      <c r="FJ12" s="119"/>
      <c r="FK12" s="119"/>
      <c r="FL12" s="119"/>
      <c r="FM12" s="119"/>
      <c r="FN12" s="119"/>
      <c r="FO12" s="119"/>
      <c r="FP12" s="119"/>
      <c r="FQ12" s="119"/>
      <c r="FR12" s="119"/>
      <c r="FS12" s="119"/>
      <c r="FT12" s="119"/>
      <c r="FU12" s="119"/>
      <c r="FV12" s="119"/>
      <c r="FW12" s="119"/>
      <c r="FX12" s="119"/>
      <c r="FY12" s="119"/>
      <c r="FZ12" s="119"/>
      <c r="GA12" s="119"/>
      <c r="GB12" s="119"/>
      <c r="GC12" s="119"/>
      <c r="GD12" s="119"/>
      <c r="GE12" s="119"/>
      <c r="GF12" s="119"/>
      <c r="GG12" s="119"/>
      <c r="GH12" s="119"/>
      <c r="GI12" s="119"/>
      <c r="GJ12" s="119"/>
      <c r="GK12" s="251"/>
      <c r="GL12" s="103">
        <f t="shared" si="30"/>
        <v>0</v>
      </c>
      <c r="GM12" s="12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64"/>
      <c r="HR12" s="64"/>
      <c r="HS12" s="64"/>
      <c r="HT12" s="64"/>
      <c r="HU12" s="64"/>
      <c r="HV12" s="64"/>
      <c r="HW12" s="105"/>
      <c r="HX12" s="64"/>
      <c r="HY12" s="280">
        <f t="shared" ref="HY12:HY15" si="32">IF(ISTEXT(EM12), VALUE(EM12), EM12)</f>
        <v>0</v>
      </c>
      <c r="HZ12" s="280">
        <f t="shared" ref="HZ12:HZ15" si="33">IF(ISTEXT(EN12), VALUE(EN12), EN12)</f>
        <v>0</v>
      </c>
      <c r="IA12" s="280">
        <f t="shared" ref="IA12:IA15" si="34">IF(ISTEXT(EO12), VALUE(EO12), EO12)</f>
        <v>0</v>
      </c>
      <c r="IB12" s="64"/>
      <c r="IC12" s="64"/>
    </row>
    <row r="13" spans="1:237" s="106" customFormat="1" ht="22.5" customHeight="1" x14ac:dyDescent="0.25">
      <c r="A13" s="368" t="s">
        <v>3194</v>
      </c>
      <c r="B13" s="369" t="s">
        <v>3195</v>
      </c>
      <c r="C13" s="375" t="s">
        <v>3186</v>
      </c>
      <c r="D13" s="371" t="s">
        <v>3196</v>
      </c>
      <c r="E13" s="371" t="s">
        <v>3197</v>
      </c>
      <c r="F13" s="376" t="s">
        <v>3182</v>
      </c>
      <c r="G13" s="376" t="s">
        <v>3183</v>
      </c>
      <c r="H13" s="373" t="s">
        <v>337</v>
      </c>
      <c r="I13" s="374" t="s">
        <v>337</v>
      </c>
      <c r="J13" s="421" t="s">
        <v>3184</v>
      </c>
      <c r="K13" s="422" t="s">
        <v>3188</v>
      </c>
      <c r="L13" s="329">
        <f>CONTINUA!BV13</f>
        <v>0</v>
      </c>
      <c r="M13" s="329">
        <f>CONTINUA!BW13</f>
        <v>0</v>
      </c>
      <c r="N13" s="895"/>
      <c r="O13" s="896" t="s">
        <v>3275</v>
      </c>
      <c r="P13" s="897">
        <v>0</v>
      </c>
      <c r="Q13" s="400"/>
      <c r="R13" s="401"/>
      <c r="S13" s="400"/>
      <c r="T13" s="401"/>
      <c r="U13" s="400"/>
      <c r="V13" s="401"/>
      <c r="W13" s="400"/>
      <c r="X13" s="401"/>
      <c r="Y13" s="400"/>
      <c r="Z13" s="401"/>
      <c r="AA13" s="400"/>
      <c r="AB13" s="401"/>
      <c r="AC13" s="400"/>
      <c r="AD13" s="401"/>
      <c r="AE13" s="400"/>
      <c r="AF13" s="401"/>
      <c r="AG13" s="400"/>
      <c r="AH13" s="401"/>
      <c r="AI13" s="400"/>
      <c r="AJ13" s="401"/>
      <c r="AK13" s="400"/>
      <c r="AL13" s="401"/>
      <c r="AM13" s="400"/>
      <c r="AN13" s="401"/>
      <c r="AO13" s="400"/>
      <c r="AP13" s="401"/>
      <c r="AQ13" s="400"/>
      <c r="AR13" s="401"/>
      <c r="AS13" s="400"/>
      <c r="AT13" s="401"/>
      <c r="AU13" s="400"/>
      <c r="AV13" s="401"/>
      <c r="AW13" s="400"/>
      <c r="AX13" s="401"/>
      <c r="AY13" s="400"/>
      <c r="AZ13" s="401"/>
      <c r="BA13" s="400"/>
      <c r="BB13" s="401"/>
      <c r="BC13" s="400"/>
      <c r="BD13" s="401"/>
      <c r="BE13" s="400"/>
      <c r="BF13" s="401"/>
      <c r="BG13" s="400"/>
      <c r="BH13" s="401"/>
      <c r="BI13" s="400"/>
      <c r="BJ13" s="401"/>
      <c r="BK13" s="400"/>
      <c r="BL13" s="401"/>
      <c r="BM13" s="400"/>
      <c r="BN13" s="401"/>
      <c r="BO13" s="400"/>
      <c r="BP13" s="401"/>
      <c r="BQ13" s="400"/>
      <c r="BR13" s="401"/>
      <c r="BS13" s="400"/>
      <c r="BT13" s="401"/>
      <c r="BU13" s="400"/>
      <c r="BV13" s="401"/>
      <c r="BW13" s="400"/>
      <c r="BX13" s="401"/>
      <c r="BY13" s="400"/>
      <c r="BZ13" s="401"/>
      <c r="CA13" s="400"/>
      <c r="CB13" s="401"/>
      <c r="CC13" s="400"/>
      <c r="CD13" s="401"/>
      <c r="CE13" s="400"/>
      <c r="CF13" s="401"/>
      <c r="CG13" s="400"/>
      <c r="CH13" s="401"/>
      <c r="CI13" s="400"/>
      <c r="CJ13" s="401"/>
      <c r="CK13" s="400"/>
      <c r="CL13" s="401"/>
      <c r="CM13" s="400"/>
      <c r="CN13" s="401"/>
      <c r="CO13" s="400"/>
      <c r="CP13" s="401"/>
      <c r="CQ13" s="400"/>
      <c r="CR13" s="401"/>
      <c r="CS13" s="400"/>
      <c r="CT13" s="401"/>
      <c r="CU13" s="400"/>
      <c r="CV13" s="401"/>
      <c r="CW13" s="400"/>
      <c r="CX13" s="401"/>
      <c r="CY13" s="400"/>
      <c r="CZ13" s="401"/>
      <c r="DA13" s="400"/>
      <c r="DB13" s="401"/>
      <c r="DC13" s="400"/>
      <c r="DD13" s="401"/>
      <c r="DE13" s="400"/>
      <c r="DF13" s="401"/>
      <c r="DG13" s="400"/>
      <c r="DH13" s="401"/>
      <c r="DI13" s="400"/>
      <c r="DJ13" s="401"/>
      <c r="DK13" s="400"/>
      <c r="DL13" s="401"/>
      <c r="DM13" s="400"/>
      <c r="DN13" s="401"/>
      <c r="DO13" s="400"/>
      <c r="DP13" s="401"/>
      <c r="DQ13" s="400"/>
      <c r="DR13" s="401"/>
      <c r="DS13" s="400"/>
      <c r="DT13" s="401"/>
      <c r="DU13" s="400"/>
      <c r="DV13" s="401"/>
      <c r="DW13" s="400"/>
      <c r="DX13" s="401"/>
      <c r="DY13" s="400"/>
      <c r="DZ13" s="401"/>
      <c r="EA13" s="400"/>
      <c r="EB13" s="401"/>
      <c r="EC13" s="400"/>
      <c r="ED13" s="401"/>
      <c r="EE13" s="400"/>
      <c r="EF13" s="401"/>
      <c r="EG13" s="400"/>
      <c r="EH13" s="401"/>
      <c r="EI13" s="400"/>
      <c r="EJ13" s="447"/>
      <c r="EK13" s="511"/>
      <c r="EL13" s="514"/>
      <c r="EM13" s="448"/>
      <c r="EN13" s="344"/>
      <c r="EO13" s="345"/>
      <c r="EP13" s="171">
        <f t="shared" si="22"/>
        <v>0</v>
      </c>
      <c r="EQ13" s="171">
        <f t="shared" si="23"/>
        <v>0</v>
      </c>
      <c r="ER13" s="171">
        <f t="shared" si="24"/>
        <v>0</v>
      </c>
      <c r="ES13" s="171">
        <f t="shared" si="25"/>
        <v>0</v>
      </c>
      <c r="ET13" s="171">
        <f t="shared" si="26"/>
        <v>0</v>
      </c>
      <c r="EU13" s="171">
        <f t="shared" si="27"/>
        <v>0</v>
      </c>
      <c r="EV13" s="172">
        <f t="shared" si="28"/>
        <v>0</v>
      </c>
      <c r="EW13" s="125"/>
      <c r="EX13" s="248">
        <f t="shared" si="29"/>
        <v>0</v>
      </c>
      <c r="EY13" s="174">
        <f>(L13*regular)+(M13*Cadeirantee)</f>
        <v>0</v>
      </c>
      <c r="EZ13" s="249">
        <f>SUMIF(FG13:GJ13,"&gt;0")</f>
        <v>0</v>
      </c>
      <c r="FA13" s="249">
        <f>SUMIF(FG13:GJ13,"&lt;0")+SUMIF(GN13:HP13,"&lt;0")</f>
        <v>0</v>
      </c>
      <c r="FB13" s="174">
        <v>0</v>
      </c>
      <c r="FC13" s="126">
        <f>N13*km*'VALORES TABELA'!$B$13</f>
        <v>0</v>
      </c>
      <c r="FD13" s="250">
        <f t="shared" si="31"/>
        <v>0</v>
      </c>
      <c r="FE13" s="105"/>
      <c r="FF13" s="108"/>
      <c r="FG13" s="108"/>
      <c r="FH13" s="108"/>
      <c r="FI13" s="108"/>
      <c r="FJ13" s="108"/>
      <c r="FK13" s="108"/>
      <c r="FL13" s="108"/>
      <c r="FM13" s="108"/>
      <c r="FN13" s="108"/>
      <c r="FO13" s="108"/>
      <c r="FP13" s="108"/>
      <c r="FQ13" s="108"/>
      <c r="FR13" s="108"/>
      <c r="FS13" s="108"/>
      <c r="FT13" s="108"/>
      <c r="FU13" s="108"/>
      <c r="FV13" s="108"/>
      <c r="FW13" s="108"/>
      <c r="FX13" s="108"/>
      <c r="FY13" s="108"/>
      <c r="FZ13" s="108"/>
      <c r="GA13" s="108"/>
      <c r="GB13" s="108"/>
      <c r="GC13" s="108"/>
      <c r="GD13" s="108"/>
      <c r="GE13" s="108"/>
      <c r="GF13" s="108"/>
      <c r="GG13" s="108"/>
      <c r="GH13" s="108"/>
      <c r="GI13" s="108"/>
      <c r="GJ13" s="108"/>
      <c r="GK13" s="251"/>
      <c r="GL13" s="103">
        <f t="shared" si="30"/>
        <v>0</v>
      </c>
      <c r="GM13" s="124"/>
      <c r="GN13" s="104"/>
      <c r="GO13" s="104"/>
      <c r="GP13" s="104"/>
      <c r="GQ13" s="104"/>
      <c r="GR13" s="104"/>
      <c r="GS13" s="104"/>
      <c r="GT13" s="104"/>
      <c r="GU13" s="104"/>
      <c r="GV13" s="104"/>
      <c r="GW13" s="104"/>
      <c r="GX13" s="104"/>
      <c r="GY13" s="104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64"/>
      <c r="HR13" s="64"/>
      <c r="HS13" s="64"/>
      <c r="HT13" s="64"/>
      <c r="HU13" s="64"/>
      <c r="HV13" s="64"/>
      <c r="HW13" s="105"/>
      <c r="HX13" s="64"/>
      <c r="HY13" s="280">
        <f t="shared" si="32"/>
        <v>0</v>
      </c>
      <c r="HZ13" s="280">
        <f t="shared" si="33"/>
        <v>0</v>
      </c>
      <c r="IA13" s="280">
        <f t="shared" si="34"/>
        <v>0</v>
      </c>
      <c r="IB13" s="64"/>
      <c r="IC13" s="64"/>
    </row>
    <row r="14" spans="1:237" s="106" customFormat="1" ht="22.5" customHeight="1" x14ac:dyDescent="0.25">
      <c r="A14" s="368" t="s">
        <v>3194</v>
      </c>
      <c r="B14" s="369" t="s">
        <v>3195</v>
      </c>
      <c r="C14" s="375" t="s">
        <v>3186</v>
      </c>
      <c r="D14" s="371" t="s">
        <v>3196</v>
      </c>
      <c r="E14" s="371" t="s">
        <v>3197</v>
      </c>
      <c r="F14" s="376" t="s">
        <v>3182</v>
      </c>
      <c r="G14" s="376" t="s">
        <v>3183</v>
      </c>
      <c r="H14" s="373" t="s">
        <v>337</v>
      </c>
      <c r="I14" s="374" t="s">
        <v>337</v>
      </c>
      <c r="J14" s="421" t="s">
        <v>3184</v>
      </c>
      <c r="K14" s="423" t="s">
        <v>3189</v>
      </c>
      <c r="L14" s="329">
        <f>CONTINUA!BV14</f>
        <v>0</v>
      </c>
      <c r="M14" s="329">
        <f>CONTINUA!BW14</f>
        <v>0</v>
      </c>
      <c r="N14" s="895"/>
      <c r="O14" s="896" t="s">
        <v>3275</v>
      </c>
      <c r="P14" s="897">
        <v>0</v>
      </c>
      <c r="Q14" s="400"/>
      <c r="R14" s="401"/>
      <c r="S14" s="400"/>
      <c r="T14" s="401"/>
      <c r="U14" s="400"/>
      <c r="V14" s="401"/>
      <c r="W14" s="400"/>
      <c r="X14" s="401"/>
      <c r="Y14" s="400"/>
      <c r="Z14" s="401"/>
      <c r="AA14" s="400"/>
      <c r="AB14" s="401"/>
      <c r="AC14" s="400"/>
      <c r="AD14" s="401"/>
      <c r="AE14" s="400"/>
      <c r="AF14" s="401"/>
      <c r="AG14" s="400"/>
      <c r="AH14" s="401"/>
      <c r="AI14" s="400"/>
      <c r="AJ14" s="401"/>
      <c r="AK14" s="400"/>
      <c r="AL14" s="401"/>
      <c r="AM14" s="400"/>
      <c r="AN14" s="401"/>
      <c r="AO14" s="400"/>
      <c r="AP14" s="401"/>
      <c r="AQ14" s="400"/>
      <c r="AR14" s="401"/>
      <c r="AS14" s="400"/>
      <c r="AT14" s="401"/>
      <c r="AU14" s="400"/>
      <c r="AV14" s="401"/>
      <c r="AW14" s="400"/>
      <c r="AX14" s="401"/>
      <c r="AY14" s="400"/>
      <c r="AZ14" s="401"/>
      <c r="BA14" s="400"/>
      <c r="BB14" s="401"/>
      <c r="BC14" s="400"/>
      <c r="BD14" s="401"/>
      <c r="BE14" s="400"/>
      <c r="BF14" s="401"/>
      <c r="BG14" s="400"/>
      <c r="BH14" s="401"/>
      <c r="BI14" s="400"/>
      <c r="BJ14" s="401"/>
      <c r="BK14" s="400"/>
      <c r="BL14" s="401"/>
      <c r="BM14" s="400"/>
      <c r="BN14" s="401"/>
      <c r="BO14" s="400"/>
      <c r="BP14" s="401"/>
      <c r="BQ14" s="400"/>
      <c r="BR14" s="401"/>
      <c r="BS14" s="400"/>
      <c r="BT14" s="401"/>
      <c r="BU14" s="400"/>
      <c r="BV14" s="401"/>
      <c r="BW14" s="400"/>
      <c r="BX14" s="401"/>
      <c r="BY14" s="400"/>
      <c r="BZ14" s="401"/>
      <c r="CA14" s="400"/>
      <c r="CB14" s="401"/>
      <c r="CC14" s="400"/>
      <c r="CD14" s="401"/>
      <c r="CE14" s="400"/>
      <c r="CF14" s="401"/>
      <c r="CG14" s="400"/>
      <c r="CH14" s="401"/>
      <c r="CI14" s="400"/>
      <c r="CJ14" s="401"/>
      <c r="CK14" s="400"/>
      <c r="CL14" s="401"/>
      <c r="CM14" s="400"/>
      <c r="CN14" s="401"/>
      <c r="CO14" s="400"/>
      <c r="CP14" s="401"/>
      <c r="CQ14" s="400"/>
      <c r="CR14" s="401"/>
      <c r="CS14" s="400"/>
      <c r="CT14" s="401"/>
      <c r="CU14" s="400"/>
      <c r="CV14" s="401"/>
      <c r="CW14" s="400"/>
      <c r="CX14" s="401"/>
      <c r="CY14" s="400"/>
      <c r="CZ14" s="401"/>
      <c r="DA14" s="400"/>
      <c r="DB14" s="401"/>
      <c r="DC14" s="400"/>
      <c r="DD14" s="401"/>
      <c r="DE14" s="400"/>
      <c r="DF14" s="401"/>
      <c r="DG14" s="400"/>
      <c r="DH14" s="401"/>
      <c r="DI14" s="400"/>
      <c r="DJ14" s="401"/>
      <c r="DK14" s="400"/>
      <c r="DL14" s="401"/>
      <c r="DM14" s="400"/>
      <c r="DN14" s="401"/>
      <c r="DO14" s="400"/>
      <c r="DP14" s="401"/>
      <c r="DQ14" s="400"/>
      <c r="DR14" s="401"/>
      <c r="DS14" s="400"/>
      <c r="DT14" s="401"/>
      <c r="DU14" s="400"/>
      <c r="DV14" s="401"/>
      <c r="DW14" s="400"/>
      <c r="DX14" s="401"/>
      <c r="DY14" s="400"/>
      <c r="DZ14" s="401"/>
      <c r="EA14" s="400"/>
      <c r="EB14" s="401"/>
      <c r="EC14" s="400"/>
      <c r="ED14" s="401"/>
      <c r="EE14" s="400"/>
      <c r="EF14" s="401"/>
      <c r="EG14" s="400"/>
      <c r="EH14" s="401"/>
      <c r="EI14" s="400"/>
      <c r="EJ14" s="447"/>
      <c r="EK14" s="511"/>
      <c r="EL14" s="514"/>
      <c r="EM14" s="448"/>
      <c r="EN14" s="344"/>
      <c r="EO14" s="345"/>
      <c r="EP14" s="171">
        <f t="shared" si="22"/>
        <v>0</v>
      </c>
      <c r="EQ14" s="171">
        <f t="shared" si="23"/>
        <v>0</v>
      </c>
      <c r="ER14" s="171">
        <f t="shared" si="24"/>
        <v>0</v>
      </c>
      <c r="ES14" s="171">
        <f t="shared" si="25"/>
        <v>0</v>
      </c>
      <c r="ET14" s="171">
        <f t="shared" si="26"/>
        <v>0</v>
      </c>
      <c r="EU14" s="171">
        <f t="shared" si="27"/>
        <v>0</v>
      </c>
      <c r="EV14" s="172">
        <f t="shared" si="28"/>
        <v>0</v>
      </c>
      <c r="EW14" s="127"/>
      <c r="EX14" s="248">
        <f t="shared" si="29"/>
        <v>0</v>
      </c>
      <c r="EY14" s="174">
        <f>(L14*regular)+(M14*Cadeirantee)</f>
        <v>0</v>
      </c>
      <c r="EZ14" s="249">
        <f>SUMIF(FG14:GJ14,"&gt;0")</f>
        <v>0</v>
      </c>
      <c r="FA14" s="249">
        <f>SUMIF(FG14:GJ14,"&lt;0")+SUMIF(GN14:HP14,"&lt;0")</f>
        <v>0</v>
      </c>
      <c r="FB14" s="174">
        <v>0</v>
      </c>
      <c r="FC14" s="126">
        <f>N14*km*'VALORES TABELA'!$B$13</f>
        <v>0</v>
      </c>
      <c r="FD14" s="250">
        <f t="shared" si="31"/>
        <v>0</v>
      </c>
      <c r="FE14" s="105"/>
      <c r="FF14" s="118"/>
      <c r="FG14" s="118"/>
      <c r="FH14" s="118"/>
      <c r="FI14" s="118"/>
      <c r="FJ14" s="118"/>
      <c r="FK14" s="118"/>
      <c r="FL14" s="118"/>
      <c r="FM14" s="118"/>
      <c r="FN14" s="118"/>
      <c r="FO14" s="118"/>
      <c r="FP14" s="118"/>
      <c r="FQ14" s="118"/>
      <c r="FR14" s="118"/>
      <c r="FS14" s="118"/>
      <c r="FT14" s="118"/>
      <c r="FU14" s="118"/>
      <c r="FV14" s="118"/>
      <c r="FW14" s="118"/>
      <c r="FX14" s="118"/>
      <c r="FY14" s="118"/>
      <c r="FZ14" s="118"/>
      <c r="GA14" s="118"/>
      <c r="GB14" s="118"/>
      <c r="GC14" s="118"/>
      <c r="GD14" s="118"/>
      <c r="GE14" s="118"/>
      <c r="GF14" s="118"/>
      <c r="GG14" s="118"/>
      <c r="GH14" s="118"/>
      <c r="GI14" s="118"/>
      <c r="GJ14" s="118"/>
      <c r="GK14" s="252"/>
      <c r="GL14" s="103">
        <f t="shared" si="30"/>
        <v>0</v>
      </c>
      <c r="GM14" s="124"/>
      <c r="GN14" s="104"/>
      <c r="GO14" s="104"/>
      <c r="GP14" s="104"/>
      <c r="GQ14" s="104"/>
      <c r="GR14" s="104"/>
      <c r="GS14" s="104"/>
      <c r="GT14" s="104"/>
      <c r="GU14" s="104"/>
      <c r="GV14" s="104"/>
      <c r="GW14" s="104"/>
      <c r="GX14" s="104"/>
      <c r="GY14" s="104"/>
      <c r="GZ14" s="104"/>
      <c r="HA14" s="104"/>
      <c r="HB14" s="104"/>
      <c r="HC14" s="104"/>
      <c r="HD14" s="104"/>
      <c r="HE14" s="104"/>
      <c r="HF14" s="104"/>
      <c r="HG14" s="104"/>
      <c r="HH14" s="104"/>
      <c r="HI14" s="104"/>
      <c r="HJ14" s="104"/>
      <c r="HK14" s="104"/>
      <c r="HL14" s="104"/>
      <c r="HM14" s="104"/>
      <c r="HN14" s="104"/>
      <c r="HO14" s="104"/>
      <c r="HP14" s="104"/>
      <c r="HQ14" s="64"/>
      <c r="HR14" s="65"/>
      <c r="HS14" s="65"/>
      <c r="HT14" s="65"/>
      <c r="HU14" s="65"/>
      <c r="HV14" s="65"/>
      <c r="HW14" s="105"/>
      <c r="HX14" s="65"/>
      <c r="HY14" s="280">
        <f t="shared" si="32"/>
        <v>0</v>
      </c>
      <c r="HZ14" s="280">
        <f t="shared" si="33"/>
        <v>0</v>
      </c>
      <c r="IA14" s="280">
        <f t="shared" si="34"/>
        <v>0</v>
      </c>
      <c r="IB14" s="65"/>
      <c r="IC14" s="65"/>
    </row>
    <row r="15" spans="1:237" s="106" customFormat="1" ht="22.5" customHeight="1" thickBot="1" x14ac:dyDescent="0.3">
      <c r="A15" s="377" t="s">
        <v>3194</v>
      </c>
      <c r="B15" s="378" t="s">
        <v>3195</v>
      </c>
      <c r="C15" s="379" t="s">
        <v>3186</v>
      </c>
      <c r="D15" s="380" t="s">
        <v>3196</v>
      </c>
      <c r="E15" s="380" t="s">
        <v>3197</v>
      </c>
      <c r="F15" s="381" t="s">
        <v>3182</v>
      </c>
      <c r="G15" s="381" t="s">
        <v>3183</v>
      </c>
      <c r="H15" s="382" t="s">
        <v>337</v>
      </c>
      <c r="I15" s="383" t="s">
        <v>337</v>
      </c>
      <c r="J15" s="421" t="s">
        <v>3184</v>
      </c>
      <c r="K15" s="424" t="s">
        <v>60</v>
      </c>
      <c r="L15" s="329">
        <f>CONTINUA!BV15</f>
        <v>0</v>
      </c>
      <c r="M15" s="329">
        <f>CONTINUA!BW15</f>
        <v>0</v>
      </c>
      <c r="N15" s="895"/>
      <c r="O15" s="896" t="s">
        <v>3275</v>
      </c>
      <c r="P15" s="897">
        <v>0</v>
      </c>
      <c r="Q15" s="400"/>
      <c r="R15" s="401"/>
      <c r="S15" s="400"/>
      <c r="T15" s="401"/>
      <c r="U15" s="400"/>
      <c r="V15" s="401"/>
      <c r="W15" s="400"/>
      <c r="X15" s="401"/>
      <c r="Y15" s="400"/>
      <c r="Z15" s="401"/>
      <c r="AA15" s="400"/>
      <c r="AB15" s="401"/>
      <c r="AC15" s="400"/>
      <c r="AD15" s="401"/>
      <c r="AE15" s="400"/>
      <c r="AF15" s="401"/>
      <c r="AG15" s="400"/>
      <c r="AH15" s="401"/>
      <c r="AI15" s="400"/>
      <c r="AJ15" s="401"/>
      <c r="AK15" s="400"/>
      <c r="AL15" s="401"/>
      <c r="AM15" s="400"/>
      <c r="AN15" s="401"/>
      <c r="AO15" s="400"/>
      <c r="AP15" s="401"/>
      <c r="AQ15" s="400"/>
      <c r="AR15" s="401"/>
      <c r="AS15" s="400"/>
      <c r="AT15" s="401"/>
      <c r="AU15" s="400"/>
      <c r="AV15" s="401"/>
      <c r="AW15" s="400"/>
      <c r="AX15" s="401"/>
      <c r="AY15" s="400"/>
      <c r="AZ15" s="401"/>
      <c r="BA15" s="400"/>
      <c r="BB15" s="401"/>
      <c r="BC15" s="400"/>
      <c r="BD15" s="401"/>
      <c r="BE15" s="400"/>
      <c r="BF15" s="401"/>
      <c r="BG15" s="400"/>
      <c r="BH15" s="401"/>
      <c r="BI15" s="400"/>
      <c r="BJ15" s="401"/>
      <c r="BK15" s="400"/>
      <c r="BL15" s="401"/>
      <c r="BM15" s="400"/>
      <c r="BN15" s="401"/>
      <c r="BO15" s="400"/>
      <c r="BP15" s="401"/>
      <c r="BQ15" s="400"/>
      <c r="BR15" s="401"/>
      <c r="BS15" s="400"/>
      <c r="BT15" s="401"/>
      <c r="BU15" s="400"/>
      <c r="BV15" s="401"/>
      <c r="BW15" s="400"/>
      <c r="BX15" s="401"/>
      <c r="BY15" s="400"/>
      <c r="BZ15" s="401"/>
      <c r="CA15" s="400"/>
      <c r="CB15" s="401"/>
      <c r="CC15" s="400"/>
      <c r="CD15" s="401"/>
      <c r="CE15" s="400"/>
      <c r="CF15" s="401"/>
      <c r="CG15" s="400"/>
      <c r="CH15" s="401"/>
      <c r="CI15" s="400"/>
      <c r="CJ15" s="401"/>
      <c r="CK15" s="400"/>
      <c r="CL15" s="401"/>
      <c r="CM15" s="400"/>
      <c r="CN15" s="401"/>
      <c r="CO15" s="400"/>
      <c r="CP15" s="401"/>
      <c r="CQ15" s="400"/>
      <c r="CR15" s="401"/>
      <c r="CS15" s="400"/>
      <c r="CT15" s="401"/>
      <c r="CU15" s="400"/>
      <c r="CV15" s="401"/>
      <c r="CW15" s="400"/>
      <c r="CX15" s="401"/>
      <c r="CY15" s="400"/>
      <c r="CZ15" s="401"/>
      <c r="DA15" s="400"/>
      <c r="DB15" s="401"/>
      <c r="DC15" s="400"/>
      <c r="DD15" s="401"/>
      <c r="DE15" s="400"/>
      <c r="DF15" s="401"/>
      <c r="DG15" s="400"/>
      <c r="DH15" s="401"/>
      <c r="DI15" s="400"/>
      <c r="DJ15" s="401"/>
      <c r="DK15" s="400"/>
      <c r="DL15" s="401"/>
      <c r="DM15" s="400"/>
      <c r="DN15" s="401"/>
      <c r="DO15" s="400"/>
      <c r="DP15" s="401"/>
      <c r="DQ15" s="400"/>
      <c r="DR15" s="401"/>
      <c r="DS15" s="400"/>
      <c r="DT15" s="401"/>
      <c r="DU15" s="400"/>
      <c r="DV15" s="401"/>
      <c r="DW15" s="400"/>
      <c r="DX15" s="401"/>
      <c r="DY15" s="400"/>
      <c r="DZ15" s="401"/>
      <c r="EA15" s="400"/>
      <c r="EB15" s="401"/>
      <c r="EC15" s="400"/>
      <c r="ED15" s="401"/>
      <c r="EE15" s="400"/>
      <c r="EF15" s="401"/>
      <c r="EG15" s="400"/>
      <c r="EH15" s="401"/>
      <c r="EI15" s="400"/>
      <c r="EJ15" s="447"/>
      <c r="EK15" s="512"/>
      <c r="EL15" s="515"/>
      <c r="EM15" s="450"/>
      <c r="EN15" s="348"/>
      <c r="EO15" s="348"/>
      <c r="EP15" s="179">
        <f t="shared" si="22"/>
        <v>0</v>
      </c>
      <c r="EQ15" s="179">
        <f t="shared" si="23"/>
        <v>0</v>
      </c>
      <c r="ER15" s="179">
        <f t="shared" si="24"/>
        <v>0</v>
      </c>
      <c r="ES15" s="179">
        <f t="shared" si="25"/>
        <v>0</v>
      </c>
      <c r="ET15" s="179">
        <f t="shared" si="26"/>
        <v>0</v>
      </c>
      <c r="EU15" s="179">
        <f t="shared" si="27"/>
        <v>0</v>
      </c>
      <c r="EV15" s="172">
        <f t="shared" si="28"/>
        <v>0</v>
      </c>
      <c r="EW15" s="253"/>
      <c r="EX15" s="254">
        <v>0</v>
      </c>
      <c r="EY15" s="180">
        <v>0</v>
      </c>
      <c r="EZ15" s="255">
        <v>0</v>
      </c>
      <c r="FA15" s="255">
        <v>0</v>
      </c>
      <c r="FB15" s="180">
        <f>SUM(FF15:GI15)/2</f>
        <v>0</v>
      </c>
      <c r="FC15" s="256">
        <f>N15*km*'VALORES TABELA'!$B$13</f>
        <v>0</v>
      </c>
      <c r="FD15" s="250">
        <f t="shared" si="31"/>
        <v>0</v>
      </c>
      <c r="FE15" s="257"/>
      <c r="FF15" s="181">
        <f>((Q15+S15)*Percapita)+((R15+T15)*Cadeirante)</f>
        <v>0</v>
      </c>
      <c r="FG15" s="181">
        <f>((U15+W15)*Percapita/30*FG$4)+((V15+X15)*Cadeirante/30*FG$4)</f>
        <v>0</v>
      </c>
      <c r="FH15" s="181">
        <f>((Y15+AA15)*Percapita/30*FH$4)+((Z15+AB15)*Cadeirante/30*FH$4)</f>
        <v>0</v>
      </c>
      <c r="FI15" s="181">
        <f>((AC15+AE15)*Percapita/30*FI$4)+((AD15+AF15)*Cadeirante/30*FI$4)</f>
        <v>0</v>
      </c>
      <c r="FJ15" s="181">
        <f>((AG15+AI15)*Percapita/30*FJ$4)+((AH15+AJ15)*Cadeirante/30*FJ$4)</f>
        <v>0</v>
      </c>
      <c r="FK15" s="181">
        <f>((AK15+AM15)*Percapita/30*FK$4)+((AL15+AN15)*Cadeirante/30*FK$4)</f>
        <v>0</v>
      </c>
      <c r="FL15" s="181">
        <f>((AO15+AQ15)*Percapita/30*FL$4)+((AP15+AR15)*Cadeirante/30*FL$4)</f>
        <v>0</v>
      </c>
      <c r="FM15" s="181">
        <f>((AS15+AU15)*Percapita/30*FM$4)+((AT15+AV15)*Cadeirante/30*FM$4)</f>
        <v>0</v>
      </c>
      <c r="FN15" s="181">
        <f>((AW15+AY15)*Percapita/30*FN$4)+((AX15+AZ15)*Cadeirante/30*FN$4)</f>
        <v>0</v>
      </c>
      <c r="FO15" s="181">
        <f>((BA15+BC15)*Percapita/30*FO$4)+((BB15+BD15)*Cadeirante/30*FO$4)</f>
        <v>0</v>
      </c>
      <c r="FP15" s="181">
        <f>((BE15+BG15)*Percapita/30*FP$4)+((BF15+BH15)*Cadeirante/30*FP$4)</f>
        <v>0</v>
      </c>
      <c r="FQ15" s="181">
        <f>((BI15+BK15)*Percapita/30*FQ$4)+((BJ15+BL15)*Cadeirante/30*FQ$4)</f>
        <v>0</v>
      </c>
      <c r="FR15" s="181">
        <f>((BM15+BO15)*Percapita/30*FR$4)+((BN15+BP15)*Cadeirante/30*FR$4)</f>
        <v>0</v>
      </c>
      <c r="FS15" s="181">
        <f>((BQ15+BS15)*Percapita/30*FS$4)+((BR15+BT15)*Cadeirante/30*FS$4)</f>
        <v>0</v>
      </c>
      <c r="FT15" s="181">
        <f>((BU15+BW15)*Percapita/30*FT$4)+((BV15+BX15)*Cadeirante/30*FT$4)</f>
        <v>0</v>
      </c>
      <c r="FU15" s="181">
        <f>((BY15+CA15)*Percapita/30*FU$4)+((BZ15+CB15)*Cadeirante/30*FU$4)</f>
        <v>0</v>
      </c>
      <c r="FV15" s="181">
        <f>((CC15+CE15)*Percapita/30*FV$4)+((CD15+CF15)*Cadeirante/30*FV$4)</f>
        <v>0</v>
      </c>
      <c r="FW15" s="181">
        <f>((CG15+CI15)*Percapita/30*FW$4)+((CI15+CK15)*Cadeirante/30*FW$4)</f>
        <v>0</v>
      </c>
      <c r="FX15" s="181">
        <f>((CK15+CM15)*Percapita/30*FX$4)+((CL15+CN15)*Cadeirante/30*FX$4)</f>
        <v>0</v>
      </c>
      <c r="FY15" s="181">
        <f>((CO15+CQ15)*Percapita/30*FY$4)+((CP15+CR15)*Cadeirante/30*FY$4)</f>
        <v>0</v>
      </c>
      <c r="FZ15" s="181">
        <f>((CS15+CU15)*Percapita/30*FZ$4)+((CT15+CV15)*Cadeirante/30*FZ$4)</f>
        <v>0</v>
      </c>
      <c r="GA15" s="181">
        <f>((CW15+CY15)*Percapita/30*GA$4)+((CX15+CZ15)*Cadeirante/30*GA$4)</f>
        <v>0</v>
      </c>
      <c r="GB15" s="181">
        <f>((DA15+DC15)*Percapita/30*GB$4)+((DB15+DD15)*Cadeirante/30*GB$4)</f>
        <v>0</v>
      </c>
      <c r="GC15" s="181">
        <f>((DE15+DG15)*Percapita/30*GC$4)+((DF15+DH15)*Cadeirante/30*GC$4)</f>
        <v>0</v>
      </c>
      <c r="GD15" s="181">
        <f>((DI15+DK15)*Percapita/30*GD$4)+((DJ15+DL15)*Cadeirante/30*GD$4)</f>
        <v>0</v>
      </c>
      <c r="GE15" s="181">
        <f>((DM15+DO15)*Percapita/30*GE$4)+((DN15+DP15)*Cadeirante/30*GE$4)</f>
        <v>0</v>
      </c>
      <c r="GF15" s="181">
        <f>((DQ15+DS15)*Percapita/30*GF$4)+((DR15+DT15)*Cadeirante/30*GF$4)</f>
        <v>0</v>
      </c>
      <c r="GG15" s="181">
        <f>((DU15+DW15)*Percapita/30*GG$4)+((DV15+DX15)*Cadeirante/30*GG$4)</f>
        <v>0</v>
      </c>
      <c r="GH15" s="181">
        <f>((DY15+EA15)*Percapita/30*GH$4)+((DZ15+EB15)*Cadeirante/30*GH$4)</f>
        <v>0</v>
      </c>
      <c r="GI15" s="181">
        <f>((EC15+EE15)*Percapita/30*GI$4)+((ED15+EF15)*Cadeirante/30*GI$4)</f>
        <v>0</v>
      </c>
      <c r="GJ15" s="181">
        <f>((EG15+EI15)*Percapita)+((EH15+EJ15)*Cadeirante)</f>
        <v>0</v>
      </c>
      <c r="GK15" s="258"/>
      <c r="GL15" s="103">
        <f t="shared" si="30"/>
        <v>0</v>
      </c>
      <c r="GM15" s="124"/>
      <c r="GN15" s="182"/>
      <c r="GO15" s="182"/>
      <c r="GP15" s="182"/>
      <c r="GQ15" s="182"/>
      <c r="GR15" s="182"/>
      <c r="GS15" s="182"/>
      <c r="GT15" s="182"/>
      <c r="GU15" s="182"/>
      <c r="GV15" s="182"/>
      <c r="GW15" s="182"/>
      <c r="GX15" s="182"/>
      <c r="GY15" s="182"/>
      <c r="GZ15" s="182"/>
      <c r="HA15" s="182"/>
      <c r="HB15" s="182"/>
      <c r="HC15" s="182"/>
      <c r="HD15" s="182"/>
      <c r="HE15" s="182"/>
      <c r="HF15" s="182"/>
      <c r="HG15" s="182"/>
      <c r="HH15" s="182"/>
      <c r="HI15" s="182"/>
      <c r="HJ15" s="182"/>
      <c r="HK15" s="182"/>
      <c r="HL15" s="182"/>
      <c r="HM15" s="182"/>
      <c r="HN15" s="182"/>
      <c r="HO15" s="182"/>
      <c r="HP15" s="259"/>
      <c r="HQ15" s="64"/>
      <c r="HW15" s="257"/>
      <c r="HY15" s="280">
        <f t="shared" si="32"/>
        <v>0</v>
      </c>
      <c r="HZ15" s="280">
        <f t="shared" si="33"/>
        <v>0</v>
      </c>
      <c r="IA15" s="280">
        <f t="shared" si="34"/>
        <v>0</v>
      </c>
    </row>
    <row r="16" spans="1:237" s="106" customFormat="1" ht="22.5" customHeight="1" x14ac:dyDescent="0.25">
      <c r="A16" t="s">
        <v>3198</v>
      </c>
      <c r="B16" s="522" t="s">
        <v>3199</v>
      </c>
      <c r="C16" s="523">
        <v>1</v>
      </c>
      <c r="D16" s="524" t="s">
        <v>3200</v>
      </c>
      <c r="E16" s="524" t="s">
        <v>3201</v>
      </c>
      <c r="F16" s="525" t="s">
        <v>3182</v>
      </c>
      <c r="G16" s="525" t="s">
        <v>3183</v>
      </c>
      <c r="H16" s="350" t="s">
        <v>338</v>
      </c>
      <c r="I16" s="351" t="s">
        <v>338</v>
      </c>
      <c r="J16" s="409" t="s">
        <v>3184</v>
      </c>
      <c r="K16" s="410" t="s">
        <v>3185</v>
      </c>
      <c r="L16" s="329">
        <f>CONTINUA!BV16</f>
        <v>0</v>
      </c>
      <c r="M16" s="329">
        <f>CONTINUA!BW16</f>
        <v>0</v>
      </c>
      <c r="N16" s="895"/>
      <c r="O16" s="896" t="s">
        <v>3276</v>
      </c>
      <c r="P16" s="897">
        <v>0</v>
      </c>
      <c r="Q16" s="400"/>
      <c r="R16" s="401"/>
      <c r="S16" s="400"/>
      <c r="T16" s="401"/>
      <c r="U16" s="400"/>
      <c r="V16" s="401"/>
      <c r="W16" s="400"/>
      <c r="X16" s="401"/>
      <c r="Y16" s="400"/>
      <c r="Z16" s="401"/>
      <c r="AA16" s="400"/>
      <c r="AB16" s="401"/>
      <c r="AC16" s="400"/>
      <c r="AD16" s="401"/>
      <c r="AE16" s="400"/>
      <c r="AF16" s="401"/>
      <c r="AG16" s="400"/>
      <c r="AH16" s="401"/>
      <c r="AI16" s="400"/>
      <c r="AJ16" s="401"/>
      <c r="AK16" s="400"/>
      <c r="AL16" s="401"/>
      <c r="AM16" s="400"/>
      <c r="AN16" s="401"/>
      <c r="AO16" s="400"/>
      <c r="AP16" s="401"/>
      <c r="AQ16" s="400"/>
      <c r="AR16" s="401"/>
      <c r="AS16" s="400"/>
      <c r="AT16" s="401"/>
      <c r="AU16" s="400"/>
      <c r="AV16" s="401"/>
      <c r="AW16" s="400"/>
      <c r="AX16" s="401"/>
      <c r="AY16" s="400"/>
      <c r="AZ16" s="401"/>
      <c r="BA16" s="400"/>
      <c r="BB16" s="401"/>
      <c r="BC16" s="400"/>
      <c r="BD16" s="401"/>
      <c r="BE16" s="400"/>
      <c r="BF16" s="401"/>
      <c r="BG16" s="400"/>
      <c r="BH16" s="401"/>
      <c r="BI16" s="400"/>
      <c r="BJ16" s="401"/>
      <c r="BK16" s="400"/>
      <c r="BL16" s="401"/>
      <c r="BM16" s="400"/>
      <c r="BN16" s="401"/>
      <c r="BO16" s="400"/>
      <c r="BP16" s="401"/>
      <c r="BQ16" s="400"/>
      <c r="BR16" s="401"/>
      <c r="BS16" s="400"/>
      <c r="BT16" s="401"/>
      <c r="BU16" s="400"/>
      <c r="BV16" s="401"/>
      <c r="BW16" s="400"/>
      <c r="BX16" s="401"/>
      <c r="BY16" s="400"/>
      <c r="BZ16" s="401"/>
      <c r="CA16" s="400"/>
      <c r="CB16" s="401"/>
      <c r="CC16" s="400"/>
      <c r="CD16" s="401"/>
      <c r="CE16" s="400"/>
      <c r="CF16" s="401"/>
      <c r="CG16" s="400"/>
      <c r="CH16" s="401"/>
      <c r="CI16" s="400"/>
      <c r="CJ16" s="401"/>
      <c r="CK16" s="400"/>
      <c r="CL16" s="401"/>
      <c r="CM16" s="400"/>
      <c r="CN16" s="401"/>
      <c r="CO16" s="400"/>
      <c r="CP16" s="401"/>
      <c r="CQ16" s="400"/>
      <c r="CR16" s="401"/>
      <c r="CS16" s="400"/>
      <c r="CT16" s="401"/>
      <c r="CU16" s="400"/>
      <c r="CV16" s="401"/>
      <c r="CW16" s="400"/>
      <c r="CX16" s="401"/>
      <c r="CY16" s="400"/>
      <c r="CZ16" s="401"/>
      <c r="DA16" s="400"/>
      <c r="DB16" s="401"/>
      <c r="DC16" s="400"/>
      <c r="DD16" s="401"/>
      <c r="DE16" s="400"/>
      <c r="DF16" s="401"/>
      <c r="DG16" s="400"/>
      <c r="DH16" s="401"/>
      <c r="DI16" s="400"/>
      <c r="DJ16" s="401"/>
      <c r="DK16" s="400"/>
      <c r="DL16" s="401"/>
      <c r="DM16" s="400"/>
      <c r="DN16" s="401"/>
      <c r="DO16" s="400"/>
      <c r="DP16" s="401"/>
      <c r="DQ16" s="400"/>
      <c r="DR16" s="401"/>
      <c r="DS16" s="400"/>
      <c r="DT16" s="401"/>
      <c r="DU16" s="400"/>
      <c r="DV16" s="401"/>
      <c r="DW16" s="400"/>
      <c r="DX16" s="401"/>
      <c r="DY16" s="400"/>
      <c r="DZ16" s="401"/>
      <c r="EA16" s="400"/>
      <c r="EB16" s="401"/>
      <c r="EC16" s="400"/>
      <c r="ED16" s="401"/>
      <c r="EE16" s="400"/>
      <c r="EF16" s="401"/>
      <c r="EG16" s="400"/>
      <c r="EH16" s="401"/>
      <c r="EI16" s="400"/>
      <c r="EJ16" s="447"/>
      <c r="EK16" s="510"/>
      <c r="EL16" s="513"/>
      <c r="EM16" s="520"/>
      <c r="EN16" s="520"/>
      <c r="EO16" s="520"/>
      <c r="EP16" s="171">
        <f t="shared" si="22"/>
        <v>0</v>
      </c>
      <c r="EQ16" s="171">
        <f t="shared" si="23"/>
        <v>0</v>
      </c>
      <c r="ER16" s="171">
        <f t="shared" si="24"/>
        <v>0</v>
      </c>
      <c r="ES16" s="171">
        <f t="shared" si="25"/>
        <v>0</v>
      </c>
      <c r="ET16" s="171">
        <f t="shared" si="26"/>
        <v>0</v>
      </c>
      <c r="EU16" s="171">
        <f t="shared" si="27"/>
        <v>0</v>
      </c>
      <c r="EV16" s="172">
        <f t="shared" si="28"/>
        <v>0</v>
      </c>
      <c r="EW16" s="367">
        <f>IF(C16=4,IF(MAX(Q16:EJ18)&gt;0,(Especiall/30*(IF(($G16-$F16)=($G$5-$F$5),30,IF(DAY($G16)=31,($G16-$F16),($G16-$F16)+1)))),0),0)</f>
        <v>0</v>
      </c>
      <c r="EX16" s="248">
        <f t="shared" ref="EX16:EX19" si="35">FF16</f>
        <v>10189.130000000001</v>
      </c>
      <c r="EY16" s="174">
        <f>(L16*regular)+(M16*Cadeirantee)</f>
        <v>0</v>
      </c>
      <c r="EZ16" s="249">
        <f>SUMIF(FG16:GJ16,"&gt;0")</f>
        <v>269.661</v>
      </c>
      <c r="FA16" s="249">
        <f>SUMIF(FG16:GJ16,"&lt;0")+SUMIF(GN16:HP16,"&lt;0")</f>
        <v>0</v>
      </c>
      <c r="FB16" s="174">
        <v>0</v>
      </c>
      <c r="FC16" s="175">
        <f>N16*km*'VALORES TABELA'!$B$13</f>
        <v>0</v>
      </c>
      <c r="FD16" s="250">
        <f>GL16</f>
        <v>0</v>
      </c>
      <c r="FE16" s="176">
        <f>(EW16+EW17+EW18+EW19+EX16+EX17+EX18+EX19+EY16+EY17+EY18+EY19+EY20+EZ16+EZ17+EZ18+EZ19+FA16+FA17+FA18+FA19+FC16+FC17+FC18+FC19+HY16-HZ16-IA16+FD16+FD17+FD18+FD19+FB20)</f>
        <v>10892.591</v>
      </c>
      <c r="FF16" s="177">
        <f>IF(C16=4,SUM(Q16+Q17+Q18+S16+S17+S18)*Percapita/30*FF$4+(R16+R17+R18+T16+T17+T18)*Cadeirante/30*FF$4,IF(C16=3,IF(Q19+S19=10,Fixo/30*FF$4+(Q16+Q17+Q18+S16+S17+S18)*Percapita/30*FF$4+(R19+T19)*Cadeirante/30*FF$4,IF(Q19+S19&lt;=9,(Q19+S19)*Crechee/30*FF$4)+(R19+T19)*Cadeirante/30*FF$4+(Q16+Q17+Q18+S16+S17+S18)*Percapita/30*FF$4)+IF(Q19+S19&gt;=11,Fixo/30*FF$4+(Q19+S19-10)*Crechee/30*FF$4,0),IF(C16=2,IF(R16+R17+R18+R19+T16+T17+T18+T19=1,Cadeirante/30*FF$4,IF(R16+R17+R18+R19+T16+T17+T18+T19=2,Fixo/30*FF$4,IF(R16+R17+R18+R19+T16+T17+T18+T19&gt;2,Fixo/30*FF$4+(R16+R17+R18+R19+T16+T17+T18+T19-2)*Cadeirante/30*FF$4)))+(Q16+Q17+Q18+S16+S17+S18)*Percapita/30*FF$4+(Q19+S19)*Crechee/30*FF$4,IF(C16=1,IF(Q16+Q17+Q18+R16+R17+R18+S16+S17+S18+T16+T17+T18&lt;=15,(Q16+Q17+Q18+S16+S17+S18)*Percapita/30*FF$4,IF(Q16+Q17+Q18+R16+R17+R18+S16+S17+S18+T16+T17+T18&gt;=16,Fixo/30*FF$4+(Q16+Q17+Q18+R16+R17+R18+S16+S17+S18+T16+T17-16)*Percapita/30*FF$4))))))</f>
        <v>10189.130000000001</v>
      </c>
      <c r="FG16" s="177">
        <f>IF(C16=4,SUM(U16+U17+U18+W16+W17+W18)*Percapita/30*FG$4+(V16+V17+V18+X16+X17+X18)*Cadeirante/30*FG$4,IF(C16=3,IF(U19+W19=10,Fixo/30*FG$4+(U16+U17+U18+W16+W17+W18)*Percapita/30*FG$4+(V19+X19)*Cadeirante/30*FG$4,IF(U19+W19&lt;=9,(U19+W19)*Crechee/30*FG$4)+(V19+X19)*Cadeirante/30*FG$4+(U16+U17+U18+W16+W17+W18)*Percapita/30*FG$4)+IF(U19+W19&gt;=11,Fixo/30*FG$4+(U19+W19-10)*Crechee/30*FG$4,0),IF(C16=2,IF(V16+V17+V18+V19+X16+X17+X18+X19=1,Cadeirante/30*FG$4,IF(V16+V17+V18+V19+X16+X17+X18+X19=2,Fixo/30*FG$4,IF(V16+V17+V18+V19+X16+X17+X18+X19&gt;2,Fixo/30*FG$4+(V16+V17+V18+V19+X16+X17+X18+X19-2)*Cadeirante/30*FG$4)))+(U16+U17+U18+W16+W17+W18)*Percapita/30*FG$4+(U19+W19)*Crechee/30*FG$4,IF(C16=1,IF(U16+U17+U18+V16+V17+V18+W16+W17+W18+X16+X17+X18&lt;=15,(U16+U17+U18+W16+W17+W18)*Percapita/30*FG$4,IF(U16+U17+U18+V16+V17+V18+W16+W17+W18+X16+X17+X18&gt;=16,Fixo/30*FG$4+(U16+U17+U18+V16+V17+V18+W16+W17+W18+X16+X17-16)*Percapita/30*FG$4))))))</f>
        <v>0</v>
      </c>
      <c r="FH16" s="177">
        <f>IF(C16=4,SUM(Y16+Y17+Y18+AA16+AA17+AA18)*Percapita/30*FH$4+(Z16+Z17+Z18+AB16+AB17+AB18)*Cadeirante/30*FH$4,IF(C16=3,IF(Y19+AA19=10,Fixo/30*FH$4+(Y16+Y17+Y18+AA16+AA17+AA18)*Percapita/30*FH$4+(Z19+AB19)*Cadeirante/30*FH$4,IF(Y19+AA19&lt;=9,(Y19+AA19)*Crechee/30*FH$4)+(Z19+AB19)*Cadeirante/30*FH$4+(Y16+Y17+Y18+AA16+AA17+AA18)*Percapita/30*FH$4)+IF(Y19+AA19&gt;=11,Fixo/30*FH$4+(Y19+AA19-10)*Crechee/30*FH$4,0),IF(C16=2,IF(Z16+Z17+Z18+Z19+AB16+AB17+AB18+AB19=1,Cadeirante/30*FH$4,IF(Z16+Z17+Z18+Z19+AB16+AB17+AB18+AB19=2,Fixo/30*FH$4,IF(Z16+Z17+Z18+Z19+AB16+AB17+AB18+AB19&gt;2,Fixo/30*FH$4+(Z16+Z17+Z18+Z19+AB16+AB17+AB18+AB19-2)*Cadeirante/30*FH$4)))+(Y16+Y17+Y18+AA16+AA17+AA18)*Percapita/30*FH$4+(Y19+AA19)*Crechee/30*FH$4,IF(C16=1,IF(Y16+Y17+Y18+Z16+Z17+Z18+AA16+AA17+AA18+AB16+AB17+AB18&lt;=15,(Y16+Y17+Y18+AA16+AA17+AA18)*Percapita/30*FH$4,IF(Y16+Y17+Y18+Z16+Z17+Z18+AA16+AA17+AA18+AB16+AB17+AB18&gt;=16,Fixo/30*FH$4+(Y16+Y17+Y18+Z16+Z17+Z18+AA16+AA17+AA18+AB16+AB17-16)*Percapita/30*FH$4))))))</f>
        <v>0</v>
      </c>
      <c r="FI16" s="177">
        <f>IF(C16=4,SUM(AC16+AC17+AC18+AE16+AE17+AE18)*Percapita/30*FI$4+(AD16+AD17+AD18+AF16+AF17+AF18)*Cadeirante/30*FI$4,IF(C16=3,IF(AC19+AE19=10,Fixo/30*FI$4+(AC16+AC17+AC18+AE16+AE17+AE18)*Percapita/30*FI$4+(AD19+AF19)*Cadeirante/30*FI$4,IF(AC19+AE19&lt;=9,(AC19+AE19)*Crechee/30*FI$4)+(AD19+AF19)*Cadeirante/30*FI$4+(AC16+AC17+AC18+AE16+AE17+AE18)*Percapita/30*FI$4)+IF(AC19+AE19&gt;=11,Fixo/30*FI$4+(AC19+AE19-10)*Crechee/30*FI$4,0),IF(C16=2,IF(AD16+AD17+AD18+AD19+AF16+AF17+AF18+AF19=1,Cadeirante/30*FI$4,IF(AD16+AD17+AD18+AD19+AF16+AF17+AF18+AF19=2,Fixo/30*FI$4,IF(AD16+AD17+AD18+AD19+AF16+AF17+AF18+AF19&gt;2,Fixo/30*FI$4+(AD16+AD17+AD18+AD19+AF16+AF17+AF18+AF19-2)*Cadeirante/30*FI$4)))+(AC16+AC17+AC18+AE16+AE17+AE18)*Percapita/30*FI$4+(AC19+AE19)*Crechee/30*FI$4,IF(C16=1,IF(AC16+AC17+AC18+AD16+AD17+AD18+AE16+AE17+AE18+AF16+AF17+AF18&lt;=15,(AC16+AC17+AC18+AE16+AE17+AE18)*Percapita/30*FI$4,IF(AC16+AC17+AC18+AD16+AD17+AD18+AE16+AE17+AE18+AF16+AF17+AF18&gt;=16,Fixo/30*FI$4+(AC16+AC17+AC18+AD16+AD17+AD18+AE16+AE17+AE18+AF16+AF17-16)*Percapita/30*FI$4))))))</f>
        <v>0</v>
      </c>
      <c r="FJ16" s="177">
        <f>IF(C16=4,SUM(AG16+AG17+AG18+AI16+AI17+AI18)*Percapita/30*FJ$4+(AH16+AH17+AH18+AJ16+AJ17+AJ18)*Cadeirante/30*FJ$4,IF(C16=3,IF(AG19+AI19=10,Fixo/30*FJ$4+(AG16+AG17+AG18+AI16+AI17+AI18)*Percapita/30*FJ$4+(AH19+AJ19)*Cadeirante/30*FJ$4,IF(AG19+AI19&lt;=9,(AG19+AI19)*Crechee/30*FJ$4)+(AH19+AJ19)*Cadeirante/30*FJ$4+(AG16+AG17+AG18+AI16+AI17+AI18)*Percapita/30*FJ$4)+IF(AG19+AI19&gt;=11,Fixo/30*FJ$4+(AG19+AI19-10)*Crechee/30*FJ$4,0),IF(C16=2,IF(AH16+AH17+AH18+AH19+AJ16+AJ17+AJ18+AJ19=1,Cadeirante/30*FJ$4,IF(AH16+AH17+AH18+AH19+AJ16+AJ17+AJ18+AJ19=2,Fixo/30*FJ$4,IF(AH16+AH17+AH18+AH19+AJ16+AJ17+AJ18+AJ19&gt;2,Fixo/30*FJ$4+(AH16+AH17+AH18+AH19+AJ16+AJ17+AJ18+AJ19-2)*Cadeirante/30*FJ$4)))+(AG16+AG17+AG18+AI16+AI17+AI18)*Percapita/30*FJ$4+(AG19+AI19)*Crechee/30*FJ$4,IF(C16=1,IF(AG16+AG17+AG18+AH16+AH17+AH18+AI16+AI17+AI18+AJ16+AJ17+AJ18&lt;=15,(AG16+AG17+AG18+AI16+AI17+AI18)*Percapita/30*FJ$4,IF(AG16+AG17+AG18+AH16+AH17+AH18+AI16+AI17+AI18+AJ16+AJ17+AJ18&gt;=16,Fixo/30*FJ$4+(AG16+AG17+AG18+AH16+AH17+AH18+AI16+AI17+AI18+AJ16+AJ17-16)*Percapita/30*FJ$4))))))</f>
        <v>0</v>
      </c>
      <c r="FK16" s="177">
        <f>IF(C16=4,SUM(AK16+AK17+AK18+AM16+AM17+AM18)*Percapita/30*FK$4+(AL16+AL17+AL18+AN16+AN17+AN18)*Cadeirante/30*FK$4,IF(C16=3,IF(AK19+AM19=10,Fixo/30*FK$4+(AK16+AK17+AK18+AM16+AM17+AM18)*Percapita/30*FK$4+(AL19+AN19)*Cadeirante/30*FK$4,IF(AK19+AM19&lt;=9,(AK19+AM19)*Crechee/30*FK$4)+(AL19+AN19)*Cadeirante/30*FK$4+(AK16+AK17+AK18+AM16+AM17+AM18)*Percapita/30*FK$4)+IF(AK19+AM19&gt;=11,Fixo/30*FK$4+(AK19+AM19-10)*Crechee/30*FK$4,0),IF(C16=2,IF(AL16+AL17+AL18+AL19+AN16+AN17+AN18+AN19=1,Cadeirante/30*FK$4,IF(AL16+AL17+AL18+AL19+AN16+AN17+AN18+AN19=2,Fixo/30*FK$4,IF(AL16+AL17+AL18+AL19+AN16+AN17+AN18+AN19&gt;2,Fixo/30*FK$4+(AL16+AL17+AL18+AL19+AN16+AN17+AN18+AN19-2)*Cadeirante/30*FK$4)))+(AK16+AK17+AK18+AM16+AM17+AM18)*Percapita/30*FK$4+(AK19+AM19)*Crechee/30*FK$4,IF(C16=1,IF(AK16+AK17+AK18+AL16+AL17+AL18+AM16+AM17+AM18+AN16+AN17+AN18&lt;=15,(AK16+AK17+AK18+AM16+AM17+AM18)*Percapita/30*FK$4,IF(AK16+AK17+AK18+AL16+AL17+AL18+AM16+AM17+AM18+AN16+AN17+AN18&gt;=16,Fixo/30*FK$4+(AK16+AK17+AK18+AL16+AL17+AL18+AM16+AM17+AM18+AN16+AN17-16)*Percapita/30*FK$4))))))</f>
        <v>0</v>
      </c>
      <c r="FL16" s="177">
        <f>IF(C16=4,SUM(AO16+AO17+AO18+AQ16+AQ17+AQ18)*Percapita/30*FL$4+(AP16+AP17+AP18+AR16+AR17+AR18)*Cadeirante/30*FL$4,IF(C16=3,IF(AO19+AQ19=10,Fixo/30*FL$4+(AO16+AO17+AO18+AQ16+AQ17+AQ18)*Percapita/30*FL$4+(AP19+AR19)*Cadeirante/30*FL$4,IF(AO19+AQ19&lt;=9,(AO19+AQ19)*Crechee/30*FL$4)+(AP19+AR19)*Cadeirante/30*FL$4+(AO16+AO17+AO18+AQ16+AQ17+AQ18)*Percapita/30*FL$4)+IF(AO19+AQ19&gt;=11,Fixo/30*FL$4+(AO19+AQ19-10)*Crechee/30*FL$4,0),IF(C16=2,IF(AP16+AP17+AP18+AP19+AR16+AR17+AR18+AR19=1,Cadeirante/30*FL$4,IF(AP16+AP17+AP18+AP19+AR16+AR17+AR18+AR19=2,Fixo/30*FL$4,IF(AP16+AP17+AP18+AP19+AR16+AR17+AR18+AR19&gt;2,Fixo/30*FL$4+(AP16+AP17+AP18+AP19+AR16+AR17+AR18+AR19-2)*Cadeirante/30*FL$4)))+(AO16+AO17+AO18+AQ16+AQ17+AQ18)*Percapita/30*FL$4+(AO19+AQ19)*Crechee/30*FL$4,IF(C16=1,IF(AO16+AO17+AO18+AP16+AP17+AP18+AQ16+AQ17+AQ18+AR16+AR17+AR18&lt;=15,(AO16+AO17+AO18+AQ16+AQ17+AQ18)*Percapita/30*FL$4,IF(AO16+AO17+AO18+AP16+AP17+AP18+AQ16+AQ17+AQ18+AR16+AR17+AR18&gt;=16,Fixo/30*FL$4+(AO16+AO17+AO18+AP16+AP17+AP18+AQ16+AQ17+AQ18+AR16+AR17-16)*Percapita/30*FL$4))))))</f>
        <v>0</v>
      </c>
      <c r="FM16" s="177">
        <f>IF(C16=4,SUM(AS16+AS17+AS18+AU16+AU17+AU18)*Percapita/30*FM$4+(AT16+AT17+AT18+AV16+AV17+AV18)*Cadeirante/30*FM$4,IF(C16=3,IF(AS19+AU19=10,Fixo/30*FM$4+(AS16+AS17+AS18+AU16+AU17+AU18)*Percapita/30*FM$4+(AT19+AV19)*Cadeirante/30*FM$4,IF(AS19+AU19&lt;=9,(AS19+AU19)*Crechee/30*FM$4)+(AT19+AV19)*Cadeirante/30*FM$4+(AS16+AS17+AS18+AU16+AU17+AU18)*Percapita/30*FM$4)+IF(AS19+AU19&gt;=11,Fixo/30*FM$4+(AS19+AU19-10)*Crechee/30*FM$4,0),IF(C16=2,IF(AT16+AT17+AT18+AT19+AV16+AV17+AV18+AV19=1,Cadeirante/30*FM$4,IF(AT16+AT17+AT18+AT19+AV16+AV17+AV18+AV19=2,Fixo/30*FM$4,IF(AT16+AT17+AT18+AT19+AV16+AV17+AV18+AV19&gt;2,Fixo/30*FM$4+(AT16+AT17+AT18+AT19+AV16+AV17+AV18+AV19-2)*Cadeirante/30*FM$4)))+(AS16+AS17+AS18+AU16+AU17+AU18)*Percapita/30*FM$4+(AS19+AU19)*Crechee/30*FM$4,IF(C16=1,IF(AS16+AS17+AS18+AT16+AT17+AT18+AU16+AU17+AU18+AV16+AV17+AV18&lt;=15,(AS16+AS17+AS18+AU16+AU17+AU18)*Percapita/30*FM$4,IF(AS16+AS17+AS18+AT16+AT17+AT18+AU16+AU17+AU18+AV16+AV17+AV18&gt;=16,Fixo/30*FM$4+(AS16+AS17+AS18+AT16+AT17+AT18+AU16+AU17+AU18+AV16+AV17-16)*Percapita/30*FM$4))))))</f>
        <v>0</v>
      </c>
      <c r="FN16" s="177">
        <f>IF(C16=4,SUM(AW16+AW17+AW18+AY16+AY17+AY18)*Percapita/30*FN$4+(AX16+AX17+AX18+AZ16+AZ17+AZ18)*Cadeirante/30*FN$4,IF(C16=3,IF(AW19+AY19=10,Fixo/30*FN$4+(AW16+AW17+AW18+AY16+AY17+AY18)*Percapita/30*FN$4+(AX19+AZ19)*Cadeirante/30*FN$4,IF(AW19+AY19&lt;=9,(AW19+AY19)*Crechee/30*FN$4)+(AX19+AZ19)*Cadeirante/30*FN$4+(AW16+AW17+AW18+AY16+AY17+AY18)*Percapita/30*FN$4)+IF(AW19+AY19&gt;=11,Fixo/30*FN$4+(AW19+AY19-10)*Crechee/30*FN$4,0),IF(C16=2,IF(AX16+AX17+AX18+AX19+AZ16+AZ17+AZ18+AZ19=1,Cadeirante/30*FN$4,IF(AX16+AX17+AX18+AX19+AZ16+AZ17+AZ18+AZ19=2,Fixo/30*FN$4,IF(AX16+AX17+AX18+AX19+AZ16+AZ17+AZ18+AZ19&gt;2,Fixo/30*FN$4+(AX16+AX17+AX18+AX19+AZ16+AZ17+AZ18+AZ19-2)*Cadeirante/30*FN$4)))+(AW16+AW17+AW18+AY16+AY17+AY18)*Percapita/30*FN$4+(AW19+AY19)*Crechee/30*FN$4,IF(C16=1,IF(AW16+AW17+AW18+AX16+AX17+AX18+AY16+AY17+AY18+AZ16+AZ17+AZ18&lt;=15,(AW16+AW17+AW18+AY16+AY17+AY18)*Percapita/30*FN$4,IF(AW16+AW17+AW18+AX16+AX17+AX18+AY16+AY17+AY18+AZ16+AZ17+AZ18&gt;=16,Fixo/30*FN$4+(AW16+AW17+AW18+AX16+AX17+AX18+AY16+AY17+AY18+AZ16+AZ17-16)*Percapita/30*FN$4))))))</f>
        <v>0</v>
      </c>
      <c r="FO16" s="177">
        <f>IF(C16=4,SUM(BA16+BA17+BA18+BC16+BC17+BC18)*Percapita/30*FO$4+(BB16+BB17+BB18+BD16+BD17+BD18)*Cadeirante/30*FO$4,IF(C16=3,IF(BA19+BC19=10,Fixo/30*FO$4+(BA16+BA17+BA18+BC16+BC17+BC18)*Percapita/30*FO$4+(BB19+BD19)*Cadeirante/30*FO$4,IF(BA19+BC19&lt;=9,(BA19+BC19)*Crechee/30*FO$4)+(BB19+BD19)*Cadeirante/30*FO$4+(BA16+BA17+BA18+BC16+BC17+BC18)*Percapita/30*FO$4)+IF(BA19+BC19&gt;=11,Fixo/30*FO$4+(BA19+BC19-10)*Crechee/30*FO$4,0),IF(C16=2,IF(BB16+BB17+BB18+BB19+BD16+BD17+BD18+BD19=1,Cadeirante/30*FO$4,IF(BB16+BB17+BB18+BB19+BD16+BD17+BD18+BD19=2,Fixo/30*FO$4,IF(BB16+BB17+BB18+BB19+BD16+BD17+BD18+BD19&gt;2,Fixo/30*FO$4+(BB16+BB17+BB18+BB19+BD16+BD17+BD18+BD19-2)*Cadeirante/30*FO$4)))+(BA16+BA17+BA18+BC16+BC17+BC18)*Percapita/30*FO$4+(BA19+BC19)*Crechee/30*FO$4,IF(C16=1,IF(BA16+BA17+BA18+BB16+BB17+BB18+BC16+BC17+BC18+BD16+BD17+BD18&lt;=15,(BA16+BA17+BA18+BC16+BC17+BC18)*Percapita/30*FO$4,IF(BA16+BA17+BA18+BB16+BB17+BB18+BC16+BC17+BC18+BD16+BD17+BD18&gt;=16,Fixo/30*FO$4+(BA16+BA17+BA18+BB16+BB17+BB18+BC16+BC17+BC18+BD16+BD17-16)*Percapita/30*FO$4))))))</f>
        <v>269.661</v>
      </c>
      <c r="FP16" s="177">
        <f>IF(C16=4,SUM(BE16+BE17+BE18+BG16+BG17+BG18)*Percapita/30*FP$4+(BF16+BF17+BF18+BH16+BH17+BH18)*Cadeirante/30*FP$4,IF(C16=3,IF(BE19+BG19=10,Fixo/30*FP$4+(BE16+BE17+BE18+BG16+BG17+BG18)*Percapita/30*FP$4+(BF19+BH19)*Cadeirante/30*FP$4,IF(BE19+BG19&lt;=9,(BE19+BG19)*Crechee/30*FP$4)+(BF19+BH19)*Cadeirante/30*FP$4+(BE16+BE17+BE18+BG16+BG17+BG18)*Percapita/30*FP$4)+IF(BE19+BG19&gt;=11,Fixo/30*FP$4+(BE19+BG19-10)*Crechee/30*FP$4,0),IF(C16=2,IF(BF16+BF17+BF18+BF19+BH16+BH17+BH18+BH19=1,Cadeirante/30*FP$4,IF(BF16+BF17+BF18+BF19+BH16+BH17+BH18+BH19=2,Fixo/30*FP$4,IF(BF16+BF17+BF18+BF19+BH16+BH17+BH18+BH19&gt;2,Fixo/30*FP$4+(BF16+BF17+BF18+BF19+BH16+BH17+BH18+BH19-2)*Cadeirante/30*FP$4)))+(BE16+BE17+BE18+BG16+BG17+BG18)*Percapita/30*FP$4+(BE19+BG19)*Crechee/30*FP$4,IF(C16=1,IF(BE16+BE17+BE18+BF16+BF17+BF18+BG16+BG17+BG18+BH16+BH17+BH18&lt;=15,(BE16+BE17+BE18+BG16+BG17+BG18)*Percapita/30*FP$4,IF(BE16+BE17+BE18+BF16+BF17+BF18+BG16+BG17+BG18+BH16+BH17+BH18&gt;=16,Fixo/30*FP$4+(BE16+BE17+BE18+BF16+BF17+BF18+BG16+BG17+BG18+BH16+BH17-16)*Percapita/30*FP$4))))))</f>
        <v>0</v>
      </c>
      <c r="FQ16" s="177">
        <f>IF(C16=4,SUM(BI16+BI17+BI18+BK16+BK17+BK18)*Percapita/30*FQ$4+(BJ16+BJ17+BJ18+BL16+BL17+BL18)*Cadeirante/30*FQ$4,IF(C16=3,IF(BI19+BK19=10,Fixo/30*FQ$4+(BI16+BI17+BI18+BK16+BK17+BK18)*Percapita/30*FQ$4+(BJ19+BL19)*Cadeirante/30*FQ$4,IF(BI19+BK19&lt;=9,(BI19+BK19)*Crechee/30*FQ$4)+(BJ19+BL19)*Cadeirante/30*FQ$4+(BI16+BI17+BI18+BK16+BK17+BK18)*Percapita/30*FQ$4)+IF(BI19+BK19&gt;=11,Fixo/30*FQ$4+(BI19+BK19-10)*Crechee/30*FQ$4,0),IF(C16=2,IF(BJ16+BJ17+BJ18+BJ19+BL16+BL17+BL18+BL19=1,Cadeirante/30*FQ$4,IF(BJ16+BJ17+BJ18+BJ19+BL16+BL17+BL18+BL19=2,Fixo/30*FQ$4,IF(BJ16+BJ17+BJ18+BJ19+BL16+BL17+BL18+BL19&gt;2,Fixo/30*FQ$4+(BJ16+BJ17+BJ18+BJ19+BL16+BL17+BL18+BL19-2)*Cadeirante/30*FQ$4)))+(BI16+BI17+BI18+BK16+BK17+BK18)*Percapita/30*FQ$4+(BI19+BK19)*Crechee/30*FQ$4,IF(C16=1,IF(BI16+BI17+BI18+BJ16+BJ17+BJ18+BK16+BK17+BK18+BL16+BL17+BL18&lt;=15,(BI16+BI17+BI18+BK16+BK17+BK18)*Percapita/30*FQ$4,IF(BI16+BI17+BI18+BJ16+BJ17+BJ18+BK16+BK17+BK18+BL16+BL17+BL18&gt;=16,Fixo/30*FQ$4+(BI16+BI17+BI18+BJ16+BJ17+BJ18+BK16+BK17+BK18+BL16+BL17-16)*Percapita/30*FQ$4))))))</f>
        <v>0</v>
      </c>
      <c r="FR16" s="177">
        <f>IF(C16=4,SUM(BM16+BM17+BM18+BO16+BO17+BO18)*Percapita/30*FR$4+(BN16+BN17+BN18+BP16+BP17+BP18)*Cadeirante/30*FR$4,IF(C16=3,IF(BM19+BO19=10,Fixo/30*FR$4+(BM16+BM17+BM18+BO16+BO17+BO18)*Percapita/30*FR$4+(BN19+BP19)*Cadeirante/30*FR$4,IF(BM19+BO19&lt;=9,(BM19+BO19)*Crechee/30*FR$4)+(BN19+BP19)*Cadeirante/30*FR$4+(BM16+BM17+BM18+BO16+BO17+BO18)*Percapita/30*FR$4)+IF(BM19+BO19&gt;=11,Fixo/30*FR$4+(BM19+BO19-10)*Crechee/30*FR$4,0),IF(C16=2,IF(BN16+BN17+BN18+BN19+BP16+BP17+BP18+BP19=1,Cadeirante/30*FR$4,IF(BN16+BN17+BN18+BN19+BP16+BP17+BP18+BP19=2,Fixo/30*FR$4,IF(BN16+BN17+BN18+BN19+BP16+BP17+BP18+BP19&gt;2,Fixo/30*FR$4+(BN16+BN17+BN18+BN19+BP16+BP17+BP18+BP19-2)*Cadeirante/30*FR$4)))+(BM16+BM17+BM18+BO16+BO17+BO18)*Percapita/30*FR$4+(BM19+BO19)*Crechee/30*FR$4,IF(C16=1,IF(BM16+BM17+BM18+BN16+BN17+BN18+BO16+BO17+BO18+BP16+BP17+BP18&lt;=15,(BM16+BM17+BM18+BO16+BO17+BO18)*Percapita/30*FR$4,IF(BM16+BM17+BM18+BN16+BN17+BN18+BO16+BO17+BO18+BP16+BP17+BP18&gt;=16,Fixo/30*FR$4+(BM16+BM17+BM18+BN16+BN17+BN18+BO16+BO17+BO18+BP16+BP17-16)*Percapita/30*FR$4))))))</f>
        <v>0</v>
      </c>
      <c r="FS16" s="177">
        <f>IF(C16=4,SUM(BQ16+BQ17+BQ18+BS16+BS17+BS18)*Percapita/30*FS$4+(BR16+BR17+BR18+BT16+BT17+BT18)*Cadeirante/30*FS$4,IF(C16=3,IF(BQ19+BS19=10,Fixo/30*FS$4+(BQ16+BQ17+BQ18+BS16+BS17+BS18)*Percapita/30*FS$4+(BR19+BT19)*Cadeirante/30*FS$4,IF(BQ19+BS19&lt;=9,(BQ19+BS19)*Crechee/30*FS$4)+(BR19+BT19)*Cadeirante/30*FS$4+(BQ16+BQ17+BQ18+BS16+BS17+BS18)*Percapita/30*FS$4)+IF(BQ19+BS19&gt;=11,Fixo/30*FS$4+(BQ19+BS19-10)*Crechee/30*FS$4,0),IF(C16=2,IF(BR16+BR17+BR18+BR19+BT16+BT17+BT18+BT19=1,Cadeirante/30*FS$4,IF(BR16+BR17+BR18+BR19+BT16+BT17+BT18+BT19=2,Fixo/30*FS$4,IF(BR16+BR17+BR18+BR19+BT16+BT17+BT18+BT19&gt;2,Fixo/30*FS$4+(BR16+BR17+BR18+BR19+BT16+BT17+BT18+BT19-2)*Cadeirante/30*FS$4)))+(BQ16+BQ17+BQ18+BS16+BS17+BS18)*Percapita/30*FS$4+(BQ19+BS19)*Crechee/30*FS$4,IF(C16=1,IF(BQ16+BQ17+BQ18+BR16+BR17+BR18+BS16+BS17+BS18+BT16+BT17+BT18&lt;=15,(BQ16+BQ17+BQ18+BS16+BS17+BS18)*Percapita/30*FS$4,IF(BQ16+BQ17+BQ18+BR16+BR17+BR18+BS16+BS17+BS18+BT16+BT17+BT18&gt;=16,Fixo/30*FS$4+(BQ16+BQ17+BQ18+BR16+BR17+BR18+BS16+BS17+BS18+BT16+BT17-16)*Percapita/30*FS$4))))))</f>
        <v>0</v>
      </c>
      <c r="FT16" s="177">
        <f>IF(C16=4,SUM(BU16+BU17+BU18+BW16+BW17+BW18)*Percapita/30*FT$4+(BV16+BV17+BV18+BX16+BX17+BX18)*Cadeirante/30*FT$4,IF(C16=3,IF(BU19+BW19=10,Fixo/30*FT$4+(BU16+BU17+BU18+BW16+BW17+BW18)*Percapita/30*FT$4+(BV19+BX19)*Cadeirante/30*FT$4,IF(BU19+BW19&lt;=9,(BU19+BW19)*Crechee/30*FT$4)+(BV19+BX19)*Cadeirante/30*FT$4+(BU16+BU17+BU18+BW16+BW17+BW18)*Percapita/30*FT$4)+IF(BU19+BW19&gt;=11,Fixo/30*FT$4+(BU19+BW19-10)*Crechee/30*FT$4,0),IF(C16=2,IF(BV16+BV17+BV18+BV19+BX16+BX17+BX18+BX19=1,Cadeirante/30*FT$4,IF(BV16+BV17+BV18+BV19+BX16+BX17+BX18+BX19=2,Fixo/30*FT$4,IF(BV16+BV17+BV18+BV19+BX16+BX17+BX18+BX19&gt;2,Fixo/30*FT$4+(BV16+BV17+BV18+BV19+BX16+BX17+BX18+BX19-2)*Cadeirante/30*FT$4)))+(BU16+BU17+BU18+BW16+BW17+BW18)*Percapita/30*FT$4+(BU19+BW19)*Crechee/30*FT$4,IF(C16=1,IF(BU16+BU17+BU18+BV16+BV17+BV18+BW16+BW17+BW18+BX16+BX17+BX18&lt;=15,(BU16+BU17+BU18+BW16+BW17+BW18)*Percapita/30*FT$4,IF(BU16+BU17+BU18+BV16+BV17+BV18+BW16+BW17+BW18+BX16+BX17+BX18&gt;=16,Fixo/30*FT$4+(BU16+BU17+BU18+BV16+BV17+BV18+BW16+BW17+BW18+BX16+BX17-16)*Percapita/30*FT$4))))))</f>
        <v>0</v>
      </c>
      <c r="FU16" s="177">
        <f>IF(C16=4,SUM(BY16+BY17+BY18+CA16+CA17+CA18)*Percapita/30*FU$4+(BZ16+BZ17+BZ18+CB16+CB17+CB18)*Cadeirante/30*FU$4,IF(C16=3,IF(BY19+CA19=10,Fixo/30*FU$4+(BY16+BY17+BY18+CA16+CA17+CA18)*Percapita/30*FU$4+(BZ19+CB19)*Cadeirante/30*FU$4,IF(BY19+CA19&lt;=9,(BY19+CA19)*Crechee/30*FU$4)+(BZ19+CB19)*Cadeirante/30*FU$4+(BY16+BY17+BY18+CA16+CA17+CA18)*Percapita/30*FU$4)+IF(BY19+CA19&gt;=11,Fixo/30*FU$4+(BY19+CA19-10)*Crechee/30*FU$4,0),IF(C16=2,IF(BZ16+BZ17+BZ18+BZ19+CB16+CB17+CB18+CB19=1,Cadeirante/30*FU$4,IF(BZ16+BZ17+BZ18+BZ19+CB16+CB17+CB18+CB19=2,Fixo/30*FU$4,IF(BZ16+BZ17+BZ18+BZ19+CB16+CB17+CB18+CB19&gt;2,Fixo/30*FU$4+(BZ16+BZ17+BZ18+BZ19+CB16+CB17+CB18+CB19-2)*Cadeirante/30*FU$4)))+(BY16+BY17+BY18+CA16+CA17+CA18)*Percapita/30*FU$4+(BY19+CA19)*Crechee/30*FU$4,IF(C16=1,IF(BY16+BY17+BY18+BZ16+BZ17+BZ18+CA16+CA17+CA18+CB16+CB17+CB18&lt;=15,(BY16+BY17+BY18+CA16+CA17+CA18)*Percapita/30*FU$4,IF(BY16+BY17+BY18+BZ16+BZ17+BZ18+CA16+CA17+CA18+CB16+CB17+CB18&gt;=16,Fixo/30*FU$4+(BY16+BY17+BY18+BZ16+BZ17+BZ18+CA16+CA17+CA18+CB16+CB17-16)*Percapita/30*FU$4))))))</f>
        <v>0</v>
      </c>
      <c r="FV16" s="177">
        <f>IF(C16=4,SUM(CC16+CC17+CC18+CE16+CE17+CE18)*Percapita/30*FV$4+(CD16+CD17+CD18+CF16+CF17+CF18)*Cadeirante/30*FV$4,IF(C16=3,IF(CC19+CE19=10,Fixo/30*FV$4+(CC16+CC17+CC18+CE16+CE17+CE18)*Percapita/30*FV$4+(CD19+CF19)*Cadeirante/30*FV$4,IF(CC19+CE19&lt;=9,(CC19+CE19)*Crechee/30*FV$4)+(CD19+CF19)*Cadeirante/30*FV$4+(CC16+CC17+CC18+CE16+CE17+CE18)*Percapita/30*FV$4)+IF(CC19+CE19&gt;=11,Fixo/30*FV$4+(CC19+CE19-10)*Crechee/30*FV$4,0),IF(C16=2,IF(CD16+CD17+CD18+CD19+CF16+CF17+CF18+CF19=1,Cadeirante/30*FV$4,IF(CD16+CD17+CD18+CD19+CF16+CF17+CF18+CF19=2,Fixo/30*FV$4,IF(CD16+CD17+CD18+CD19+CF16+CF17+CF18+CF19&gt;2,Fixo/30*FV$4+(CD16+CD17+CD18+CD19+CF16+CF17+CF18+CF19-2)*Cadeirante/30*FV$4)))+(CC16+CC17+CC18+CE16+CE17+CE18)*Percapita/30*FV$4+(CC19+CE19)*Crechee/30*FV$4,IF(C16=1,IF(CC16+CC17+CC18+CD16+CD17+CD18+CE16+CE17+CE18+CF16+CF17+CF18&lt;=15,(CC16+CC17+CC18+CE16+CE17+CE18)*Percapita/30*FV$4,IF(CC16+CC17+CC18+CD16+CD17+CD18+CE16+CE17+CE18+CF16+CF17+CF18&gt;=16,Fixo/30*FV$4+(CC16+CC17+CC18+CD16+CD17+CD18+CE16+CE17+CE18+CF16+CF17-16)*Percapita/30*FV$4))))))</f>
        <v>0</v>
      </c>
      <c r="FW16" s="177">
        <f>IF(C16=4,SUM(CG16+CG17+CG18+CI16+CI17+CI18)*Percapita/30*FW$4+(CH16+CH17+CH18+CJ16+CJ17+CJ18)*Cadeirante/30*FW$4,IF(C16=3,IF(CG19+CI19=10,Fixo/30*FW$4+(CG16+CG17+CG18+CI16+CI17+CI18)*Percapita/30*FW$4+(CH19+CJ19)*Cadeirante/30*FW$4,IF(CG19+CI19&lt;=9,(CG19+CI19)*Crechee/30*FW$4)+(CH19+CJ19)*Cadeirante/30*FW$4+(CG16+CG17+CG18+CI16+CI17+CI18)*Percapita/30*FW$4)+IF(CG19+CI19&gt;=11,Fixo/30*FW$4+(CG19+CI19-10)*Crechee/30*FW$4,0),IF(C16=2,IF(CH16+CH17+CH18+CH19+CJ16+CJ17+CJ18+CJ19=1,Cadeirante/30*FW$4,IF(CH16+CH17+CH18+CH19+CJ16+CJ17+CJ18+CJ19=2,Fixo/30*FW$4,IF(CH16+CH17+CH18+CH19+CJ16+CJ17+CJ18+CJ19&gt;2,Fixo/30*FW$4+(CH16+CH17+CH18+CH19+CJ16+CJ17+CJ18+CJ19-2)*Cadeirante/30*FW$4)))+(CG16+CG17+CG18+CI16+CI17+CI18)*Percapita/30*FW$4+(CG19+CI19)*Crechee/30*FW$4,IF(C16=1,IF(CG16+CG17+CG18+CH16+CH17+CH18+CI16+CI17+CI18+CJ16+CJ17+CJ18&lt;=15,(CG16+CG17+CG18+CI16+CI17+CI18)*Percapita/30*FW$4,IF(CG16+CG17+CG18+CH16+CH17+CH18+CI16+CI17+CI18+CJ16+CJ17+CJ18&gt;=16,Fixo/30*FW$4+(CG16+CG17+CG18+CH16+CH17+CH18+CI16+CI17+CI18+CJ16+CJ17-16)*Percapita/30*FW$4))))))</f>
        <v>0</v>
      </c>
      <c r="FX16" s="177">
        <f>IF(C16=4,SUM(CK16+CK17+CK18+CM16+CM17+CM18)*Percapita/30*FX$4+(CL16+CL17+CL18+CN16+CN17+CN18)*Cadeirante/30*FX$4,IF(C16=3,IF(CK19+CM19=10,Fixo/30*FX$4+(CK16+CK17+CK18+CM16+CM17+CM18)*Percapita/30*FX$4+(CL19+CN19)*Cadeirante/30*FX$4,IF(CK19+CM19&lt;=9,(CK19+CM19)*Crechee/30*FX$4)+(CL19+CN19)*Cadeirante/30*FX$4+(CK16+CK17+CK18+CM16+CM17+CM18)*Percapita/30*FX$4)+IF(CK19+CM19&gt;=11,Fixo/30*FX$4+(CK19+CM19-10)*Crechee/30*FX$4,0),IF(C16=2,IF(CL16+CL17+CL18+CL19+CN16+CN17+CN18+CN19=1,Cadeirante/30*FX$4,IF(CL16+CL17+CL18+CL19+CN16+CN17+CN18+CN19=2,Fixo/30*FX$4,IF(CL16+CL17+CL18+CL19+CN16+CN17+CN18+CN19&gt;2,Fixo/30*FX$4+(CL16+CL17+CL18+CL19+CN16+CN17+CN18+CN19-2)*Cadeirante/30*FX$4)))+(CK16+CK17+CK18+CM16+CM17+CM18)*Percapita/30*FX$4+(CK19+CM19)*Crechee/30*FX$4,IF(C16=1,IF(CK16+CK17+CK18+CL16+CL17+CL18+CM16+CM17+CM18+CN16+CN17+CN18&lt;=15,(CK16+CK17+CK18+CM16+CM17+CM18)*Percapita/30*FX$4,IF(CK16+CK17+CK18+CL16+CL17+CL18+CM16+CM17+CM18+CN16+CN17+CN18&gt;=16,Fixo/30*FX$4+(CK16+CK17+CK18+CL16+CL17+CL18+CM16+CM17+CM18+CN16+CN17-16)*Percapita/30*FX$4))))))</f>
        <v>0</v>
      </c>
      <c r="FY16" s="177">
        <f>IF(C16=4,SUM(CO16+CO17+CO18+CQ16+CQ17+CQ18)*Percapita/30*FY$4+(CP16+CP17+CP18+CR16+CR17+CR18)*Cadeirante/30*FY$4,IF(C16=3,IF(CO19+CQ19=10,Fixo/30*FY$4+(CO16+CO17+CO18+CQ16+CQ17+CQ18)*Percapita/30*FY$4+(CP19+CR19)*Cadeirante/30*FY$4,IF(CO19+CQ19&lt;=9,(CO19+CQ19)*Crechee/30*FY$4)+(CP19+CR19)*Cadeirante/30*FY$4+(CO16+CO17+CO18+CQ16+CQ17+CQ18)*Percapita/30*FY$4)+IF(CO19+CQ19&gt;=11,Fixo/30*FY$4+(CO19+CQ19-10)*Crechee/30*FY$4,0),IF(C16=2,IF(CP16+CP17+CP18+CP19+CR16+CR17+CR18+CR19=1,Cadeirante/30*FY$4,IF(CP16+CP17+CP18+CP19+CR16+CR17+CR18+CR19=2,Fixo/30*FY$4,IF(CP16+CP17+CP18+CP19+CR16+CR17+CR18+CR19&gt;2,Fixo/30*FY$4+(CP16+CP17+CP18+CP19+CR16+CR17+CR18+CR19-2)*Cadeirante/30*FY$4)))+(CO16+CO17+CO18+CQ16+CQ17+CQ18)*Percapita/30*FY$4+(CO19+CQ19)*Crechee/30*FY$4,IF(C16=1,IF(CO16+CO17+CO18+CP16+CP17+CP18+CQ16+CQ17+CQ18+CR16+CR17+CR18&lt;=15,(CO16+CO17+CO18+CQ16+CQ17+CQ18)*Percapita/30*FY$4,IF(CO16+CO17+CO18+CP16+CP17+CP18+CQ16+CQ17+CQ18+CR16+CR17+CR18&gt;=16,Fixo/30*FY$4+(CO16+CO17+CO18+CP16+CP17+CP18+CQ16+CQ17+CQ18+CR16+CR17-16)*Percapita/30*FY$4))))))</f>
        <v>0</v>
      </c>
      <c r="FZ16" s="177">
        <f>IF(C16=4,SUM(CS16+CS17+CS18+CU16+CU17+CU18)*Percapita/30*FZ$4+(CT16+CT17+CT18+CV16+CV17+CV18)*Cadeirante/30*FZ$4,IF(C16=3,IF(CS19+CU19=10,Fixo/30*FZ$4+(CS16+CS17+CS18+CU16+CU17+CU18)*Percapita/30*FZ$4+(CT19+CV19)*Cadeirante/30*FZ$4,IF(CS19+CU19&lt;=9,(CS19+CU19)*Crechee/30*FZ$4)+(CT19+CV19)*Cadeirante/30*FZ$4+(CS16+CS17+CS18+CU16+CU17+CU18)*Percapita/30*FZ$4)+IF(CS19+CU19&gt;=11,Fixo/30*FZ$4+(CS19+CU19-10)*Crechee/30*FZ$4,0),IF(C16=2,IF(CT16+CT17+CT18+CT19+CV16+CV17+CV18+CV19=1,Cadeirante/30*FZ$4,IF(CT16+CT17+CT18+CT19+CV16+CV17+CV18+CV19=2,Fixo/30*FZ$4,IF(CT16+CT17+CT18+CT19+CV16+CV17+CV18+CV19&gt;2,Fixo/30*FZ$4+(CT16+CT17+CT18+CT19+CV16+CV17+CV18+CV19-2)*Cadeirante/30*FZ$4)))+(CS16+CS17+CS18+CU16+CU17+CU18)*Percapita/30*FZ$4+(CS19+CU19)*Crechee/30*FZ$4,IF(C16=1,IF(CS16+CS17+CS18+CT16+CT17+CT18+CU16+CU17+CU18+CV16+CV17+CV18&lt;=15,(CS16+CS17+CS18+CU16+CU17+CU18)*Percapita/30*FZ$4,IF(CS16+CS17+CS18+CT16+CT17+CT18+CU16+CU17+CU18+CV16+CV17+CV18&gt;=16,Fixo/30*FZ$4+(CS16+CS17+CS18+CT16+CT17+CT18+CU16+CU17+CU18+CV16+CV17-16)*Percapita/30*FZ$4))))))</f>
        <v>0</v>
      </c>
      <c r="GA16" s="177">
        <f>IF(C16=4,SUM(CW16+CW17+CW18+CY16+CY17+CY18)*Percapita/30*GA$4+(CX16+CX17+CX18+CZ16+CZ17+CZ18)*Cadeirante/30*GA$4,IF(C16=3,IF(CW19+CY19=10,Fixo/30*GA$4+(CW16+CW17+CW18+CY16+CY17+CY18)*Percapita/30*GA$4+(CX19+CZ19)*Cadeirante/30*GA$4,IF(CW19+CY19&lt;=9,(CW19+CY19)*Crechee/30*GA$4)+(CX19+CZ19)*Cadeirante/30*GA$4+(CW16+CW17+CW18+CY16+CY17+CY18)*Percapita/30*GA$4)+IF(CW19+CY19&gt;=11,Fixo/30*GA$4+(CW19+CY19-10)*Crechee/30*GA$4,0),IF(C16=2,IF(CX16+CX17+CX18+CX19+CZ16+CZ17+CZ18+CZ19=1,Cadeirante/30*GA$4,IF(CX16+CX17+CX18+CX19+CZ16+CZ17+CZ18+CZ19=2,Fixo/30*GA$4,IF(CX16+CX17+CX18+CX19+CZ16+CZ17+CZ18+CZ19&gt;2,Fixo/30*GA$4+(CX16+CX17+CX18+CX19+CZ16+CZ17+CZ18+CZ19-2)*Cadeirante/30*GA$4)))+(CW16+CW17+CW18+CY16+CY17+CY18)*Percapita/30*GA$4+(CW19+CY19)*Crechee/30*GA$4,IF(C16=1,IF(CW16+CW17+CW18+CX16+CX17+CX18+CY16+CY17+CY18+CZ16+CZ17+CZ18&lt;=15,(CW16+CW17+CW18+CY16+CY17+CY18)*Percapita/30*GA$4,IF(CW16+CW17+CW18+CX16+CX17+CX18+CY16+CY17+CY18+CZ16+CZ17+CZ18&gt;=16,Fixo/30*GA$4+(CW16+CW17+CW18+CX16+CX17+CX18+CY16+CY17+CY18+CZ16+CZ17-16)*Percapita/30*GA$4))))))</f>
        <v>0</v>
      </c>
      <c r="GB16" s="177">
        <f>IF(C16=4,SUM(DA16+DA17+DA18+DC16+DC17+DC18)*Percapita/30*GB$4+(DB16+DB17+DB18+DD16+DD17+DD18)*Cadeirante/30*GB$4,IF(C16=3,IF(DA19+DC19=10,Fixo/30*GB$4+(DA16+DA17+DA18+DC16+DC17+DC18)*Percapita/30*GB$4+(DB19+DD19)*Cadeirante/30*GB$4,IF(DA19+DC19&lt;=9,(DA19+DC19)*Crechee/30*GB$4)+(DB19+DD19)*Cadeirante/30*GB$4+(DA16+DA17+DA18+DC16+DC17+DC18)*Percapita/30*GB$4)+IF(DA19+DC19&gt;=11,Fixo/30*GB$4+(DA19+DC19-10)*Crechee/30*GB$4,0),IF(C16=2,IF(DB16+DB17+DB18+DB19+DD16+DD17+DD18+DD19=1,Cadeirante/30*GB$4,IF(DB16+DB17+DB18+DB19+DD16+DD17+DD18+DD19=2,Fixo/30*GB$4,IF(DB16+DB17+DB18+DB19+DD16+DD17+DD18+DD19&gt;2,Fixo/30*GB$4+(DB16+DB17+DB18+DB19+DD16+DD17+DD18+DD19-2)*Cadeirante/30*GB$4)))+(DA16+DA17+DA18+DC16+DC17+DC18)*Percapita/30*GB$4+(DA19+DC19)*Crechee/30*GB$4,IF(C16=1,IF(DA16+DA17+DA18+DB16+DB17+DB18+DC16+DC17+DC18+DD16+DD17+DD18&lt;=15,(DA16+DA17+DA18+DC16+DC17+DC18)*Percapita/30*GB$4,IF(DA16+DA17+DA18+DB16+DB17+DB18+DC16+DC17+DC18+DD16+DD17+DD18&gt;=16,Fixo/30*GB$4+(DA16+DA17+DA18+DB16+DB17+DB18+DC16+DC17+DC18+DD16+DD17-16)*Percapita/30*GB$4))))))</f>
        <v>0</v>
      </c>
      <c r="GC16" s="177">
        <f>IF(C16=4,SUM(DE16+DE17+DE18+DG16+DG17+DG18)*Percapita/30*GC$4+(DF16+DF17+DF18+DH16+DH17+DH18)*Cadeirante/30*GC$4,IF(C16=3,IF(DE19+DG19=10,Fixo/30*GC$4+(DE16+DE17+DE18+DG16+DG17+DG18)*Percapita/30*GC$4+(DF19+DH19)*Cadeirante/30*GC$4,IF(DE19+DG19&lt;=9,(DE19+DG19)*Crechee/30*GC$4)+(DF19+DH19)*Cadeirante/30*GC$4+(DE16+DE17+DE18+DG16+DG17+DG18)*Percapita/30*GC$4)+IF(DE19+DG19&gt;=11,Fixo/30*GC$4+(DE19+DG19-10)*Crechee/30*GC$4,0),IF(C16=2,IF(DF16+DF17+DF18+DF19+DH16+DH17+DH18+DH19=1,Cadeirante/30*GC$4,IF(DF16+DF17+DF18+DF19+DH16+DH17+DH18+DH19=2,Fixo/30*GC$4,IF(DF16+DF17+DF18+DF19+DH16+DH17+DH18+DH19&gt;2,Fixo/30*GC$4+(DF16+DF17+DF18+DF19+DH16+DH17+DH18+DH19-2)*Cadeirante/30*GC$4)))+(DE16+DE17+DE18+DG16+DG17+DG18)*Percapita/30*GC$4+(DE19+DG19)*Crechee/30*GC$4,IF(C16=1,IF(DE16+DE17+DE18+DF16+DF17+DF18+DG16+DG17+DG18+DH16+DH17+DH18&lt;=15,(DE16+DE17+DE18+DG16+DG17+DG18)*Percapita/30*GC$4,IF(DE16+DE17+DE18+DF16+DF17+DF18+DG16+DG17+DG18+DH16+DH17+DH18&gt;=16,Fixo/30*GC$4+(DE16+DE17+DE18+DF16+DF17+DF18+DG16+DG17+DG18+DH16+DH17-16)*Percapita/30*GC$4))))))</f>
        <v>0</v>
      </c>
      <c r="GD16" s="177">
        <f>IF(C16=4,SUM(DI16+DI17+DI18+DK16+DK17+DK18)*Percapita/30*GD$4+(DJ16+DJ17+DJ18+DL16+DL17+DL18)*Cadeirante/30*GD$4,IF(C16=3,IF(DI19+DK19=10,Fixo/30*GD$4+(DI16+DI17+DI18+DK16+DK17+DK18)*Percapita/30*GD$4+(DJ19+DL19)*Cadeirante/30*GD$4,IF(DI19+DK19&lt;=9,(DI19+DK19)*Crechee/30*GD$4)+(DJ19+DL19)*Cadeirante/30*GD$4+(DI16+DI17+DI18+DK16+DK17+DK18)*Percapita/30*GD$4)+IF(DI19+DK19&gt;=11,Fixo/30*GD$4+(DI19+DK19-10)*Crechee/30*GD$4,0),IF(C16=2,IF(DJ16+DJ17+DJ18+DJ19+DL16+DL17+DL18+DL19=1,Cadeirante/30*GD$4,IF(DJ16+DJ17+DJ18+DJ19+DL16+DL17+DL18+DL19=2,Fixo/30*GD$4,IF(DJ16+DJ17+DJ18+DJ19+DL16+DL17+DL18+DL19&gt;2,Fixo/30*GD$4+(DJ16+DJ17+DJ18+DJ19+DL16+DL17+DL18+DL19-2)*Cadeirante/30*GD$4)))+(DI16+DI17+DI18+DK16+DK17+DK18)*Percapita/30*GD$4+(DI19+DK19)*Crechee/30*GD$4,IF(C16=1,IF(DI16+DI17+DI18+DJ16+DJ17+DJ18+DK16+DK17+DK18+DL16+DL17+DL18&lt;=15,(DI16+DI17+DI18+DK16+DK17+DK18)*Percapita/30*GD$4,IF(DI16+DI17+DI18+DJ16+DJ17+DJ18+DK16+DK17+DK18+DL16+DL17+DL18&gt;=16,Fixo/30*GD$4+(DI16+DI17+DI18+DJ16+DJ17+DJ18+DK16+DK17+DK18+DL16+DL17-16)*Percapita/30*GD$4))))))</f>
        <v>0</v>
      </c>
      <c r="GE16" s="177">
        <f>IF(C16=4,SUM(DM16+DM17+DM18+DO16+DO17+DO18)*Percapita/30*GE$4+(DN16+DN17+DN18+DP16+DP17+DP18)*Cadeirante/30*GE$4,IF(C16=3,IF(DM19+DO19=10,Fixo/30*GE$4+(DM16+DM17+DM18+DO16+DO17+DO18)*Percapita/30*GE$4+(DN19+DP19)*Cadeirante/30*GE$4,IF(DM19+DO19&lt;=9,(DM19+DO19)*Crechee/30*GE$4)+(DN19+DP19)*Cadeirante/30*GE$4+(DM16+DM17+DM18+DO16+DO17+DO18)*Percapita/30*GE$4)+IF(DM19+DO19&gt;=11,Fixo/30*GE$4+(DM19+DO19-10)*Crechee/30*GE$4,0),IF(C16=2,IF(DN16+DN17+DN18+DN19+DP16+DP17+DP18+DP19=1,Cadeirante/30*GE$4,IF(DN16+DN17+DN18+DN19+DP16+DP17+DP18+DP19=2,Fixo/30*GE$4,IF(DN16+DN17+DN18+DN19+DP16+DP17+DP18+DP19&gt;2,Fixo/30*GE$4+(DN16+DN17+DN18+DN19+DP16+DP17+DP18+DP19-2)*Cadeirante/30*GE$4)))+(DM16+DM17+DM18+DO16+DO17+DO18)*Percapita/30*GE$4+(DM19+DO19)*Crechee/30*GE$4,IF(C16=1,IF(DM16+DM17+DM18+DN16+DN17+DN18+DO16+DO17+DO18+DP16+DP17+DP18&lt;=15,(DM16+DM17+DM18+DO16+DO17+DO18)*Percapita/30*GE$4,IF(DM16+DM17+DM18+DN16+DN17+DN18+DO16+DO17+DO18+DP16+DP17+DP18&gt;=16,Fixo/30*GE$4+(DM16+DM17+DM18+DN16+DN17+DN18+DO16+DO17+DO18+DP16+DP17-16)*Percapita/30*GE$4))))))</f>
        <v>0</v>
      </c>
      <c r="GF16" s="177">
        <f>IF(C16=4,SUM(DQ16+DQ17+DQ18+DS16+DS17+DS18)*Percapita/30*GF$4+(DR16+DR17+DR18+DT16+DT17+DT18)*Cadeirante/30*GF$4,IF(C16=3,IF(DQ19+DS19=10,Fixo/30*GF$4+(DQ16+DQ17+DQ18+DS16+DS17+DS18)*Percapita/30*GF$4+(DR19+DT19)*Cadeirante/30*GF$4,IF(DQ19+DS19&lt;=9,(DQ19+DS19)*Crechee/30*GF$4)+(DR19+DT19)*Cadeirante/30*GF$4+(DQ16+DQ17+DQ18+DS16+DS17+DS18)*Percapita/30*GF$4)+IF(DQ19+DS19&gt;=11,Fixo/30*GF$4+(DQ19+DS19-10)*Crechee/30*GF$4,0),IF(C16=2,IF(DR16+DR17+DR18+DR19+DT16+DT17+DT18+DT19=1,Cadeirante/30*GF$4,IF(DR16+DR17+DR18+DR19+DT16+DT17+DT18+DT19=2,Fixo/30*GF$4,IF(DR16+DR17+DR18+DR19+DT16+DT17+DT18+DT19&gt;2,Fixo/30*GF$4+(DR16+DR17+DR18+DR19+DT16+DT17+DT18+DT19-2)*Cadeirante/30*GF$4)))+(DQ16+DQ17+DQ18+DS16+DS17+DS18)*Percapita/30*GF$4+(DQ19+DS19)*Crechee/30*GF$4,IF(C16=1,IF(DQ16+DQ17+DQ18+DR16+DR17+DR18+DS16+DS17+DS18+DT16+DT17+DT18&lt;=15,(DQ16+DQ17+DQ18+DS16+DS17+DS18)*Percapita/30*GF$4,IF(DQ16+DQ17+DQ18+DR16+DR17+DR18+DS16+DS17+DS18+DT16+DT17+DT18&gt;=16,Fixo/30*GF$4+(DQ16+DQ17+DQ18+DR16+DR17+DR18+DS16+DS17+DS18+DT16+DT17-16)*Percapita/30*GF$4))))))</f>
        <v>0</v>
      </c>
      <c r="GG16" s="177">
        <f>IF(C16=4,SUM(DU16+DU17+DU18+DW16+DW17+DW18)*Percapita/30*GG$4+(DV16+DV17+DV18+DX16+DX17+DX18)*Cadeirante/30*GG$4,IF(C16=3,IF(DU19+DW19=10,Fixo/30*GG$4+(DU16+DU17+DU18+DW16+DW17+DW18)*Percapita/30*GG$4+(DV19+DX19)*Cadeirante/30*GG$4,IF(DU19+DW19&lt;=9,(DU19+DW19)*Crechee/30*GG$4)+(DV19+DX19)*Cadeirante/30*GG$4+(DU16+DU17+DU18+DW16+DW17+DW18)*Percapita/30*GG$4)+IF(DU19+DW19&gt;=11,Fixo/30*GG$4+(DU19+DW19-10)*Crechee/30*GG$4,0),IF(C16=2,IF(DV16+DV17+DV18+DV19+DX16+DX17+DX18+DX19=1,Cadeirante/30*GG$4,IF(DV16+DV17+DV18+DV19+DX16+DX17+DX18+DX19=2,Fixo/30*GG$4,IF(DV16+DV17+DV18+DV19+DX16+DX17+DX18+DX19&gt;2,Fixo/30*GG$4+(DV16+DV17+DV18+DV19+DX16+DX17+DX18+DX19-2)*Cadeirante/30*GG$4)))+(DU16+DU17+DU18+DW16+DW17+DW18)*Percapita/30*GG$4+(DU19+DW19)*Crechee/30*GG$4,IF(C16=1,IF(DU16+DU17+DU18+DV16+DV17+DV18+DW16+DW17+DW18+DX16+DX17+DX18&lt;=15,(DU16+DU17+DU18+DW16+DW17+DW18)*Percapita/30*GG$4,IF(DU16+DU17+DU18+DV16+DV17+DV18+DW16+DW17+DW18+DX16+DX17+DX18&gt;=16,Fixo/30*GG$4+(DU16+DU17+DU18+DV16+DV17+DV18+DW16+DW17+DW18+DX16+DX17-16)*Percapita/30*GG$4))))))</f>
        <v>0</v>
      </c>
      <c r="GH16" s="177">
        <f>IF(C16=4,SUM(DY16+DY17+DY18+EA16+EA17+EA18)*Percapita/30*GH$4+(DZ16+DZ17+DZ18+EB16+EB17+EB18)*Cadeirante/30*GH$4,IF(C16=3,IF(DY19+EA19=10,Fixo/30*GH$4+(DY16+DY17+DY18+EA16+EA17+EA18)*Percapita/30*GH$4+(DZ19+EB19)*Cadeirante/30*GH$4,IF(DY19+EA19&lt;=9,(DY19+EA19)*Crechee/30*GH$4)+(DZ19+EB19)*Cadeirante/30*GH$4+(DY16+DY17+DY18+EA16+EA17+EA18)*Percapita/30*GH$4)+IF(DY19+EA19&gt;=11,Fixo/30*GH$4+(DY19+EA19-10)*Crechee/30*GH$4,0),IF(C16=2,IF(DZ16+DZ17+DZ18+DZ19+EB16+EB17+EB18+EB19=1,Cadeirante/30*GH$4,IF(DZ16+DZ17+DZ18+DZ19+EB16+EB17+EB18+EB19=2,Fixo/30*GH$4,IF(DZ16+DZ17+DZ18+DZ19+EB16+EB17+EB18+EB19&gt;2,Fixo/30*GH$4+(DZ16+DZ17+DZ18+DZ19+EB16+EB17+EB18+EB19-2)*Cadeirante/30*GH$4)))+(DY16+DY17+DY18+EA16+EA17+EA18)*Percapita/30*GH$4+(DY19+EA19)*Crechee/30*GH$4,IF(C16=1,IF(DY16+DY17+DY18+DZ16+DZ17+DZ18+EA16+EA17+EA18+EB16+EB17+EB18&lt;=15,(DY16+DY17+DY18+EA16+EA17+EA18)*Percapita/30*GH$4,IF(DY16+DY17+DY18+DZ16+DZ17+DZ18+EA16+EA17+EA18+EB16+EB17+EB18&gt;=16,Fixo/30*GH$4+(DY16+DY17+DY18+DZ16+DZ17+DZ18+EA16+EA17+EA18+EB16+EB17-16)*Percapita/30*GH$4))))))</f>
        <v>0</v>
      </c>
      <c r="GI16" s="177">
        <f>IF(C16=4,SUM(EC16+EC17+EC18+EE16+EE17+EE18)*Percapita/30*GI$4+(ED16+ED17+ED18+EF16+EF17+EF18)*Cadeirante/30*GI$4,IF(C16=3,IF(EC19+EE19=10,Fixo/30*GI$4+(EC16+EC17+EC18+EE16+EE17+EE18)*Percapita/30*GI$4+(ED19+EF19)*Cadeirante/30*GI$4,IF(EC19+EE19&lt;=9,(EC19+EE19)*Crechee/30*GI$4)+(ED19+EF19)*Cadeirante/30*GI$4+(EC16+EC17+EC18+EE16+EE17+EE18)*Percapita/30*GI$4)+IF(EC19+EE19&gt;=11,Fixo/30*GI$4+(EC19+EE19-10)*Crechee/30*GI$4,0),IF(C16=2,IF(ED16+ED17+ED18+ED19+EF16+EF17+EF18+EF19=1,Cadeirante/30*GI$4,IF(ED16+ED17+ED18+ED19+EF16+EF17+EF18+EF19=2,Fixo/30*GI$4,IF(ED16+ED17+ED18+ED19+EF16+EF17+EF18+EF19&gt;2,Fixo/30*GI$4+(ED16+ED17+ED18+ED19+EF16+EF17+EF18+EF19-2)*Cadeirante/30*GI$4)))+(EC16+EC17+EC18+EE16+EE17+EE18)*Percapita/30*GI$4+(EC19+EE19)*Crechee/30*GI$4,IF(C16=1,IF(EC16+EC17+EC18+ED16+ED17+ED18+EE16+EE17+EE18+EF16+EF17+EF18&lt;=15,(EC16+EC17+EC18+EE16+EE17+EE18)*Percapita/30*GI$4,IF(EC16+EC17+EC18+ED16+ED17+ED18+EE16+EE17+EE18+EF16+EF17+EF18&gt;=16,Fixo/30*GI$4+(EC16+EC17+EC18+ED16+ED17+ED18+EE16+EE17+EE18+EF16+EF17-16)*Percapita/30*GI$4))))))</f>
        <v>0</v>
      </c>
      <c r="GJ16" s="177">
        <f>IF(C16=4,SUM(EG16+EG17+EG18+EI16+EI17+EI18)*Percapita/30*GJ$4+(EH16+EH17+EH18+EJ16+EJ17+EJ18)*Cadeirante/30*GJ$4,IF(C16=3,IF(EG19+EI19=10,Fixo/30*GJ$4+(EG16+EG17+EG18+EI16+EI17+EI18)*Percapita/30*GJ$4+(EH19+EJ19)*Cadeirante/30*GJ$4,IF(EG19+EI19&lt;=9,(EG19+EI19)*Crechee/30*GJ$4)+(EH19+EJ19)*Cadeirante/30*GJ$4+(EG16+EG17+EG18+EI16+EI17+EI18)*Percapita/30*GJ$4)+IF(EG19+EI19&gt;=11,Fixo/30*GJ$4+(EG19+EI19-10)*Crechee/30*GJ$4,0),IF(C16=2,IF(EH16+EH17+EH18+EH19+EJ16+EJ17+EJ18+EJ19=1,Cadeirante/30*GJ$4,IF(EH16+EH17+EH18+EH19+EJ16+EJ17+EJ18+EJ19=2,Fixo/30*GJ$4,IF(EH16+EH17+EH18+EH19+EJ16+EJ17+EJ18+EJ19&gt;2,Fixo/30*GJ$4+(EH16+EH17+EH18+EH19+EJ16+EJ17+EJ18+EJ19-2)*Cadeirante/30*GJ$4)))+(EG16+EG17+EG18+EI16+EI17+EI18)*Percapita/30*GJ$4+(EG19+EI19)*Crechee/30*GJ$4,IF(C16=1,IF(EG16+EG17+EG18+EH16+EH17+EH18+EI16+EI17+EI18+EJ16+EJ17+EJ18&lt;=15,(EG16+EG17+EG18+EI16+EI17+EI18)*Percapita/30*GJ$4,IF(EG16+EG17+EG18+EH16+EH17+EH18+EI16+EI17+EI18+EJ16+EJ17+EJ18&gt;=16,Fixo/30*GJ$4+(EG16+EG17+EG18+EH16+EH17+EH18+EI16+EI17+EI18+EJ16+EJ17-16)*Percapita/30*GJ$4))))))</f>
        <v>0</v>
      </c>
      <c r="GK16" s="178"/>
      <c r="GL16" s="103">
        <f t="shared" si="30"/>
        <v>0</v>
      </c>
      <c r="GM16" s="124"/>
      <c r="GN16" s="104">
        <f>SUMIF(V16:V19,"&lt;0")*Cadeirante/30*GN$4+SUMIF(X16:X19,"&lt;0")*Cadeirante/30*GN$4</f>
        <v>0</v>
      </c>
      <c r="GO16" s="104">
        <f>SUMIF(Z16:Z19,"&lt;0")*Cadeirante/30*GO$4+SUMIF(AB16:AB19,"&lt;0")*Cadeirante/30*GO$4</f>
        <v>0</v>
      </c>
      <c r="GP16" s="104">
        <f>SUMIF(AD16:AD19,"&lt;0")*Cadeirante/30*GP$4+SUMIF(AF16:AF19,"&lt;0")*Cadeirante/30*GP$4</f>
        <v>0</v>
      </c>
      <c r="GQ16" s="104">
        <f>SUMIF(AH16:AH19,"&lt;0")*Cadeirante/30*GQ$4+SUMIF(AJ16:AJ19,"&lt;0")*Cadeirante/30*GQ$4</f>
        <v>0</v>
      </c>
      <c r="GR16" s="104">
        <f>SUMIF(AL16:AL19,"&lt;0")*Cadeirante/30*GR$4+SUMIF(AN16:AN19,"&lt;0")*Cadeirante/30*GR$4</f>
        <v>0</v>
      </c>
      <c r="GS16" s="104">
        <f>SUMIF(AP16:AP19,"&lt;0")*Cadeirante/30*GS$4+SUMIF(AR16:AR19,"&lt;0")*Cadeirante/30*GS$4</f>
        <v>0</v>
      </c>
      <c r="GT16" s="104">
        <f>SUMIF(AT16:AT19,"&lt;0")*Cadeirante/30*GT$4+SUMIF(AV16:AV19,"&lt;0")*Cadeirante/30*GT$4</f>
        <v>0</v>
      </c>
      <c r="GU16" s="104">
        <f>SUMIF(AX16:AX19,"&lt;0")*Cadeirante/30*GU$4+SUMIF(AZ16:AZ19,"&lt;0")*Cadeirante/30*GU$4</f>
        <v>0</v>
      </c>
      <c r="GV16" s="104">
        <f>SUMIF(BB16:BB19,"&lt;0")*Cadeirante/30*GV$4+SUMIF(BD16:BD19,"&lt;0")*Cadeirante/30*GV$4</f>
        <v>0</v>
      </c>
      <c r="GW16" s="104">
        <f>SUMIF(BF16:BF19,"&lt;0")*Cadeirante/30*GW$4+SUMIF(BH16:BH19,"&lt;0")*Cadeirante/30*GW$4</f>
        <v>0</v>
      </c>
      <c r="GX16" s="104">
        <f>SUMIF(BJ16:BJ19,"&lt;0")*Cadeirante/30*GX$4+SUMIF(BL16:BL19,"&lt;0")*Cadeirante/30*GX$4</f>
        <v>0</v>
      </c>
      <c r="GY16" s="104">
        <f>SUMIF(BN16:BN19,"&lt;0")*Cadeirante/30*GY$4+SUMIF(BP16:BP19,"&lt;0")*Cadeirante/30*GY$4</f>
        <v>0</v>
      </c>
      <c r="GZ16" s="104">
        <f>SUMIF(BR16:BR19,"&lt;0")*Cadeirante/30*GZ$4+SUMIF(BT16:BT19,"&lt;0")*Cadeirante/30*GZ$4</f>
        <v>0</v>
      </c>
      <c r="HA16" s="104">
        <f>SUMIF(BV16:BV19,"&lt;0")*Cadeirante/30*HA$4+SUMIF(BX16:BX19,"&lt;0")*Cadeirante/30*HA$4</f>
        <v>0</v>
      </c>
      <c r="HB16" s="104">
        <f>SUMIF(BZ16:BZ19,"&lt;0")*Cadeirante/30*HB$4+SUMIF(CB16:CB19,"&lt;0")*Cadeirante/30*HB$4</f>
        <v>0</v>
      </c>
      <c r="HC16" s="104">
        <f>SUMIF(CD16:CD19,"&lt;0")*Cadeirante/30*HC$4+SUMIF(CF16:CF19,"&lt;0")*Cadeirante/30*HC$4</f>
        <v>0</v>
      </c>
      <c r="HD16" s="104">
        <f>SUMIF(CH16:CH19,"&lt;0")*Cadeirante/30*HD$4+SUMIF(CJ16:CJ19,"&lt;0")*Cadeirante/30*HD$4</f>
        <v>0</v>
      </c>
      <c r="HE16" s="104">
        <f>SUMIF(CL16:CL19,"&lt;0")*Cadeirante/30*HE$4+SUMIF(CN16:CN19,"&lt;0")*Cadeirante/30*HE$4</f>
        <v>0</v>
      </c>
      <c r="HF16" s="104">
        <f>SUMIF(CP16:CP19,"&lt;0")*Cadeirante/30*HF$4+SUMIF(CR16:CR19,"&lt;0")*Cadeirante/30*HF$4</f>
        <v>0</v>
      </c>
      <c r="HG16" s="104">
        <f>SUMIF(CT16:CT19,"&lt;0")*Cadeirante/30*HG$4+SUMIF(CV16:CV19,"&lt;0")*Cadeirante/30*HG$4</f>
        <v>0</v>
      </c>
      <c r="HH16" s="104">
        <f>SUMIF(CX16:CX19,"&lt;0")*Cadeirante/30*HH$4+SUMIF(CZ16:CZ19,"&lt;0")*Cadeirante/30*HH$4</f>
        <v>0</v>
      </c>
      <c r="HI16" s="104">
        <f>SUMIF(DB16:DB19,"&lt;0")*Cadeirante/30*HI$4+SUMIF(DD16:DD19,"&lt;0")*Cadeirante/30*HI$4</f>
        <v>0</v>
      </c>
      <c r="HJ16" s="104">
        <f>SUMIF(DF16:DF19,"&lt;0")*Cadeirante/30*HJ$4+SUMIF(DH16:DH19,"&lt;0")*Cadeirante/30*HJ$4</f>
        <v>0</v>
      </c>
      <c r="HK16" s="104">
        <f>SUMIF(DJ16:DJ19,"&lt;0")*Cadeirante/30*HK$4+SUMIF(DL16:DL19,"&lt;0")*Cadeirante/30*HK$4</f>
        <v>0</v>
      </c>
      <c r="HL16" s="104">
        <f>SUMIF(DN16:DN19,"&lt;0")*Cadeirante/30*HL$4+SUMIF(DP16:DP19,"&lt;0")*Cadeirante/30*HL$4</f>
        <v>0</v>
      </c>
      <c r="HM16" s="104">
        <f>SUMIF(DR16:DR19,"&lt;0")*Cadeirante/30*HM$4+SUMIF(DT16:DT19,"&lt;0")*Cadeirante/30*HM$4</f>
        <v>0</v>
      </c>
      <c r="HN16" s="104">
        <f>SUMIF(DV16:DV19,"&lt;0")*Cadeirante/30*HN$4+SUMIF(DX16:DX19,"&lt;0")*Cadeirante/30*HN$4</f>
        <v>0</v>
      </c>
      <c r="HO16" s="104">
        <f>SUMIF(DZ16:DZ19,"&lt;0")*Cadeirante/30*HO$4+SUMIF(EB16:EB19,"&lt;0")*Cadeirante/30*HO$4</f>
        <v>0</v>
      </c>
      <c r="HP16" s="104">
        <f>SUMIF(ED16:ED19,"&lt;0")*Cadeirante/30*HP$4+SUMIF(EF16:EF19,"&lt;0")*Cadeirante/30*HP$4</f>
        <v>0</v>
      </c>
      <c r="HQ16" s="64"/>
      <c r="HR16" s="64"/>
      <c r="HS16" s="64"/>
      <c r="HT16" s="64"/>
      <c r="HU16" s="64"/>
      <c r="HV16" s="64"/>
      <c r="HW16" s="176">
        <v>17629.309999999998</v>
      </c>
      <c r="HX16" s="64"/>
      <c r="HY16" s="280">
        <f>IF(ISTEXT(EM16), VALUE(EM16), EM16)</f>
        <v>0</v>
      </c>
      <c r="HZ16" s="280">
        <f>IF(ISTEXT(EN16), VALUE(EN16), EN16)</f>
        <v>0</v>
      </c>
      <c r="IA16" s="280">
        <f>IF(ISTEXT(EO16), VALUE(EO16), EO16)</f>
        <v>0</v>
      </c>
      <c r="IB16" s="64" t="b">
        <f>HW16=FE16</f>
        <v>0</v>
      </c>
      <c r="IC16" s="64"/>
    </row>
    <row r="17" spans="1:237" s="106" customFormat="1" ht="22.5" customHeight="1" x14ac:dyDescent="0.25">
      <c r="A17" s="368" t="s">
        <v>3198</v>
      </c>
      <c r="B17" s="369" t="s">
        <v>3199</v>
      </c>
      <c r="C17" s="370" t="s">
        <v>3186</v>
      </c>
      <c r="D17" s="371" t="s">
        <v>3200</v>
      </c>
      <c r="E17" s="371" t="s">
        <v>3201</v>
      </c>
      <c r="F17" s="372" t="s">
        <v>3182</v>
      </c>
      <c r="G17" s="372" t="s">
        <v>3183</v>
      </c>
      <c r="H17" s="373" t="s">
        <v>338</v>
      </c>
      <c r="I17" s="374" t="s">
        <v>338</v>
      </c>
      <c r="J17" s="421" t="s">
        <v>3184</v>
      </c>
      <c r="K17" s="421" t="s">
        <v>3187</v>
      </c>
      <c r="L17" s="329">
        <f>CONTINUA!BV17</f>
        <v>45</v>
      </c>
      <c r="M17" s="329">
        <f>CONTINUA!BW17</f>
        <v>0</v>
      </c>
      <c r="N17" s="895"/>
      <c r="O17" s="896" t="s">
        <v>3276</v>
      </c>
      <c r="P17" s="897">
        <v>0</v>
      </c>
      <c r="Q17" s="400">
        <v>23</v>
      </c>
      <c r="R17" s="401"/>
      <c r="S17" s="400"/>
      <c r="T17" s="401"/>
      <c r="U17" s="400"/>
      <c r="V17" s="401"/>
      <c r="W17" s="400"/>
      <c r="X17" s="401"/>
      <c r="Y17" s="400"/>
      <c r="Z17" s="401"/>
      <c r="AA17" s="400"/>
      <c r="AB17" s="401"/>
      <c r="AC17" s="400"/>
      <c r="AD17" s="401"/>
      <c r="AE17" s="400"/>
      <c r="AF17" s="401"/>
      <c r="AG17" s="400"/>
      <c r="AH17" s="401"/>
      <c r="AI17" s="400"/>
      <c r="AJ17" s="401"/>
      <c r="AK17" s="400"/>
      <c r="AL17" s="401"/>
      <c r="AM17" s="400"/>
      <c r="AN17" s="401"/>
      <c r="AO17" s="400"/>
      <c r="AP17" s="401"/>
      <c r="AQ17" s="400"/>
      <c r="AR17" s="401"/>
      <c r="AS17" s="400"/>
      <c r="AT17" s="401"/>
      <c r="AU17" s="400"/>
      <c r="AV17" s="401"/>
      <c r="AW17" s="400"/>
      <c r="AX17" s="401"/>
      <c r="AY17" s="400"/>
      <c r="AZ17" s="401"/>
      <c r="BA17" s="400">
        <v>1</v>
      </c>
      <c r="BB17" s="401"/>
      <c r="BC17" s="400"/>
      <c r="BD17" s="401"/>
      <c r="BE17" s="400"/>
      <c r="BF17" s="401"/>
      <c r="BG17" s="400"/>
      <c r="BH17" s="401"/>
      <c r="BI17" s="400"/>
      <c r="BJ17" s="401"/>
      <c r="BK17" s="400"/>
      <c r="BL17" s="401"/>
      <c r="BM17" s="400"/>
      <c r="BN17" s="401"/>
      <c r="BO17" s="400"/>
      <c r="BP17" s="401"/>
      <c r="BQ17" s="400"/>
      <c r="BR17" s="401"/>
      <c r="BS17" s="400"/>
      <c r="BT17" s="401"/>
      <c r="BU17" s="400"/>
      <c r="BV17" s="401"/>
      <c r="BW17" s="400"/>
      <c r="BX17" s="401"/>
      <c r="BY17" s="400"/>
      <c r="BZ17" s="401"/>
      <c r="CA17" s="400"/>
      <c r="CB17" s="401"/>
      <c r="CC17" s="400"/>
      <c r="CD17" s="401"/>
      <c r="CE17" s="400"/>
      <c r="CF17" s="401"/>
      <c r="CG17" s="400"/>
      <c r="CH17" s="401"/>
      <c r="CI17" s="400"/>
      <c r="CJ17" s="401"/>
      <c r="CK17" s="400"/>
      <c r="CL17" s="401"/>
      <c r="CM17" s="400"/>
      <c r="CN17" s="401"/>
      <c r="CO17" s="400"/>
      <c r="CP17" s="401"/>
      <c r="CQ17" s="400"/>
      <c r="CR17" s="401"/>
      <c r="CS17" s="400"/>
      <c r="CT17" s="401"/>
      <c r="CU17" s="400"/>
      <c r="CV17" s="401"/>
      <c r="CW17" s="400"/>
      <c r="CX17" s="401"/>
      <c r="CY17" s="400"/>
      <c r="CZ17" s="401"/>
      <c r="DA17" s="400"/>
      <c r="DB17" s="401"/>
      <c r="DC17" s="400"/>
      <c r="DD17" s="401"/>
      <c r="DE17" s="400"/>
      <c r="DF17" s="401"/>
      <c r="DG17" s="400"/>
      <c r="DH17" s="401"/>
      <c r="DI17" s="400"/>
      <c r="DJ17" s="401"/>
      <c r="DK17" s="400"/>
      <c r="DL17" s="401"/>
      <c r="DM17" s="400"/>
      <c r="DN17" s="401"/>
      <c r="DO17" s="400"/>
      <c r="DP17" s="401"/>
      <c r="DQ17" s="400"/>
      <c r="DR17" s="401"/>
      <c r="DS17" s="400"/>
      <c r="DT17" s="401"/>
      <c r="DU17" s="400"/>
      <c r="DV17" s="401"/>
      <c r="DW17" s="400"/>
      <c r="DX17" s="401"/>
      <c r="DY17" s="400"/>
      <c r="DZ17" s="401"/>
      <c r="EA17" s="400"/>
      <c r="EB17" s="401"/>
      <c r="EC17" s="400"/>
      <c r="ED17" s="401"/>
      <c r="EE17" s="400"/>
      <c r="EF17" s="401"/>
      <c r="EG17" s="400"/>
      <c r="EH17" s="401"/>
      <c r="EI17" s="400"/>
      <c r="EJ17" s="447"/>
      <c r="EK17" s="511"/>
      <c r="EL17" s="514"/>
      <c r="EM17" s="448"/>
      <c r="EN17" s="344"/>
      <c r="EO17" s="345"/>
      <c r="EP17" s="171">
        <f t="shared" si="22"/>
        <v>23</v>
      </c>
      <c r="EQ17" s="171">
        <f t="shared" si="23"/>
        <v>1</v>
      </c>
      <c r="ER17" s="171">
        <f t="shared" si="24"/>
        <v>0</v>
      </c>
      <c r="ES17" s="171">
        <f t="shared" si="25"/>
        <v>0</v>
      </c>
      <c r="ET17" s="171">
        <f t="shared" si="26"/>
        <v>0</v>
      </c>
      <c r="EU17" s="171">
        <f t="shared" si="27"/>
        <v>0</v>
      </c>
      <c r="EV17" s="172">
        <f t="shared" si="28"/>
        <v>24</v>
      </c>
      <c r="EW17" s="173"/>
      <c r="EX17" s="248">
        <f t="shared" si="35"/>
        <v>0</v>
      </c>
      <c r="EY17" s="174">
        <f>(L17*regular)+(M17*Cadeirantee)</f>
        <v>433.8</v>
      </c>
      <c r="EZ17" s="249">
        <f>SUMIF(FG17:GJ17,"&gt;0")</f>
        <v>0</v>
      </c>
      <c r="FA17" s="249">
        <f>SUMIF(FG17:GJ17,"&lt;0")+SUMIF(GN17:HP17,"&lt;0")</f>
        <v>0</v>
      </c>
      <c r="FB17" s="174">
        <v>0</v>
      </c>
      <c r="FC17" s="126">
        <f>N17*km*'VALORES TABELA'!$B$13</f>
        <v>0</v>
      </c>
      <c r="FD17" s="250">
        <f t="shared" ref="FD17:FD20" si="36">GL17</f>
        <v>0</v>
      </c>
      <c r="FE17" s="105"/>
      <c r="FF17" s="119"/>
      <c r="FG17" s="119"/>
      <c r="FH17" s="119"/>
      <c r="FI17" s="119"/>
      <c r="FJ17" s="119"/>
      <c r="FK17" s="119"/>
      <c r="FL17" s="119"/>
      <c r="FM17" s="119"/>
      <c r="FN17" s="119"/>
      <c r="FO17" s="119"/>
      <c r="FP17" s="119"/>
      <c r="FQ17" s="119"/>
      <c r="FR17" s="119"/>
      <c r="FS17" s="119"/>
      <c r="FT17" s="119"/>
      <c r="FU17" s="119"/>
      <c r="FV17" s="119"/>
      <c r="FW17" s="119"/>
      <c r="FX17" s="119"/>
      <c r="FY17" s="119"/>
      <c r="FZ17" s="119"/>
      <c r="GA17" s="119"/>
      <c r="GB17" s="119"/>
      <c r="GC17" s="119"/>
      <c r="GD17" s="119"/>
      <c r="GE17" s="119"/>
      <c r="GF17" s="119"/>
      <c r="GG17" s="119"/>
      <c r="GH17" s="119"/>
      <c r="GI17" s="119"/>
      <c r="GJ17" s="119"/>
      <c r="GK17" s="251"/>
      <c r="GL17" s="103">
        <f t="shared" si="30"/>
        <v>0</v>
      </c>
      <c r="GM17" s="124"/>
      <c r="GN17" s="104"/>
      <c r="GO17" s="104"/>
      <c r="GP17" s="104"/>
      <c r="GQ17" s="104"/>
      <c r="GR17" s="104"/>
      <c r="GS17" s="104"/>
      <c r="GT17" s="104"/>
      <c r="GU17" s="104"/>
      <c r="GV17" s="104"/>
      <c r="GW17" s="104"/>
      <c r="GX17" s="104"/>
      <c r="GY17" s="104"/>
      <c r="GZ17" s="104"/>
      <c r="HA17" s="104"/>
      <c r="HB17" s="104"/>
      <c r="HC17" s="104"/>
      <c r="HD17" s="104"/>
      <c r="HE17" s="104"/>
      <c r="HF17" s="104"/>
      <c r="HG17" s="104"/>
      <c r="HH17" s="104"/>
      <c r="HI17" s="104"/>
      <c r="HJ17" s="104"/>
      <c r="HK17" s="104"/>
      <c r="HL17" s="104"/>
      <c r="HM17" s="104"/>
      <c r="HN17" s="104"/>
      <c r="HO17" s="104"/>
      <c r="HP17" s="104"/>
      <c r="HQ17" s="64"/>
      <c r="HR17" s="64"/>
      <c r="HS17" s="64"/>
      <c r="HT17" s="64"/>
      <c r="HU17" s="64"/>
      <c r="HV17" s="64"/>
      <c r="HW17" s="105"/>
      <c r="HX17" s="64"/>
      <c r="HY17" s="280">
        <f t="shared" ref="HY17:HY20" si="37">IF(ISTEXT(EM17), VALUE(EM17), EM17)</f>
        <v>0</v>
      </c>
      <c r="HZ17" s="280">
        <f t="shared" ref="HZ17:HZ20" si="38">IF(ISTEXT(EN17), VALUE(EN17), EN17)</f>
        <v>0</v>
      </c>
      <c r="IA17" s="280">
        <f t="shared" ref="IA17:IA20" si="39">IF(ISTEXT(EO17), VALUE(EO17), EO17)</f>
        <v>0</v>
      </c>
      <c r="IB17" s="64"/>
      <c r="IC17" s="64"/>
    </row>
    <row r="18" spans="1:237" s="106" customFormat="1" ht="22.5" customHeight="1" x14ac:dyDescent="0.25">
      <c r="A18" s="368" t="s">
        <v>3198</v>
      </c>
      <c r="B18" s="369" t="s">
        <v>3199</v>
      </c>
      <c r="C18" s="375" t="s">
        <v>3186</v>
      </c>
      <c r="D18" s="371" t="s">
        <v>3200</v>
      </c>
      <c r="E18" s="371" t="s">
        <v>3201</v>
      </c>
      <c r="F18" s="376" t="s">
        <v>3182</v>
      </c>
      <c r="G18" s="376" t="s">
        <v>3183</v>
      </c>
      <c r="H18" s="373" t="s">
        <v>338</v>
      </c>
      <c r="I18" s="374" t="s">
        <v>338</v>
      </c>
      <c r="J18" s="421" t="s">
        <v>3184</v>
      </c>
      <c r="K18" s="422" t="s">
        <v>3188</v>
      </c>
      <c r="L18" s="329">
        <f>CONTINUA!BV18</f>
        <v>0</v>
      </c>
      <c r="M18" s="329">
        <f>CONTINUA!BW18</f>
        <v>0</v>
      </c>
      <c r="N18" s="895"/>
      <c r="O18" s="896" t="s">
        <v>3276</v>
      </c>
      <c r="P18" s="897">
        <v>0</v>
      </c>
      <c r="Q18" s="400"/>
      <c r="R18" s="401"/>
      <c r="S18" s="400"/>
      <c r="T18" s="401"/>
      <c r="U18" s="400"/>
      <c r="V18" s="401"/>
      <c r="W18" s="400"/>
      <c r="X18" s="401"/>
      <c r="Y18" s="400"/>
      <c r="Z18" s="401"/>
      <c r="AA18" s="400"/>
      <c r="AB18" s="401"/>
      <c r="AC18" s="400"/>
      <c r="AD18" s="401"/>
      <c r="AE18" s="400"/>
      <c r="AF18" s="401"/>
      <c r="AG18" s="400"/>
      <c r="AH18" s="401"/>
      <c r="AI18" s="400"/>
      <c r="AJ18" s="401"/>
      <c r="AK18" s="400"/>
      <c r="AL18" s="401"/>
      <c r="AM18" s="400"/>
      <c r="AN18" s="401"/>
      <c r="AO18" s="400"/>
      <c r="AP18" s="401"/>
      <c r="AQ18" s="400"/>
      <c r="AR18" s="401"/>
      <c r="AS18" s="400"/>
      <c r="AT18" s="401"/>
      <c r="AU18" s="400"/>
      <c r="AV18" s="401"/>
      <c r="AW18" s="400"/>
      <c r="AX18" s="401"/>
      <c r="AY18" s="400"/>
      <c r="AZ18" s="401"/>
      <c r="BA18" s="400"/>
      <c r="BB18" s="401"/>
      <c r="BC18" s="400"/>
      <c r="BD18" s="401"/>
      <c r="BE18" s="400"/>
      <c r="BF18" s="401"/>
      <c r="BG18" s="400"/>
      <c r="BH18" s="401"/>
      <c r="BI18" s="400"/>
      <c r="BJ18" s="401"/>
      <c r="BK18" s="400"/>
      <c r="BL18" s="401"/>
      <c r="BM18" s="400"/>
      <c r="BN18" s="401"/>
      <c r="BO18" s="400"/>
      <c r="BP18" s="401"/>
      <c r="BQ18" s="400"/>
      <c r="BR18" s="401"/>
      <c r="BS18" s="400"/>
      <c r="BT18" s="401"/>
      <c r="BU18" s="400"/>
      <c r="BV18" s="401"/>
      <c r="BW18" s="400"/>
      <c r="BX18" s="401"/>
      <c r="BY18" s="400"/>
      <c r="BZ18" s="401"/>
      <c r="CA18" s="400"/>
      <c r="CB18" s="401"/>
      <c r="CC18" s="400"/>
      <c r="CD18" s="401"/>
      <c r="CE18" s="400"/>
      <c r="CF18" s="401"/>
      <c r="CG18" s="400"/>
      <c r="CH18" s="401"/>
      <c r="CI18" s="400"/>
      <c r="CJ18" s="401"/>
      <c r="CK18" s="400"/>
      <c r="CL18" s="401"/>
      <c r="CM18" s="400"/>
      <c r="CN18" s="401"/>
      <c r="CO18" s="400"/>
      <c r="CP18" s="401"/>
      <c r="CQ18" s="400"/>
      <c r="CR18" s="401"/>
      <c r="CS18" s="400"/>
      <c r="CT18" s="401"/>
      <c r="CU18" s="400"/>
      <c r="CV18" s="401"/>
      <c r="CW18" s="400"/>
      <c r="CX18" s="401"/>
      <c r="CY18" s="400"/>
      <c r="CZ18" s="401"/>
      <c r="DA18" s="400"/>
      <c r="DB18" s="401"/>
      <c r="DC18" s="400"/>
      <c r="DD18" s="401"/>
      <c r="DE18" s="400"/>
      <c r="DF18" s="401"/>
      <c r="DG18" s="400"/>
      <c r="DH18" s="401"/>
      <c r="DI18" s="400"/>
      <c r="DJ18" s="401"/>
      <c r="DK18" s="400"/>
      <c r="DL18" s="401"/>
      <c r="DM18" s="400"/>
      <c r="DN18" s="401"/>
      <c r="DO18" s="400"/>
      <c r="DP18" s="401"/>
      <c r="DQ18" s="400"/>
      <c r="DR18" s="401"/>
      <c r="DS18" s="400"/>
      <c r="DT18" s="401"/>
      <c r="DU18" s="400"/>
      <c r="DV18" s="401"/>
      <c r="DW18" s="400"/>
      <c r="DX18" s="401"/>
      <c r="DY18" s="400"/>
      <c r="DZ18" s="401"/>
      <c r="EA18" s="400"/>
      <c r="EB18" s="401"/>
      <c r="EC18" s="400"/>
      <c r="ED18" s="401"/>
      <c r="EE18" s="400"/>
      <c r="EF18" s="401"/>
      <c r="EG18" s="400"/>
      <c r="EH18" s="401"/>
      <c r="EI18" s="400"/>
      <c r="EJ18" s="447"/>
      <c r="EK18" s="511"/>
      <c r="EL18" s="514"/>
      <c r="EM18" s="448"/>
      <c r="EN18" s="344"/>
      <c r="EO18" s="345"/>
      <c r="EP18" s="171">
        <f t="shared" si="22"/>
        <v>0</v>
      </c>
      <c r="EQ18" s="171">
        <f t="shared" si="23"/>
        <v>0</v>
      </c>
      <c r="ER18" s="171">
        <f t="shared" si="24"/>
        <v>0</v>
      </c>
      <c r="ES18" s="171">
        <f t="shared" si="25"/>
        <v>0</v>
      </c>
      <c r="ET18" s="171">
        <f t="shared" si="26"/>
        <v>0</v>
      </c>
      <c r="EU18" s="171">
        <f t="shared" si="27"/>
        <v>0</v>
      </c>
      <c r="EV18" s="172">
        <f t="shared" si="28"/>
        <v>0</v>
      </c>
      <c r="EW18" s="125"/>
      <c r="EX18" s="248">
        <f t="shared" si="35"/>
        <v>0</v>
      </c>
      <c r="EY18" s="174">
        <f>(L18*regular)+(M18*Cadeirantee)</f>
        <v>0</v>
      </c>
      <c r="EZ18" s="249">
        <f>SUMIF(FG18:GJ18,"&gt;0")</f>
        <v>0</v>
      </c>
      <c r="FA18" s="249">
        <f>SUMIF(FG18:GJ18,"&lt;0")+SUMIF(GN18:HP18,"&lt;0")</f>
        <v>0</v>
      </c>
      <c r="FB18" s="174">
        <v>0</v>
      </c>
      <c r="FC18" s="126">
        <f>N18*km*'VALORES TABELA'!$B$13</f>
        <v>0</v>
      </c>
      <c r="FD18" s="250">
        <f t="shared" si="36"/>
        <v>0</v>
      </c>
      <c r="FE18" s="105"/>
      <c r="FF18" s="108"/>
      <c r="FG18" s="108"/>
      <c r="FH18" s="108"/>
      <c r="FI18" s="108"/>
      <c r="FJ18" s="108"/>
      <c r="FK18" s="108"/>
      <c r="FL18" s="108"/>
      <c r="FM18" s="108"/>
      <c r="FN18" s="108"/>
      <c r="FO18" s="108"/>
      <c r="FP18" s="108"/>
      <c r="FQ18" s="108"/>
      <c r="FR18" s="108"/>
      <c r="FS18" s="108"/>
      <c r="FT18" s="108"/>
      <c r="FU18" s="108"/>
      <c r="FV18" s="108"/>
      <c r="FW18" s="108"/>
      <c r="FX18" s="108"/>
      <c r="FY18" s="108"/>
      <c r="FZ18" s="108"/>
      <c r="GA18" s="108"/>
      <c r="GB18" s="108"/>
      <c r="GC18" s="108"/>
      <c r="GD18" s="108"/>
      <c r="GE18" s="108"/>
      <c r="GF18" s="108"/>
      <c r="GG18" s="108"/>
      <c r="GH18" s="108"/>
      <c r="GI18" s="108"/>
      <c r="GJ18" s="108"/>
      <c r="GK18" s="251"/>
      <c r="GL18" s="103">
        <f t="shared" si="30"/>
        <v>0</v>
      </c>
      <c r="GM18" s="124"/>
      <c r="GN18" s="104"/>
      <c r="GO18" s="104"/>
      <c r="GP18" s="104"/>
      <c r="GQ18" s="104"/>
      <c r="GR18" s="104"/>
      <c r="GS18" s="104"/>
      <c r="GT18" s="104"/>
      <c r="GU18" s="104"/>
      <c r="GV18" s="104"/>
      <c r="GW18" s="104"/>
      <c r="GX18" s="104"/>
      <c r="GY18" s="104"/>
      <c r="GZ18" s="104"/>
      <c r="HA18" s="104"/>
      <c r="HB18" s="104"/>
      <c r="HC18" s="104"/>
      <c r="HD18" s="104"/>
      <c r="HE18" s="104"/>
      <c r="HF18" s="104"/>
      <c r="HG18" s="104"/>
      <c r="HH18" s="104"/>
      <c r="HI18" s="104"/>
      <c r="HJ18" s="104"/>
      <c r="HK18" s="104"/>
      <c r="HL18" s="104"/>
      <c r="HM18" s="104"/>
      <c r="HN18" s="104"/>
      <c r="HO18" s="104"/>
      <c r="HP18" s="104"/>
      <c r="HQ18" s="64"/>
      <c r="HR18" s="64"/>
      <c r="HS18" s="64"/>
      <c r="HT18" s="64"/>
      <c r="HU18" s="64"/>
      <c r="HV18" s="64"/>
      <c r="HW18" s="105"/>
      <c r="HX18" s="64"/>
      <c r="HY18" s="280">
        <f t="shared" si="37"/>
        <v>0</v>
      </c>
      <c r="HZ18" s="280">
        <f t="shared" si="38"/>
        <v>0</v>
      </c>
      <c r="IA18" s="280">
        <f t="shared" si="39"/>
        <v>0</v>
      </c>
      <c r="IB18" s="64"/>
      <c r="IC18" s="64"/>
    </row>
    <row r="19" spans="1:237" s="106" customFormat="1" ht="22.5" customHeight="1" x14ac:dyDescent="0.25">
      <c r="A19" s="368" t="s">
        <v>3198</v>
      </c>
      <c r="B19" s="369" t="s">
        <v>3199</v>
      </c>
      <c r="C19" s="375" t="s">
        <v>3186</v>
      </c>
      <c r="D19" s="371" t="s">
        <v>3200</v>
      </c>
      <c r="E19" s="371" t="s">
        <v>3201</v>
      </c>
      <c r="F19" s="376" t="s">
        <v>3182</v>
      </c>
      <c r="G19" s="376" t="s">
        <v>3183</v>
      </c>
      <c r="H19" s="373" t="s">
        <v>338</v>
      </c>
      <c r="I19" s="374" t="s">
        <v>338</v>
      </c>
      <c r="J19" s="421" t="s">
        <v>3184</v>
      </c>
      <c r="K19" s="423" t="s">
        <v>3189</v>
      </c>
      <c r="L19" s="329">
        <f>CONTINUA!BV19</f>
        <v>0</v>
      </c>
      <c r="M19" s="329">
        <f>CONTINUA!BW19</f>
        <v>0</v>
      </c>
      <c r="N19" s="895"/>
      <c r="O19" s="896" t="s">
        <v>3276</v>
      </c>
      <c r="P19" s="897">
        <v>0</v>
      </c>
      <c r="Q19" s="400"/>
      <c r="R19" s="401"/>
      <c r="S19" s="400"/>
      <c r="T19" s="401"/>
      <c r="U19" s="400"/>
      <c r="V19" s="401"/>
      <c r="W19" s="400"/>
      <c r="X19" s="401"/>
      <c r="Y19" s="400"/>
      <c r="Z19" s="401"/>
      <c r="AA19" s="400"/>
      <c r="AB19" s="401"/>
      <c r="AC19" s="400"/>
      <c r="AD19" s="401"/>
      <c r="AE19" s="400"/>
      <c r="AF19" s="401"/>
      <c r="AG19" s="400"/>
      <c r="AH19" s="401"/>
      <c r="AI19" s="400"/>
      <c r="AJ19" s="401"/>
      <c r="AK19" s="400"/>
      <c r="AL19" s="401"/>
      <c r="AM19" s="400"/>
      <c r="AN19" s="401"/>
      <c r="AO19" s="400"/>
      <c r="AP19" s="401"/>
      <c r="AQ19" s="400"/>
      <c r="AR19" s="401"/>
      <c r="AS19" s="400"/>
      <c r="AT19" s="401"/>
      <c r="AU19" s="400"/>
      <c r="AV19" s="401"/>
      <c r="AW19" s="400"/>
      <c r="AX19" s="401"/>
      <c r="AY19" s="400"/>
      <c r="AZ19" s="401"/>
      <c r="BA19" s="400"/>
      <c r="BB19" s="401"/>
      <c r="BC19" s="400"/>
      <c r="BD19" s="401"/>
      <c r="BE19" s="400"/>
      <c r="BF19" s="401"/>
      <c r="BG19" s="400"/>
      <c r="BH19" s="401"/>
      <c r="BI19" s="400"/>
      <c r="BJ19" s="401"/>
      <c r="BK19" s="400"/>
      <c r="BL19" s="401"/>
      <c r="BM19" s="400"/>
      <c r="BN19" s="401"/>
      <c r="BO19" s="400"/>
      <c r="BP19" s="401"/>
      <c r="BQ19" s="400"/>
      <c r="BR19" s="401"/>
      <c r="BS19" s="400"/>
      <c r="BT19" s="401"/>
      <c r="BU19" s="400"/>
      <c r="BV19" s="401"/>
      <c r="BW19" s="400"/>
      <c r="BX19" s="401"/>
      <c r="BY19" s="400"/>
      <c r="BZ19" s="401"/>
      <c r="CA19" s="400"/>
      <c r="CB19" s="401"/>
      <c r="CC19" s="400"/>
      <c r="CD19" s="401"/>
      <c r="CE19" s="400"/>
      <c r="CF19" s="401"/>
      <c r="CG19" s="400"/>
      <c r="CH19" s="401"/>
      <c r="CI19" s="400"/>
      <c r="CJ19" s="401"/>
      <c r="CK19" s="400"/>
      <c r="CL19" s="401"/>
      <c r="CM19" s="400"/>
      <c r="CN19" s="401"/>
      <c r="CO19" s="400"/>
      <c r="CP19" s="401"/>
      <c r="CQ19" s="400"/>
      <c r="CR19" s="401"/>
      <c r="CS19" s="400"/>
      <c r="CT19" s="401"/>
      <c r="CU19" s="400"/>
      <c r="CV19" s="401"/>
      <c r="CW19" s="400"/>
      <c r="CX19" s="401"/>
      <c r="CY19" s="400"/>
      <c r="CZ19" s="401"/>
      <c r="DA19" s="400"/>
      <c r="DB19" s="401"/>
      <c r="DC19" s="400"/>
      <c r="DD19" s="401"/>
      <c r="DE19" s="400"/>
      <c r="DF19" s="401"/>
      <c r="DG19" s="400"/>
      <c r="DH19" s="401"/>
      <c r="DI19" s="400"/>
      <c r="DJ19" s="401"/>
      <c r="DK19" s="400"/>
      <c r="DL19" s="401"/>
      <c r="DM19" s="400"/>
      <c r="DN19" s="401"/>
      <c r="DO19" s="400"/>
      <c r="DP19" s="401"/>
      <c r="DQ19" s="400"/>
      <c r="DR19" s="401"/>
      <c r="DS19" s="400"/>
      <c r="DT19" s="401"/>
      <c r="DU19" s="400"/>
      <c r="DV19" s="401"/>
      <c r="DW19" s="400"/>
      <c r="DX19" s="401"/>
      <c r="DY19" s="400"/>
      <c r="DZ19" s="401"/>
      <c r="EA19" s="400"/>
      <c r="EB19" s="401"/>
      <c r="EC19" s="400"/>
      <c r="ED19" s="401"/>
      <c r="EE19" s="400"/>
      <c r="EF19" s="401"/>
      <c r="EG19" s="400"/>
      <c r="EH19" s="401"/>
      <c r="EI19" s="400"/>
      <c r="EJ19" s="447"/>
      <c r="EK19" s="511"/>
      <c r="EL19" s="514"/>
      <c r="EM19" s="448"/>
      <c r="EN19" s="344"/>
      <c r="EO19" s="345"/>
      <c r="EP19" s="171">
        <f t="shared" si="22"/>
        <v>0</v>
      </c>
      <c r="EQ19" s="171">
        <f t="shared" si="23"/>
        <v>0</v>
      </c>
      <c r="ER19" s="171">
        <f t="shared" si="24"/>
        <v>0</v>
      </c>
      <c r="ES19" s="171">
        <f t="shared" si="25"/>
        <v>0</v>
      </c>
      <c r="ET19" s="171">
        <f t="shared" si="26"/>
        <v>0</v>
      </c>
      <c r="EU19" s="171">
        <f t="shared" si="27"/>
        <v>0</v>
      </c>
      <c r="EV19" s="172">
        <f t="shared" si="28"/>
        <v>0</v>
      </c>
      <c r="EW19" s="127"/>
      <c r="EX19" s="248">
        <f t="shared" si="35"/>
        <v>0</v>
      </c>
      <c r="EY19" s="174">
        <f>(L19*regular)+(M19*Cadeirantee)</f>
        <v>0</v>
      </c>
      <c r="EZ19" s="249">
        <f>SUMIF(FG19:GJ19,"&gt;0")</f>
        <v>0</v>
      </c>
      <c r="FA19" s="249">
        <f>SUMIF(FG19:GJ19,"&lt;0")+SUMIF(GN19:HP19,"&lt;0")</f>
        <v>0</v>
      </c>
      <c r="FB19" s="174">
        <v>0</v>
      </c>
      <c r="FC19" s="126">
        <f>N19*km*'VALORES TABELA'!$B$13</f>
        <v>0</v>
      </c>
      <c r="FD19" s="250">
        <f t="shared" si="36"/>
        <v>0</v>
      </c>
      <c r="FE19" s="105"/>
      <c r="FF19" s="118"/>
      <c r="FG19" s="118"/>
      <c r="FH19" s="118"/>
      <c r="FI19" s="118"/>
      <c r="FJ19" s="118"/>
      <c r="FK19" s="118"/>
      <c r="FL19" s="118"/>
      <c r="FM19" s="118"/>
      <c r="FN19" s="118"/>
      <c r="FO19" s="118"/>
      <c r="FP19" s="118"/>
      <c r="FQ19" s="118"/>
      <c r="FR19" s="118"/>
      <c r="FS19" s="118"/>
      <c r="FT19" s="118"/>
      <c r="FU19" s="118"/>
      <c r="FV19" s="118"/>
      <c r="FW19" s="118"/>
      <c r="FX19" s="118"/>
      <c r="FY19" s="118"/>
      <c r="FZ19" s="118"/>
      <c r="GA19" s="118"/>
      <c r="GB19" s="118"/>
      <c r="GC19" s="118"/>
      <c r="GD19" s="118"/>
      <c r="GE19" s="118"/>
      <c r="GF19" s="118"/>
      <c r="GG19" s="118"/>
      <c r="GH19" s="118"/>
      <c r="GI19" s="118"/>
      <c r="GJ19" s="118"/>
      <c r="GK19" s="252"/>
      <c r="GL19" s="103">
        <f t="shared" si="30"/>
        <v>0</v>
      </c>
      <c r="GM19" s="124"/>
      <c r="GN19" s="104"/>
      <c r="GO19" s="104"/>
      <c r="GP19" s="104"/>
      <c r="GQ19" s="104"/>
      <c r="GR19" s="104"/>
      <c r="GS19" s="104"/>
      <c r="GT19" s="104"/>
      <c r="GU19" s="104"/>
      <c r="GV19" s="104"/>
      <c r="GW19" s="104"/>
      <c r="GX19" s="104"/>
      <c r="GY19" s="104"/>
      <c r="GZ19" s="104"/>
      <c r="HA19" s="104"/>
      <c r="HB19" s="104"/>
      <c r="HC19" s="104"/>
      <c r="HD19" s="104"/>
      <c r="HE19" s="104"/>
      <c r="HF19" s="104"/>
      <c r="HG19" s="104"/>
      <c r="HH19" s="104"/>
      <c r="HI19" s="104"/>
      <c r="HJ19" s="104"/>
      <c r="HK19" s="104"/>
      <c r="HL19" s="104"/>
      <c r="HM19" s="104"/>
      <c r="HN19" s="104"/>
      <c r="HO19" s="104"/>
      <c r="HP19" s="104"/>
      <c r="HQ19" s="64"/>
      <c r="HR19" s="65"/>
      <c r="HS19" s="65"/>
      <c r="HT19" s="65"/>
      <c r="HU19" s="65"/>
      <c r="HV19" s="65"/>
      <c r="HW19" s="105"/>
      <c r="HX19" s="65"/>
      <c r="HY19" s="280">
        <f t="shared" si="37"/>
        <v>0</v>
      </c>
      <c r="HZ19" s="280">
        <f t="shared" si="38"/>
        <v>0</v>
      </c>
      <c r="IA19" s="280">
        <f t="shared" si="39"/>
        <v>0</v>
      </c>
      <c r="IB19" s="65"/>
      <c r="IC19" s="65"/>
    </row>
    <row r="20" spans="1:237" s="106" customFormat="1" ht="22.5" customHeight="1" thickBot="1" x14ac:dyDescent="0.3">
      <c r="A20" s="377" t="s">
        <v>3198</v>
      </c>
      <c r="B20" s="378" t="s">
        <v>3199</v>
      </c>
      <c r="C20" s="379" t="s">
        <v>3186</v>
      </c>
      <c r="D20" s="380" t="s">
        <v>3200</v>
      </c>
      <c r="E20" s="380" t="s">
        <v>3201</v>
      </c>
      <c r="F20" s="381" t="s">
        <v>3182</v>
      </c>
      <c r="G20" s="381" t="s">
        <v>3183</v>
      </c>
      <c r="H20" s="382" t="s">
        <v>338</v>
      </c>
      <c r="I20" s="383" t="s">
        <v>338</v>
      </c>
      <c r="J20" s="421" t="s">
        <v>3184</v>
      </c>
      <c r="K20" s="424" t="s">
        <v>60</v>
      </c>
      <c r="L20" s="329">
        <f>CONTINUA!BV20</f>
        <v>0</v>
      </c>
      <c r="M20" s="329">
        <f>CONTINUA!BW20</f>
        <v>0</v>
      </c>
      <c r="N20" s="895"/>
      <c r="O20" s="896" t="s">
        <v>3276</v>
      </c>
      <c r="P20" s="897">
        <v>0</v>
      </c>
      <c r="Q20" s="400"/>
      <c r="R20" s="401"/>
      <c r="S20" s="400"/>
      <c r="T20" s="401"/>
      <c r="U20" s="400"/>
      <c r="V20" s="401"/>
      <c r="W20" s="400"/>
      <c r="X20" s="401"/>
      <c r="Y20" s="400"/>
      <c r="Z20" s="401"/>
      <c r="AA20" s="400"/>
      <c r="AB20" s="401"/>
      <c r="AC20" s="400"/>
      <c r="AD20" s="401"/>
      <c r="AE20" s="400"/>
      <c r="AF20" s="401"/>
      <c r="AG20" s="400"/>
      <c r="AH20" s="401"/>
      <c r="AI20" s="400"/>
      <c r="AJ20" s="401"/>
      <c r="AK20" s="400"/>
      <c r="AL20" s="401"/>
      <c r="AM20" s="400"/>
      <c r="AN20" s="401"/>
      <c r="AO20" s="400"/>
      <c r="AP20" s="401"/>
      <c r="AQ20" s="400"/>
      <c r="AR20" s="401"/>
      <c r="AS20" s="400"/>
      <c r="AT20" s="401"/>
      <c r="AU20" s="400"/>
      <c r="AV20" s="401"/>
      <c r="AW20" s="400"/>
      <c r="AX20" s="401"/>
      <c r="AY20" s="400"/>
      <c r="AZ20" s="401"/>
      <c r="BA20" s="400"/>
      <c r="BB20" s="401"/>
      <c r="BC20" s="400"/>
      <c r="BD20" s="401"/>
      <c r="BE20" s="400"/>
      <c r="BF20" s="401"/>
      <c r="BG20" s="400"/>
      <c r="BH20" s="401"/>
      <c r="BI20" s="400"/>
      <c r="BJ20" s="401"/>
      <c r="BK20" s="400"/>
      <c r="BL20" s="401"/>
      <c r="BM20" s="400"/>
      <c r="BN20" s="401"/>
      <c r="BO20" s="400"/>
      <c r="BP20" s="401"/>
      <c r="BQ20" s="400"/>
      <c r="BR20" s="401"/>
      <c r="BS20" s="400"/>
      <c r="BT20" s="401"/>
      <c r="BU20" s="400"/>
      <c r="BV20" s="401"/>
      <c r="BW20" s="400"/>
      <c r="BX20" s="401"/>
      <c r="BY20" s="400"/>
      <c r="BZ20" s="401"/>
      <c r="CA20" s="400"/>
      <c r="CB20" s="401"/>
      <c r="CC20" s="400"/>
      <c r="CD20" s="401"/>
      <c r="CE20" s="400"/>
      <c r="CF20" s="401"/>
      <c r="CG20" s="400"/>
      <c r="CH20" s="401"/>
      <c r="CI20" s="400"/>
      <c r="CJ20" s="401"/>
      <c r="CK20" s="400"/>
      <c r="CL20" s="401"/>
      <c r="CM20" s="400"/>
      <c r="CN20" s="401"/>
      <c r="CO20" s="400"/>
      <c r="CP20" s="401"/>
      <c r="CQ20" s="400"/>
      <c r="CR20" s="401"/>
      <c r="CS20" s="400"/>
      <c r="CT20" s="401"/>
      <c r="CU20" s="400"/>
      <c r="CV20" s="401"/>
      <c r="CW20" s="400"/>
      <c r="CX20" s="401"/>
      <c r="CY20" s="400"/>
      <c r="CZ20" s="401"/>
      <c r="DA20" s="400"/>
      <c r="DB20" s="401"/>
      <c r="DC20" s="400"/>
      <c r="DD20" s="401"/>
      <c r="DE20" s="400"/>
      <c r="DF20" s="401"/>
      <c r="DG20" s="400"/>
      <c r="DH20" s="401"/>
      <c r="DI20" s="400"/>
      <c r="DJ20" s="401"/>
      <c r="DK20" s="400"/>
      <c r="DL20" s="401"/>
      <c r="DM20" s="400"/>
      <c r="DN20" s="401"/>
      <c r="DO20" s="400"/>
      <c r="DP20" s="401"/>
      <c r="DQ20" s="400"/>
      <c r="DR20" s="401"/>
      <c r="DS20" s="400"/>
      <c r="DT20" s="401"/>
      <c r="DU20" s="400"/>
      <c r="DV20" s="401"/>
      <c r="DW20" s="400"/>
      <c r="DX20" s="401"/>
      <c r="DY20" s="400"/>
      <c r="DZ20" s="401"/>
      <c r="EA20" s="400"/>
      <c r="EB20" s="401"/>
      <c r="EC20" s="400"/>
      <c r="ED20" s="401"/>
      <c r="EE20" s="400"/>
      <c r="EF20" s="401"/>
      <c r="EG20" s="400"/>
      <c r="EH20" s="401"/>
      <c r="EI20" s="400"/>
      <c r="EJ20" s="447"/>
      <c r="EK20" s="512"/>
      <c r="EL20" s="515"/>
      <c r="EM20" s="450"/>
      <c r="EN20" s="348"/>
      <c r="EO20" s="348"/>
      <c r="EP20" s="179">
        <f t="shared" si="22"/>
        <v>0</v>
      </c>
      <c r="EQ20" s="179">
        <f t="shared" si="23"/>
        <v>0</v>
      </c>
      <c r="ER20" s="179">
        <f t="shared" si="24"/>
        <v>0</v>
      </c>
      <c r="ES20" s="179">
        <f t="shared" si="25"/>
        <v>0</v>
      </c>
      <c r="ET20" s="179">
        <f t="shared" si="26"/>
        <v>0</v>
      </c>
      <c r="EU20" s="179">
        <f t="shared" si="27"/>
        <v>0</v>
      </c>
      <c r="EV20" s="172">
        <f t="shared" si="28"/>
        <v>0</v>
      </c>
      <c r="EW20" s="253"/>
      <c r="EX20" s="254">
        <v>0</v>
      </c>
      <c r="EY20" s="180">
        <v>0</v>
      </c>
      <c r="EZ20" s="255">
        <v>0</v>
      </c>
      <c r="FA20" s="255">
        <v>0</v>
      </c>
      <c r="FB20" s="180">
        <f>SUM(FF20:GI20)/2</f>
        <v>0</v>
      </c>
      <c r="FC20" s="256">
        <f>N20*km*'VALORES TABELA'!$B$13</f>
        <v>0</v>
      </c>
      <c r="FD20" s="250">
        <f t="shared" si="36"/>
        <v>0</v>
      </c>
      <c r="FE20" s="257"/>
      <c r="FF20" s="181">
        <f>((Q20+S20)*Percapita)+((R20+T20)*Cadeirante)</f>
        <v>0</v>
      </c>
      <c r="FG20" s="181">
        <f>((U20+W20)*Percapita/30*FG$4)+((V20+X20)*Cadeirante/30*FG$4)</f>
        <v>0</v>
      </c>
      <c r="FH20" s="181">
        <f>((Y20+AA20)*Percapita/30*FH$4)+((Z20+AB20)*Cadeirante/30*FH$4)</f>
        <v>0</v>
      </c>
      <c r="FI20" s="181">
        <f>((AC20+AE20)*Percapita/30*FI$4)+((AD20+AF20)*Cadeirante/30*FI$4)</f>
        <v>0</v>
      </c>
      <c r="FJ20" s="181">
        <f>((AG20+AI20)*Percapita/30*FJ$4)+((AH20+AJ20)*Cadeirante/30*FJ$4)</f>
        <v>0</v>
      </c>
      <c r="FK20" s="181">
        <f>((AK20+AM20)*Percapita/30*FK$4)+((AL20+AN20)*Cadeirante/30*FK$4)</f>
        <v>0</v>
      </c>
      <c r="FL20" s="181">
        <f>((AO20+AQ20)*Percapita/30*FL$4)+((AP20+AR20)*Cadeirante/30*FL$4)</f>
        <v>0</v>
      </c>
      <c r="FM20" s="181">
        <f>((AS20+AU20)*Percapita/30*FM$4)+((AT20+AV20)*Cadeirante/30*FM$4)</f>
        <v>0</v>
      </c>
      <c r="FN20" s="181">
        <f>((AW20+AY20)*Percapita/30*FN$4)+((AX20+AZ20)*Cadeirante/30*FN$4)</f>
        <v>0</v>
      </c>
      <c r="FO20" s="181">
        <f>((BA20+BC20)*Percapita/30*FO$4)+((BB20+BD20)*Cadeirante/30*FO$4)</f>
        <v>0</v>
      </c>
      <c r="FP20" s="181">
        <f>((BE20+BG20)*Percapita/30*FP$4)+((BF20+BH20)*Cadeirante/30*FP$4)</f>
        <v>0</v>
      </c>
      <c r="FQ20" s="181">
        <f>((BI20+BK20)*Percapita/30*FQ$4)+((BJ20+BL20)*Cadeirante/30*FQ$4)</f>
        <v>0</v>
      </c>
      <c r="FR20" s="181">
        <f>((BM20+BO20)*Percapita/30*FR$4)+((BN20+BP20)*Cadeirante/30*FR$4)</f>
        <v>0</v>
      </c>
      <c r="FS20" s="181">
        <f>((BQ20+BS20)*Percapita/30*FS$4)+((BR20+BT20)*Cadeirante/30*FS$4)</f>
        <v>0</v>
      </c>
      <c r="FT20" s="181">
        <f>((BU20+BW20)*Percapita/30*FT$4)+((BV20+BX20)*Cadeirante/30*FT$4)</f>
        <v>0</v>
      </c>
      <c r="FU20" s="181">
        <f>((BY20+CA20)*Percapita/30*FU$4)+((BZ20+CB20)*Cadeirante/30*FU$4)</f>
        <v>0</v>
      </c>
      <c r="FV20" s="181">
        <f>((CC20+CE20)*Percapita/30*FV$4)+((CD20+CF20)*Cadeirante/30*FV$4)</f>
        <v>0</v>
      </c>
      <c r="FW20" s="181">
        <f>((CG20+CI20)*Percapita/30*FW$4)+((CI20+CK20)*Cadeirante/30*FW$4)</f>
        <v>0</v>
      </c>
      <c r="FX20" s="181">
        <f>((CK20+CM20)*Percapita/30*FX$4)+((CL20+CN20)*Cadeirante/30*FX$4)</f>
        <v>0</v>
      </c>
      <c r="FY20" s="181">
        <f>((CO20+CQ20)*Percapita/30*FY$4)+((CP20+CR20)*Cadeirante/30*FY$4)</f>
        <v>0</v>
      </c>
      <c r="FZ20" s="181">
        <f>((CS20+CU20)*Percapita/30*FZ$4)+((CT20+CV20)*Cadeirante/30*FZ$4)</f>
        <v>0</v>
      </c>
      <c r="GA20" s="181">
        <f>((CW20+CY20)*Percapita/30*GA$4)+((CX20+CZ20)*Cadeirante/30*GA$4)</f>
        <v>0</v>
      </c>
      <c r="GB20" s="181">
        <f>((DA20+DC20)*Percapita/30*GB$4)+((DB20+DD20)*Cadeirante/30*GB$4)</f>
        <v>0</v>
      </c>
      <c r="GC20" s="181">
        <f>((DE20+DG20)*Percapita/30*GC$4)+((DF20+DH20)*Cadeirante/30*GC$4)</f>
        <v>0</v>
      </c>
      <c r="GD20" s="181">
        <f>((DI20+DK20)*Percapita/30*GD$4)+((DJ20+DL20)*Cadeirante/30*GD$4)</f>
        <v>0</v>
      </c>
      <c r="GE20" s="181">
        <f>((DM20+DO20)*Percapita/30*GE$4)+((DN20+DP20)*Cadeirante/30*GE$4)</f>
        <v>0</v>
      </c>
      <c r="GF20" s="181">
        <f>((DQ20+DS20)*Percapita/30*GF$4)+((DR20+DT20)*Cadeirante/30*GF$4)</f>
        <v>0</v>
      </c>
      <c r="GG20" s="181">
        <f>((DU20+DW20)*Percapita/30*GG$4)+((DV20+DX20)*Cadeirante/30*GG$4)</f>
        <v>0</v>
      </c>
      <c r="GH20" s="181">
        <f>((DY20+EA20)*Percapita/30*GH$4)+((DZ20+EB20)*Cadeirante/30*GH$4)</f>
        <v>0</v>
      </c>
      <c r="GI20" s="181">
        <f>((EC20+EE20)*Percapita/30*GI$4)+((ED20+EF20)*Cadeirante/30*GI$4)</f>
        <v>0</v>
      </c>
      <c r="GJ20" s="181">
        <f>((EG20+EI20)*Percapita)+((EH20+EJ20)*Cadeirante)</f>
        <v>0</v>
      </c>
      <c r="GK20" s="258"/>
      <c r="GL20" s="103">
        <f t="shared" si="30"/>
        <v>0</v>
      </c>
      <c r="GM20" s="124"/>
      <c r="GN20" s="182"/>
      <c r="GO20" s="182"/>
      <c r="GP20" s="182"/>
      <c r="GQ20" s="182"/>
      <c r="GR20" s="182"/>
      <c r="GS20" s="182"/>
      <c r="GT20" s="182"/>
      <c r="GU20" s="182"/>
      <c r="GV20" s="182"/>
      <c r="GW20" s="182"/>
      <c r="GX20" s="182"/>
      <c r="GY20" s="182"/>
      <c r="GZ20" s="182"/>
      <c r="HA20" s="182"/>
      <c r="HB20" s="182"/>
      <c r="HC20" s="182"/>
      <c r="HD20" s="182"/>
      <c r="HE20" s="182"/>
      <c r="HF20" s="182"/>
      <c r="HG20" s="182"/>
      <c r="HH20" s="182"/>
      <c r="HI20" s="182"/>
      <c r="HJ20" s="182"/>
      <c r="HK20" s="182"/>
      <c r="HL20" s="182"/>
      <c r="HM20" s="182"/>
      <c r="HN20" s="182"/>
      <c r="HO20" s="182"/>
      <c r="HP20" s="259"/>
      <c r="HQ20" s="64"/>
      <c r="HW20" s="257"/>
      <c r="HY20" s="280">
        <f t="shared" si="37"/>
        <v>0</v>
      </c>
      <c r="HZ20" s="280">
        <f t="shared" si="38"/>
        <v>0</v>
      </c>
      <c r="IA20" s="280">
        <f t="shared" si="39"/>
        <v>0</v>
      </c>
    </row>
    <row r="21" spans="1:237" s="106" customFormat="1" ht="22.5" customHeight="1" x14ac:dyDescent="0.25">
      <c r="A21" t="s">
        <v>3202</v>
      </c>
      <c r="B21" s="522" t="s">
        <v>3203</v>
      </c>
      <c r="C21" s="523">
        <v>1</v>
      </c>
      <c r="D21" s="524" t="s">
        <v>3204</v>
      </c>
      <c r="E21" s="524" t="s">
        <v>3205</v>
      </c>
      <c r="F21" s="525" t="s">
        <v>3182</v>
      </c>
      <c r="G21" s="525" t="s">
        <v>3183</v>
      </c>
      <c r="H21" s="350" t="s">
        <v>339</v>
      </c>
      <c r="I21" s="351" t="s">
        <v>339</v>
      </c>
      <c r="J21" s="409" t="s">
        <v>3184</v>
      </c>
      <c r="K21" s="410" t="s">
        <v>3185</v>
      </c>
      <c r="L21" s="329">
        <f>CONTINUA!BV21</f>
        <v>0</v>
      </c>
      <c r="M21" s="329">
        <f>CONTINUA!BW21</f>
        <v>0</v>
      </c>
      <c r="N21" s="895"/>
      <c r="O21" s="896" t="s">
        <v>3277</v>
      </c>
      <c r="P21" s="897">
        <v>0</v>
      </c>
      <c r="Q21" s="400">
        <v>5</v>
      </c>
      <c r="R21" s="401"/>
      <c r="S21" s="400"/>
      <c r="T21" s="401"/>
      <c r="U21" s="400"/>
      <c r="V21" s="401"/>
      <c r="W21" s="400"/>
      <c r="X21" s="401"/>
      <c r="Y21" s="400"/>
      <c r="Z21" s="401"/>
      <c r="AA21" s="400"/>
      <c r="AB21" s="401"/>
      <c r="AC21" s="400"/>
      <c r="AD21" s="401"/>
      <c r="AE21" s="400"/>
      <c r="AF21" s="401"/>
      <c r="AG21" s="400"/>
      <c r="AH21" s="401"/>
      <c r="AI21" s="400"/>
      <c r="AJ21" s="401"/>
      <c r="AK21" s="400"/>
      <c r="AL21" s="401"/>
      <c r="AM21" s="400"/>
      <c r="AN21" s="401"/>
      <c r="AO21" s="400"/>
      <c r="AP21" s="401"/>
      <c r="AQ21" s="400"/>
      <c r="AR21" s="401"/>
      <c r="AS21" s="400"/>
      <c r="AT21" s="401"/>
      <c r="AU21" s="400"/>
      <c r="AV21" s="401"/>
      <c r="AW21" s="400"/>
      <c r="AX21" s="401"/>
      <c r="AY21" s="400"/>
      <c r="AZ21" s="401"/>
      <c r="BA21" s="400"/>
      <c r="BB21" s="401"/>
      <c r="BC21" s="400"/>
      <c r="BD21" s="401"/>
      <c r="BE21" s="400"/>
      <c r="BF21" s="401"/>
      <c r="BG21" s="400"/>
      <c r="BH21" s="401"/>
      <c r="BI21" s="400"/>
      <c r="BJ21" s="401"/>
      <c r="BK21" s="400"/>
      <c r="BL21" s="401"/>
      <c r="BM21" s="400"/>
      <c r="BN21" s="401"/>
      <c r="BO21" s="400"/>
      <c r="BP21" s="401"/>
      <c r="BQ21" s="400"/>
      <c r="BR21" s="401"/>
      <c r="BS21" s="400"/>
      <c r="BT21" s="401"/>
      <c r="BU21" s="400"/>
      <c r="BV21" s="401"/>
      <c r="BW21" s="400"/>
      <c r="BX21" s="401"/>
      <c r="BY21" s="400"/>
      <c r="BZ21" s="401"/>
      <c r="CA21" s="400"/>
      <c r="CB21" s="401"/>
      <c r="CC21" s="400"/>
      <c r="CD21" s="401"/>
      <c r="CE21" s="400"/>
      <c r="CF21" s="401"/>
      <c r="CG21" s="400"/>
      <c r="CH21" s="401"/>
      <c r="CI21" s="400"/>
      <c r="CJ21" s="401"/>
      <c r="CK21" s="400"/>
      <c r="CL21" s="401"/>
      <c r="CM21" s="400"/>
      <c r="CN21" s="401"/>
      <c r="CO21" s="400"/>
      <c r="CP21" s="401"/>
      <c r="CQ21" s="400"/>
      <c r="CR21" s="401"/>
      <c r="CS21" s="400"/>
      <c r="CT21" s="401"/>
      <c r="CU21" s="400"/>
      <c r="CV21" s="401"/>
      <c r="CW21" s="400"/>
      <c r="CX21" s="401"/>
      <c r="CY21" s="400"/>
      <c r="CZ21" s="401"/>
      <c r="DA21" s="400"/>
      <c r="DB21" s="401"/>
      <c r="DC21" s="400"/>
      <c r="DD21" s="401"/>
      <c r="DE21" s="400"/>
      <c r="DF21" s="401"/>
      <c r="DG21" s="400"/>
      <c r="DH21" s="401"/>
      <c r="DI21" s="400"/>
      <c r="DJ21" s="401"/>
      <c r="DK21" s="400"/>
      <c r="DL21" s="401"/>
      <c r="DM21" s="400"/>
      <c r="DN21" s="401"/>
      <c r="DO21" s="400"/>
      <c r="DP21" s="401"/>
      <c r="DQ21" s="400"/>
      <c r="DR21" s="401"/>
      <c r="DS21" s="400"/>
      <c r="DT21" s="401"/>
      <c r="DU21" s="400"/>
      <c r="DV21" s="401"/>
      <c r="DW21" s="400"/>
      <c r="DX21" s="401"/>
      <c r="DY21" s="400"/>
      <c r="DZ21" s="401"/>
      <c r="EA21" s="400"/>
      <c r="EB21" s="401"/>
      <c r="EC21" s="400"/>
      <c r="ED21" s="401"/>
      <c r="EE21" s="400"/>
      <c r="EF21" s="401"/>
      <c r="EG21" s="400"/>
      <c r="EH21" s="401"/>
      <c r="EI21" s="400"/>
      <c r="EJ21" s="447"/>
      <c r="EK21" s="510"/>
      <c r="EL21" s="513"/>
      <c r="EM21" s="520"/>
      <c r="EN21" s="520"/>
      <c r="EO21" s="520"/>
      <c r="EP21" s="171">
        <f t="shared" si="22"/>
        <v>5</v>
      </c>
      <c r="EQ21" s="171">
        <f t="shared" si="23"/>
        <v>0</v>
      </c>
      <c r="ER21" s="171">
        <f t="shared" si="24"/>
        <v>0</v>
      </c>
      <c r="ES21" s="171">
        <f t="shared" si="25"/>
        <v>0</v>
      </c>
      <c r="ET21" s="171">
        <f t="shared" si="26"/>
        <v>0</v>
      </c>
      <c r="EU21" s="171">
        <f t="shared" si="27"/>
        <v>0</v>
      </c>
      <c r="EV21" s="172">
        <f t="shared" si="28"/>
        <v>5</v>
      </c>
      <c r="EW21" s="367">
        <f>IF(C21=4,IF(MAX(Q21:EJ23)&gt;0,(Especiall/30*(IF(($G21-$F21)=($G$5-$F$5),30,IF(DAY($G21)=31,($G21-$F21),($G21-$F21)+1)))),0),0)</f>
        <v>0</v>
      </c>
      <c r="EX21" s="248">
        <f t="shared" ref="EX21:EX24" si="40">FF21</f>
        <v>10959.59</v>
      </c>
      <c r="EY21" s="174">
        <f>(L21*regular)+(M21*Cadeirantee)</f>
        <v>0</v>
      </c>
      <c r="EZ21" s="249">
        <f>SUMIF(FG21:GJ21,"&gt;0")</f>
        <v>0</v>
      </c>
      <c r="FA21" s="249">
        <f>SUMIF(FG21:GJ21,"&lt;0")+SUMIF(GN21:HP21,"&lt;0")</f>
        <v>-218.29700000000003</v>
      </c>
      <c r="FB21" s="174">
        <v>0</v>
      </c>
      <c r="FC21" s="175">
        <f>N21*km*'VALORES TABELA'!$B$13</f>
        <v>0</v>
      </c>
      <c r="FD21" s="250">
        <f>GL21</f>
        <v>0</v>
      </c>
      <c r="FE21" s="176">
        <f>(EW21+EW22+EW23+EW24+EX21+EX22+EX23+EX24+EY21+EY22+EY23+EY24+EY25+EZ21+EZ22+EZ23+EZ24+FA21+FA22+FA23+FA24+FC21+FC22+FC23+FC24+HY21-HZ21-IA21+FD21+FD22+FD23+FD24+FB25)</f>
        <v>10741.293</v>
      </c>
      <c r="FF21" s="177">
        <f>IF(C21=4,SUM(Q21+Q22+Q23+S21+S22+S23)*Percapita/30*FF$4+(R21+R22+R23+T21+T22+T23)*Cadeirante/30*FF$4,IF(C21=3,IF(Q24+S24=10,Fixo/30*FF$4+(Q21+Q22+Q23+S21+S22+S23)*Percapita/30*FF$4+(R24+T24)*Cadeirante/30*FF$4,IF(Q24+S24&lt;=9,(Q24+S24)*Crechee/30*FF$4)+(R24+T24)*Cadeirante/30*FF$4+(Q21+Q22+Q23+S21+S22+S23)*Percapita/30*FF$4)+IF(Q24+S24&gt;=11,Fixo/30*FF$4+(Q24+S24-10)*Crechee/30*FF$4,0),IF(C21=2,IF(R21+R22+R23+R24+T21+T22+T23+T24=1,Cadeirante/30*FF$4,IF(R21+R22+R23+R24+T21+T22+T23+T24=2,Fixo/30*FF$4,IF(R21+R22+R23+R24+T21+T22+T23+T24&gt;2,Fixo/30*FF$4+(R21+R22+R23+R24+T21+T22+T23+T24-2)*Cadeirante/30*FF$4)))+(Q21+Q22+Q23+S21+S22+S23)*Percapita/30*FF$4+(Q24+S24)*Crechee/30*FF$4,IF(C21=1,IF(Q21+Q22+Q23+R21+R22+R23+S21+S22+S23+T21+T22+T23&lt;=15,(Q21+Q22+Q23+S21+S22+S23)*Percapita/30*FF$4,IF(Q21+Q22+Q23+R21+R22+R23+S21+S22+S23+T21+T22+T23&gt;=16,Fixo/30*FF$4+(Q21+Q22+Q23+R21+R22+R23+S21+S22+S23+T21+T22-16)*Percapita/30*FF$4))))))</f>
        <v>10959.59</v>
      </c>
      <c r="FG21" s="177">
        <f>IF(C21=4,SUM(U21+U22+U23+W21+W22+W23)*Percapita/30*FG$4+(V21+V22+V23+X21+X22+X23)*Cadeirante/30*FG$4,IF(C21=3,IF(U24+W24=10,Fixo/30*FG$4+(U21+U22+U23+W21+W22+W23)*Percapita/30*FG$4+(V24+X24)*Cadeirante/30*FG$4,IF(U24+W24&lt;=9,(U24+W24)*Crechee/30*FG$4)+(V24+X24)*Cadeirante/30*FG$4+(U21+U22+U23+W21+W22+W23)*Percapita/30*FG$4)+IF(U24+W24&gt;=11,Fixo/30*FG$4+(U24+W24-10)*Crechee/30*FG$4,0),IF(C21=2,IF(V21+V22+V23+V24+X21+X22+X23+X24=1,Cadeirante/30*FG$4,IF(V21+V22+V23+V24+X21+X22+X23+X24=2,Fixo/30*FG$4,IF(V21+V22+V23+V24+X21+X22+X23+X24&gt;2,Fixo/30*FG$4+(V21+V22+V23+V24+X21+X22+X23+X24-2)*Cadeirante/30*FG$4)))+(U21+U22+U23+W21+W22+W23)*Percapita/30*FG$4+(U24+W24)*Crechee/30*FG$4,IF(C21=1,IF(U21+U22+U23+V21+V22+V23+W21+W22+W23+X21+X22+X23&lt;=15,(U21+U22+U23+W21+W22+W23)*Percapita/30*FG$4,IF(U21+U22+U23+V21+V22+V23+W21+W22+W23+X21+X22+X23&gt;=16,Fixo/30*FG$4+(U21+U22+U23+V21+V22+V23+W21+W22+W23+X21+X22-16)*Percapita/30*FG$4))))))</f>
        <v>0</v>
      </c>
      <c r="FH21" s="177">
        <f>IF(C21=4,SUM(Y21+Y22+Y23+AA21+AA22+AA23)*Percapita/30*FH$4+(Z21+Z22+Z23+AB21+AB22+AB23)*Cadeirante/30*FH$4,IF(C21=3,IF(Y24+AA24=10,Fixo/30*FH$4+(Y21+Y22+Y23+AA21+AA22+AA23)*Percapita/30*FH$4+(Z24+AB24)*Cadeirante/30*FH$4,IF(Y24+AA24&lt;=9,(Y24+AA24)*Crechee/30*FH$4)+(Z24+AB24)*Cadeirante/30*FH$4+(Y21+Y22+Y23+AA21+AA22+AA23)*Percapita/30*FH$4)+IF(Y24+AA24&gt;=11,Fixo/30*FH$4+(Y24+AA24-10)*Crechee/30*FH$4,0),IF(C21=2,IF(Z21+Z22+Z23+Z24+AB21+AB22+AB23+AB24=1,Cadeirante/30*FH$4,IF(Z21+Z22+Z23+Z24+AB21+AB22+AB23+AB24=2,Fixo/30*FH$4,IF(Z21+Z22+Z23+Z24+AB21+AB22+AB23+AB24&gt;2,Fixo/30*FH$4+(Z21+Z22+Z23+Z24+AB21+AB22+AB23+AB24-2)*Cadeirante/30*FH$4)))+(Y21+Y22+Y23+AA21+AA22+AA23)*Percapita/30*FH$4+(Y24+AA24)*Crechee/30*FH$4,IF(C21=1,IF(Y21+Y22+Y23+Z21+Z22+Z23+AA21+AA22+AA23+AB21+AB22+AB23&lt;=15,(Y21+Y22+Y23+AA21+AA22+AA23)*Percapita/30*FH$4,IF(Y21+Y22+Y23+Z21+Z22+Z23+AA21+AA22+AA23+AB21+AB22+AB23&gt;=16,Fixo/30*FH$4+(Y21+Y22+Y23+Z21+Z22+Z23+AA21+AA22+AA23+AB21+AB22-16)*Percapita/30*FH$4))))))</f>
        <v>0</v>
      </c>
      <c r="FI21" s="177">
        <f>IF(C21=4,SUM(AC21+AC22+AC23+AE21+AE22+AE23)*Percapita/30*FI$4+(AD21+AD22+AD23+AF21+AF22+AF23)*Cadeirante/30*FI$4,IF(C21=3,IF(AC24+AE24=10,Fixo/30*FI$4+(AC21+AC22+AC23+AE21+AE22+AE23)*Percapita/30*FI$4+(AD24+AF24)*Cadeirante/30*FI$4,IF(AC24+AE24&lt;=9,(AC24+AE24)*Crechee/30*FI$4)+(AD24+AF24)*Cadeirante/30*FI$4+(AC21+AC22+AC23+AE21+AE22+AE23)*Percapita/30*FI$4)+IF(AC24+AE24&gt;=11,Fixo/30*FI$4+(AC24+AE24-10)*Crechee/30*FI$4,0),IF(C21=2,IF(AD21+AD22+AD23+AD24+AF21+AF22+AF23+AF24=1,Cadeirante/30*FI$4,IF(AD21+AD22+AD23+AD24+AF21+AF22+AF23+AF24=2,Fixo/30*FI$4,IF(AD21+AD22+AD23+AD24+AF21+AF22+AF23+AF24&gt;2,Fixo/30*FI$4+(AD21+AD22+AD23+AD24+AF21+AF22+AF23+AF24-2)*Cadeirante/30*FI$4)))+(AC21+AC22+AC23+AE21+AE22+AE23)*Percapita/30*FI$4+(AC24+AE24)*Crechee/30*FI$4,IF(C21=1,IF(AC21+AC22+AC23+AD21+AD22+AD23+AE21+AE22+AE23+AF21+AF22+AF23&lt;=15,(AC21+AC22+AC23+AE21+AE22+AE23)*Percapita/30*FI$4,IF(AC21+AC22+AC23+AD21+AD22+AD23+AE21+AE22+AE23+AF21+AF22+AF23&gt;=16,Fixo/30*FI$4+(AC21+AC22+AC23+AD21+AD22+AD23+AE21+AE22+AE23+AF21+AF22-16)*Percapita/30*FI$4))))))</f>
        <v>0</v>
      </c>
      <c r="FJ21" s="177">
        <f>IF(C21=4,SUM(AG21+AG22+AG23+AI21+AI22+AI23)*Percapita/30*FJ$4+(AH21+AH22+AH23+AJ21+AJ22+AJ23)*Cadeirante/30*FJ$4,IF(C21=3,IF(AG24+AI24=10,Fixo/30*FJ$4+(AG21+AG22+AG23+AI21+AI22+AI23)*Percapita/30*FJ$4+(AH24+AJ24)*Cadeirante/30*FJ$4,IF(AG24+AI24&lt;=9,(AG24+AI24)*Crechee/30*FJ$4)+(AH24+AJ24)*Cadeirante/30*FJ$4+(AG21+AG22+AG23+AI21+AI22+AI23)*Percapita/30*FJ$4)+IF(AG24+AI24&gt;=11,Fixo/30*FJ$4+(AG24+AI24-10)*Crechee/30*FJ$4,0),IF(C21=2,IF(AH21+AH22+AH23+AH24+AJ21+AJ22+AJ23+AJ24=1,Cadeirante/30*FJ$4,IF(AH21+AH22+AH23+AH24+AJ21+AJ22+AJ23+AJ24=2,Fixo/30*FJ$4,IF(AH21+AH22+AH23+AH24+AJ21+AJ22+AJ23+AJ24&gt;2,Fixo/30*FJ$4+(AH21+AH22+AH23+AH24+AJ21+AJ22+AJ23+AJ24-2)*Cadeirante/30*FJ$4)))+(AG21+AG22+AG23+AI21+AI22+AI23)*Percapita/30*FJ$4+(AG24+AI24)*Crechee/30*FJ$4,IF(C21=1,IF(AG21+AG22+AG23+AH21+AH22+AH23+AI21+AI22+AI23+AJ21+AJ22+AJ23&lt;=15,(AG21+AG22+AG23+AI21+AI22+AI23)*Percapita/30*FJ$4,IF(AG21+AG22+AG23+AH21+AH22+AH23+AI21+AI22+AI23+AJ21+AJ22+AJ23&gt;=16,Fixo/30*FJ$4+(AG21+AG22+AG23+AH21+AH22+AH23+AI21+AI22+AI23+AJ21+AJ22-16)*Percapita/30*FJ$4))))))</f>
        <v>0</v>
      </c>
      <c r="FK21" s="177">
        <f>IF(C21=4,SUM(AK21+AK22+AK23+AM21+AM22+AM23)*Percapita/30*FK$4+(AL21+AL22+AL23+AN21+AN22+AN23)*Cadeirante/30*FK$4,IF(C21=3,IF(AK24+AM24=10,Fixo/30*FK$4+(AK21+AK22+AK23+AM21+AM22+AM23)*Percapita/30*FK$4+(AL24+AN24)*Cadeirante/30*FK$4,IF(AK24+AM24&lt;=9,(AK24+AM24)*Crechee/30*FK$4)+(AL24+AN24)*Cadeirante/30*FK$4+(AK21+AK22+AK23+AM21+AM22+AM23)*Percapita/30*FK$4)+IF(AK24+AM24&gt;=11,Fixo/30*FK$4+(AK24+AM24-10)*Crechee/30*FK$4,0),IF(C21=2,IF(AL21+AL22+AL23+AL24+AN21+AN22+AN23+AN24=1,Cadeirante/30*FK$4,IF(AL21+AL22+AL23+AL24+AN21+AN22+AN23+AN24=2,Fixo/30*FK$4,IF(AL21+AL22+AL23+AL24+AN21+AN22+AN23+AN24&gt;2,Fixo/30*FK$4+(AL21+AL22+AL23+AL24+AN21+AN22+AN23+AN24-2)*Cadeirante/30*FK$4)))+(AK21+AK22+AK23+AM21+AM22+AM23)*Percapita/30*FK$4+(AK24+AM24)*Crechee/30*FK$4,IF(C21=1,IF(AK21+AK22+AK23+AL21+AL22+AL23+AM21+AM22+AM23+AN21+AN22+AN23&lt;=15,(AK21+AK22+AK23+AM21+AM22+AM23)*Percapita/30*FK$4,IF(AK21+AK22+AK23+AL21+AL22+AL23+AM21+AM22+AM23+AN21+AN22+AN23&gt;=16,Fixo/30*FK$4+(AK21+AK22+AK23+AL21+AL22+AL23+AM21+AM22+AM23+AN21+AN22-16)*Percapita/30*FK$4))))))</f>
        <v>0</v>
      </c>
      <c r="FL21" s="177">
        <f>IF(C21=4,SUM(AO21+AO22+AO23+AQ21+AQ22+AQ23)*Percapita/30*FL$4+(AP21+AP22+AP23+AR21+AR22+AR23)*Cadeirante/30*FL$4,IF(C21=3,IF(AO24+AQ24=10,Fixo/30*FL$4+(AO21+AO22+AO23+AQ21+AQ22+AQ23)*Percapita/30*FL$4+(AP24+AR24)*Cadeirante/30*FL$4,IF(AO24+AQ24&lt;=9,(AO24+AQ24)*Crechee/30*FL$4)+(AP24+AR24)*Cadeirante/30*FL$4+(AO21+AO22+AO23+AQ21+AQ22+AQ23)*Percapita/30*FL$4)+IF(AO24+AQ24&gt;=11,Fixo/30*FL$4+(AO24+AQ24-10)*Crechee/30*FL$4,0),IF(C21=2,IF(AP21+AP22+AP23+AP24+AR21+AR22+AR23+AR24=1,Cadeirante/30*FL$4,IF(AP21+AP22+AP23+AP24+AR21+AR22+AR23+AR24=2,Fixo/30*FL$4,IF(AP21+AP22+AP23+AP24+AR21+AR22+AR23+AR24&gt;2,Fixo/30*FL$4+(AP21+AP22+AP23+AP24+AR21+AR22+AR23+AR24-2)*Cadeirante/30*FL$4)))+(AO21+AO22+AO23+AQ21+AQ22+AQ23)*Percapita/30*FL$4+(AO24+AQ24)*Crechee/30*FL$4,IF(C21=1,IF(AO21+AO22+AO23+AP21+AP22+AP23+AQ21+AQ22+AQ23+AR21+AR22+AR23&lt;=15,(AO21+AO22+AO23+AQ21+AQ22+AQ23)*Percapita/30*FL$4,IF(AO21+AO22+AO23+AP21+AP22+AP23+AQ21+AQ22+AQ23+AR21+AR22+AR23&gt;=16,Fixo/30*FL$4+(AO21+AO22+AO23+AP21+AP22+AP23+AQ21+AQ22+AQ23+AR21+AR22-16)*Percapita/30*FL$4))))))</f>
        <v>0</v>
      </c>
      <c r="FM21" s="177">
        <f>IF(C21=4,SUM(AS21+AS22+AS23+AU21+AU22+AU23)*Percapita/30*FM$4+(AT21+AT22+AT23+AV21+AV22+AV23)*Cadeirante/30*FM$4,IF(C21=3,IF(AS24+AU24=10,Fixo/30*FM$4+(AS21+AS22+AS23+AU21+AU22+AU23)*Percapita/30*FM$4+(AT24+AV24)*Cadeirante/30*FM$4,IF(AS24+AU24&lt;=9,(AS24+AU24)*Crechee/30*FM$4)+(AT24+AV24)*Cadeirante/30*FM$4+(AS21+AS22+AS23+AU21+AU22+AU23)*Percapita/30*FM$4)+IF(AS24+AU24&gt;=11,Fixo/30*FM$4+(AS24+AU24-10)*Crechee/30*FM$4,0),IF(C21=2,IF(AT21+AT22+AT23+AT24+AV21+AV22+AV23+AV24=1,Cadeirante/30*FM$4,IF(AT21+AT22+AT23+AT24+AV21+AV22+AV23+AV24=2,Fixo/30*FM$4,IF(AT21+AT22+AT23+AT24+AV21+AV22+AV23+AV24&gt;2,Fixo/30*FM$4+(AT21+AT22+AT23+AT24+AV21+AV22+AV23+AV24-2)*Cadeirante/30*FM$4)))+(AS21+AS22+AS23+AU21+AU22+AU23)*Percapita/30*FM$4+(AS24+AU24)*Crechee/30*FM$4,IF(C21=1,IF(AS21+AS22+AS23+AT21+AT22+AT23+AU21+AU22+AU23+AV21+AV22+AV23&lt;=15,(AS21+AS22+AS23+AU21+AU22+AU23)*Percapita/30*FM$4,IF(AS21+AS22+AS23+AT21+AT22+AT23+AU21+AU22+AU23+AV21+AV22+AV23&gt;=16,Fixo/30*FM$4+(AS21+AS22+AS23+AT21+AT22+AT23+AU21+AU22+AU23+AV21+AV22-16)*Percapita/30*FM$4))))))</f>
        <v>0</v>
      </c>
      <c r="FN21" s="177">
        <f>IF(C21=4,SUM(AW21+AW22+AW23+AY21+AY22+AY23)*Percapita/30*FN$4+(AX21+AX22+AX23+AZ21+AZ22+AZ23)*Cadeirante/30*FN$4,IF(C21=3,IF(AW24+AY24=10,Fixo/30*FN$4+(AW21+AW22+AW23+AY21+AY22+AY23)*Percapita/30*FN$4+(AX24+AZ24)*Cadeirante/30*FN$4,IF(AW24+AY24&lt;=9,(AW24+AY24)*Crechee/30*FN$4)+(AX24+AZ24)*Cadeirante/30*FN$4+(AW21+AW22+AW23+AY21+AY22+AY23)*Percapita/30*FN$4)+IF(AW24+AY24&gt;=11,Fixo/30*FN$4+(AW24+AY24-10)*Crechee/30*FN$4,0),IF(C21=2,IF(AX21+AX22+AX23+AX24+AZ21+AZ22+AZ23+AZ24=1,Cadeirante/30*FN$4,IF(AX21+AX22+AX23+AX24+AZ21+AZ22+AZ23+AZ24=2,Fixo/30*FN$4,IF(AX21+AX22+AX23+AX24+AZ21+AZ22+AZ23+AZ24&gt;2,Fixo/30*FN$4+(AX21+AX22+AX23+AX24+AZ21+AZ22+AZ23+AZ24-2)*Cadeirante/30*FN$4)))+(AW21+AW22+AW23+AY21+AY22+AY23)*Percapita/30*FN$4+(AW24+AY24)*Crechee/30*FN$4,IF(C21=1,IF(AW21+AW22+AW23+AX21+AX22+AX23+AY21+AY22+AY23+AZ21+AZ22+AZ23&lt;=15,(AW21+AW22+AW23+AY21+AY22+AY23)*Percapita/30*FN$4,IF(AW21+AW22+AW23+AX21+AX22+AX23+AY21+AY22+AY23+AZ21+AZ22+AZ23&gt;=16,Fixo/30*FN$4+(AW21+AW22+AW23+AX21+AX22+AX23+AY21+AY22+AY23+AZ21+AZ22-16)*Percapita/30*FN$4))))))</f>
        <v>0</v>
      </c>
      <c r="FO21" s="177">
        <f>IF(C21=4,SUM(BA21+BA22+BA23+BC21+BC22+BC23)*Percapita/30*FO$4+(BB21+BB22+BB23+BD21+BD22+BD23)*Cadeirante/30*FO$4,IF(C21=3,IF(BA24+BC24=10,Fixo/30*FO$4+(BA21+BA22+BA23+BC21+BC22+BC23)*Percapita/30*FO$4+(BB24+BD24)*Cadeirante/30*FO$4,IF(BA24+BC24&lt;=9,(BA24+BC24)*Crechee/30*FO$4)+(BB24+BD24)*Cadeirante/30*FO$4+(BA21+BA22+BA23+BC21+BC22+BC23)*Percapita/30*FO$4)+IF(BA24+BC24&gt;=11,Fixo/30*FO$4+(BA24+BC24-10)*Crechee/30*FO$4,0),IF(C21=2,IF(BB21+BB22+BB23+BB24+BD21+BD22+BD23+BD24=1,Cadeirante/30*FO$4,IF(BB21+BB22+BB23+BB24+BD21+BD22+BD23+BD24=2,Fixo/30*FO$4,IF(BB21+BB22+BB23+BB24+BD21+BD22+BD23+BD24&gt;2,Fixo/30*FO$4+(BB21+BB22+BB23+BB24+BD21+BD22+BD23+BD24-2)*Cadeirante/30*FO$4)))+(BA21+BA22+BA23+BC21+BC22+BC23)*Percapita/30*FO$4+(BA24+BC24)*Crechee/30*FO$4,IF(C21=1,IF(BA21+BA22+BA23+BB21+BB22+BB23+BC21+BC22+BC23+BD21+BD22+BD23&lt;=15,(BA21+BA22+BA23+BC21+BC22+BC23)*Percapita/30*FO$4,IF(BA21+BA22+BA23+BB21+BB22+BB23+BC21+BC22+BC23+BD21+BD22+BD23&gt;=16,Fixo/30*FO$4+(BA21+BA22+BA23+BB21+BB22+BB23+BC21+BC22+BC23+BD21+BD22-16)*Percapita/30*FO$4))))))</f>
        <v>0</v>
      </c>
      <c r="FP21" s="177">
        <f>IF(C21=4,SUM(BE21+BE22+BE23+BG21+BG22+BG23)*Percapita/30*FP$4+(BF21+BF22+BF23+BH21+BH22+BH23)*Cadeirante/30*FP$4,IF(C21=3,IF(BE24+BG24=10,Fixo/30*FP$4+(BE21+BE22+BE23+BG21+BG22+BG23)*Percapita/30*FP$4+(BF24+BH24)*Cadeirante/30*FP$4,IF(BE24+BG24&lt;=9,(BE24+BG24)*Crechee/30*FP$4)+(BF24+BH24)*Cadeirante/30*FP$4+(BE21+BE22+BE23+BG21+BG22+BG23)*Percapita/30*FP$4)+IF(BE24+BG24&gt;=11,Fixo/30*FP$4+(BE24+BG24-10)*Crechee/30*FP$4,0),IF(C21=2,IF(BF21+BF22+BF23+BF24+BH21+BH22+BH23+BH24=1,Cadeirante/30*FP$4,IF(BF21+BF22+BF23+BF24+BH21+BH22+BH23+BH24=2,Fixo/30*FP$4,IF(BF21+BF22+BF23+BF24+BH21+BH22+BH23+BH24&gt;2,Fixo/30*FP$4+(BF21+BF22+BF23+BF24+BH21+BH22+BH23+BH24-2)*Cadeirante/30*FP$4)))+(BE21+BE22+BE23+BG21+BG22+BG23)*Percapita/30*FP$4+(BE24+BG24)*Crechee/30*FP$4,IF(C21=1,IF(BE21+BE22+BE23+BF21+BF22+BF23+BG21+BG22+BG23+BH21+BH22+BH23&lt;=15,(BE21+BE22+BE23+BG21+BG22+BG23)*Percapita/30*FP$4,IF(BE21+BE22+BE23+BF21+BF22+BF23+BG21+BG22+BG23+BH21+BH22+BH23&gt;=16,Fixo/30*FP$4+(BE21+BE22+BE23+BF21+BF22+BF23+BG21+BG22+BG23+BH21+BH22-16)*Percapita/30*FP$4))))))</f>
        <v>0</v>
      </c>
      <c r="FQ21" s="177">
        <f>IF(C21=4,SUM(BI21+BI22+BI23+BK21+BK22+BK23)*Percapita/30*FQ$4+(BJ21+BJ22+BJ23+BL21+BL22+BL23)*Cadeirante/30*FQ$4,IF(C21=3,IF(BI24+BK24=10,Fixo/30*FQ$4+(BI21+BI22+BI23+BK21+BK22+BK23)*Percapita/30*FQ$4+(BJ24+BL24)*Cadeirante/30*FQ$4,IF(BI24+BK24&lt;=9,(BI24+BK24)*Crechee/30*FQ$4)+(BJ24+BL24)*Cadeirante/30*FQ$4+(BI21+BI22+BI23+BK21+BK22+BK23)*Percapita/30*FQ$4)+IF(BI24+BK24&gt;=11,Fixo/30*FQ$4+(BI24+BK24-10)*Crechee/30*FQ$4,0),IF(C21=2,IF(BJ21+BJ22+BJ23+BJ24+BL21+BL22+BL23+BL24=1,Cadeirante/30*FQ$4,IF(BJ21+BJ22+BJ23+BJ24+BL21+BL22+BL23+BL24=2,Fixo/30*FQ$4,IF(BJ21+BJ22+BJ23+BJ24+BL21+BL22+BL23+BL24&gt;2,Fixo/30*FQ$4+(BJ21+BJ22+BJ23+BJ24+BL21+BL22+BL23+BL24-2)*Cadeirante/30*FQ$4)))+(BI21+BI22+BI23+BK21+BK22+BK23)*Percapita/30*FQ$4+(BI24+BK24)*Crechee/30*FQ$4,IF(C21=1,IF(BI21+BI22+BI23+BJ21+BJ22+BJ23+BK21+BK22+BK23+BL21+BL22+BL23&lt;=15,(BI21+BI22+BI23+BK21+BK22+BK23)*Percapita/30*FQ$4,IF(BI21+BI22+BI23+BJ21+BJ22+BJ23+BK21+BK22+BK23+BL21+BL22+BL23&gt;=16,Fixo/30*FQ$4+(BI21+BI22+BI23+BJ21+BJ22+BJ23+BK21+BK22+BK23+BL21+BL22-16)*Percapita/30*FQ$4))))))</f>
        <v>0</v>
      </c>
      <c r="FR21" s="177">
        <f>IF(C21=4,SUM(BM21+BM22+BM23+BO21+BO22+BO23)*Percapita/30*FR$4+(BN21+BN22+BN23+BP21+BP22+BP23)*Cadeirante/30*FR$4,IF(C21=3,IF(BM24+BO24=10,Fixo/30*FR$4+(BM21+BM22+BM23+BO21+BO22+BO23)*Percapita/30*FR$4+(BN24+BP24)*Cadeirante/30*FR$4,IF(BM24+BO24&lt;=9,(BM24+BO24)*Crechee/30*FR$4)+(BN24+BP24)*Cadeirante/30*FR$4+(BM21+BM22+BM23+BO21+BO22+BO23)*Percapita/30*FR$4)+IF(BM24+BO24&gt;=11,Fixo/30*FR$4+(BM24+BO24-10)*Crechee/30*FR$4,0),IF(C21=2,IF(BN21+BN22+BN23+BN24+BP21+BP22+BP23+BP24=1,Cadeirante/30*FR$4,IF(BN21+BN22+BN23+BN24+BP21+BP22+BP23+BP24=2,Fixo/30*FR$4,IF(BN21+BN22+BN23+BN24+BP21+BP22+BP23+BP24&gt;2,Fixo/30*FR$4+(BN21+BN22+BN23+BN24+BP21+BP22+BP23+BP24-2)*Cadeirante/30*FR$4)))+(BM21+BM22+BM23+BO21+BO22+BO23)*Percapita/30*FR$4+(BM24+BO24)*Crechee/30*FR$4,IF(C21=1,IF(BM21+BM22+BM23+BN21+BN22+BN23+BO21+BO22+BO23+BP21+BP22+BP23&lt;=15,(BM21+BM22+BM23+BO21+BO22+BO23)*Percapita/30*FR$4,IF(BM21+BM22+BM23+BN21+BN22+BN23+BO21+BO22+BO23+BP21+BP22+BP23&gt;=16,Fixo/30*FR$4+(BM21+BM22+BM23+BN21+BN22+BN23+BO21+BO22+BO23+BP21+BP22-16)*Percapita/30*FR$4))))))</f>
        <v>0</v>
      </c>
      <c r="FS21" s="177">
        <f>IF(C21=4,SUM(BQ21+BQ22+BQ23+BS21+BS22+BS23)*Percapita/30*FS$4+(BR21+BR22+BR23+BT21+BT22+BT23)*Cadeirante/30*FS$4,IF(C21=3,IF(BQ24+BS24=10,Fixo/30*FS$4+(BQ21+BQ22+BQ23+BS21+BS22+BS23)*Percapita/30*FS$4+(BR24+BT24)*Cadeirante/30*FS$4,IF(BQ24+BS24&lt;=9,(BQ24+BS24)*Crechee/30*FS$4)+(BR24+BT24)*Cadeirante/30*FS$4+(BQ21+BQ22+BQ23+BS21+BS22+BS23)*Percapita/30*FS$4)+IF(BQ24+BS24&gt;=11,Fixo/30*FS$4+(BQ24+BS24-10)*Crechee/30*FS$4,0),IF(C21=2,IF(BR21+BR22+BR23+BR24+BT21+BT22+BT23+BT24=1,Cadeirante/30*FS$4,IF(BR21+BR22+BR23+BR24+BT21+BT22+BT23+BT24=2,Fixo/30*FS$4,IF(BR21+BR22+BR23+BR24+BT21+BT22+BT23+BT24&gt;2,Fixo/30*FS$4+(BR21+BR22+BR23+BR24+BT21+BT22+BT23+BT24-2)*Cadeirante/30*FS$4)))+(BQ21+BQ22+BQ23+BS21+BS22+BS23)*Percapita/30*FS$4+(BQ24+BS24)*Crechee/30*FS$4,IF(C21=1,IF(BQ21+BQ22+BQ23+BR21+BR22+BR23+BS21+BS22+BS23+BT21+BT22+BT23&lt;=15,(BQ21+BQ22+BQ23+BS21+BS22+BS23)*Percapita/30*FS$4,IF(BQ21+BQ22+BQ23+BR21+BR22+BR23+BS21+BS22+BS23+BT21+BT22+BT23&gt;=16,Fixo/30*FS$4+(BQ21+BQ22+BQ23+BR21+BR22+BR23+BS21+BS22+BS23+BT21+BT22-16)*Percapita/30*FS$4))))))</f>
        <v>-218.29700000000003</v>
      </c>
      <c r="FT21" s="177">
        <f>IF(C21=4,SUM(BU21+BU22+BU23+BW21+BW22+BW23)*Percapita/30*FT$4+(BV21+BV22+BV23+BX21+BX22+BX23)*Cadeirante/30*FT$4,IF(C21=3,IF(BU24+BW24=10,Fixo/30*FT$4+(BU21+BU22+BU23+BW21+BW22+BW23)*Percapita/30*FT$4+(BV24+BX24)*Cadeirante/30*FT$4,IF(BU24+BW24&lt;=9,(BU24+BW24)*Crechee/30*FT$4)+(BV24+BX24)*Cadeirante/30*FT$4+(BU21+BU22+BU23+BW21+BW22+BW23)*Percapita/30*FT$4)+IF(BU24+BW24&gt;=11,Fixo/30*FT$4+(BU24+BW24-10)*Crechee/30*FT$4,0),IF(C21=2,IF(BV21+BV22+BV23+BV24+BX21+BX22+BX23+BX24=1,Cadeirante/30*FT$4,IF(BV21+BV22+BV23+BV24+BX21+BX22+BX23+BX24=2,Fixo/30*FT$4,IF(BV21+BV22+BV23+BV24+BX21+BX22+BX23+BX24&gt;2,Fixo/30*FT$4+(BV21+BV22+BV23+BV24+BX21+BX22+BX23+BX24-2)*Cadeirante/30*FT$4)))+(BU21+BU22+BU23+BW21+BW22+BW23)*Percapita/30*FT$4+(BU24+BW24)*Crechee/30*FT$4,IF(C21=1,IF(BU21+BU22+BU23+BV21+BV22+BV23+BW21+BW22+BW23+BX21+BX22+BX23&lt;=15,(BU21+BU22+BU23+BW21+BW22+BW23)*Percapita/30*FT$4,IF(BU21+BU22+BU23+BV21+BV22+BV23+BW21+BW22+BW23+BX21+BX22+BX23&gt;=16,Fixo/30*FT$4+(BU21+BU22+BU23+BV21+BV22+BV23+BW21+BW22+BW23+BX21+BX22-16)*Percapita/30*FT$4))))))</f>
        <v>0</v>
      </c>
      <c r="FU21" s="177">
        <f>IF(C21=4,SUM(BY21+BY22+BY23+CA21+CA22+CA23)*Percapita/30*FU$4+(BZ21+BZ22+BZ23+CB21+CB22+CB23)*Cadeirante/30*FU$4,IF(C21=3,IF(BY24+CA24=10,Fixo/30*FU$4+(BY21+BY22+BY23+CA21+CA22+CA23)*Percapita/30*FU$4+(BZ24+CB24)*Cadeirante/30*FU$4,IF(BY24+CA24&lt;=9,(BY24+CA24)*Crechee/30*FU$4)+(BZ24+CB24)*Cadeirante/30*FU$4+(BY21+BY22+BY23+CA21+CA22+CA23)*Percapita/30*FU$4)+IF(BY24+CA24&gt;=11,Fixo/30*FU$4+(BY24+CA24-10)*Crechee/30*FU$4,0),IF(C21=2,IF(BZ21+BZ22+BZ23+BZ24+CB21+CB22+CB23+CB24=1,Cadeirante/30*FU$4,IF(BZ21+BZ22+BZ23+BZ24+CB21+CB22+CB23+CB24=2,Fixo/30*FU$4,IF(BZ21+BZ22+BZ23+BZ24+CB21+CB22+CB23+CB24&gt;2,Fixo/30*FU$4+(BZ21+BZ22+BZ23+BZ24+CB21+CB22+CB23+CB24-2)*Cadeirante/30*FU$4)))+(BY21+BY22+BY23+CA21+CA22+CA23)*Percapita/30*FU$4+(BY24+CA24)*Crechee/30*FU$4,IF(C21=1,IF(BY21+BY22+BY23+BZ21+BZ22+BZ23+CA21+CA22+CA23+CB21+CB22+CB23&lt;=15,(BY21+BY22+BY23+CA21+CA22+CA23)*Percapita/30*FU$4,IF(BY21+BY22+BY23+BZ21+BZ22+BZ23+CA21+CA22+CA23+CB21+CB22+CB23&gt;=16,Fixo/30*FU$4+(BY21+BY22+BY23+BZ21+BZ22+BZ23+CA21+CA22+CA23+CB21+CB22-16)*Percapita/30*FU$4))))))</f>
        <v>0</v>
      </c>
      <c r="FV21" s="177">
        <f>IF(C21=4,SUM(CC21+CC22+CC23+CE21+CE22+CE23)*Percapita/30*FV$4+(CD21+CD22+CD23+CF21+CF22+CF23)*Cadeirante/30*FV$4,IF(C21=3,IF(CC24+CE24=10,Fixo/30*FV$4+(CC21+CC22+CC23+CE21+CE22+CE23)*Percapita/30*FV$4+(CD24+CF24)*Cadeirante/30*FV$4,IF(CC24+CE24&lt;=9,(CC24+CE24)*Crechee/30*FV$4)+(CD24+CF24)*Cadeirante/30*FV$4+(CC21+CC22+CC23+CE21+CE22+CE23)*Percapita/30*FV$4)+IF(CC24+CE24&gt;=11,Fixo/30*FV$4+(CC24+CE24-10)*Crechee/30*FV$4,0),IF(C21=2,IF(CD21+CD22+CD23+CD24+CF21+CF22+CF23+CF24=1,Cadeirante/30*FV$4,IF(CD21+CD22+CD23+CD24+CF21+CF22+CF23+CF24=2,Fixo/30*FV$4,IF(CD21+CD22+CD23+CD24+CF21+CF22+CF23+CF24&gt;2,Fixo/30*FV$4+(CD21+CD22+CD23+CD24+CF21+CF22+CF23+CF24-2)*Cadeirante/30*FV$4)))+(CC21+CC22+CC23+CE21+CE22+CE23)*Percapita/30*FV$4+(CC24+CE24)*Crechee/30*FV$4,IF(C21=1,IF(CC21+CC22+CC23+CD21+CD22+CD23+CE21+CE22+CE23+CF21+CF22+CF23&lt;=15,(CC21+CC22+CC23+CE21+CE22+CE23)*Percapita/30*FV$4,IF(CC21+CC22+CC23+CD21+CD22+CD23+CE21+CE22+CE23+CF21+CF22+CF23&gt;=16,Fixo/30*FV$4+(CC21+CC22+CC23+CD21+CD22+CD23+CE21+CE22+CE23+CF21+CF22-16)*Percapita/30*FV$4))))))</f>
        <v>0</v>
      </c>
      <c r="FW21" s="177">
        <f>IF(C21=4,SUM(CG21+CG22+CG23+CI21+CI22+CI23)*Percapita/30*FW$4+(CH21+CH22+CH23+CJ21+CJ22+CJ23)*Cadeirante/30*FW$4,IF(C21=3,IF(CG24+CI24=10,Fixo/30*FW$4+(CG21+CG22+CG23+CI21+CI22+CI23)*Percapita/30*FW$4+(CH24+CJ24)*Cadeirante/30*FW$4,IF(CG24+CI24&lt;=9,(CG24+CI24)*Crechee/30*FW$4)+(CH24+CJ24)*Cadeirante/30*FW$4+(CG21+CG22+CG23+CI21+CI22+CI23)*Percapita/30*FW$4)+IF(CG24+CI24&gt;=11,Fixo/30*FW$4+(CG24+CI24-10)*Crechee/30*FW$4,0),IF(C21=2,IF(CH21+CH22+CH23+CH24+CJ21+CJ22+CJ23+CJ24=1,Cadeirante/30*FW$4,IF(CH21+CH22+CH23+CH24+CJ21+CJ22+CJ23+CJ24=2,Fixo/30*FW$4,IF(CH21+CH22+CH23+CH24+CJ21+CJ22+CJ23+CJ24&gt;2,Fixo/30*FW$4+(CH21+CH22+CH23+CH24+CJ21+CJ22+CJ23+CJ24-2)*Cadeirante/30*FW$4)))+(CG21+CG22+CG23+CI21+CI22+CI23)*Percapita/30*FW$4+(CG24+CI24)*Crechee/30*FW$4,IF(C21=1,IF(CG21+CG22+CG23+CH21+CH22+CH23+CI21+CI22+CI23+CJ21+CJ22+CJ23&lt;=15,(CG21+CG22+CG23+CI21+CI22+CI23)*Percapita/30*FW$4,IF(CG21+CG22+CG23+CH21+CH22+CH23+CI21+CI22+CI23+CJ21+CJ22+CJ23&gt;=16,Fixo/30*FW$4+(CG21+CG22+CG23+CH21+CH22+CH23+CI21+CI22+CI23+CJ21+CJ22-16)*Percapita/30*FW$4))))))</f>
        <v>0</v>
      </c>
      <c r="FX21" s="177">
        <f>IF(C21=4,SUM(CK21+CK22+CK23+CM21+CM22+CM23)*Percapita/30*FX$4+(CL21+CL22+CL23+CN21+CN22+CN23)*Cadeirante/30*FX$4,IF(C21=3,IF(CK24+CM24=10,Fixo/30*FX$4+(CK21+CK22+CK23+CM21+CM22+CM23)*Percapita/30*FX$4+(CL24+CN24)*Cadeirante/30*FX$4,IF(CK24+CM24&lt;=9,(CK24+CM24)*Crechee/30*FX$4)+(CL24+CN24)*Cadeirante/30*FX$4+(CK21+CK22+CK23+CM21+CM22+CM23)*Percapita/30*FX$4)+IF(CK24+CM24&gt;=11,Fixo/30*FX$4+(CK24+CM24-10)*Crechee/30*FX$4,0),IF(C21=2,IF(CL21+CL22+CL23+CL24+CN21+CN22+CN23+CN24=1,Cadeirante/30*FX$4,IF(CL21+CL22+CL23+CL24+CN21+CN22+CN23+CN24=2,Fixo/30*FX$4,IF(CL21+CL22+CL23+CL24+CN21+CN22+CN23+CN24&gt;2,Fixo/30*FX$4+(CL21+CL22+CL23+CL24+CN21+CN22+CN23+CN24-2)*Cadeirante/30*FX$4)))+(CK21+CK22+CK23+CM21+CM22+CM23)*Percapita/30*FX$4+(CK24+CM24)*Crechee/30*FX$4,IF(C21=1,IF(CK21+CK22+CK23+CL21+CL22+CL23+CM21+CM22+CM23+CN21+CN22+CN23&lt;=15,(CK21+CK22+CK23+CM21+CM22+CM23)*Percapita/30*FX$4,IF(CK21+CK22+CK23+CL21+CL22+CL23+CM21+CM22+CM23+CN21+CN22+CN23&gt;=16,Fixo/30*FX$4+(CK21+CK22+CK23+CL21+CL22+CL23+CM21+CM22+CM23+CN21+CN22-16)*Percapita/30*FX$4))))))</f>
        <v>0</v>
      </c>
      <c r="FY21" s="177">
        <f>IF(C21=4,SUM(CO21+CO22+CO23+CQ21+CQ22+CQ23)*Percapita/30*FY$4+(CP21+CP22+CP23+CR21+CR22+CR23)*Cadeirante/30*FY$4,IF(C21=3,IF(CO24+CQ24=10,Fixo/30*FY$4+(CO21+CO22+CO23+CQ21+CQ22+CQ23)*Percapita/30*FY$4+(CP24+CR24)*Cadeirante/30*FY$4,IF(CO24+CQ24&lt;=9,(CO24+CQ24)*Crechee/30*FY$4)+(CP24+CR24)*Cadeirante/30*FY$4+(CO21+CO22+CO23+CQ21+CQ22+CQ23)*Percapita/30*FY$4)+IF(CO24+CQ24&gt;=11,Fixo/30*FY$4+(CO24+CQ24-10)*Crechee/30*FY$4,0),IF(C21=2,IF(CP21+CP22+CP23+CP24+CR21+CR22+CR23+CR24=1,Cadeirante/30*FY$4,IF(CP21+CP22+CP23+CP24+CR21+CR22+CR23+CR24=2,Fixo/30*FY$4,IF(CP21+CP22+CP23+CP24+CR21+CR22+CR23+CR24&gt;2,Fixo/30*FY$4+(CP21+CP22+CP23+CP24+CR21+CR22+CR23+CR24-2)*Cadeirante/30*FY$4)))+(CO21+CO22+CO23+CQ21+CQ22+CQ23)*Percapita/30*FY$4+(CO24+CQ24)*Crechee/30*FY$4,IF(C21=1,IF(CO21+CO22+CO23+CP21+CP22+CP23+CQ21+CQ22+CQ23+CR21+CR22+CR23&lt;=15,(CO21+CO22+CO23+CQ21+CQ22+CQ23)*Percapita/30*FY$4,IF(CO21+CO22+CO23+CP21+CP22+CP23+CQ21+CQ22+CQ23+CR21+CR22+CR23&gt;=16,Fixo/30*FY$4+(CO21+CO22+CO23+CP21+CP22+CP23+CQ21+CQ22+CQ23+CR21+CR22-16)*Percapita/30*FY$4))))))</f>
        <v>0</v>
      </c>
      <c r="FZ21" s="177">
        <f>IF(C21=4,SUM(CS21+CS22+CS23+CU21+CU22+CU23)*Percapita/30*FZ$4+(CT21+CT22+CT23+CV21+CV22+CV23)*Cadeirante/30*FZ$4,IF(C21=3,IF(CS24+CU24=10,Fixo/30*FZ$4+(CS21+CS22+CS23+CU21+CU22+CU23)*Percapita/30*FZ$4+(CT24+CV24)*Cadeirante/30*FZ$4,IF(CS24+CU24&lt;=9,(CS24+CU24)*Crechee/30*FZ$4)+(CT24+CV24)*Cadeirante/30*FZ$4+(CS21+CS22+CS23+CU21+CU22+CU23)*Percapita/30*FZ$4)+IF(CS24+CU24&gt;=11,Fixo/30*FZ$4+(CS24+CU24-10)*Crechee/30*FZ$4,0),IF(C21=2,IF(CT21+CT22+CT23+CT24+CV21+CV22+CV23+CV24=1,Cadeirante/30*FZ$4,IF(CT21+CT22+CT23+CT24+CV21+CV22+CV23+CV24=2,Fixo/30*FZ$4,IF(CT21+CT22+CT23+CT24+CV21+CV22+CV23+CV24&gt;2,Fixo/30*FZ$4+(CT21+CT22+CT23+CT24+CV21+CV22+CV23+CV24-2)*Cadeirante/30*FZ$4)))+(CS21+CS22+CS23+CU21+CU22+CU23)*Percapita/30*FZ$4+(CS24+CU24)*Crechee/30*FZ$4,IF(C21=1,IF(CS21+CS22+CS23+CT21+CT22+CT23+CU21+CU22+CU23+CV21+CV22+CV23&lt;=15,(CS21+CS22+CS23+CU21+CU22+CU23)*Percapita/30*FZ$4,IF(CS21+CS22+CS23+CT21+CT22+CT23+CU21+CU22+CU23+CV21+CV22+CV23&gt;=16,Fixo/30*FZ$4+(CS21+CS22+CS23+CT21+CT22+CT23+CU21+CU22+CU23+CV21+CV22-16)*Percapita/30*FZ$4))))))</f>
        <v>0</v>
      </c>
      <c r="GA21" s="177">
        <f>IF(C21=4,SUM(CW21+CW22+CW23+CY21+CY22+CY23)*Percapita/30*GA$4+(CX21+CX22+CX23+CZ21+CZ22+CZ23)*Cadeirante/30*GA$4,IF(C21=3,IF(CW24+CY24=10,Fixo/30*GA$4+(CW21+CW22+CW23+CY21+CY22+CY23)*Percapita/30*GA$4+(CX24+CZ24)*Cadeirante/30*GA$4,IF(CW24+CY24&lt;=9,(CW24+CY24)*Crechee/30*GA$4)+(CX24+CZ24)*Cadeirante/30*GA$4+(CW21+CW22+CW23+CY21+CY22+CY23)*Percapita/30*GA$4)+IF(CW24+CY24&gt;=11,Fixo/30*GA$4+(CW24+CY24-10)*Crechee/30*GA$4,0),IF(C21=2,IF(CX21+CX22+CX23+CX24+CZ21+CZ22+CZ23+CZ24=1,Cadeirante/30*GA$4,IF(CX21+CX22+CX23+CX24+CZ21+CZ22+CZ23+CZ24=2,Fixo/30*GA$4,IF(CX21+CX22+CX23+CX24+CZ21+CZ22+CZ23+CZ24&gt;2,Fixo/30*GA$4+(CX21+CX22+CX23+CX24+CZ21+CZ22+CZ23+CZ24-2)*Cadeirante/30*GA$4)))+(CW21+CW22+CW23+CY21+CY22+CY23)*Percapita/30*GA$4+(CW24+CY24)*Crechee/30*GA$4,IF(C21=1,IF(CW21+CW22+CW23+CX21+CX22+CX23+CY21+CY22+CY23+CZ21+CZ22+CZ23&lt;=15,(CW21+CW22+CW23+CY21+CY22+CY23)*Percapita/30*GA$4,IF(CW21+CW22+CW23+CX21+CX22+CX23+CY21+CY22+CY23+CZ21+CZ22+CZ23&gt;=16,Fixo/30*GA$4+(CW21+CW22+CW23+CX21+CX22+CX23+CY21+CY22+CY23+CZ21+CZ22-16)*Percapita/30*GA$4))))))</f>
        <v>0</v>
      </c>
      <c r="GB21" s="177">
        <f>IF(C21=4,SUM(DA21+DA22+DA23+DC21+DC22+DC23)*Percapita/30*GB$4+(DB21+DB22+DB23+DD21+DD22+DD23)*Cadeirante/30*GB$4,IF(C21=3,IF(DA24+DC24=10,Fixo/30*GB$4+(DA21+DA22+DA23+DC21+DC22+DC23)*Percapita/30*GB$4+(DB24+DD24)*Cadeirante/30*GB$4,IF(DA24+DC24&lt;=9,(DA24+DC24)*Crechee/30*GB$4)+(DB24+DD24)*Cadeirante/30*GB$4+(DA21+DA22+DA23+DC21+DC22+DC23)*Percapita/30*GB$4)+IF(DA24+DC24&gt;=11,Fixo/30*GB$4+(DA24+DC24-10)*Crechee/30*GB$4,0),IF(C21=2,IF(DB21+DB22+DB23+DB24+DD21+DD22+DD23+DD24=1,Cadeirante/30*GB$4,IF(DB21+DB22+DB23+DB24+DD21+DD22+DD23+DD24=2,Fixo/30*GB$4,IF(DB21+DB22+DB23+DB24+DD21+DD22+DD23+DD24&gt;2,Fixo/30*GB$4+(DB21+DB22+DB23+DB24+DD21+DD22+DD23+DD24-2)*Cadeirante/30*GB$4)))+(DA21+DA22+DA23+DC21+DC22+DC23)*Percapita/30*GB$4+(DA24+DC24)*Crechee/30*GB$4,IF(C21=1,IF(DA21+DA22+DA23+DB21+DB22+DB23+DC21+DC22+DC23+DD21+DD22+DD23&lt;=15,(DA21+DA22+DA23+DC21+DC22+DC23)*Percapita/30*GB$4,IF(DA21+DA22+DA23+DB21+DB22+DB23+DC21+DC22+DC23+DD21+DD22+DD23&gt;=16,Fixo/30*GB$4+(DA21+DA22+DA23+DB21+DB22+DB23+DC21+DC22+DC23+DD21+DD22-16)*Percapita/30*GB$4))))))</f>
        <v>0</v>
      </c>
      <c r="GC21" s="177">
        <f>IF(C21=4,SUM(DE21+DE22+DE23+DG21+DG22+DG23)*Percapita/30*GC$4+(DF21+DF22+DF23+DH21+DH22+DH23)*Cadeirante/30*GC$4,IF(C21=3,IF(DE24+DG24=10,Fixo/30*GC$4+(DE21+DE22+DE23+DG21+DG22+DG23)*Percapita/30*GC$4+(DF24+DH24)*Cadeirante/30*GC$4,IF(DE24+DG24&lt;=9,(DE24+DG24)*Crechee/30*GC$4)+(DF24+DH24)*Cadeirante/30*GC$4+(DE21+DE22+DE23+DG21+DG22+DG23)*Percapita/30*GC$4)+IF(DE24+DG24&gt;=11,Fixo/30*GC$4+(DE24+DG24-10)*Crechee/30*GC$4,0),IF(C21=2,IF(DF21+DF22+DF23+DF24+DH21+DH22+DH23+DH24=1,Cadeirante/30*GC$4,IF(DF21+DF22+DF23+DF24+DH21+DH22+DH23+DH24=2,Fixo/30*GC$4,IF(DF21+DF22+DF23+DF24+DH21+DH22+DH23+DH24&gt;2,Fixo/30*GC$4+(DF21+DF22+DF23+DF24+DH21+DH22+DH23+DH24-2)*Cadeirante/30*GC$4)))+(DE21+DE22+DE23+DG21+DG22+DG23)*Percapita/30*GC$4+(DE24+DG24)*Crechee/30*GC$4,IF(C21=1,IF(DE21+DE22+DE23+DF21+DF22+DF23+DG21+DG22+DG23+DH21+DH22+DH23&lt;=15,(DE21+DE22+DE23+DG21+DG22+DG23)*Percapita/30*GC$4,IF(DE21+DE22+DE23+DF21+DF22+DF23+DG21+DG22+DG23+DH21+DH22+DH23&gt;=16,Fixo/30*GC$4+(DE21+DE22+DE23+DF21+DF22+DF23+DG21+DG22+DG23+DH21+DH22-16)*Percapita/30*GC$4))))))</f>
        <v>0</v>
      </c>
      <c r="GD21" s="177">
        <f>IF(C21=4,SUM(DI21+DI22+DI23+DK21+DK22+DK23)*Percapita/30*GD$4+(DJ21+DJ22+DJ23+DL21+DL22+DL23)*Cadeirante/30*GD$4,IF(C21=3,IF(DI24+DK24=10,Fixo/30*GD$4+(DI21+DI22+DI23+DK21+DK22+DK23)*Percapita/30*GD$4+(DJ24+DL24)*Cadeirante/30*GD$4,IF(DI24+DK24&lt;=9,(DI24+DK24)*Crechee/30*GD$4)+(DJ24+DL24)*Cadeirante/30*GD$4+(DI21+DI22+DI23+DK21+DK22+DK23)*Percapita/30*GD$4)+IF(DI24+DK24&gt;=11,Fixo/30*GD$4+(DI24+DK24-10)*Crechee/30*GD$4,0),IF(C21=2,IF(DJ21+DJ22+DJ23+DJ24+DL21+DL22+DL23+DL24=1,Cadeirante/30*GD$4,IF(DJ21+DJ22+DJ23+DJ24+DL21+DL22+DL23+DL24=2,Fixo/30*GD$4,IF(DJ21+DJ22+DJ23+DJ24+DL21+DL22+DL23+DL24&gt;2,Fixo/30*GD$4+(DJ21+DJ22+DJ23+DJ24+DL21+DL22+DL23+DL24-2)*Cadeirante/30*GD$4)))+(DI21+DI22+DI23+DK21+DK22+DK23)*Percapita/30*GD$4+(DI24+DK24)*Crechee/30*GD$4,IF(C21=1,IF(DI21+DI22+DI23+DJ21+DJ22+DJ23+DK21+DK22+DK23+DL21+DL22+DL23&lt;=15,(DI21+DI22+DI23+DK21+DK22+DK23)*Percapita/30*GD$4,IF(DI21+DI22+DI23+DJ21+DJ22+DJ23+DK21+DK22+DK23+DL21+DL22+DL23&gt;=16,Fixo/30*GD$4+(DI21+DI22+DI23+DJ21+DJ22+DJ23+DK21+DK22+DK23+DL21+DL22-16)*Percapita/30*GD$4))))))</f>
        <v>0</v>
      </c>
      <c r="GE21" s="177">
        <f>IF(C21=4,SUM(DM21+DM22+DM23+DO21+DO22+DO23)*Percapita/30*GE$4+(DN21+DN22+DN23+DP21+DP22+DP23)*Cadeirante/30*GE$4,IF(C21=3,IF(DM24+DO24=10,Fixo/30*GE$4+(DM21+DM22+DM23+DO21+DO22+DO23)*Percapita/30*GE$4+(DN24+DP24)*Cadeirante/30*GE$4,IF(DM24+DO24&lt;=9,(DM24+DO24)*Crechee/30*GE$4)+(DN24+DP24)*Cadeirante/30*GE$4+(DM21+DM22+DM23+DO21+DO22+DO23)*Percapita/30*GE$4)+IF(DM24+DO24&gt;=11,Fixo/30*GE$4+(DM24+DO24-10)*Crechee/30*GE$4,0),IF(C21=2,IF(DN21+DN22+DN23+DN24+DP21+DP22+DP23+DP24=1,Cadeirante/30*GE$4,IF(DN21+DN22+DN23+DN24+DP21+DP22+DP23+DP24=2,Fixo/30*GE$4,IF(DN21+DN22+DN23+DN24+DP21+DP22+DP23+DP24&gt;2,Fixo/30*GE$4+(DN21+DN22+DN23+DN24+DP21+DP22+DP23+DP24-2)*Cadeirante/30*GE$4)))+(DM21+DM22+DM23+DO21+DO22+DO23)*Percapita/30*GE$4+(DM24+DO24)*Crechee/30*GE$4,IF(C21=1,IF(DM21+DM22+DM23+DN21+DN22+DN23+DO21+DO22+DO23+DP21+DP22+DP23&lt;=15,(DM21+DM22+DM23+DO21+DO22+DO23)*Percapita/30*GE$4,IF(DM21+DM22+DM23+DN21+DN22+DN23+DO21+DO22+DO23+DP21+DP22+DP23&gt;=16,Fixo/30*GE$4+(DM21+DM22+DM23+DN21+DN22+DN23+DO21+DO22+DO23+DP21+DP22-16)*Percapita/30*GE$4))))))</f>
        <v>0</v>
      </c>
      <c r="GF21" s="177">
        <f>IF(C21=4,SUM(DQ21+DQ22+DQ23+DS21+DS22+DS23)*Percapita/30*GF$4+(DR21+DR22+DR23+DT21+DT22+DT23)*Cadeirante/30*GF$4,IF(C21=3,IF(DQ24+DS24=10,Fixo/30*GF$4+(DQ21+DQ22+DQ23+DS21+DS22+DS23)*Percapita/30*GF$4+(DR24+DT24)*Cadeirante/30*GF$4,IF(DQ24+DS24&lt;=9,(DQ24+DS24)*Crechee/30*GF$4)+(DR24+DT24)*Cadeirante/30*GF$4+(DQ21+DQ22+DQ23+DS21+DS22+DS23)*Percapita/30*GF$4)+IF(DQ24+DS24&gt;=11,Fixo/30*GF$4+(DQ24+DS24-10)*Crechee/30*GF$4,0),IF(C21=2,IF(DR21+DR22+DR23+DR24+DT21+DT22+DT23+DT24=1,Cadeirante/30*GF$4,IF(DR21+DR22+DR23+DR24+DT21+DT22+DT23+DT24=2,Fixo/30*GF$4,IF(DR21+DR22+DR23+DR24+DT21+DT22+DT23+DT24&gt;2,Fixo/30*GF$4+(DR21+DR22+DR23+DR24+DT21+DT22+DT23+DT24-2)*Cadeirante/30*GF$4)))+(DQ21+DQ22+DQ23+DS21+DS22+DS23)*Percapita/30*GF$4+(DQ24+DS24)*Crechee/30*GF$4,IF(C21=1,IF(DQ21+DQ22+DQ23+DR21+DR22+DR23+DS21+DS22+DS23+DT21+DT22+DT23&lt;=15,(DQ21+DQ22+DQ23+DS21+DS22+DS23)*Percapita/30*GF$4,IF(DQ21+DQ22+DQ23+DR21+DR22+DR23+DS21+DS22+DS23+DT21+DT22+DT23&gt;=16,Fixo/30*GF$4+(DQ21+DQ22+DQ23+DR21+DR22+DR23+DS21+DS22+DS23+DT21+DT22-16)*Percapita/30*GF$4))))))</f>
        <v>0</v>
      </c>
      <c r="GG21" s="177">
        <f>IF(C21=4,SUM(DU21+DU22+DU23+DW21+DW22+DW23)*Percapita/30*GG$4+(DV21+DV22+DV23+DX21+DX22+DX23)*Cadeirante/30*GG$4,IF(C21=3,IF(DU24+DW24=10,Fixo/30*GG$4+(DU21+DU22+DU23+DW21+DW22+DW23)*Percapita/30*GG$4+(DV24+DX24)*Cadeirante/30*GG$4,IF(DU24+DW24&lt;=9,(DU24+DW24)*Crechee/30*GG$4)+(DV24+DX24)*Cadeirante/30*GG$4+(DU21+DU22+DU23+DW21+DW22+DW23)*Percapita/30*GG$4)+IF(DU24+DW24&gt;=11,Fixo/30*GG$4+(DU24+DW24-10)*Crechee/30*GG$4,0),IF(C21=2,IF(DV21+DV22+DV23+DV24+DX21+DX22+DX23+DX24=1,Cadeirante/30*GG$4,IF(DV21+DV22+DV23+DV24+DX21+DX22+DX23+DX24=2,Fixo/30*GG$4,IF(DV21+DV22+DV23+DV24+DX21+DX22+DX23+DX24&gt;2,Fixo/30*GG$4+(DV21+DV22+DV23+DV24+DX21+DX22+DX23+DX24-2)*Cadeirante/30*GG$4)))+(DU21+DU22+DU23+DW21+DW22+DW23)*Percapita/30*GG$4+(DU24+DW24)*Crechee/30*GG$4,IF(C21=1,IF(DU21+DU22+DU23+DV21+DV22+DV23+DW21+DW22+DW23+DX21+DX22+DX23&lt;=15,(DU21+DU22+DU23+DW21+DW22+DW23)*Percapita/30*GG$4,IF(DU21+DU22+DU23+DV21+DV22+DV23+DW21+DW22+DW23+DX21+DX22+DX23&gt;=16,Fixo/30*GG$4+(DU21+DU22+DU23+DV21+DV22+DV23+DW21+DW22+DW23+DX21+DX22-16)*Percapita/30*GG$4))))))</f>
        <v>0</v>
      </c>
      <c r="GH21" s="177">
        <f>IF(C21=4,SUM(DY21+DY22+DY23+EA21+EA22+EA23)*Percapita/30*GH$4+(DZ21+DZ22+DZ23+EB21+EB22+EB23)*Cadeirante/30*GH$4,IF(C21=3,IF(DY24+EA24=10,Fixo/30*GH$4+(DY21+DY22+DY23+EA21+EA22+EA23)*Percapita/30*GH$4+(DZ24+EB24)*Cadeirante/30*GH$4,IF(DY24+EA24&lt;=9,(DY24+EA24)*Crechee/30*GH$4)+(DZ24+EB24)*Cadeirante/30*GH$4+(DY21+DY22+DY23+EA21+EA22+EA23)*Percapita/30*GH$4)+IF(DY24+EA24&gt;=11,Fixo/30*GH$4+(DY24+EA24-10)*Crechee/30*GH$4,0),IF(C21=2,IF(DZ21+DZ22+DZ23+DZ24+EB21+EB22+EB23+EB24=1,Cadeirante/30*GH$4,IF(DZ21+DZ22+DZ23+DZ24+EB21+EB22+EB23+EB24=2,Fixo/30*GH$4,IF(DZ21+DZ22+DZ23+DZ24+EB21+EB22+EB23+EB24&gt;2,Fixo/30*GH$4+(DZ21+DZ22+DZ23+DZ24+EB21+EB22+EB23+EB24-2)*Cadeirante/30*GH$4)))+(DY21+DY22+DY23+EA21+EA22+EA23)*Percapita/30*GH$4+(DY24+EA24)*Crechee/30*GH$4,IF(C21=1,IF(DY21+DY22+DY23+DZ21+DZ22+DZ23+EA21+EA22+EA23+EB21+EB22+EB23&lt;=15,(DY21+DY22+DY23+EA21+EA22+EA23)*Percapita/30*GH$4,IF(DY21+DY22+DY23+DZ21+DZ22+DZ23+EA21+EA22+EA23+EB21+EB22+EB23&gt;=16,Fixo/30*GH$4+(DY21+DY22+DY23+DZ21+DZ22+DZ23+EA21+EA22+EA23+EB21+EB22-16)*Percapita/30*GH$4))))))</f>
        <v>0</v>
      </c>
      <c r="GI21" s="177">
        <f>IF(C21=4,SUM(EC21+EC22+EC23+EE21+EE22+EE23)*Percapita/30*GI$4+(ED21+ED22+ED23+EF21+EF22+EF23)*Cadeirante/30*GI$4,IF(C21=3,IF(EC24+EE24=10,Fixo/30*GI$4+(EC21+EC22+EC23+EE21+EE22+EE23)*Percapita/30*GI$4+(ED24+EF24)*Cadeirante/30*GI$4,IF(EC24+EE24&lt;=9,(EC24+EE24)*Crechee/30*GI$4)+(ED24+EF24)*Cadeirante/30*GI$4+(EC21+EC22+EC23+EE21+EE22+EE23)*Percapita/30*GI$4)+IF(EC24+EE24&gt;=11,Fixo/30*GI$4+(EC24+EE24-10)*Crechee/30*GI$4,0),IF(C21=2,IF(ED21+ED22+ED23+ED24+EF21+EF22+EF23+EF24=1,Cadeirante/30*GI$4,IF(ED21+ED22+ED23+ED24+EF21+EF22+EF23+EF24=2,Fixo/30*GI$4,IF(ED21+ED22+ED23+ED24+EF21+EF22+EF23+EF24&gt;2,Fixo/30*GI$4+(ED21+ED22+ED23+ED24+EF21+EF22+EF23+EF24-2)*Cadeirante/30*GI$4)))+(EC21+EC22+EC23+EE21+EE22+EE23)*Percapita/30*GI$4+(EC24+EE24)*Crechee/30*GI$4,IF(C21=1,IF(EC21+EC22+EC23+ED21+ED22+ED23+EE21+EE22+EE23+EF21+EF22+EF23&lt;=15,(EC21+EC22+EC23+EE21+EE22+EE23)*Percapita/30*GI$4,IF(EC21+EC22+EC23+ED21+ED22+ED23+EE21+EE22+EE23+EF21+EF22+EF23&gt;=16,Fixo/30*GI$4+(EC21+EC22+EC23+ED21+ED22+ED23+EE21+EE22+EE23+EF21+EF22-16)*Percapita/30*GI$4))))))</f>
        <v>0</v>
      </c>
      <c r="GJ21" s="177">
        <f>IF(C21=4,SUM(EG21+EG22+EG23+EI21+EI22+EI23)*Percapita/30*GJ$4+(EH21+EH22+EH23+EJ21+EJ22+EJ23)*Cadeirante/30*GJ$4,IF(C21=3,IF(EG24+EI24=10,Fixo/30*GJ$4+(EG21+EG22+EG23+EI21+EI22+EI23)*Percapita/30*GJ$4+(EH24+EJ24)*Cadeirante/30*GJ$4,IF(EG24+EI24&lt;=9,(EG24+EI24)*Crechee/30*GJ$4)+(EH24+EJ24)*Cadeirante/30*GJ$4+(EG21+EG22+EG23+EI21+EI22+EI23)*Percapita/30*GJ$4)+IF(EG24+EI24&gt;=11,Fixo/30*GJ$4+(EG24+EI24-10)*Crechee/30*GJ$4,0),IF(C21=2,IF(EH21+EH22+EH23+EH24+EJ21+EJ22+EJ23+EJ24=1,Cadeirante/30*GJ$4,IF(EH21+EH22+EH23+EH24+EJ21+EJ22+EJ23+EJ24=2,Fixo/30*GJ$4,IF(EH21+EH22+EH23+EH24+EJ21+EJ22+EJ23+EJ24&gt;2,Fixo/30*GJ$4+(EH21+EH22+EH23+EH24+EJ21+EJ22+EJ23+EJ24-2)*Cadeirante/30*GJ$4)))+(EG21+EG22+EG23+EI21+EI22+EI23)*Percapita/30*GJ$4+(EG24+EI24)*Crechee/30*GJ$4,IF(C21=1,IF(EG21+EG22+EG23+EH21+EH22+EH23+EI21+EI22+EI23+EJ21+EJ22+EJ23&lt;=15,(EG21+EG22+EG23+EI21+EI22+EI23)*Percapita/30*GJ$4,IF(EG21+EG22+EG23+EH21+EH22+EH23+EI21+EI22+EI23+EJ21+EJ22+EJ23&gt;=16,Fixo/30*GJ$4+(EG21+EG22+EG23+EH21+EH22+EH23+EI21+EI22+EI23+EJ21+EJ22-16)*Percapita/30*GJ$4))))))</f>
        <v>0</v>
      </c>
      <c r="GK21" s="178"/>
      <c r="GL21" s="103">
        <f t="shared" si="30"/>
        <v>0</v>
      </c>
      <c r="GM21" s="124"/>
      <c r="GN21" s="104">
        <f>SUMIF(V21:V24,"&lt;0")*Cadeirante/30*GN$4+SUMIF(X21:X24,"&lt;0")*Cadeirante/30*GN$4</f>
        <v>0</v>
      </c>
      <c r="GO21" s="104">
        <f>SUMIF(Z21:Z24,"&lt;0")*Cadeirante/30*GO$4+SUMIF(AB21:AB24,"&lt;0")*Cadeirante/30*GO$4</f>
        <v>0</v>
      </c>
      <c r="GP21" s="104">
        <f>SUMIF(AD21:AD24,"&lt;0")*Cadeirante/30*GP$4+SUMIF(AF21:AF24,"&lt;0")*Cadeirante/30*GP$4</f>
        <v>0</v>
      </c>
      <c r="GQ21" s="104">
        <f>SUMIF(AH21:AH24,"&lt;0")*Cadeirante/30*GQ$4+SUMIF(AJ21:AJ24,"&lt;0")*Cadeirante/30*GQ$4</f>
        <v>0</v>
      </c>
      <c r="GR21" s="104">
        <f>SUMIF(AL21:AL24,"&lt;0")*Cadeirante/30*GR$4+SUMIF(AN21:AN24,"&lt;0")*Cadeirante/30*GR$4</f>
        <v>0</v>
      </c>
      <c r="GS21" s="104">
        <f>SUMIF(AP21:AP24,"&lt;0")*Cadeirante/30*GS$4+SUMIF(AR21:AR24,"&lt;0")*Cadeirante/30*GS$4</f>
        <v>0</v>
      </c>
      <c r="GT21" s="104">
        <f>SUMIF(AT21:AT24,"&lt;0")*Cadeirante/30*GT$4+SUMIF(AV21:AV24,"&lt;0")*Cadeirante/30*GT$4</f>
        <v>0</v>
      </c>
      <c r="GU21" s="104">
        <f>SUMIF(AX21:AX24,"&lt;0")*Cadeirante/30*GU$4+SUMIF(AZ21:AZ24,"&lt;0")*Cadeirante/30*GU$4</f>
        <v>0</v>
      </c>
      <c r="GV21" s="104">
        <f>SUMIF(BB21:BB24,"&lt;0")*Cadeirante/30*GV$4+SUMIF(BD21:BD24,"&lt;0")*Cadeirante/30*GV$4</f>
        <v>0</v>
      </c>
      <c r="GW21" s="104">
        <f>SUMIF(BF21:BF24,"&lt;0")*Cadeirante/30*GW$4+SUMIF(BH21:BH24,"&lt;0")*Cadeirante/30*GW$4</f>
        <v>0</v>
      </c>
      <c r="GX21" s="104">
        <f>SUMIF(BJ21:BJ24,"&lt;0")*Cadeirante/30*GX$4+SUMIF(BL21:BL24,"&lt;0")*Cadeirante/30*GX$4</f>
        <v>0</v>
      </c>
      <c r="GY21" s="104">
        <f>SUMIF(BN21:BN24,"&lt;0")*Cadeirante/30*GY$4+SUMIF(BP21:BP24,"&lt;0")*Cadeirante/30*GY$4</f>
        <v>0</v>
      </c>
      <c r="GZ21" s="104">
        <f>SUMIF(BR21:BR24,"&lt;0")*Cadeirante/30*GZ$4+SUMIF(BT21:BT24,"&lt;0")*Cadeirante/30*GZ$4</f>
        <v>0</v>
      </c>
      <c r="HA21" s="104">
        <f>SUMIF(BV21:BV24,"&lt;0")*Cadeirante/30*HA$4+SUMIF(BX21:BX24,"&lt;0")*Cadeirante/30*HA$4</f>
        <v>0</v>
      </c>
      <c r="HB21" s="104">
        <f>SUMIF(BZ21:BZ24,"&lt;0")*Cadeirante/30*HB$4+SUMIF(CB21:CB24,"&lt;0")*Cadeirante/30*HB$4</f>
        <v>0</v>
      </c>
      <c r="HC21" s="104">
        <f>SUMIF(CD21:CD24,"&lt;0")*Cadeirante/30*HC$4+SUMIF(CF21:CF24,"&lt;0")*Cadeirante/30*HC$4</f>
        <v>0</v>
      </c>
      <c r="HD21" s="104">
        <f>SUMIF(CH21:CH24,"&lt;0")*Cadeirante/30*HD$4+SUMIF(CJ21:CJ24,"&lt;0")*Cadeirante/30*HD$4</f>
        <v>0</v>
      </c>
      <c r="HE21" s="104">
        <f>SUMIF(CL21:CL24,"&lt;0")*Cadeirante/30*HE$4+SUMIF(CN21:CN24,"&lt;0")*Cadeirante/30*HE$4</f>
        <v>0</v>
      </c>
      <c r="HF21" s="104">
        <f>SUMIF(CP21:CP24,"&lt;0")*Cadeirante/30*HF$4+SUMIF(CR21:CR24,"&lt;0")*Cadeirante/30*HF$4</f>
        <v>0</v>
      </c>
      <c r="HG21" s="104">
        <f>SUMIF(CT21:CT24,"&lt;0")*Cadeirante/30*HG$4+SUMIF(CV21:CV24,"&lt;0")*Cadeirante/30*HG$4</f>
        <v>0</v>
      </c>
      <c r="HH21" s="104">
        <f>SUMIF(CX21:CX24,"&lt;0")*Cadeirante/30*HH$4+SUMIF(CZ21:CZ24,"&lt;0")*Cadeirante/30*HH$4</f>
        <v>0</v>
      </c>
      <c r="HI21" s="104">
        <f>SUMIF(DB21:DB24,"&lt;0")*Cadeirante/30*HI$4+SUMIF(DD21:DD24,"&lt;0")*Cadeirante/30*HI$4</f>
        <v>0</v>
      </c>
      <c r="HJ21" s="104">
        <f>SUMIF(DF21:DF24,"&lt;0")*Cadeirante/30*HJ$4+SUMIF(DH21:DH24,"&lt;0")*Cadeirante/30*HJ$4</f>
        <v>0</v>
      </c>
      <c r="HK21" s="104">
        <f>SUMIF(DJ21:DJ24,"&lt;0")*Cadeirante/30*HK$4+SUMIF(DL21:DL24,"&lt;0")*Cadeirante/30*HK$4</f>
        <v>0</v>
      </c>
      <c r="HL21" s="104">
        <f>SUMIF(DN21:DN24,"&lt;0")*Cadeirante/30*HL$4+SUMIF(DP21:DP24,"&lt;0")*Cadeirante/30*HL$4</f>
        <v>0</v>
      </c>
      <c r="HM21" s="104">
        <f>SUMIF(DR21:DR24,"&lt;0")*Cadeirante/30*HM$4+SUMIF(DT21:DT24,"&lt;0")*Cadeirante/30*HM$4</f>
        <v>0</v>
      </c>
      <c r="HN21" s="104">
        <f>SUMIF(DV21:DV24,"&lt;0")*Cadeirante/30*HN$4+SUMIF(DX21:DX24,"&lt;0")*Cadeirante/30*HN$4</f>
        <v>0</v>
      </c>
      <c r="HO21" s="104">
        <f>SUMIF(DZ21:DZ24,"&lt;0")*Cadeirante/30*HO$4+SUMIF(EB21:EB24,"&lt;0")*Cadeirante/30*HO$4</f>
        <v>0</v>
      </c>
      <c r="HP21" s="104">
        <f>SUMIF(ED21:ED24,"&lt;0")*Cadeirante/30*HP$4+SUMIF(EF21:EF24,"&lt;0")*Cadeirante/30*HP$4</f>
        <v>0</v>
      </c>
      <c r="HQ21" s="64"/>
      <c r="HR21" s="64"/>
      <c r="HS21" s="64"/>
      <c r="HT21" s="64"/>
      <c r="HU21" s="64"/>
      <c r="HV21" s="64"/>
      <c r="HW21" s="176">
        <v>17629.309999999998</v>
      </c>
      <c r="HX21" s="64"/>
      <c r="HY21" s="280">
        <f>IF(ISTEXT(EM21), VALUE(EM21), EM21)</f>
        <v>0</v>
      </c>
      <c r="HZ21" s="280">
        <f>IF(ISTEXT(EN21), VALUE(EN21), EN21)</f>
        <v>0</v>
      </c>
      <c r="IA21" s="280">
        <f>IF(ISTEXT(EO21), VALUE(EO21), EO21)</f>
        <v>0</v>
      </c>
      <c r="IB21" s="64" t="b">
        <f>HW21=FE21</f>
        <v>0</v>
      </c>
      <c r="IC21" s="64"/>
    </row>
    <row r="22" spans="1:237" s="106" customFormat="1" ht="22.5" customHeight="1" x14ac:dyDescent="0.25">
      <c r="A22" s="368" t="s">
        <v>3202</v>
      </c>
      <c r="B22" s="369" t="s">
        <v>3203</v>
      </c>
      <c r="C22" s="370" t="s">
        <v>3186</v>
      </c>
      <c r="D22" s="371" t="s">
        <v>3204</v>
      </c>
      <c r="E22" s="371" t="s">
        <v>3205</v>
      </c>
      <c r="F22" s="372" t="s">
        <v>3182</v>
      </c>
      <c r="G22" s="372" t="s">
        <v>3183</v>
      </c>
      <c r="H22" s="373" t="s">
        <v>339</v>
      </c>
      <c r="I22" s="374" t="s">
        <v>339</v>
      </c>
      <c r="J22" s="421" t="s">
        <v>3184</v>
      </c>
      <c r="K22" s="421" t="s">
        <v>3187</v>
      </c>
      <c r="L22" s="329">
        <f>CONTINUA!BV22</f>
        <v>0</v>
      </c>
      <c r="M22" s="329">
        <f>CONTINUA!BW22</f>
        <v>0</v>
      </c>
      <c r="N22" s="895"/>
      <c r="O22" s="896" t="s">
        <v>3277</v>
      </c>
      <c r="P22" s="897">
        <v>0</v>
      </c>
      <c r="Q22" s="400">
        <v>20</v>
      </c>
      <c r="R22" s="401"/>
      <c r="S22" s="400"/>
      <c r="T22" s="401"/>
      <c r="U22" s="400"/>
      <c r="V22" s="401"/>
      <c r="W22" s="400"/>
      <c r="X22" s="401"/>
      <c r="Y22" s="400"/>
      <c r="Z22" s="401"/>
      <c r="AA22" s="400"/>
      <c r="AB22" s="401"/>
      <c r="AC22" s="400"/>
      <c r="AD22" s="401"/>
      <c r="AE22" s="400"/>
      <c r="AF22" s="401"/>
      <c r="AG22" s="400"/>
      <c r="AH22" s="401"/>
      <c r="AI22" s="400"/>
      <c r="AJ22" s="401"/>
      <c r="AK22" s="400"/>
      <c r="AL22" s="401"/>
      <c r="AM22" s="400"/>
      <c r="AN22" s="401"/>
      <c r="AO22" s="400"/>
      <c r="AP22" s="401"/>
      <c r="AQ22" s="400"/>
      <c r="AR22" s="401"/>
      <c r="AS22" s="400"/>
      <c r="AT22" s="401"/>
      <c r="AU22" s="400"/>
      <c r="AV22" s="401"/>
      <c r="AW22" s="400"/>
      <c r="AX22" s="401"/>
      <c r="AY22" s="400"/>
      <c r="AZ22" s="401"/>
      <c r="BA22" s="400"/>
      <c r="BB22" s="401"/>
      <c r="BC22" s="400"/>
      <c r="BD22" s="401"/>
      <c r="BE22" s="400"/>
      <c r="BF22" s="401"/>
      <c r="BG22" s="400"/>
      <c r="BH22" s="401"/>
      <c r="BI22" s="400"/>
      <c r="BJ22" s="401"/>
      <c r="BK22" s="400"/>
      <c r="BL22" s="401"/>
      <c r="BM22" s="400"/>
      <c r="BN22" s="401"/>
      <c r="BO22" s="400"/>
      <c r="BP22" s="401"/>
      <c r="BQ22" s="400">
        <v>-1</v>
      </c>
      <c r="BR22" s="401"/>
      <c r="BS22" s="400"/>
      <c r="BT22" s="401"/>
      <c r="BU22" s="400"/>
      <c r="BV22" s="401"/>
      <c r="BW22" s="400"/>
      <c r="BX22" s="401"/>
      <c r="BY22" s="400"/>
      <c r="BZ22" s="401"/>
      <c r="CA22" s="400"/>
      <c r="CB22" s="401"/>
      <c r="CC22" s="400"/>
      <c r="CD22" s="401"/>
      <c r="CE22" s="400"/>
      <c r="CF22" s="401"/>
      <c r="CG22" s="400"/>
      <c r="CH22" s="401"/>
      <c r="CI22" s="400"/>
      <c r="CJ22" s="401"/>
      <c r="CK22" s="400"/>
      <c r="CL22" s="401"/>
      <c r="CM22" s="400"/>
      <c r="CN22" s="401"/>
      <c r="CO22" s="400"/>
      <c r="CP22" s="401"/>
      <c r="CQ22" s="400"/>
      <c r="CR22" s="401"/>
      <c r="CS22" s="400"/>
      <c r="CT22" s="401"/>
      <c r="CU22" s="400"/>
      <c r="CV22" s="401"/>
      <c r="CW22" s="400"/>
      <c r="CX22" s="401"/>
      <c r="CY22" s="400"/>
      <c r="CZ22" s="401"/>
      <c r="DA22" s="400"/>
      <c r="DB22" s="401"/>
      <c r="DC22" s="400"/>
      <c r="DD22" s="401"/>
      <c r="DE22" s="400"/>
      <c r="DF22" s="401"/>
      <c r="DG22" s="400"/>
      <c r="DH22" s="401"/>
      <c r="DI22" s="400"/>
      <c r="DJ22" s="401"/>
      <c r="DK22" s="400"/>
      <c r="DL22" s="401"/>
      <c r="DM22" s="400"/>
      <c r="DN22" s="401"/>
      <c r="DO22" s="400"/>
      <c r="DP22" s="401"/>
      <c r="DQ22" s="400"/>
      <c r="DR22" s="401"/>
      <c r="DS22" s="400"/>
      <c r="DT22" s="401"/>
      <c r="DU22" s="400"/>
      <c r="DV22" s="401"/>
      <c r="DW22" s="400"/>
      <c r="DX22" s="401"/>
      <c r="DY22" s="400"/>
      <c r="DZ22" s="401"/>
      <c r="EA22" s="400"/>
      <c r="EB22" s="401"/>
      <c r="EC22" s="400"/>
      <c r="ED22" s="401"/>
      <c r="EE22" s="400"/>
      <c r="EF22" s="401"/>
      <c r="EG22" s="400"/>
      <c r="EH22" s="401"/>
      <c r="EI22" s="400"/>
      <c r="EJ22" s="447"/>
      <c r="EK22" s="511"/>
      <c r="EL22" s="514"/>
      <c r="EM22" s="448"/>
      <c r="EN22" s="344"/>
      <c r="EO22" s="345"/>
      <c r="EP22" s="171">
        <f t="shared" si="22"/>
        <v>20</v>
      </c>
      <c r="EQ22" s="171">
        <f t="shared" si="23"/>
        <v>-1</v>
      </c>
      <c r="ER22" s="171">
        <f t="shared" si="24"/>
        <v>0</v>
      </c>
      <c r="ES22" s="171">
        <f t="shared" si="25"/>
        <v>0</v>
      </c>
      <c r="ET22" s="171">
        <f t="shared" si="26"/>
        <v>0</v>
      </c>
      <c r="EU22" s="171">
        <f t="shared" si="27"/>
        <v>0</v>
      </c>
      <c r="EV22" s="172">
        <f t="shared" si="28"/>
        <v>19</v>
      </c>
      <c r="EW22" s="173"/>
      <c r="EX22" s="248">
        <f t="shared" si="40"/>
        <v>0</v>
      </c>
      <c r="EY22" s="174">
        <f>(L22*regular)+(M22*Cadeirantee)</f>
        <v>0</v>
      </c>
      <c r="EZ22" s="249">
        <f>SUMIF(FG22:GJ22,"&gt;0")</f>
        <v>0</v>
      </c>
      <c r="FA22" s="249">
        <f>SUMIF(FG22:GJ22,"&lt;0")+SUMIF(GN22:HP22,"&lt;0")</f>
        <v>0</v>
      </c>
      <c r="FB22" s="174">
        <v>0</v>
      </c>
      <c r="FC22" s="126">
        <f>N22*km*'VALORES TABELA'!$B$13</f>
        <v>0</v>
      </c>
      <c r="FD22" s="250">
        <f t="shared" ref="FD22:FD25" si="41">GL22</f>
        <v>0</v>
      </c>
      <c r="FE22" s="105"/>
      <c r="FF22" s="119"/>
      <c r="FG22" s="119"/>
      <c r="FH22" s="119"/>
      <c r="FI22" s="119"/>
      <c r="FJ22" s="119"/>
      <c r="FK22" s="119"/>
      <c r="FL22" s="119"/>
      <c r="FM22" s="119"/>
      <c r="FN22" s="119"/>
      <c r="FO22" s="119"/>
      <c r="FP22" s="119"/>
      <c r="FQ22" s="119"/>
      <c r="FR22" s="119"/>
      <c r="FS22" s="119"/>
      <c r="FT22" s="119"/>
      <c r="FU22" s="119"/>
      <c r="FV22" s="119"/>
      <c r="FW22" s="119"/>
      <c r="FX22" s="119"/>
      <c r="FY22" s="119"/>
      <c r="FZ22" s="119"/>
      <c r="GA22" s="119"/>
      <c r="GB22" s="119"/>
      <c r="GC22" s="119"/>
      <c r="GD22" s="119"/>
      <c r="GE22" s="119"/>
      <c r="GF22" s="119"/>
      <c r="GG22" s="119"/>
      <c r="GH22" s="119"/>
      <c r="GI22" s="119"/>
      <c r="GJ22" s="119"/>
      <c r="GK22" s="251"/>
      <c r="GL22" s="103">
        <f t="shared" si="30"/>
        <v>0</v>
      </c>
      <c r="GM22" s="124"/>
      <c r="GN22" s="104"/>
      <c r="GO22" s="104"/>
      <c r="GP22" s="104"/>
      <c r="GQ22" s="104"/>
      <c r="GR22" s="104"/>
      <c r="GS22" s="104"/>
      <c r="GT22" s="104"/>
      <c r="GU22" s="104"/>
      <c r="GV22" s="104"/>
      <c r="GW22" s="104"/>
      <c r="GX22" s="104"/>
      <c r="GY22" s="104"/>
      <c r="GZ22" s="104"/>
      <c r="HA22" s="104"/>
      <c r="HB22" s="104"/>
      <c r="HC22" s="104"/>
      <c r="HD22" s="104"/>
      <c r="HE22" s="104"/>
      <c r="HF22" s="104"/>
      <c r="HG22" s="104"/>
      <c r="HH22" s="104"/>
      <c r="HI22" s="104"/>
      <c r="HJ22" s="104"/>
      <c r="HK22" s="104"/>
      <c r="HL22" s="104"/>
      <c r="HM22" s="104"/>
      <c r="HN22" s="104"/>
      <c r="HO22" s="104"/>
      <c r="HP22" s="104"/>
      <c r="HQ22" s="64"/>
      <c r="HR22" s="64"/>
      <c r="HS22" s="64"/>
      <c r="HT22" s="64"/>
      <c r="HU22" s="64"/>
      <c r="HV22" s="64"/>
      <c r="HW22" s="105"/>
      <c r="HX22" s="64"/>
      <c r="HY22" s="280">
        <f t="shared" ref="HY22:HY25" si="42">IF(ISTEXT(EM22), VALUE(EM22), EM22)</f>
        <v>0</v>
      </c>
      <c r="HZ22" s="280">
        <f t="shared" ref="HZ22:HZ25" si="43">IF(ISTEXT(EN22), VALUE(EN22), EN22)</f>
        <v>0</v>
      </c>
      <c r="IA22" s="280">
        <f t="shared" ref="IA22:IA25" si="44">IF(ISTEXT(EO22), VALUE(EO22), EO22)</f>
        <v>0</v>
      </c>
      <c r="IB22" s="64"/>
      <c r="IC22" s="64"/>
    </row>
    <row r="23" spans="1:237" s="106" customFormat="1" ht="22.5" customHeight="1" x14ac:dyDescent="0.25">
      <c r="A23" s="368" t="s">
        <v>3202</v>
      </c>
      <c r="B23" s="369" t="s">
        <v>3203</v>
      </c>
      <c r="C23" s="375" t="s">
        <v>3186</v>
      </c>
      <c r="D23" s="371" t="s">
        <v>3204</v>
      </c>
      <c r="E23" s="371" t="s">
        <v>3205</v>
      </c>
      <c r="F23" s="376" t="s">
        <v>3182</v>
      </c>
      <c r="G23" s="376" t="s">
        <v>3183</v>
      </c>
      <c r="H23" s="373" t="s">
        <v>339</v>
      </c>
      <c r="I23" s="374" t="s">
        <v>339</v>
      </c>
      <c r="J23" s="421" t="s">
        <v>3184</v>
      </c>
      <c r="K23" s="422" t="s">
        <v>3188</v>
      </c>
      <c r="L23" s="329">
        <f>CONTINUA!BV23</f>
        <v>0</v>
      </c>
      <c r="M23" s="329">
        <f>CONTINUA!BW23</f>
        <v>0</v>
      </c>
      <c r="N23" s="895"/>
      <c r="O23" s="896" t="s">
        <v>3277</v>
      </c>
      <c r="P23" s="897">
        <v>0</v>
      </c>
      <c r="Q23" s="400"/>
      <c r="R23" s="401"/>
      <c r="S23" s="400"/>
      <c r="T23" s="401"/>
      <c r="U23" s="400"/>
      <c r="V23" s="401"/>
      <c r="W23" s="400"/>
      <c r="X23" s="401"/>
      <c r="Y23" s="400"/>
      <c r="Z23" s="401"/>
      <c r="AA23" s="400"/>
      <c r="AB23" s="401"/>
      <c r="AC23" s="400"/>
      <c r="AD23" s="401"/>
      <c r="AE23" s="400"/>
      <c r="AF23" s="401"/>
      <c r="AG23" s="400"/>
      <c r="AH23" s="401"/>
      <c r="AI23" s="400"/>
      <c r="AJ23" s="401"/>
      <c r="AK23" s="400"/>
      <c r="AL23" s="401"/>
      <c r="AM23" s="400"/>
      <c r="AN23" s="401"/>
      <c r="AO23" s="400"/>
      <c r="AP23" s="401"/>
      <c r="AQ23" s="400"/>
      <c r="AR23" s="401"/>
      <c r="AS23" s="400"/>
      <c r="AT23" s="401"/>
      <c r="AU23" s="400"/>
      <c r="AV23" s="401"/>
      <c r="AW23" s="400"/>
      <c r="AX23" s="401"/>
      <c r="AY23" s="400"/>
      <c r="AZ23" s="401"/>
      <c r="BA23" s="400"/>
      <c r="BB23" s="401"/>
      <c r="BC23" s="400"/>
      <c r="BD23" s="401"/>
      <c r="BE23" s="400"/>
      <c r="BF23" s="401"/>
      <c r="BG23" s="400"/>
      <c r="BH23" s="401"/>
      <c r="BI23" s="400"/>
      <c r="BJ23" s="401"/>
      <c r="BK23" s="400"/>
      <c r="BL23" s="401"/>
      <c r="BM23" s="400"/>
      <c r="BN23" s="401"/>
      <c r="BO23" s="400"/>
      <c r="BP23" s="401"/>
      <c r="BQ23" s="400"/>
      <c r="BR23" s="401"/>
      <c r="BS23" s="400"/>
      <c r="BT23" s="401"/>
      <c r="BU23" s="400"/>
      <c r="BV23" s="401"/>
      <c r="BW23" s="400"/>
      <c r="BX23" s="401"/>
      <c r="BY23" s="400"/>
      <c r="BZ23" s="401"/>
      <c r="CA23" s="400"/>
      <c r="CB23" s="401"/>
      <c r="CC23" s="400"/>
      <c r="CD23" s="401"/>
      <c r="CE23" s="400"/>
      <c r="CF23" s="401"/>
      <c r="CG23" s="400"/>
      <c r="CH23" s="401"/>
      <c r="CI23" s="400"/>
      <c r="CJ23" s="401"/>
      <c r="CK23" s="400"/>
      <c r="CL23" s="401"/>
      <c r="CM23" s="400"/>
      <c r="CN23" s="401"/>
      <c r="CO23" s="400"/>
      <c r="CP23" s="401"/>
      <c r="CQ23" s="400"/>
      <c r="CR23" s="401"/>
      <c r="CS23" s="400"/>
      <c r="CT23" s="401"/>
      <c r="CU23" s="400"/>
      <c r="CV23" s="401"/>
      <c r="CW23" s="400"/>
      <c r="CX23" s="401"/>
      <c r="CY23" s="400"/>
      <c r="CZ23" s="401"/>
      <c r="DA23" s="400"/>
      <c r="DB23" s="401"/>
      <c r="DC23" s="400"/>
      <c r="DD23" s="401"/>
      <c r="DE23" s="400"/>
      <c r="DF23" s="401"/>
      <c r="DG23" s="400"/>
      <c r="DH23" s="401"/>
      <c r="DI23" s="400"/>
      <c r="DJ23" s="401"/>
      <c r="DK23" s="400"/>
      <c r="DL23" s="401"/>
      <c r="DM23" s="400"/>
      <c r="DN23" s="401"/>
      <c r="DO23" s="400"/>
      <c r="DP23" s="401"/>
      <c r="DQ23" s="400"/>
      <c r="DR23" s="401"/>
      <c r="DS23" s="400"/>
      <c r="DT23" s="401"/>
      <c r="DU23" s="400"/>
      <c r="DV23" s="401"/>
      <c r="DW23" s="400"/>
      <c r="DX23" s="401"/>
      <c r="DY23" s="400"/>
      <c r="DZ23" s="401"/>
      <c r="EA23" s="400"/>
      <c r="EB23" s="401"/>
      <c r="EC23" s="400"/>
      <c r="ED23" s="401"/>
      <c r="EE23" s="400"/>
      <c r="EF23" s="401"/>
      <c r="EG23" s="400"/>
      <c r="EH23" s="401"/>
      <c r="EI23" s="400"/>
      <c r="EJ23" s="447"/>
      <c r="EK23" s="511"/>
      <c r="EL23" s="514"/>
      <c r="EM23" s="448"/>
      <c r="EN23" s="344"/>
      <c r="EO23" s="345"/>
      <c r="EP23" s="171">
        <f t="shared" si="22"/>
        <v>0</v>
      </c>
      <c r="EQ23" s="171">
        <f t="shared" si="23"/>
        <v>0</v>
      </c>
      <c r="ER23" s="171">
        <f t="shared" si="24"/>
        <v>0</v>
      </c>
      <c r="ES23" s="171">
        <f t="shared" si="25"/>
        <v>0</v>
      </c>
      <c r="ET23" s="171">
        <f t="shared" si="26"/>
        <v>0</v>
      </c>
      <c r="EU23" s="171">
        <f t="shared" si="27"/>
        <v>0</v>
      </c>
      <c r="EV23" s="172">
        <f t="shared" si="28"/>
        <v>0</v>
      </c>
      <c r="EW23" s="125"/>
      <c r="EX23" s="248">
        <f t="shared" si="40"/>
        <v>0</v>
      </c>
      <c r="EY23" s="174">
        <f>(L23*regular)+(M23*Cadeirantee)</f>
        <v>0</v>
      </c>
      <c r="EZ23" s="249">
        <f>SUMIF(FG23:GJ23,"&gt;0")</f>
        <v>0</v>
      </c>
      <c r="FA23" s="249">
        <f>SUMIF(FG23:GJ23,"&lt;0")+SUMIF(GN23:HP23,"&lt;0")</f>
        <v>0</v>
      </c>
      <c r="FB23" s="174">
        <v>0</v>
      </c>
      <c r="FC23" s="126">
        <f>N23*km*'VALORES TABELA'!$B$13</f>
        <v>0</v>
      </c>
      <c r="FD23" s="250">
        <f t="shared" si="41"/>
        <v>0</v>
      </c>
      <c r="FE23" s="105"/>
      <c r="FF23" s="108"/>
      <c r="FG23" s="108"/>
      <c r="FH23" s="108"/>
      <c r="FI23" s="108"/>
      <c r="FJ23" s="108"/>
      <c r="FK23" s="108"/>
      <c r="FL23" s="108"/>
      <c r="FM23" s="108"/>
      <c r="FN23" s="108"/>
      <c r="FO23" s="108"/>
      <c r="FP23" s="108"/>
      <c r="FQ23" s="108"/>
      <c r="FR23" s="108"/>
      <c r="FS23" s="108"/>
      <c r="FT23" s="108"/>
      <c r="FU23" s="108"/>
      <c r="FV23" s="108"/>
      <c r="FW23" s="108"/>
      <c r="FX23" s="108"/>
      <c r="FY23" s="108"/>
      <c r="FZ23" s="108"/>
      <c r="GA23" s="108"/>
      <c r="GB23" s="108"/>
      <c r="GC23" s="108"/>
      <c r="GD23" s="108"/>
      <c r="GE23" s="108"/>
      <c r="GF23" s="108"/>
      <c r="GG23" s="108"/>
      <c r="GH23" s="108"/>
      <c r="GI23" s="108"/>
      <c r="GJ23" s="108"/>
      <c r="GK23" s="251"/>
      <c r="GL23" s="103">
        <f t="shared" si="30"/>
        <v>0</v>
      </c>
      <c r="GM23" s="124"/>
      <c r="GN23" s="104"/>
      <c r="GO23" s="104"/>
      <c r="GP23" s="104"/>
      <c r="GQ23" s="104"/>
      <c r="GR23" s="104"/>
      <c r="GS23" s="104"/>
      <c r="GT23" s="104"/>
      <c r="GU23" s="104"/>
      <c r="GV23" s="104"/>
      <c r="GW23" s="104"/>
      <c r="GX23" s="104"/>
      <c r="GY23" s="104"/>
      <c r="GZ23" s="104"/>
      <c r="HA23" s="104"/>
      <c r="HB23" s="104"/>
      <c r="HC23" s="104"/>
      <c r="HD23" s="104"/>
      <c r="HE23" s="104"/>
      <c r="HF23" s="104"/>
      <c r="HG23" s="104"/>
      <c r="HH23" s="104"/>
      <c r="HI23" s="104"/>
      <c r="HJ23" s="104"/>
      <c r="HK23" s="104"/>
      <c r="HL23" s="104"/>
      <c r="HM23" s="104"/>
      <c r="HN23" s="104"/>
      <c r="HO23" s="104"/>
      <c r="HP23" s="104"/>
      <c r="HQ23" s="64"/>
      <c r="HR23" s="64"/>
      <c r="HS23" s="64"/>
      <c r="HT23" s="64"/>
      <c r="HU23" s="64"/>
      <c r="HV23" s="64"/>
      <c r="HW23" s="105"/>
      <c r="HX23" s="64"/>
      <c r="HY23" s="280">
        <f t="shared" si="42"/>
        <v>0</v>
      </c>
      <c r="HZ23" s="280">
        <f t="shared" si="43"/>
        <v>0</v>
      </c>
      <c r="IA23" s="280">
        <f t="shared" si="44"/>
        <v>0</v>
      </c>
      <c r="IB23" s="64"/>
      <c r="IC23" s="64"/>
    </row>
    <row r="24" spans="1:237" s="106" customFormat="1" ht="22.5" customHeight="1" x14ac:dyDescent="0.25">
      <c r="A24" s="368" t="s">
        <v>3202</v>
      </c>
      <c r="B24" s="369" t="s">
        <v>3203</v>
      </c>
      <c r="C24" s="375" t="s">
        <v>3186</v>
      </c>
      <c r="D24" s="371" t="s">
        <v>3204</v>
      </c>
      <c r="E24" s="371" t="s">
        <v>3205</v>
      </c>
      <c r="F24" s="376" t="s">
        <v>3182</v>
      </c>
      <c r="G24" s="376" t="s">
        <v>3183</v>
      </c>
      <c r="H24" s="373" t="s">
        <v>339</v>
      </c>
      <c r="I24" s="374" t="s">
        <v>339</v>
      </c>
      <c r="J24" s="421" t="s">
        <v>3184</v>
      </c>
      <c r="K24" s="423" t="s">
        <v>3189</v>
      </c>
      <c r="L24" s="329">
        <f>CONTINUA!BV24</f>
        <v>0</v>
      </c>
      <c r="M24" s="329">
        <f>CONTINUA!BW24</f>
        <v>0</v>
      </c>
      <c r="N24" s="895"/>
      <c r="O24" s="896" t="s">
        <v>3277</v>
      </c>
      <c r="P24" s="897">
        <v>0</v>
      </c>
      <c r="Q24" s="400"/>
      <c r="R24" s="401"/>
      <c r="S24" s="400"/>
      <c r="T24" s="401"/>
      <c r="U24" s="400"/>
      <c r="V24" s="401"/>
      <c r="W24" s="400"/>
      <c r="X24" s="401"/>
      <c r="Y24" s="400"/>
      <c r="Z24" s="401"/>
      <c r="AA24" s="400"/>
      <c r="AB24" s="401"/>
      <c r="AC24" s="400"/>
      <c r="AD24" s="401"/>
      <c r="AE24" s="400"/>
      <c r="AF24" s="401"/>
      <c r="AG24" s="400"/>
      <c r="AH24" s="401"/>
      <c r="AI24" s="400"/>
      <c r="AJ24" s="401"/>
      <c r="AK24" s="400"/>
      <c r="AL24" s="401"/>
      <c r="AM24" s="400"/>
      <c r="AN24" s="401"/>
      <c r="AO24" s="400"/>
      <c r="AP24" s="401"/>
      <c r="AQ24" s="400"/>
      <c r="AR24" s="401"/>
      <c r="AS24" s="400"/>
      <c r="AT24" s="401"/>
      <c r="AU24" s="400"/>
      <c r="AV24" s="401"/>
      <c r="AW24" s="400"/>
      <c r="AX24" s="401"/>
      <c r="AY24" s="400"/>
      <c r="AZ24" s="401"/>
      <c r="BA24" s="400"/>
      <c r="BB24" s="401"/>
      <c r="BC24" s="400"/>
      <c r="BD24" s="401"/>
      <c r="BE24" s="400"/>
      <c r="BF24" s="401"/>
      <c r="BG24" s="400"/>
      <c r="BH24" s="401"/>
      <c r="BI24" s="400"/>
      <c r="BJ24" s="401"/>
      <c r="BK24" s="400"/>
      <c r="BL24" s="401"/>
      <c r="BM24" s="400"/>
      <c r="BN24" s="401"/>
      <c r="BO24" s="400"/>
      <c r="BP24" s="401"/>
      <c r="BQ24" s="400"/>
      <c r="BR24" s="401"/>
      <c r="BS24" s="400"/>
      <c r="BT24" s="401"/>
      <c r="BU24" s="400"/>
      <c r="BV24" s="401"/>
      <c r="BW24" s="400"/>
      <c r="BX24" s="401"/>
      <c r="BY24" s="400"/>
      <c r="BZ24" s="401"/>
      <c r="CA24" s="400"/>
      <c r="CB24" s="401"/>
      <c r="CC24" s="400"/>
      <c r="CD24" s="401"/>
      <c r="CE24" s="400"/>
      <c r="CF24" s="401"/>
      <c r="CG24" s="400"/>
      <c r="CH24" s="401"/>
      <c r="CI24" s="400"/>
      <c r="CJ24" s="401"/>
      <c r="CK24" s="400"/>
      <c r="CL24" s="401"/>
      <c r="CM24" s="400"/>
      <c r="CN24" s="401"/>
      <c r="CO24" s="400"/>
      <c r="CP24" s="401"/>
      <c r="CQ24" s="400"/>
      <c r="CR24" s="401"/>
      <c r="CS24" s="400"/>
      <c r="CT24" s="401"/>
      <c r="CU24" s="400"/>
      <c r="CV24" s="401"/>
      <c r="CW24" s="400"/>
      <c r="CX24" s="401"/>
      <c r="CY24" s="400"/>
      <c r="CZ24" s="401"/>
      <c r="DA24" s="400"/>
      <c r="DB24" s="401"/>
      <c r="DC24" s="400"/>
      <c r="DD24" s="401"/>
      <c r="DE24" s="400"/>
      <c r="DF24" s="401"/>
      <c r="DG24" s="400"/>
      <c r="DH24" s="401"/>
      <c r="DI24" s="400"/>
      <c r="DJ24" s="401"/>
      <c r="DK24" s="400"/>
      <c r="DL24" s="401"/>
      <c r="DM24" s="400"/>
      <c r="DN24" s="401"/>
      <c r="DO24" s="400"/>
      <c r="DP24" s="401"/>
      <c r="DQ24" s="400"/>
      <c r="DR24" s="401"/>
      <c r="DS24" s="400"/>
      <c r="DT24" s="401"/>
      <c r="DU24" s="400"/>
      <c r="DV24" s="401"/>
      <c r="DW24" s="400"/>
      <c r="DX24" s="401"/>
      <c r="DY24" s="400"/>
      <c r="DZ24" s="401"/>
      <c r="EA24" s="400"/>
      <c r="EB24" s="401"/>
      <c r="EC24" s="400"/>
      <c r="ED24" s="401"/>
      <c r="EE24" s="400"/>
      <c r="EF24" s="401"/>
      <c r="EG24" s="400"/>
      <c r="EH24" s="401"/>
      <c r="EI24" s="400"/>
      <c r="EJ24" s="447"/>
      <c r="EK24" s="511"/>
      <c r="EL24" s="514"/>
      <c r="EM24" s="448"/>
      <c r="EN24" s="344"/>
      <c r="EO24" s="345"/>
      <c r="EP24" s="171">
        <f t="shared" si="22"/>
        <v>0</v>
      </c>
      <c r="EQ24" s="171">
        <f t="shared" si="23"/>
        <v>0</v>
      </c>
      <c r="ER24" s="171">
        <f t="shared" si="24"/>
        <v>0</v>
      </c>
      <c r="ES24" s="171">
        <f t="shared" si="25"/>
        <v>0</v>
      </c>
      <c r="ET24" s="171">
        <f t="shared" si="26"/>
        <v>0</v>
      </c>
      <c r="EU24" s="171">
        <f t="shared" si="27"/>
        <v>0</v>
      </c>
      <c r="EV24" s="172">
        <f t="shared" si="28"/>
        <v>0</v>
      </c>
      <c r="EW24" s="127"/>
      <c r="EX24" s="248">
        <f t="shared" si="40"/>
        <v>0</v>
      </c>
      <c r="EY24" s="174">
        <f>(L24*regular)+(M24*Cadeirantee)</f>
        <v>0</v>
      </c>
      <c r="EZ24" s="249">
        <f>SUMIF(FG24:GJ24,"&gt;0")</f>
        <v>0</v>
      </c>
      <c r="FA24" s="249">
        <f>SUMIF(FG24:GJ24,"&lt;0")+SUMIF(GN24:HP24,"&lt;0")</f>
        <v>0</v>
      </c>
      <c r="FB24" s="174">
        <v>0</v>
      </c>
      <c r="FC24" s="126">
        <f>N24*km*'VALORES TABELA'!$B$13</f>
        <v>0</v>
      </c>
      <c r="FD24" s="250">
        <f t="shared" si="41"/>
        <v>0</v>
      </c>
      <c r="FE24" s="105"/>
      <c r="FF24" s="118"/>
      <c r="FG24" s="118"/>
      <c r="FH24" s="118"/>
      <c r="FI24" s="118"/>
      <c r="FJ24" s="118"/>
      <c r="FK24" s="118"/>
      <c r="FL24" s="118"/>
      <c r="FM24" s="118"/>
      <c r="FN24" s="118"/>
      <c r="FO24" s="118"/>
      <c r="FP24" s="118"/>
      <c r="FQ24" s="118"/>
      <c r="FR24" s="118"/>
      <c r="FS24" s="118"/>
      <c r="FT24" s="118"/>
      <c r="FU24" s="118"/>
      <c r="FV24" s="118"/>
      <c r="FW24" s="118"/>
      <c r="FX24" s="118"/>
      <c r="FY24" s="118"/>
      <c r="FZ24" s="118"/>
      <c r="GA24" s="118"/>
      <c r="GB24" s="118"/>
      <c r="GC24" s="118"/>
      <c r="GD24" s="118"/>
      <c r="GE24" s="118"/>
      <c r="GF24" s="118"/>
      <c r="GG24" s="118"/>
      <c r="GH24" s="118"/>
      <c r="GI24" s="118"/>
      <c r="GJ24" s="118"/>
      <c r="GK24" s="252"/>
      <c r="GL24" s="103">
        <f t="shared" si="30"/>
        <v>0</v>
      </c>
      <c r="GM24" s="124"/>
      <c r="GN24" s="104"/>
      <c r="GO24" s="104"/>
      <c r="GP24" s="104"/>
      <c r="GQ24" s="104"/>
      <c r="GR24" s="104"/>
      <c r="GS24" s="104"/>
      <c r="GT24" s="104"/>
      <c r="GU24" s="104"/>
      <c r="GV24" s="104"/>
      <c r="GW24" s="104"/>
      <c r="GX24" s="104"/>
      <c r="GY24" s="104"/>
      <c r="GZ24" s="104"/>
      <c r="HA24" s="104"/>
      <c r="HB24" s="104"/>
      <c r="HC24" s="104"/>
      <c r="HD24" s="104"/>
      <c r="HE24" s="104"/>
      <c r="HF24" s="104"/>
      <c r="HG24" s="104"/>
      <c r="HH24" s="104"/>
      <c r="HI24" s="104"/>
      <c r="HJ24" s="104"/>
      <c r="HK24" s="104"/>
      <c r="HL24" s="104"/>
      <c r="HM24" s="104"/>
      <c r="HN24" s="104"/>
      <c r="HO24" s="104"/>
      <c r="HP24" s="104"/>
      <c r="HQ24" s="64"/>
      <c r="HR24" s="65"/>
      <c r="HS24" s="65"/>
      <c r="HT24" s="65"/>
      <c r="HU24" s="65"/>
      <c r="HV24" s="65"/>
      <c r="HW24" s="105"/>
      <c r="HX24" s="65"/>
      <c r="HY24" s="280">
        <f t="shared" si="42"/>
        <v>0</v>
      </c>
      <c r="HZ24" s="280">
        <f t="shared" si="43"/>
        <v>0</v>
      </c>
      <c r="IA24" s="280">
        <f t="shared" si="44"/>
        <v>0</v>
      </c>
      <c r="IB24" s="65"/>
      <c r="IC24" s="65"/>
    </row>
    <row r="25" spans="1:237" s="106" customFormat="1" ht="22.5" customHeight="1" thickBot="1" x14ac:dyDescent="0.3">
      <c r="A25" s="377" t="s">
        <v>3202</v>
      </c>
      <c r="B25" s="378" t="s">
        <v>3203</v>
      </c>
      <c r="C25" s="379" t="s">
        <v>3186</v>
      </c>
      <c r="D25" s="380" t="s">
        <v>3204</v>
      </c>
      <c r="E25" s="380" t="s">
        <v>3205</v>
      </c>
      <c r="F25" s="381" t="s">
        <v>3182</v>
      </c>
      <c r="G25" s="381" t="s">
        <v>3183</v>
      </c>
      <c r="H25" s="382" t="s">
        <v>339</v>
      </c>
      <c r="I25" s="383" t="s">
        <v>339</v>
      </c>
      <c r="J25" s="421" t="s">
        <v>3184</v>
      </c>
      <c r="K25" s="424" t="s">
        <v>60</v>
      </c>
      <c r="L25" s="329">
        <f>CONTINUA!BV25</f>
        <v>0</v>
      </c>
      <c r="M25" s="329">
        <f>CONTINUA!BW25</f>
        <v>0</v>
      </c>
      <c r="N25" s="895"/>
      <c r="O25" s="896" t="s">
        <v>3277</v>
      </c>
      <c r="P25" s="897">
        <v>0</v>
      </c>
      <c r="Q25" s="400"/>
      <c r="R25" s="401"/>
      <c r="S25" s="400"/>
      <c r="T25" s="401"/>
      <c r="U25" s="400"/>
      <c r="V25" s="401"/>
      <c r="W25" s="400"/>
      <c r="X25" s="401"/>
      <c r="Y25" s="400"/>
      <c r="Z25" s="401"/>
      <c r="AA25" s="400"/>
      <c r="AB25" s="401"/>
      <c r="AC25" s="400"/>
      <c r="AD25" s="401"/>
      <c r="AE25" s="400"/>
      <c r="AF25" s="401"/>
      <c r="AG25" s="400"/>
      <c r="AH25" s="401"/>
      <c r="AI25" s="400"/>
      <c r="AJ25" s="401"/>
      <c r="AK25" s="400"/>
      <c r="AL25" s="401"/>
      <c r="AM25" s="400"/>
      <c r="AN25" s="401"/>
      <c r="AO25" s="400"/>
      <c r="AP25" s="401"/>
      <c r="AQ25" s="400"/>
      <c r="AR25" s="401"/>
      <c r="AS25" s="400"/>
      <c r="AT25" s="401"/>
      <c r="AU25" s="400"/>
      <c r="AV25" s="401"/>
      <c r="AW25" s="400"/>
      <c r="AX25" s="401"/>
      <c r="AY25" s="400"/>
      <c r="AZ25" s="401"/>
      <c r="BA25" s="400"/>
      <c r="BB25" s="401"/>
      <c r="BC25" s="400"/>
      <c r="BD25" s="401"/>
      <c r="BE25" s="400"/>
      <c r="BF25" s="401"/>
      <c r="BG25" s="400"/>
      <c r="BH25" s="401"/>
      <c r="BI25" s="400"/>
      <c r="BJ25" s="401"/>
      <c r="BK25" s="400"/>
      <c r="BL25" s="401"/>
      <c r="BM25" s="400"/>
      <c r="BN25" s="401"/>
      <c r="BO25" s="400"/>
      <c r="BP25" s="401"/>
      <c r="BQ25" s="400"/>
      <c r="BR25" s="401"/>
      <c r="BS25" s="400"/>
      <c r="BT25" s="401"/>
      <c r="BU25" s="400"/>
      <c r="BV25" s="401"/>
      <c r="BW25" s="400"/>
      <c r="BX25" s="401"/>
      <c r="BY25" s="400"/>
      <c r="BZ25" s="401"/>
      <c r="CA25" s="400"/>
      <c r="CB25" s="401"/>
      <c r="CC25" s="400"/>
      <c r="CD25" s="401"/>
      <c r="CE25" s="400"/>
      <c r="CF25" s="401"/>
      <c r="CG25" s="400"/>
      <c r="CH25" s="401"/>
      <c r="CI25" s="400"/>
      <c r="CJ25" s="401"/>
      <c r="CK25" s="400"/>
      <c r="CL25" s="401"/>
      <c r="CM25" s="400"/>
      <c r="CN25" s="401"/>
      <c r="CO25" s="400"/>
      <c r="CP25" s="401"/>
      <c r="CQ25" s="400"/>
      <c r="CR25" s="401"/>
      <c r="CS25" s="400"/>
      <c r="CT25" s="401"/>
      <c r="CU25" s="400"/>
      <c r="CV25" s="401"/>
      <c r="CW25" s="400"/>
      <c r="CX25" s="401"/>
      <c r="CY25" s="400"/>
      <c r="CZ25" s="401"/>
      <c r="DA25" s="400"/>
      <c r="DB25" s="401"/>
      <c r="DC25" s="400"/>
      <c r="DD25" s="401"/>
      <c r="DE25" s="400"/>
      <c r="DF25" s="401"/>
      <c r="DG25" s="400"/>
      <c r="DH25" s="401"/>
      <c r="DI25" s="400"/>
      <c r="DJ25" s="401"/>
      <c r="DK25" s="400"/>
      <c r="DL25" s="401"/>
      <c r="DM25" s="400"/>
      <c r="DN25" s="401"/>
      <c r="DO25" s="400"/>
      <c r="DP25" s="401"/>
      <c r="DQ25" s="400"/>
      <c r="DR25" s="401"/>
      <c r="DS25" s="400"/>
      <c r="DT25" s="401"/>
      <c r="DU25" s="400"/>
      <c r="DV25" s="401"/>
      <c r="DW25" s="400"/>
      <c r="DX25" s="401"/>
      <c r="DY25" s="400"/>
      <c r="DZ25" s="401"/>
      <c r="EA25" s="400"/>
      <c r="EB25" s="401"/>
      <c r="EC25" s="400"/>
      <c r="ED25" s="401"/>
      <c r="EE25" s="400"/>
      <c r="EF25" s="401"/>
      <c r="EG25" s="400"/>
      <c r="EH25" s="401"/>
      <c r="EI25" s="400"/>
      <c r="EJ25" s="447"/>
      <c r="EK25" s="512"/>
      <c r="EL25" s="515"/>
      <c r="EM25" s="450"/>
      <c r="EN25" s="348"/>
      <c r="EO25" s="348"/>
      <c r="EP25" s="179">
        <f t="shared" si="22"/>
        <v>0</v>
      </c>
      <c r="EQ25" s="179">
        <f t="shared" si="23"/>
        <v>0</v>
      </c>
      <c r="ER25" s="179">
        <f t="shared" si="24"/>
        <v>0</v>
      </c>
      <c r="ES25" s="179">
        <f t="shared" si="25"/>
        <v>0</v>
      </c>
      <c r="ET25" s="179">
        <f t="shared" si="26"/>
        <v>0</v>
      </c>
      <c r="EU25" s="179">
        <f t="shared" si="27"/>
        <v>0</v>
      </c>
      <c r="EV25" s="172">
        <f t="shared" si="28"/>
        <v>0</v>
      </c>
      <c r="EW25" s="253"/>
      <c r="EX25" s="254">
        <v>0</v>
      </c>
      <c r="EY25" s="180">
        <v>0</v>
      </c>
      <c r="EZ25" s="255">
        <v>0</v>
      </c>
      <c r="FA25" s="255">
        <v>0</v>
      </c>
      <c r="FB25" s="180">
        <f>SUM(FF25:GI25)/2</f>
        <v>0</v>
      </c>
      <c r="FC25" s="256">
        <f>N25*km*'VALORES TABELA'!$B$13</f>
        <v>0</v>
      </c>
      <c r="FD25" s="250">
        <f t="shared" si="41"/>
        <v>0</v>
      </c>
      <c r="FE25" s="257"/>
      <c r="FF25" s="181">
        <f>((Q25+S25)*Percapita)+((R25+T25)*Cadeirante)</f>
        <v>0</v>
      </c>
      <c r="FG25" s="181">
        <f>((U25+W25)*Percapita/30*FG$4)+((V25+X25)*Cadeirante/30*FG$4)</f>
        <v>0</v>
      </c>
      <c r="FH25" s="181">
        <f>((Y25+AA25)*Percapita/30*FH$4)+((Z25+AB25)*Cadeirante/30*FH$4)</f>
        <v>0</v>
      </c>
      <c r="FI25" s="181">
        <f>((AC25+AE25)*Percapita/30*FI$4)+((AD25+AF25)*Cadeirante/30*FI$4)</f>
        <v>0</v>
      </c>
      <c r="FJ25" s="181">
        <f>((AG25+AI25)*Percapita/30*FJ$4)+((AH25+AJ25)*Cadeirante/30*FJ$4)</f>
        <v>0</v>
      </c>
      <c r="FK25" s="181">
        <f>((AK25+AM25)*Percapita/30*FK$4)+((AL25+AN25)*Cadeirante/30*FK$4)</f>
        <v>0</v>
      </c>
      <c r="FL25" s="181">
        <f>((AO25+AQ25)*Percapita/30*FL$4)+((AP25+AR25)*Cadeirante/30*FL$4)</f>
        <v>0</v>
      </c>
      <c r="FM25" s="181">
        <f>((AS25+AU25)*Percapita/30*FM$4)+((AT25+AV25)*Cadeirante/30*FM$4)</f>
        <v>0</v>
      </c>
      <c r="FN25" s="181">
        <f>((AW25+AY25)*Percapita/30*FN$4)+((AX25+AZ25)*Cadeirante/30*FN$4)</f>
        <v>0</v>
      </c>
      <c r="FO25" s="181">
        <f>((BA25+BC25)*Percapita/30*FO$4)+((BB25+BD25)*Cadeirante/30*FO$4)</f>
        <v>0</v>
      </c>
      <c r="FP25" s="181">
        <f>((BE25+BG25)*Percapita/30*FP$4)+((BF25+BH25)*Cadeirante/30*FP$4)</f>
        <v>0</v>
      </c>
      <c r="FQ25" s="181">
        <f>((BI25+BK25)*Percapita/30*FQ$4)+((BJ25+BL25)*Cadeirante/30*FQ$4)</f>
        <v>0</v>
      </c>
      <c r="FR25" s="181">
        <f>((BM25+BO25)*Percapita/30*FR$4)+((BN25+BP25)*Cadeirante/30*FR$4)</f>
        <v>0</v>
      </c>
      <c r="FS25" s="181">
        <f>((BQ25+BS25)*Percapita/30*FS$4)+((BR25+BT25)*Cadeirante/30*FS$4)</f>
        <v>0</v>
      </c>
      <c r="FT25" s="181">
        <f>((BU25+BW25)*Percapita/30*FT$4)+((BV25+BX25)*Cadeirante/30*FT$4)</f>
        <v>0</v>
      </c>
      <c r="FU25" s="181">
        <f>((BY25+CA25)*Percapita/30*FU$4)+((BZ25+CB25)*Cadeirante/30*FU$4)</f>
        <v>0</v>
      </c>
      <c r="FV25" s="181">
        <f>((CC25+CE25)*Percapita/30*FV$4)+((CD25+CF25)*Cadeirante/30*FV$4)</f>
        <v>0</v>
      </c>
      <c r="FW25" s="181">
        <f>((CG25+CI25)*Percapita/30*FW$4)+((CI25+CK25)*Cadeirante/30*FW$4)</f>
        <v>0</v>
      </c>
      <c r="FX25" s="181">
        <f>((CK25+CM25)*Percapita/30*FX$4)+((CL25+CN25)*Cadeirante/30*FX$4)</f>
        <v>0</v>
      </c>
      <c r="FY25" s="181">
        <f>((CO25+CQ25)*Percapita/30*FY$4)+((CP25+CR25)*Cadeirante/30*FY$4)</f>
        <v>0</v>
      </c>
      <c r="FZ25" s="181">
        <f>((CS25+CU25)*Percapita/30*FZ$4)+((CT25+CV25)*Cadeirante/30*FZ$4)</f>
        <v>0</v>
      </c>
      <c r="GA25" s="181">
        <f>((CW25+CY25)*Percapita/30*GA$4)+((CX25+CZ25)*Cadeirante/30*GA$4)</f>
        <v>0</v>
      </c>
      <c r="GB25" s="181">
        <f>((DA25+DC25)*Percapita/30*GB$4)+((DB25+DD25)*Cadeirante/30*GB$4)</f>
        <v>0</v>
      </c>
      <c r="GC25" s="181">
        <f>((DE25+DG25)*Percapita/30*GC$4)+((DF25+DH25)*Cadeirante/30*GC$4)</f>
        <v>0</v>
      </c>
      <c r="GD25" s="181">
        <f>((DI25+DK25)*Percapita/30*GD$4)+((DJ25+DL25)*Cadeirante/30*GD$4)</f>
        <v>0</v>
      </c>
      <c r="GE25" s="181">
        <f>((DM25+DO25)*Percapita/30*GE$4)+((DN25+DP25)*Cadeirante/30*GE$4)</f>
        <v>0</v>
      </c>
      <c r="GF25" s="181">
        <f>((DQ25+DS25)*Percapita/30*GF$4)+((DR25+DT25)*Cadeirante/30*GF$4)</f>
        <v>0</v>
      </c>
      <c r="GG25" s="181">
        <f>((DU25+DW25)*Percapita/30*GG$4)+((DV25+DX25)*Cadeirante/30*GG$4)</f>
        <v>0</v>
      </c>
      <c r="GH25" s="181">
        <f>((DY25+EA25)*Percapita/30*GH$4)+((DZ25+EB25)*Cadeirante/30*GH$4)</f>
        <v>0</v>
      </c>
      <c r="GI25" s="181">
        <f>((EC25+EE25)*Percapita/30*GI$4)+((ED25+EF25)*Cadeirante/30*GI$4)</f>
        <v>0</v>
      </c>
      <c r="GJ25" s="181">
        <f>((EG25+EI25)*Percapita)+((EH25+EJ25)*Cadeirante)</f>
        <v>0</v>
      </c>
      <c r="GK25" s="258"/>
      <c r="GL25" s="103">
        <f t="shared" si="30"/>
        <v>0</v>
      </c>
      <c r="GM25" s="124"/>
      <c r="GN25" s="182"/>
      <c r="GO25" s="182"/>
      <c r="GP25" s="182"/>
      <c r="GQ25" s="182"/>
      <c r="GR25" s="182"/>
      <c r="GS25" s="182"/>
      <c r="GT25" s="182"/>
      <c r="GU25" s="182"/>
      <c r="GV25" s="182"/>
      <c r="GW25" s="182"/>
      <c r="GX25" s="182"/>
      <c r="GY25" s="182"/>
      <c r="GZ25" s="182"/>
      <c r="HA25" s="182"/>
      <c r="HB25" s="182"/>
      <c r="HC25" s="182"/>
      <c r="HD25" s="182"/>
      <c r="HE25" s="182"/>
      <c r="HF25" s="182"/>
      <c r="HG25" s="182"/>
      <c r="HH25" s="182"/>
      <c r="HI25" s="182"/>
      <c r="HJ25" s="182"/>
      <c r="HK25" s="182"/>
      <c r="HL25" s="182"/>
      <c r="HM25" s="182"/>
      <c r="HN25" s="182"/>
      <c r="HO25" s="182"/>
      <c r="HP25" s="259"/>
      <c r="HQ25" s="64"/>
      <c r="HW25" s="257"/>
      <c r="HY25" s="280">
        <f t="shared" si="42"/>
        <v>0</v>
      </c>
      <c r="HZ25" s="280">
        <f t="shared" si="43"/>
        <v>0</v>
      </c>
      <c r="IA25" s="280">
        <f t="shared" si="44"/>
        <v>0</v>
      </c>
    </row>
    <row r="26" spans="1:237" s="106" customFormat="1" ht="22.5" customHeight="1" x14ac:dyDescent="0.25">
      <c r="A26" t="s">
        <v>3206</v>
      </c>
      <c r="B26" s="522" t="s">
        <v>3207</v>
      </c>
      <c r="C26" s="523">
        <v>1</v>
      </c>
      <c r="D26" s="524" t="s">
        <v>3208</v>
      </c>
      <c r="E26" s="524" t="s">
        <v>3209</v>
      </c>
      <c r="F26" s="525" t="s">
        <v>3182</v>
      </c>
      <c r="G26" s="525" t="s">
        <v>3183</v>
      </c>
      <c r="H26" s="350" t="s">
        <v>341</v>
      </c>
      <c r="I26" s="351" t="s">
        <v>341</v>
      </c>
      <c r="J26" s="409" t="s">
        <v>3184</v>
      </c>
      <c r="K26" s="410" t="s">
        <v>3185</v>
      </c>
      <c r="L26" s="329">
        <f>CONTINUA!BV26</f>
        <v>0</v>
      </c>
      <c r="M26" s="329">
        <f>CONTINUA!BW26</f>
        <v>0</v>
      </c>
      <c r="N26" s="895"/>
      <c r="O26" s="896" t="s">
        <v>3278</v>
      </c>
      <c r="P26" s="897">
        <v>0</v>
      </c>
      <c r="Q26" s="400">
        <v>13</v>
      </c>
      <c r="R26" s="401"/>
      <c r="S26" s="400"/>
      <c r="T26" s="401"/>
      <c r="U26" s="400"/>
      <c r="V26" s="401"/>
      <c r="W26" s="400"/>
      <c r="X26" s="401"/>
      <c r="Y26" s="400"/>
      <c r="Z26" s="401"/>
      <c r="AA26" s="400"/>
      <c r="AB26" s="401"/>
      <c r="AC26" s="400"/>
      <c r="AD26" s="401"/>
      <c r="AE26" s="400"/>
      <c r="AF26" s="401"/>
      <c r="AG26" s="400"/>
      <c r="AH26" s="401"/>
      <c r="AI26" s="400"/>
      <c r="AJ26" s="401"/>
      <c r="AK26" s="400"/>
      <c r="AL26" s="401"/>
      <c r="AM26" s="400"/>
      <c r="AN26" s="401"/>
      <c r="AO26" s="400"/>
      <c r="AP26" s="401"/>
      <c r="AQ26" s="400"/>
      <c r="AR26" s="401"/>
      <c r="AS26" s="400"/>
      <c r="AT26" s="401"/>
      <c r="AU26" s="400"/>
      <c r="AV26" s="401"/>
      <c r="AW26" s="400"/>
      <c r="AX26" s="401"/>
      <c r="AY26" s="400"/>
      <c r="AZ26" s="401"/>
      <c r="BA26" s="400"/>
      <c r="BB26" s="401"/>
      <c r="BC26" s="400"/>
      <c r="BD26" s="401"/>
      <c r="BE26" s="400"/>
      <c r="BF26" s="401"/>
      <c r="BG26" s="400"/>
      <c r="BH26" s="401"/>
      <c r="BI26" s="400"/>
      <c r="BJ26" s="401"/>
      <c r="BK26" s="400"/>
      <c r="BL26" s="401"/>
      <c r="BM26" s="400"/>
      <c r="BN26" s="401"/>
      <c r="BO26" s="400"/>
      <c r="BP26" s="401"/>
      <c r="BQ26" s="400"/>
      <c r="BR26" s="401"/>
      <c r="BS26" s="400"/>
      <c r="BT26" s="401"/>
      <c r="BU26" s="400"/>
      <c r="BV26" s="401"/>
      <c r="BW26" s="400"/>
      <c r="BX26" s="401"/>
      <c r="BY26" s="400"/>
      <c r="BZ26" s="401"/>
      <c r="CA26" s="400"/>
      <c r="CB26" s="401"/>
      <c r="CC26" s="400"/>
      <c r="CD26" s="401"/>
      <c r="CE26" s="400"/>
      <c r="CF26" s="401"/>
      <c r="CG26" s="400"/>
      <c r="CH26" s="401"/>
      <c r="CI26" s="400"/>
      <c r="CJ26" s="401"/>
      <c r="CK26" s="400"/>
      <c r="CL26" s="401"/>
      <c r="CM26" s="400"/>
      <c r="CN26" s="401"/>
      <c r="CO26" s="400"/>
      <c r="CP26" s="401"/>
      <c r="CQ26" s="400"/>
      <c r="CR26" s="401"/>
      <c r="CS26" s="400"/>
      <c r="CT26" s="401"/>
      <c r="CU26" s="400"/>
      <c r="CV26" s="401"/>
      <c r="CW26" s="400"/>
      <c r="CX26" s="401"/>
      <c r="CY26" s="400"/>
      <c r="CZ26" s="401"/>
      <c r="DA26" s="400"/>
      <c r="DB26" s="401"/>
      <c r="DC26" s="400"/>
      <c r="DD26" s="401"/>
      <c r="DE26" s="400"/>
      <c r="DF26" s="401"/>
      <c r="DG26" s="400"/>
      <c r="DH26" s="401"/>
      <c r="DI26" s="400"/>
      <c r="DJ26" s="401"/>
      <c r="DK26" s="400"/>
      <c r="DL26" s="401"/>
      <c r="DM26" s="400"/>
      <c r="DN26" s="401"/>
      <c r="DO26" s="400"/>
      <c r="DP26" s="401"/>
      <c r="DQ26" s="400"/>
      <c r="DR26" s="401"/>
      <c r="DS26" s="400"/>
      <c r="DT26" s="401"/>
      <c r="DU26" s="400"/>
      <c r="DV26" s="401"/>
      <c r="DW26" s="400"/>
      <c r="DX26" s="401"/>
      <c r="DY26" s="400"/>
      <c r="DZ26" s="401"/>
      <c r="EA26" s="400"/>
      <c r="EB26" s="401"/>
      <c r="EC26" s="400"/>
      <c r="ED26" s="401"/>
      <c r="EE26" s="400"/>
      <c r="EF26" s="401"/>
      <c r="EG26" s="400"/>
      <c r="EH26" s="401"/>
      <c r="EI26" s="400"/>
      <c r="EJ26" s="447"/>
      <c r="EK26" s="510"/>
      <c r="EL26" s="513"/>
      <c r="EM26" s="520"/>
      <c r="EN26" s="520"/>
      <c r="EO26" s="520"/>
      <c r="EP26" s="171">
        <f t="shared" si="22"/>
        <v>13</v>
      </c>
      <c r="EQ26" s="171">
        <f t="shared" si="23"/>
        <v>0</v>
      </c>
      <c r="ER26" s="171">
        <f t="shared" si="24"/>
        <v>0</v>
      </c>
      <c r="ES26" s="171">
        <f t="shared" si="25"/>
        <v>0</v>
      </c>
      <c r="ET26" s="171">
        <f t="shared" si="26"/>
        <v>0</v>
      </c>
      <c r="EU26" s="171">
        <f t="shared" si="27"/>
        <v>0</v>
      </c>
      <c r="EV26" s="172">
        <f t="shared" si="28"/>
        <v>13</v>
      </c>
      <c r="EW26" s="367">
        <f>IF(C26=4,IF(MAX(Q26:EJ28)&gt;0,(Especiall/30*(IF(($G26-$F26)=($G$5-$F$5),30,IF(DAY($G26)=31,($G26-$F26),($G26-$F26)+1)))),0),0)</f>
        <v>0</v>
      </c>
      <c r="EX26" s="248">
        <f t="shared" ref="EX26:EX29" si="45">FF26</f>
        <v>11730.050000000001</v>
      </c>
      <c r="EY26" s="174">
        <f>(L26*regular)+(M26*Cadeirantee)</f>
        <v>0</v>
      </c>
      <c r="EZ26" s="249">
        <f>SUMIF(FG26:GJ26,"&gt;0")</f>
        <v>89.887</v>
      </c>
      <c r="FA26" s="249">
        <f>SUMIF(FG26:GJ26,"&lt;0")+SUMIF(GN26:HP26,"&lt;0")</f>
        <v>0</v>
      </c>
      <c r="FB26" s="174">
        <v>0</v>
      </c>
      <c r="FC26" s="175">
        <f>N26*km*'VALORES TABELA'!$B$13</f>
        <v>0</v>
      </c>
      <c r="FD26" s="250">
        <f>GL26</f>
        <v>0</v>
      </c>
      <c r="FE26" s="176">
        <f>(EW26+EW27+EW28+EW29+EX26+EX27+EX28+EX29+EY26+EY27+EY28+EY29+EY30+EZ26+EZ27+EZ28+EZ29+FA26+FA27+FA28+FA29+FC26+FC27+FC28+FC29+HY26-HZ26-IA26+FD26+FD27+FD28+FD29+FB30)</f>
        <v>11819.937000000002</v>
      </c>
      <c r="FF26" s="177">
        <f>IF(C26=4,SUM(Q26+Q27+Q28+S26+S27+S28)*Percapita/30*FF$4+(R26+R27+R28+T26+T27+T28)*Cadeirante/30*FF$4,IF(C26=3,IF(Q29+S29=10,Fixo/30*FF$4+(Q26+Q27+Q28+S26+S27+S28)*Percapita/30*FF$4+(R29+T29)*Cadeirante/30*FF$4,IF(Q29+S29&lt;=9,(Q29+S29)*Crechee/30*FF$4)+(R29+T29)*Cadeirante/30*FF$4+(Q26+Q27+Q28+S26+S27+S28)*Percapita/30*FF$4)+IF(Q29+S29&gt;=11,Fixo/30*FF$4+(Q29+S29-10)*Crechee/30*FF$4,0),IF(C26=2,IF(R26+R27+R28+R29+T26+T27+T28+T29=1,Cadeirante/30*FF$4,IF(R26+R27+R28+R29+T26+T27+T28+T29=2,Fixo/30*FF$4,IF(R26+R27+R28+R29+T26+T27+T28+T29&gt;2,Fixo/30*FF$4+(R26+R27+R28+R29+T26+T27+T28+T29-2)*Cadeirante/30*FF$4)))+(Q26+Q27+Q28+S26+S27+S28)*Percapita/30*FF$4+(Q29+S29)*Crechee/30*FF$4,IF(C26=1,IF(Q26+Q27+Q28+R26+R27+R28+S26+S27+S28+T26+T27+T28&lt;=15,(Q26+Q27+Q28+S26+S27+S28)*Percapita/30*FF$4,IF(Q26+Q27+Q28+R26+R27+R28+S26+S27+S28+T26+T27+T28&gt;=16,Fixo/30*FF$4+(Q26+Q27+Q28+R26+R27+R28+S26+S27+S28+T26+T27-16)*Percapita/30*FF$4))))))</f>
        <v>11730.050000000001</v>
      </c>
      <c r="FG26" s="177">
        <f>IF(C26=4,SUM(U26+U27+U28+W26+W27+W28)*Percapita/30*FG$4+(V26+V27+V28+X26+X27+X28)*Cadeirante/30*FG$4,IF(C26=3,IF(U29+W29=10,Fixo/30*FG$4+(U26+U27+U28+W26+W27+W28)*Percapita/30*FG$4+(V29+X29)*Cadeirante/30*FG$4,IF(U29+W29&lt;=9,(U29+W29)*Crechee/30*FG$4)+(V29+X29)*Cadeirante/30*FG$4+(U26+U27+U28+W26+W27+W28)*Percapita/30*FG$4)+IF(U29+W29&gt;=11,Fixo/30*FG$4+(U29+W29-10)*Crechee/30*FG$4,0),IF(C26=2,IF(V26+V27+V28+V29+X26+X27+X28+X29=1,Cadeirante/30*FG$4,IF(V26+V27+V28+V29+X26+X27+X28+X29=2,Fixo/30*FG$4,IF(V26+V27+V28+V29+X26+X27+X28+X29&gt;2,Fixo/30*FG$4+(V26+V27+V28+V29+X26+X27+X28+X29-2)*Cadeirante/30*FG$4)))+(U26+U27+U28+W26+W27+W28)*Percapita/30*FG$4+(U29+W29)*Crechee/30*FG$4,IF(C26=1,IF(U26+U27+U28+V26+V27+V28+W26+W27+W28+X26+X27+X28&lt;=15,(U26+U27+U28+W26+W27+W28)*Percapita/30*FG$4,IF(U26+U27+U28+V26+V27+V28+W26+W27+W28+X26+X27+X28&gt;=16,Fixo/30*FG$4+(U26+U27+U28+V26+V27+V28+W26+W27+W28+X26+X27-16)*Percapita/30*FG$4))))))</f>
        <v>0</v>
      </c>
      <c r="FH26" s="177">
        <f>IF(C26=4,SUM(Y26+Y27+Y28+AA26+AA27+AA28)*Percapita/30*FH$4+(Z26+Z27+Z28+AB26+AB27+AB28)*Cadeirante/30*FH$4,IF(C26=3,IF(Y29+AA29=10,Fixo/30*FH$4+(Y26+Y27+Y28+AA26+AA27+AA28)*Percapita/30*FH$4+(Z29+AB29)*Cadeirante/30*FH$4,IF(Y29+AA29&lt;=9,(Y29+AA29)*Crechee/30*FH$4)+(Z29+AB29)*Cadeirante/30*FH$4+(Y26+Y27+Y28+AA26+AA27+AA28)*Percapita/30*FH$4)+IF(Y29+AA29&gt;=11,Fixo/30*FH$4+(Y29+AA29-10)*Crechee/30*FH$4,0),IF(C26=2,IF(Z26+Z27+Z28+Z29+AB26+AB27+AB28+AB29=1,Cadeirante/30*FH$4,IF(Z26+Z27+Z28+Z29+AB26+AB27+AB28+AB29=2,Fixo/30*FH$4,IF(Z26+Z27+Z28+Z29+AB26+AB27+AB28+AB29&gt;2,Fixo/30*FH$4+(Z26+Z27+Z28+Z29+AB26+AB27+AB28+AB29-2)*Cadeirante/30*FH$4)))+(Y26+Y27+Y28+AA26+AA27+AA28)*Percapita/30*FH$4+(Y29+AA29)*Crechee/30*FH$4,IF(C26=1,IF(Y26+Y27+Y28+Z26+Z27+Z28+AA26+AA27+AA28+AB26+AB27+AB28&lt;=15,(Y26+Y27+Y28+AA26+AA27+AA28)*Percapita/30*FH$4,IF(Y26+Y27+Y28+Z26+Z27+Z28+AA26+AA27+AA28+AB26+AB27+AB28&gt;=16,Fixo/30*FH$4+(Y26+Y27+Y28+Z26+Z27+Z28+AA26+AA27+AA28+AB26+AB27-16)*Percapita/30*FH$4))))))</f>
        <v>0</v>
      </c>
      <c r="FI26" s="177">
        <f>IF(C26=4,SUM(AC26+AC27+AC28+AE26+AE27+AE28)*Percapita/30*FI$4+(AD26+AD27+AD28+AF26+AF27+AF28)*Cadeirante/30*FI$4,IF(C26=3,IF(AC29+AE29=10,Fixo/30*FI$4+(AC26+AC27+AC28+AE26+AE27+AE28)*Percapita/30*FI$4+(AD29+AF29)*Cadeirante/30*FI$4,IF(AC29+AE29&lt;=9,(AC29+AE29)*Crechee/30*FI$4)+(AD29+AF29)*Cadeirante/30*FI$4+(AC26+AC27+AC28+AE26+AE27+AE28)*Percapita/30*FI$4)+IF(AC29+AE29&gt;=11,Fixo/30*FI$4+(AC29+AE29-10)*Crechee/30*FI$4,0),IF(C26=2,IF(AD26+AD27+AD28+AD29+AF26+AF27+AF28+AF29=1,Cadeirante/30*FI$4,IF(AD26+AD27+AD28+AD29+AF26+AF27+AF28+AF29=2,Fixo/30*FI$4,IF(AD26+AD27+AD28+AD29+AF26+AF27+AF28+AF29&gt;2,Fixo/30*FI$4+(AD26+AD27+AD28+AD29+AF26+AF27+AF28+AF29-2)*Cadeirante/30*FI$4)))+(AC26+AC27+AC28+AE26+AE27+AE28)*Percapita/30*FI$4+(AC29+AE29)*Crechee/30*FI$4,IF(C26=1,IF(AC26+AC27+AC28+AD26+AD27+AD28+AE26+AE27+AE28+AF26+AF27+AF28&lt;=15,(AC26+AC27+AC28+AE26+AE27+AE28)*Percapita/30*FI$4,IF(AC26+AC27+AC28+AD26+AD27+AD28+AE26+AE27+AE28+AF26+AF27+AF28&gt;=16,Fixo/30*FI$4+(AC26+AC27+AC28+AD26+AD27+AD28+AE26+AE27+AE28+AF26+AF27-16)*Percapita/30*FI$4))))))</f>
        <v>0</v>
      </c>
      <c r="FJ26" s="177">
        <f>IF(C26=4,SUM(AG26+AG27+AG28+AI26+AI27+AI28)*Percapita/30*FJ$4+(AH26+AH27+AH28+AJ26+AJ27+AJ28)*Cadeirante/30*FJ$4,IF(C26=3,IF(AG29+AI29=10,Fixo/30*FJ$4+(AG26+AG27+AG28+AI26+AI27+AI28)*Percapita/30*FJ$4+(AH29+AJ29)*Cadeirante/30*FJ$4,IF(AG29+AI29&lt;=9,(AG29+AI29)*Crechee/30*FJ$4)+(AH29+AJ29)*Cadeirante/30*FJ$4+(AG26+AG27+AG28+AI26+AI27+AI28)*Percapita/30*FJ$4)+IF(AG29+AI29&gt;=11,Fixo/30*FJ$4+(AG29+AI29-10)*Crechee/30*FJ$4,0),IF(C26=2,IF(AH26+AH27+AH28+AH29+AJ26+AJ27+AJ28+AJ29=1,Cadeirante/30*FJ$4,IF(AH26+AH27+AH28+AH29+AJ26+AJ27+AJ28+AJ29=2,Fixo/30*FJ$4,IF(AH26+AH27+AH28+AH29+AJ26+AJ27+AJ28+AJ29&gt;2,Fixo/30*FJ$4+(AH26+AH27+AH28+AH29+AJ26+AJ27+AJ28+AJ29-2)*Cadeirante/30*FJ$4)))+(AG26+AG27+AG28+AI26+AI27+AI28)*Percapita/30*FJ$4+(AG29+AI29)*Crechee/30*FJ$4,IF(C26=1,IF(AG26+AG27+AG28+AH26+AH27+AH28+AI26+AI27+AI28+AJ26+AJ27+AJ28&lt;=15,(AG26+AG27+AG28+AI26+AI27+AI28)*Percapita/30*FJ$4,IF(AG26+AG27+AG28+AH26+AH27+AH28+AI26+AI27+AI28+AJ26+AJ27+AJ28&gt;=16,Fixo/30*FJ$4+(AG26+AG27+AG28+AH26+AH27+AH28+AI26+AI27+AI28+AJ26+AJ27-16)*Percapita/30*FJ$4))))))</f>
        <v>0</v>
      </c>
      <c r="FK26" s="177">
        <f>IF(C26=4,SUM(AK26+AK27+AK28+AM26+AM27+AM28)*Percapita/30*FK$4+(AL26+AL27+AL28+AN26+AN27+AN28)*Cadeirante/30*FK$4,IF(C26=3,IF(AK29+AM29=10,Fixo/30*FK$4+(AK26+AK27+AK28+AM26+AM27+AM28)*Percapita/30*FK$4+(AL29+AN29)*Cadeirante/30*FK$4,IF(AK29+AM29&lt;=9,(AK29+AM29)*Crechee/30*FK$4)+(AL29+AN29)*Cadeirante/30*FK$4+(AK26+AK27+AK28+AM26+AM27+AM28)*Percapita/30*FK$4)+IF(AK29+AM29&gt;=11,Fixo/30*FK$4+(AK29+AM29-10)*Crechee/30*FK$4,0),IF(C26=2,IF(AL26+AL27+AL28+AL29+AN26+AN27+AN28+AN29=1,Cadeirante/30*FK$4,IF(AL26+AL27+AL28+AL29+AN26+AN27+AN28+AN29=2,Fixo/30*FK$4,IF(AL26+AL27+AL28+AL29+AN26+AN27+AN28+AN29&gt;2,Fixo/30*FK$4+(AL26+AL27+AL28+AL29+AN26+AN27+AN28+AN29-2)*Cadeirante/30*FK$4)))+(AK26+AK27+AK28+AM26+AM27+AM28)*Percapita/30*FK$4+(AK29+AM29)*Crechee/30*FK$4,IF(C26=1,IF(AK26+AK27+AK28+AL26+AL27+AL28+AM26+AM27+AM28+AN26+AN27+AN28&lt;=15,(AK26+AK27+AK28+AM26+AM27+AM28)*Percapita/30*FK$4,IF(AK26+AK27+AK28+AL26+AL27+AL28+AM26+AM27+AM28+AN26+AN27+AN28&gt;=16,Fixo/30*FK$4+(AK26+AK27+AK28+AL26+AL27+AL28+AM26+AM27+AM28+AN26+AN27-16)*Percapita/30*FK$4))))))</f>
        <v>0</v>
      </c>
      <c r="FL26" s="177">
        <f>IF(C26=4,SUM(AO26+AO27+AO28+AQ26+AQ27+AQ28)*Percapita/30*FL$4+(AP26+AP27+AP28+AR26+AR27+AR28)*Cadeirante/30*FL$4,IF(C26=3,IF(AO29+AQ29=10,Fixo/30*FL$4+(AO26+AO27+AO28+AQ26+AQ27+AQ28)*Percapita/30*FL$4+(AP29+AR29)*Cadeirante/30*FL$4,IF(AO29+AQ29&lt;=9,(AO29+AQ29)*Crechee/30*FL$4)+(AP29+AR29)*Cadeirante/30*FL$4+(AO26+AO27+AO28+AQ26+AQ27+AQ28)*Percapita/30*FL$4)+IF(AO29+AQ29&gt;=11,Fixo/30*FL$4+(AO29+AQ29-10)*Crechee/30*FL$4,0),IF(C26=2,IF(AP26+AP27+AP28+AP29+AR26+AR27+AR28+AR29=1,Cadeirante/30*FL$4,IF(AP26+AP27+AP28+AP29+AR26+AR27+AR28+AR29=2,Fixo/30*FL$4,IF(AP26+AP27+AP28+AP29+AR26+AR27+AR28+AR29&gt;2,Fixo/30*FL$4+(AP26+AP27+AP28+AP29+AR26+AR27+AR28+AR29-2)*Cadeirante/30*FL$4)))+(AO26+AO27+AO28+AQ26+AQ27+AQ28)*Percapita/30*FL$4+(AO29+AQ29)*Crechee/30*FL$4,IF(C26=1,IF(AO26+AO27+AO28+AP26+AP27+AP28+AQ26+AQ27+AQ28+AR26+AR27+AR28&lt;=15,(AO26+AO27+AO28+AQ26+AQ27+AQ28)*Percapita/30*FL$4,IF(AO26+AO27+AO28+AP26+AP27+AP28+AQ26+AQ27+AQ28+AR26+AR27+AR28&gt;=16,Fixo/30*FL$4+(AO26+AO27+AO28+AP26+AP27+AP28+AQ26+AQ27+AQ28+AR26+AR27-16)*Percapita/30*FL$4))))))</f>
        <v>0</v>
      </c>
      <c r="FM26" s="177">
        <f>IF(C26=4,SUM(AS26+AS27+AS28+AU26+AU27+AU28)*Percapita/30*FM$4+(AT26+AT27+AT28+AV26+AV27+AV28)*Cadeirante/30*FM$4,IF(C26=3,IF(AS29+AU29=10,Fixo/30*FM$4+(AS26+AS27+AS28+AU26+AU27+AU28)*Percapita/30*FM$4+(AT29+AV29)*Cadeirante/30*FM$4,IF(AS29+AU29&lt;=9,(AS29+AU29)*Crechee/30*FM$4)+(AT29+AV29)*Cadeirante/30*FM$4+(AS26+AS27+AS28+AU26+AU27+AU28)*Percapita/30*FM$4)+IF(AS29+AU29&gt;=11,Fixo/30*FM$4+(AS29+AU29-10)*Crechee/30*FM$4,0),IF(C26=2,IF(AT26+AT27+AT28+AT29+AV26+AV27+AV28+AV29=1,Cadeirante/30*FM$4,IF(AT26+AT27+AT28+AT29+AV26+AV27+AV28+AV29=2,Fixo/30*FM$4,IF(AT26+AT27+AT28+AT29+AV26+AV27+AV28+AV29&gt;2,Fixo/30*FM$4+(AT26+AT27+AT28+AT29+AV26+AV27+AV28+AV29-2)*Cadeirante/30*FM$4)))+(AS26+AS27+AS28+AU26+AU27+AU28)*Percapita/30*FM$4+(AS29+AU29)*Crechee/30*FM$4,IF(C26=1,IF(AS26+AS27+AS28+AT26+AT27+AT28+AU26+AU27+AU28+AV26+AV27+AV28&lt;=15,(AS26+AS27+AS28+AU26+AU27+AU28)*Percapita/30*FM$4,IF(AS26+AS27+AS28+AT26+AT27+AT28+AU26+AU27+AU28+AV26+AV27+AV28&gt;=16,Fixo/30*FM$4+(AS26+AS27+AS28+AT26+AT27+AT28+AU26+AU27+AU28+AV26+AV27-16)*Percapita/30*FM$4))))))</f>
        <v>0</v>
      </c>
      <c r="FN26" s="177">
        <f>IF(C26=4,SUM(AW26+AW27+AW28+AY26+AY27+AY28)*Percapita/30*FN$4+(AX26+AX27+AX28+AZ26+AZ27+AZ28)*Cadeirante/30*FN$4,IF(C26=3,IF(AW29+AY29=10,Fixo/30*FN$4+(AW26+AW27+AW28+AY26+AY27+AY28)*Percapita/30*FN$4+(AX29+AZ29)*Cadeirante/30*FN$4,IF(AW29+AY29&lt;=9,(AW29+AY29)*Crechee/30*FN$4)+(AX29+AZ29)*Cadeirante/30*FN$4+(AW26+AW27+AW28+AY26+AY27+AY28)*Percapita/30*FN$4)+IF(AW29+AY29&gt;=11,Fixo/30*FN$4+(AW29+AY29-10)*Crechee/30*FN$4,0),IF(C26=2,IF(AX26+AX27+AX28+AX29+AZ26+AZ27+AZ28+AZ29=1,Cadeirante/30*FN$4,IF(AX26+AX27+AX28+AX29+AZ26+AZ27+AZ28+AZ29=2,Fixo/30*FN$4,IF(AX26+AX27+AX28+AX29+AZ26+AZ27+AZ28+AZ29&gt;2,Fixo/30*FN$4+(AX26+AX27+AX28+AX29+AZ26+AZ27+AZ28+AZ29-2)*Cadeirante/30*FN$4)))+(AW26+AW27+AW28+AY26+AY27+AY28)*Percapita/30*FN$4+(AW29+AY29)*Crechee/30*FN$4,IF(C26=1,IF(AW26+AW27+AW28+AX26+AX27+AX28+AY26+AY27+AY28+AZ26+AZ27+AZ28&lt;=15,(AW26+AW27+AW28+AY26+AY27+AY28)*Percapita/30*FN$4,IF(AW26+AW27+AW28+AX26+AX27+AX28+AY26+AY27+AY28+AZ26+AZ27+AZ28&gt;=16,Fixo/30*FN$4+(AW26+AW27+AW28+AX26+AX27+AX28+AY26+AY27+AY28+AZ26+AZ27-16)*Percapita/30*FN$4))))))</f>
        <v>0</v>
      </c>
      <c r="FO26" s="177">
        <f>IF(C26=4,SUM(BA26+BA27+BA28+BC26+BC27+BC28)*Percapita/30*FO$4+(BB26+BB27+BB28+BD26+BD27+BD28)*Cadeirante/30*FO$4,IF(C26=3,IF(BA29+BC29=10,Fixo/30*FO$4+(BA26+BA27+BA28+BC26+BC27+BC28)*Percapita/30*FO$4+(BB29+BD29)*Cadeirante/30*FO$4,IF(BA29+BC29&lt;=9,(BA29+BC29)*Crechee/30*FO$4)+(BB29+BD29)*Cadeirante/30*FO$4+(BA26+BA27+BA28+BC26+BC27+BC28)*Percapita/30*FO$4)+IF(BA29+BC29&gt;=11,Fixo/30*FO$4+(BA29+BC29-10)*Crechee/30*FO$4,0),IF(C26=2,IF(BB26+BB27+BB28+BB29+BD26+BD27+BD28+BD29=1,Cadeirante/30*FO$4,IF(BB26+BB27+BB28+BB29+BD26+BD27+BD28+BD29=2,Fixo/30*FO$4,IF(BB26+BB27+BB28+BB29+BD26+BD27+BD28+BD29&gt;2,Fixo/30*FO$4+(BB26+BB27+BB28+BB29+BD26+BD27+BD28+BD29-2)*Cadeirante/30*FO$4)))+(BA26+BA27+BA28+BC26+BC27+BC28)*Percapita/30*FO$4+(BA29+BC29)*Crechee/30*FO$4,IF(C26=1,IF(BA26+BA27+BA28+BB26+BB27+BB28+BC26+BC27+BC28+BD26+BD27+BD28&lt;=15,(BA26+BA27+BA28+BC26+BC27+BC28)*Percapita/30*FO$4,IF(BA26+BA27+BA28+BB26+BB27+BB28+BC26+BC27+BC28+BD26+BD27+BD28&gt;=16,Fixo/30*FO$4+(BA26+BA27+BA28+BB26+BB27+BB28+BC26+BC27+BC28+BD26+BD27-16)*Percapita/30*FO$4))))))</f>
        <v>0</v>
      </c>
      <c r="FP26" s="177">
        <f>IF(C26=4,SUM(BE26+BE27+BE28+BG26+BG27+BG28)*Percapita/30*FP$4+(BF26+BF27+BF28+BH26+BH27+BH28)*Cadeirante/30*FP$4,IF(C26=3,IF(BE29+BG29=10,Fixo/30*FP$4+(BE26+BE27+BE28+BG26+BG27+BG28)*Percapita/30*FP$4+(BF29+BH29)*Cadeirante/30*FP$4,IF(BE29+BG29&lt;=9,(BE29+BG29)*Crechee/30*FP$4)+(BF29+BH29)*Cadeirante/30*FP$4+(BE26+BE27+BE28+BG26+BG27+BG28)*Percapita/30*FP$4)+IF(BE29+BG29&gt;=11,Fixo/30*FP$4+(BE29+BG29-10)*Crechee/30*FP$4,0),IF(C26=2,IF(BF26+BF27+BF28+BF29+BH26+BH27+BH28+BH29=1,Cadeirante/30*FP$4,IF(BF26+BF27+BF28+BF29+BH26+BH27+BH28+BH29=2,Fixo/30*FP$4,IF(BF26+BF27+BF28+BF29+BH26+BH27+BH28+BH29&gt;2,Fixo/30*FP$4+(BF26+BF27+BF28+BF29+BH26+BH27+BH28+BH29-2)*Cadeirante/30*FP$4)))+(BE26+BE27+BE28+BG26+BG27+BG28)*Percapita/30*FP$4+(BE29+BG29)*Crechee/30*FP$4,IF(C26=1,IF(BE26+BE27+BE28+BF26+BF27+BF28+BG26+BG27+BG28+BH26+BH27+BH28&lt;=15,(BE26+BE27+BE28+BG26+BG27+BG28)*Percapita/30*FP$4,IF(BE26+BE27+BE28+BF26+BF27+BF28+BG26+BG27+BG28+BH26+BH27+BH28&gt;=16,Fixo/30*FP$4+(BE26+BE27+BE28+BF26+BF27+BF28+BG26+BG27+BG28+BH26+BH27-16)*Percapita/30*FP$4))))))</f>
        <v>0</v>
      </c>
      <c r="FQ26" s="177">
        <f>IF(C26=4,SUM(BI26+BI27+BI28+BK26+BK27+BK28)*Percapita/30*FQ$4+(BJ26+BJ27+BJ28+BL26+BL27+BL28)*Cadeirante/30*FQ$4,IF(C26=3,IF(BI29+BK29=10,Fixo/30*FQ$4+(BI26+BI27+BI28+BK26+BK27+BK28)*Percapita/30*FQ$4+(BJ29+BL29)*Cadeirante/30*FQ$4,IF(BI29+BK29&lt;=9,(BI29+BK29)*Crechee/30*FQ$4)+(BJ29+BL29)*Cadeirante/30*FQ$4+(BI26+BI27+BI28+BK26+BK27+BK28)*Percapita/30*FQ$4)+IF(BI29+BK29&gt;=11,Fixo/30*FQ$4+(BI29+BK29-10)*Crechee/30*FQ$4,0),IF(C26=2,IF(BJ26+BJ27+BJ28+BJ29+BL26+BL27+BL28+BL29=1,Cadeirante/30*FQ$4,IF(BJ26+BJ27+BJ28+BJ29+BL26+BL27+BL28+BL29=2,Fixo/30*FQ$4,IF(BJ26+BJ27+BJ28+BJ29+BL26+BL27+BL28+BL29&gt;2,Fixo/30*FQ$4+(BJ26+BJ27+BJ28+BJ29+BL26+BL27+BL28+BL29-2)*Cadeirante/30*FQ$4)))+(BI26+BI27+BI28+BK26+BK27+BK28)*Percapita/30*FQ$4+(BI29+BK29)*Crechee/30*FQ$4,IF(C26=1,IF(BI26+BI27+BI28+BJ26+BJ27+BJ28+BK26+BK27+BK28+BL26+BL27+BL28&lt;=15,(BI26+BI27+BI28+BK26+BK27+BK28)*Percapita/30*FQ$4,IF(BI26+BI27+BI28+BJ26+BJ27+BJ28+BK26+BK27+BK28+BL26+BL27+BL28&gt;=16,Fixo/30*FQ$4+(BI26+BI27+BI28+BJ26+BJ27+BJ28+BK26+BK27+BK28+BL26+BL27-16)*Percapita/30*FQ$4))))))</f>
        <v>0</v>
      </c>
      <c r="FR26" s="177">
        <f>IF(C26=4,SUM(BM26+BM27+BM28+BO26+BO27+BO28)*Percapita/30*FR$4+(BN26+BN27+BN28+BP26+BP27+BP28)*Cadeirante/30*FR$4,IF(C26=3,IF(BM29+BO29=10,Fixo/30*FR$4+(BM26+BM27+BM28+BO26+BO27+BO28)*Percapita/30*FR$4+(BN29+BP29)*Cadeirante/30*FR$4,IF(BM29+BO29&lt;=9,(BM29+BO29)*Crechee/30*FR$4)+(BN29+BP29)*Cadeirante/30*FR$4+(BM26+BM27+BM28+BO26+BO27+BO28)*Percapita/30*FR$4)+IF(BM29+BO29&gt;=11,Fixo/30*FR$4+(BM29+BO29-10)*Crechee/30*FR$4,0),IF(C26=2,IF(BN26+BN27+BN28+BN29+BP26+BP27+BP28+BP29=1,Cadeirante/30*FR$4,IF(BN26+BN27+BN28+BN29+BP26+BP27+BP28+BP29=2,Fixo/30*FR$4,IF(BN26+BN27+BN28+BN29+BP26+BP27+BP28+BP29&gt;2,Fixo/30*FR$4+(BN26+BN27+BN28+BN29+BP26+BP27+BP28+BP29-2)*Cadeirante/30*FR$4)))+(BM26+BM27+BM28+BO26+BO27+BO28)*Percapita/30*FR$4+(BM29+BO29)*Crechee/30*FR$4,IF(C26=1,IF(BM26+BM27+BM28+BN26+BN27+BN28+BO26+BO27+BO28+BP26+BP27+BP28&lt;=15,(BM26+BM27+BM28+BO26+BO27+BO28)*Percapita/30*FR$4,IF(BM26+BM27+BM28+BN26+BN27+BN28+BO26+BO27+BO28+BP26+BP27+BP28&gt;=16,Fixo/30*FR$4+(BM26+BM27+BM28+BN26+BN27+BN28+BO26+BO27+BO28+BP26+BP27-16)*Percapita/30*FR$4))))))</f>
        <v>0</v>
      </c>
      <c r="FS26" s="177">
        <f>IF(C26=4,SUM(BQ26+BQ27+BQ28+BS26+BS27+BS28)*Percapita/30*FS$4+(BR26+BR27+BR28+BT26+BT27+BT28)*Cadeirante/30*FS$4,IF(C26=3,IF(BQ29+BS29=10,Fixo/30*FS$4+(BQ26+BQ27+BQ28+BS26+BS27+BS28)*Percapita/30*FS$4+(BR29+BT29)*Cadeirante/30*FS$4,IF(BQ29+BS29&lt;=9,(BQ29+BS29)*Crechee/30*FS$4)+(BR29+BT29)*Cadeirante/30*FS$4+(BQ26+BQ27+BQ28+BS26+BS27+BS28)*Percapita/30*FS$4)+IF(BQ29+BS29&gt;=11,Fixo/30*FS$4+(BQ29+BS29-10)*Crechee/30*FS$4,0),IF(C26=2,IF(BR26+BR27+BR28+BR29+BT26+BT27+BT28+BT29=1,Cadeirante/30*FS$4,IF(BR26+BR27+BR28+BR29+BT26+BT27+BT28+BT29=2,Fixo/30*FS$4,IF(BR26+BR27+BR28+BR29+BT26+BT27+BT28+BT29&gt;2,Fixo/30*FS$4+(BR26+BR27+BR28+BR29+BT26+BT27+BT28+BT29-2)*Cadeirante/30*FS$4)))+(BQ26+BQ27+BQ28+BS26+BS27+BS28)*Percapita/30*FS$4+(BQ29+BS29)*Crechee/30*FS$4,IF(C26=1,IF(BQ26+BQ27+BQ28+BR26+BR27+BR28+BS26+BS27+BS28+BT26+BT27+BT28&lt;=15,(BQ26+BQ27+BQ28+BS26+BS27+BS28)*Percapita/30*FS$4,IF(BQ26+BQ27+BQ28+BR26+BR27+BR28+BS26+BS27+BS28+BT26+BT27+BT28&gt;=16,Fixo/30*FS$4+(BQ26+BQ27+BQ28+BR26+BR27+BR28+BS26+BS27+BS28+BT26+BT27-16)*Percapita/30*FS$4))))))</f>
        <v>0</v>
      </c>
      <c r="FT26" s="177">
        <f>IF(C26=4,SUM(BU26+BU27+BU28+BW26+BW27+BW28)*Percapita/30*FT$4+(BV26+BV27+BV28+BX26+BX27+BX28)*Cadeirante/30*FT$4,IF(C26=3,IF(BU29+BW29=10,Fixo/30*FT$4+(BU26+BU27+BU28+BW26+BW27+BW28)*Percapita/30*FT$4+(BV29+BX29)*Cadeirante/30*FT$4,IF(BU29+BW29&lt;=9,(BU29+BW29)*Crechee/30*FT$4)+(BV29+BX29)*Cadeirante/30*FT$4+(BU26+BU27+BU28+BW26+BW27+BW28)*Percapita/30*FT$4)+IF(BU29+BW29&gt;=11,Fixo/30*FT$4+(BU29+BW29-10)*Crechee/30*FT$4,0),IF(C26=2,IF(BV26+BV27+BV28+BV29+BX26+BX27+BX28+BX29=1,Cadeirante/30*FT$4,IF(BV26+BV27+BV28+BV29+BX26+BX27+BX28+BX29=2,Fixo/30*FT$4,IF(BV26+BV27+BV28+BV29+BX26+BX27+BX28+BX29&gt;2,Fixo/30*FT$4+(BV26+BV27+BV28+BV29+BX26+BX27+BX28+BX29-2)*Cadeirante/30*FT$4)))+(BU26+BU27+BU28+BW26+BW27+BW28)*Percapita/30*FT$4+(BU29+BW29)*Crechee/30*FT$4,IF(C26=1,IF(BU26+BU27+BU28+BV26+BV27+BV28+BW26+BW27+BW28+BX26+BX27+BX28&lt;=15,(BU26+BU27+BU28+BW26+BW27+BW28)*Percapita/30*FT$4,IF(BU26+BU27+BU28+BV26+BV27+BV28+BW26+BW27+BW28+BX26+BX27+BX28&gt;=16,Fixo/30*FT$4+(BU26+BU27+BU28+BV26+BV27+BV28+BW26+BW27+BW28+BX26+BX27-16)*Percapita/30*FT$4))))))</f>
        <v>0</v>
      </c>
      <c r="FU26" s="177">
        <f>IF(C26=4,SUM(BY26+BY27+BY28+CA26+CA27+CA28)*Percapita/30*FU$4+(BZ26+BZ27+BZ28+CB26+CB27+CB28)*Cadeirante/30*FU$4,IF(C26=3,IF(BY29+CA29=10,Fixo/30*FU$4+(BY26+BY27+BY28+CA26+CA27+CA28)*Percapita/30*FU$4+(BZ29+CB29)*Cadeirante/30*FU$4,IF(BY29+CA29&lt;=9,(BY29+CA29)*Crechee/30*FU$4)+(BZ29+CB29)*Cadeirante/30*FU$4+(BY26+BY27+BY28+CA26+CA27+CA28)*Percapita/30*FU$4)+IF(BY29+CA29&gt;=11,Fixo/30*FU$4+(BY29+CA29-10)*Crechee/30*FU$4,0),IF(C26=2,IF(BZ26+BZ27+BZ28+BZ29+CB26+CB27+CB28+CB29=1,Cadeirante/30*FU$4,IF(BZ26+BZ27+BZ28+BZ29+CB26+CB27+CB28+CB29=2,Fixo/30*FU$4,IF(BZ26+BZ27+BZ28+BZ29+CB26+CB27+CB28+CB29&gt;2,Fixo/30*FU$4+(BZ26+BZ27+BZ28+BZ29+CB26+CB27+CB28+CB29-2)*Cadeirante/30*FU$4)))+(BY26+BY27+BY28+CA26+CA27+CA28)*Percapita/30*FU$4+(BY29+CA29)*Crechee/30*FU$4,IF(C26=1,IF(BY26+BY27+BY28+BZ26+BZ27+BZ28+CA26+CA27+CA28+CB26+CB27+CB28&lt;=15,(BY26+BY27+BY28+CA26+CA27+CA28)*Percapita/30*FU$4,IF(BY26+BY27+BY28+BZ26+BZ27+BZ28+CA26+CA27+CA28+CB26+CB27+CB28&gt;=16,Fixo/30*FU$4+(BY26+BY27+BY28+BZ26+BZ27+BZ28+CA26+CA27+CA28+CB26+CB27-16)*Percapita/30*FU$4))))))</f>
        <v>0</v>
      </c>
      <c r="FV26" s="177">
        <f>IF(C26=4,SUM(CC26+CC27+CC28+CE26+CE27+CE28)*Percapita/30*FV$4+(CD26+CD27+CD28+CF26+CF27+CF28)*Cadeirante/30*FV$4,IF(C26=3,IF(CC29+CE29=10,Fixo/30*FV$4+(CC26+CC27+CC28+CE26+CE27+CE28)*Percapita/30*FV$4+(CD29+CF29)*Cadeirante/30*FV$4,IF(CC29+CE29&lt;=9,(CC29+CE29)*Crechee/30*FV$4)+(CD29+CF29)*Cadeirante/30*FV$4+(CC26+CC27+CC28+CE26+CE27+CE28)*Percapita/30*FV$4)+IF(CC29+CE29&gt;=11,Fixo/30*FV$4+(CC29+CE29-10)*Crechee/30*FV$4,0),IF(C26=2,IF(CD26+CD27+CD28+CD29+CF26+CF27+CF28+CF29=1,Cadeirante/30*FV$4,IF(CD26+CD27+CD28+CD29+CF26+CF27+CF28+CF29=2,Fixo/30*FV$4,IF(CD26+CD27+CD28+CD29+CF26+CF27+CF28+CF29&gt;2,Fixo/30*FV$4+(CD26+CD27+CD28+CD29+CF26+CF27+CF28+CF29-2)*Cadeirante/30*FV$4)))+(CC26+CC27+CC28+CE26+CE27+CE28)*Percapita/30*FV$4+(CC29+CE29)*Crechee/30*FV$4,IF(C26=1,IF(CC26+CC27+CC28+CD26+CD27+CD28+CE26+CE27+CE28+CF26+CF27+CF28&lt;=15,(CC26+CC27+CC28+CE26+CE27+CE28)*Percapita/30*FV$4,IF(CC26+CC27+CC28+CD26+CD27+CD28+CE26+CE27+CE28+CF26+CF27+CF28&gt;=16,Fixo/30*FV$4+(CC26+CC27+CC28+CD26+CD27+CD28+CE26+CE27+CE28+CF26+CF27-16)*Percapita/30*FV$4))))))</f>
        <v>0</v>
      </c>
      <c r="FW26" s="177">
        <f>IF(C26=4,SUM(CG26+CG27+CG28+CI26+CI27+CI28)*Percapita/30*FW$4+(CH26+CH27+CH28+CJ26+CJ27+CJ28)*Cadeirante/30*FW$4,IF(C26=3,IF(CG29+CI29=10,Fixo/30*FW$4+(CG26+CG27+CG28+CI26+CI27+CI28)*Percapita/30*FW$4+(CH29+CJ29)*Cadeirante/30*FW$4,IF(CG29+CI29&lt;=9,(CG29+CI29)*Crechee/30*FW$4)+(CH29+CJ29)*Cadeirante/30*FW$4+(CG26+CG27+CG28+CI26+CI27+CI28)*Percapita/30*FW$4)+IF(CG29+CI29&gt;=11,Fixo/30*FW$4+(CG29+CI29-10)*Crechee/30*FW$4,0),IF(C26=2,IF(CH26+CH27+CH28+CH29+CJ26+CJ27+CJ28+CJ29=1,Cadeirante/30*FW$4,IF(CH26+CH27+CH28+CH29+CJ26+CJ27+CJ28+CJ29=2,Fixo/30*FW$4,IF(CH26+CH27+CH28+CH29+CJ26+CJ27+CJ28+CJ29&gt;2,Fixo/30*FW$4+(CH26+CH27+CH28+CH29+CJ26+CJ27+CJ28+CJ29-2)*Cadeirante/30*FW$4)))+(CG26+CG27+CG28+CI26+CI27+CI28)*Percapita/30*FW$4+(CG29+CI29)*Crechee/30*FW$4,IF(C26=1,IF(CG26+CG27+CG28+CH26+CH27+CH28+CI26+CI27+CI28+CJ26+CJ27+CJ28&lt;=15,(CG26+CG27+CG28+CI26+CI27+CI28)*Percapita/30*FW$4,IF(CG26+CG27+CG28+CH26+CH27+CH28+CI26+CI27+CI28+CJ26+CJ27+CJ28&gt;=16,Fixo/30*FW$4+(CG26+CG27+CG28+CH26+CH27+CH28+CI26+CI27+CI28+CJ26+CJ27-16)*Percapita/30*FW$4))))))</f>
        <v>0</v>
      </c>
      <c r="FX26" s="177">
        <f>IF(C26=4,SUM(CK26+CK27+CK28+CM26+CM27+CM28)*Percapita/30*FX$4+(CL26+CL27+CL28+CN26+CN27+CN28)*Cadeirante/30*FX$4,IF(C26=3,IF(CK29+CM29=10,Fixo/30*FX$4+(CK26+CK27+CK28+CM26+CM27+CM28)*Percapita/30*FX$4+(CL29+CN29)*Cadeirante/30*FX$4,IF(CK29+CM29&lt;=9,(CK29+CM29)*Crechee/30*FX$4)+(CL29+CN29)*Cadeirante/30*FX$4+(CK26+CK27+CK28+CM26+CM27+CM28)*Percapita/30*FX$4)+IF(CK29+CM29&gt;=11,Fixo/30*FX$4+(CK29+CM29-10)*Crechee/30*FX$4,0),IF(C26=2,IF(CL26+CL27+CL28+CL29+CN26+CN27+CN28+CN29=1,Cadeirante/30*FX$4,IF(CL26+CL27+CL28+CL29+CN26+CN27+CN28+CN29=2,Fixo/30*FX$4,IF(CL26+CL27+CL28+CL29+CN26+CN27+CN28+CN29&gt;2,Fixo/30*FX$4+(CL26+CL27+CL28+CL29+CN26+CN27+CN28+CN29-2)*Cadeirante/30*FX$4)))+(CK26+CK27+CK28+CM26+CM27+CM28)*Percapita/30*FX$4+(CK29+CM29)*Crechee/30*FX$4,IF(C26=1,IF(CK26+CK27+CK28+CL26+CL27+CL28+CM26+CM27+CM28+CN26+CN27+CN28&lt;=15,(CK26+CK27+CK28+CM26+CM27+CM28)*Percapita/30*FX$4,IF(CK26+CK27+CK28+CL26+CL27+CL28+CM26+CM27+CM28+CN26+CN27+CN28&gt;=16,Fixo/30*FX$4+(CK26+CK27+CK28+CL26+CL27+CL28+CM26+CM27+CM28+CN26+CN27-16)*Percapita/30*FX$4))))))</f>
        <v>0</v>
      </c>
      <c r="FY26" s="177">
        <f>IF(C26=4,SUM(CO26+CO27+CO28+CQ26+CQ27+CQ28)*Percapita/30*FY$4+(CP26+CP27+CP28+CR26+CR27+CR28)*Cadeirante/30*FY$4,IF(C26=3,IF(CO29+CQ29=10,Fixo/30*FY$4+(CO26+CO27+CO28+CQ26+CQ27+CQ28)*Percapita/30*FY$4+(CP29+CR29)*Cadeirante/30*FY$4,IF(CO29+CQ29&lt;=9,(CO29+CQ29)*Crechee/30*FY$4)+(CP29+CR29)*Cadeirante/30*FY$4+(CO26+CO27+CO28+CQ26+CQ27+CQ28)*Percapita/30*FY$4)+IF(CO29+CQ29&gt;=11,Fixo/30*FY$4+(CO29+CQ29-10)*Crechee/30*FY$4,0),IF(C26=2,IF(CP26+CP27+CP28+CP29+CR26+CR27+CR28+CR29=1,Cadeirante/30*FY$4,IF(CP26+CP27+CP28+CP29+CR26+CR27+CR28+CR29=2,Fixo/30*FY$4,IF(CP26+CP27+CP28+CP29+CR26+CR27+CR28+CR29&gt;2,Fixo/30*FY$4+(CP26+CP27+CP28+CP29+CR26+CR27+CR28+CR29-2)*Cadeirante/30*FY$4)))+(CO26+CO27+CO28+CQ26+CQ27+CQ28)*Percapita/30*FY$4+(CO29+CQ29)*Crechee/30*FY$4,IF(C26=1,IF(CO26+CO27+CO28+CP26+CP27+CP28+CQ26+CQ27+CQ28+CR26+CR27+CR28&lt;=15,(CO26+CO27+CO28+CQ26+CQ27+CQ28)*Percapita/30*FY$4,IF(CO26+CO27+CO28+CP26+CP27+CP28+CQ26+CQ27+CQ28+CR26+CR27+CR28&gt;=16,Fixo/30*FY$4+(CO26+CO27+CO28+CP26+CP27+CP28+CQ26+CQ27+CQ28+CR26+CR27-16)*Percapita/30*FY$4))))))</f>
        <v>0</v>
      </c>
      <c r="FZ26" s="177">
        <f>IF(C26=4,SUM(CS26+CS27+CS28+CU26+CU27+CU28)*Percapita/30*FZ$4+(CT26+CT27+CT28+CV26+CV27+CV28)*Cadeirante/30*FZ$4,IF(C26=3,IF(CS29+CU29=10,Fixo/30*FZ$4+(CS26+CS27+CS28+CU26+CU27+CU28)*Percapita/30*FZ$4+(CT29+CV29)*Cadeirante/30*FZ$4,IF(CS29+CU29&lt;=9,(CS29+CU29)*Crechee/30*FZ$4)+(CT29+CV29)*Cadeirante/30*FZ$4+(CS26+CS27+CS28+CU26+CU27+CU28)*Percapita/30*FZ$4)+IF(CS29+CU29&gt;=11,Fixo/30*FZ$4+(CS29+CU29-10)*Crechee/30*FZ$4,0),IF(C26=2,IF(CT26+CT27+CT28+CT29+CV26+CV27+CV28+CV29=1,Cadeirante/30*FZ$4,IF(CT26+CT27+CT28+CT29+CV26+CV27+CV28+CV29=2,Fixo/30*FZ$4,IF(CT26+CT27+CT28+CT29+CV26+CV27+CV28+CV29&gt;2,Fixo/30*FZ$4+(CT26+CT27+CT28+CT29+CV26+CV27+CV28+CV29-2)*Cadeirante/30*FZ$4)))+(CS26+CS27+CS28+CU26+CU27+CU28)*Percapita/30*FZ$4+(CS29+CU29)*Crechee/30*FZ$4,IF(C26=1,IF(CS26+CS27+CS28+CT26+CT27+CT28+CU26+CU27+CU28+CV26+CV27+CV28&lt;=15,(CS26+CS27+CS28+CU26+CU27+CU28)*Percapita/30*FZ$4,IF(CS26+CS27+CS28+CT26+CT27+CT28+CU26+CU27+CU28+CV26+CV27+CV28&gt;=16,Fixo/30*FZ$4+(CS26+CS27+CS28+CT26+CT27+CT28+CU26+CU27+CU28+CV26+CV27-16)*Percapita/30*FZ$4))))))</f>
        <v>0</v>
      </c>
      <c r="GA26" s="177">
        <f>IF(C26=4,SUM(CW26+CW27+CW28+CY26+CY27+CY28)*Percapita/30*GA$4+(CX26+CX27+CX28+CZ26+CZ27+CZ28)*Cadeirante/30*GA$4,IF(C26=3,IF(CW29+CY29=10,Fixo/30*GA$4+(CW26+CW27+CW28+CY26+CY27+CY28)*Percapita/30*GA$4+(CX29+CZ29)*Cadeirante/30*GA$4,IF(CW29+CY29&lt;=9,(CW29+CY29)*Crechee/30*GA$4)+(CX29+CZ29)*Cadeirante/30*GA$4+(CW26+CW27+CW28+CY26+CY27+CY28)*Percapita/30*GA$4)+IF(CW29+CY29&gt;=11,Fixo/30*GA$4+(CW29+CY29-10)*Crechee/30*GA$4,0),IF(C26=2,IF(CX26+CX27+CX28+CX29+CZ26+CZ27+CZ28+CZ29=1,Cadeirante/30*GA$4,IF(CX26+CX27+CX28+CX29+CZ26+CZ27+CZ28+CZ29=2,Fixo/30*GA$4,IF(CX26+CX27+CX28+CX29+CZ26+CZ27+CZ28+CZ29&gt;2,Fixo/30*GA$4+(CX26+CX27+CX28+CX29+CZ26+CZ27+CZ28+CZ29-2)*Cadeirante/30*GA$4)))+(CW26+CW27+CW28+CY26+CY27+CY28)*Percapita/30*GA$4+(CW29+CY29)*Crechee/30*GA$4,IF(C26=1,IF(CW26+CW27+CW28+CX26+CX27+CX28+CY26+CY27+CY28+CZ26+CZ27+CZ28&lt;=15,(CW26+CW27+CW28+CY26+CY27+CY28)*Percapita/30*GA$4,IF(CW26+CW27+CW28+CX26+CX27+CX28+CY26+CY27+CY28+CZ26+CZ27+CZ28&gt;=16,Fixo/30*GA$4+(CW26+CW27+CW28+CX26+CX27+CX28+CY26+CY27+CY28+CZ26+CZ27-16)*Percapita/30*GA$4))))))</f>
        <v>0</v>
      </c>
      <c r="GB26" s="177">
        <f>IF(C26=4,SUM(DA26+DA27+DA28+DC26+DC27+DC28)*Percapita/30*GB$4+(DB26+DB27+DB28+DD26+DD27+DD28)*Cadeirante/30*GB$4,IF(C26=3,IF(DA29+DC29=10,Fixo/30*GB$4+(DA26+DA27+DA28+DC26+DC27+DC28)*Percapita/30*GB$4+(DB29+DD29)*Cadeirante/30*GB$4,IF(DA29+DC29&lt;=9,(DA29+DC29)*Crechee/30*GB$4)+(DB29+DD29)*Cadeirante/30*GB$4+(DA26+DA27+DA28+DC26+DC27+DC28)*Percapita/30*GB$4)+IF(DA29+DC29&gt;=11,Fixo/30*GB$4+(DA29+DC29-10)*Crechee/30*GB$4,0),IF(C26=2,IF(DB26+DB27+DB28+DB29+DD26+DD27+DD28+DD29=1,Cadeirante/30*GB$4,IF(DB26+DB27+DB28+DB29+DD26+DD27+DD28+DD29=2,Fixo/30*GB$4,IF(DB26+DB27+DB28+DB29+DD26+DD27+DD28+DD29&gt;2,Fixo/30*GB$4+(DB26+DB27+DB28+DB29+DD26+DD27+DD28+DD29-2)*Cadeirante/30*GB$4)))+(DA26+DA27+DA28+DC26+DC27+DC28)*Percapita/30*GB$4+(DA29+DC29)*Crechee/30*GB$4,IF(C26=1,IF(DA26+DA27+DA28+DB26+DB27+DB28+DC26+DC27+DC28+DD26+DD27+DD28&lt;=15,(DA26+DA27+DA28+DC26+DC27+DC28)*Percapita/30*GB$4,IF(DA26+DA27+DA28+DB26+DB27+DB28+DC26+DC27+DC28+DD26+DD27+DD28&gt;=16,Fixo/30*GB$4+(DA26+DA27+DA28+DB26+DB27+DB28+DC26+DC27+DC28+DD26+DD27-16)*Percapita/30*GB$4))))))</f>
        <v>0</v>
      </c>
      <c r="GC26" s="177">
        <f>IF(C26=4,SUM(DE26+DE27+DE28+DG26+DG27+DG28)*Percapita/30*GC$4+(DF26+DF27+DF28+DH26+DH27+DH28)*Cadeirante/30*GC$4,IF(C26=3,IF(DE29+DG29=10,Fixo/30*GC$4+(DE26+DE27+DE28+DG26+DG27+DG28)*Percapita/30*GC$4+(DF29+DH29)*Cadeirante/30*GC$4,IF(DE29+DG29&lt;=9,(DE29+DG29)*Crechee/30*GC$4)+(DF29+DH29)*Cadeirante/30*GC$4+(DE26+DE27+DE28+DG26+DG27+DG28)*Percapita/30*GC$4)+IF(DE29+DG29&gt;=11,Fixo/30*GC$4+(DE29+DG29-10)*Crechee/30*GC$4,0),IF(C26=2,IF(DF26+DF27+DF28+DF29+DH26+DH27+DH28+DH29=1,Cadeirante/30*GC$4,IF(DF26+DF27+DF28+DF29+DH26+DH27+DH28+DH29=2,Fixo/30*GC$4,IF(DF26+DF27+DF28+DF29+DH26+DH27+DH28+DH29&gt;2,Fixo/30*GC$4+(DF26+DF27+DF28+DF29+DH26+DH27+DH28+DH29-2)*Cadeirante/30*GC$4)))+(DE26+DE27+DE28+DG26+DG27+DG28)*Percapita/30*GC$4+(DE29+DG29)*Crechee/30*GC$4,IF(C26=1,IF(DE26+DE27+DE28+DF26+DF27+DF28+DG26+DG27+DG28+DH26+DH27+DH28&lt;=15,(DE26+DE27+DE28+DG26+DG27+DG28)*Percapita/30*GC$4,IF(DE26+DE27+DE28+DF26+DF27+DF28+DG26+DG27+DG28+DH26+DH27+DH28&gt;=16,Fixo/30*GC$4+(DE26+DE27+DE28+DF26+DF27+DF28+DG26+DG27+DG28+DH26+DH27-16)*Percapita/30*GC$4))))))</f>
        <v>89.887</v>
      </c>
      <c r="GD26" s="177">
        <f>IF(C26=4,SUM(DI26+DI27+DI28+DK26+DK27+DK28)*Percapita/30*GD$4+(DJ26+DJ27+DJ28+DL26+DL27+DL28)*Cadeirante/30*GD$4,IF(C26=3,IF(DI29+DK29=10,Fixo/30*GD$4+(DI26+DI27+DI28+DK26+DK27+DK28)*Percapita/30*GD$4+(DJ29+DL29)*Cadeirante/30*GD$4,IF(DI29+DK29&lt;=9,(DI29+DK29)*Crechee/30*GD$4)+(DJ29+DL29)*Cadeirante/30*GD$4+(DI26+DI27+DI28+DK26+DK27+DK28)*Percapita/30*GD$4)+IF(DI29+DK29&gt;=11,Fixo/30*GD$4+(DI29+DK29-10)*Crechee/30*GD$4,0),IF(C26=2,IF(DJ26+DJ27+DJ28+DJ29+DL26+DL27+DL28+DL29=1,Cadeirante/30*GD$4,IF(DJ26+DJ27+DJ28+DJ29+DL26+DL27+DL28+DL29=2,Fixo/30*GD$4,IF(DJ26+DJ27+DJ28+DJ29+DL26+DL27+DL28+DL29&gt;2,Fixo/30*GD$4+(DJ26+DJ27+DJ28+DJ29+DL26+DL27+DL28+DL29-2)*Cadeirante/30*GD$4)))+(DI26+DI27+DI28+DK26+DK27+DK28)*Percapita/30*GD$4+(DI29+DK29)*Crechee/30*GD$4,IF(C26=1,IF(DI26+DI27+DI28+DJ26+DJ27+DJ28+DK26+DK27+DK28+DL26+DL27+DL28&lt;=15,(DI26+DI27+DI28+DK26+DK27+DK28)*Percapita/30*GD$4,IF(DI26+DI27+DI28+DJ26+DJ27+DJ28+DK26+DK27+DK28+DL26+DL27+DL28&gt;=16,Fixo/30*GD$4+(DI26+DI27+DI28+DJ26+DJ27+DJ28+DK26+DK27+DK28+DL26+DL27-16)*Percapita/30*GD$4))))))</f>
        <v>0</v>
      </c>
      <c r="GE26" s="177">
        <f>IF(C26=4,SUM(DM26+DM27+DM28+DO26+DO27+DO28)*Percapita/30*GE$4+(DN26+DN27+DN28+DP26+DP27+DP28)*Cadeirante/30*GE$4,IF(C26=3,IF(DM29+DO29=10,Fixo/30*GE$4+(DM26+DM27+DM28+DO26+DO27+DO28)*Percapita/30*GE$4+(DN29+DP29)*Cadeirante/30*GE$4,IF(DM29+DO29&lt;=9,(DM29+DO29)*Crechee/30*GE$4)+(DN29+DP29)*Cadeirante/30*GE$4+(DM26+DM27+DM28+DO26+DO27+DO28)*Percapita/30*GE$4)+IF(DM29+DO29&gt;=11,Fixo/30*GE$4+(DM29+DO29-10)*Crechee/30*GE$4,0),IF(C26=2,IF(DN26+DN27+DN28+DN29+DP26+DP27+DP28+DP29=1,Cadeirante/30*GE$4,IF(DN26+DN27+DN28+DN29+DP26+DP27+DP28+DP29=2,Fixo/30*GE$4,IF(DN26+DN27+DN28+DN29+DP26+DP27+DP28+DP29&gt;2,Fixo/30*GE$4+(DN26+DN27+DN28+DN29+DP26+DP27+DP28+DP29-2)*Cadeirante/30*GE$4)))+(DM26+DM27+DM28+DO26+DO27+DO28)*Percapita/30*GE$4+(DM29+DO29)*Crechee/30*GE$4,IF(C26=1,IF(DM26+DM27+DM28+DN26+DN27+DN28+DO26+DO27+DO28+DP26+DP27+DP28&lt;=15,(DM26+DM27+DM28+DO26+DO27+DO28)*Percapita/30*GE$4,IF(DM26+DM27+DM28+DN26+DN27+DN28+DO26+DO27+DO28+DP26+DP27+DP28&gt;=16,Fixo/30*GE$4+(DM26+DM27+DM28+DN26+DN27+DN28+DO26+DO27+DO28+DP26+DP27-16)*Percapita/30*GE$4))))))</f>
        <v>0</v>
      </c>
      <c r="GF26" s="177">
        <f>IF(C26=4,SUM(DQ26+DQ27+DQ28+DS26+DS27+DS28)*Percapita/30*GF$4+(DR26+DR27+DR28+DT26+DT27+DT28)*Cadeirante/30*GF$4,IF(C26=3,IF(DQ29+DS29=10,Fixo/30*GF$4+(DQ26+DQ27+DQ28+DS26+DS27+DS28)*Percapita/30*GF$4+(DR29+DT29)*Cadeirante/30*GF$4,IF(DQ29+DS29&lt;=9,(DQ29+DS29)*Crechee/30*GF$4)+(DR29+DT29)*Cadeirante/30*GF$4+(DQ26+DQ27+DQ28+DS26+DS27+DS28)*Percapita/30*GF$4)+IF(DQ29+DS29&gt;=11,Fixo/30*GF$4+(DQ29+DS29-10)*Crechee/30*GF$4,0),IF(C26=2,IF(DR26+DR27+DR28+DR29+DT26+DT27+DT28+DT29=1,Cadeirante/30*GF$4,IF(DR26+DR27+DR28+DR29+DT26+DT27+DT28+DT29=2,Fixo/30*GF$4,IF(DR26+DR27+DR28+DR29+DT26+DT27+DT28+DT29&gt;2,Fixo/30*GF$4+(DR26+DR27+DR28+DR29+DT26+DT27+DT28+DT29-2)*Cadeirante/30*GF$4)))+(DQ26+DQ27+DQ28+DS26+DS27+DS28)*Percapita/30*GF$4+(DQ29+DS29)*Crechee/30*GF$4,IF(C26=1,IF(DQ26+DQ27+DQ28+DR26+DR27+DR28+DS26+DS27+DS28+DT26+DT27+DT28&lt;=15,(DQ26+DQ27+DQ28+DS26+DS27+DS28)*Percapita/30*GF$4,IF(DQ26+DQ27+DQ28+DR26+DR27+DR28+DS26+DS27+DS28+DT26+DT27+DT28&gt;=16,Fixo/30*GF$4+(DQ26+DQ27+DQ28+DR26+DR27+DR28+DS26+DS27+DS28+DT26+DT27-16)*Percapita/30*GF$4))))))</f>
        <v>0</v>
      </c>
      <c r="GG26" s="177">
        <f>IF(C26=4,SUM(DU26+DU27+DU28+DW26+DW27+DW28)*Percapita/30*GG$4+(DV26+DV27+DV28+DX26+DX27+DX28)*Cadeirante/30*GG$4,IF(C26=3,IF(DU29+DW29=10,Fixo/30*GG$4+(DU26+DU27+DU28+DW26+DW27+DW28)*Percapita/30*GG$4+(DV29+DX29)*Cadeirante/30*GG$4,IF(DU29+DW29&lt;=9,(DU29+DW29)*Crechee/30*GG$4)+(DV29+DX29)*Cadeirante/30*GG$4+(DU26+DU27+DU28+DW26+DW27+DW28)*Percapita/30*GG$4)+IF(DU29+DW29&gt;=11,Fixo/30*GG$4+(DU29+DW29-10)*Crechee/30*GG$4,0),IF(C26=2,IF(DV26+DV27+DV28+DV29+DX26+DX27+DX28+DX29=1,Cadeirante/30*GG$4,IF(DV26+DV27+DV28+DV29+DX26+DX27+DX28+DX29=2,Fixo/30*GG$4,IF(DV26+DV27+DV28+DV29+DX26+DX27+DX28+DX29&gt;2,Fixo/30*GG$4+(DV26+DV27+DV28+DV29+DX26+DX27+DX28+DX29-2)*Cadeirante/30*GG$4)))+(DU26+DU27+DU28+DW26+DW27+DW28)*Percapita/30*GG$4+(DU29+DW29)*Crechee/30*GG$4,IF(C26=1,IF(DU26+DU27+DU28+DV26+DV27+DV28+DW26+DW27+DW28+DX26+DX27+DX28&lt;=15,(DU26+DU27+DU28+DW26+DW27+DW28)*Percapita/30*GG$4,IF(DU26+DU27+DU28+DV26+DV27+DV28+DW26+DW27+DW28+DX26+DX27+DX28&gt;=16,Fixo/30*GG$4+(DU26+DU27+DU28+DV26+DV27+DV28+DW26+DW27+DW28+DX26+DX27-16)*Percapita/30*GG$4))))))</f>
        <v>0</v>
      </c>
      <c r="GH26" s="177">
        <f>IF(C26=4,SUM(DY26+DY27+DY28+EA26+EA27+EA28)*Percapita/30*GH$4+(DZ26+DZ27+DZ28+EB26+EB27+EB28)*Cadeirante/30*GH$4,IF(C26=3,IF(DY29+EA29=10,Fixo/30*GH$4+(DY26+DY27+DY28+EA26+EA27+EA28)*Percapita/30*GH$4+(DZ29+EB29)*Cadeirante/30*GH$4,IF(DY29+EA29&lt;=9,(DY29+EA29)*Crechee/30*GH$4)+(DZ29+EB29)*Cadeirante/30*GH$4+(DY26+DY27+DY28+EA26+EA27+EA28)*Percapita/30*GH$4)+IF(DY29+EA29&gt;=11,Fixo/30*GH$4+(DY29+EA29-10)*Crechee/30*GH$4,0),IF(C26=2,IF(DZ26+DZ27+DZ28+DZ29+EB26+EB27+EB28+EB29=1,Cadeirante/30*GH$4,IF(DZ26+DZ27+DZ28+DZ29+EB26+EB27+EB28+EB29=2,Fixo/30*GH$4,IF(DZ26+DZ27+DZ28+DZ29+EB26+EB27+EB28+EB29&gt;2,Fixo/30*GH$4+(DZ26+DZ27+DZ28+DZ29+EB26+EB27+EB28+EB29-2)*Cadeirante/30*GH$4)))+(DY26+DY27+DY28+EA26+EA27+EA28)*Percapita/30*GH$4+(DY29+EA29)*Crechee/30*GH$4,IF(C26=1,IF(DY26+DY27+DY28+DZ26+DZ27+DZ28+EA26+EA27+EA28+EB26+EB27+EB28&lt;=15,(DY26+DY27+DY28+EA26+EA27+EA28)*Percapita/30*GH$4,IF(DY26+DY27+DY28+DZ26+DZ27+DZ28+EA26+EA27+EA28+EB26+EB27+EB28&gt;=16,Fixo/30*GH$4+(DY26+DY27+DY28+DZ26+DZ27+DZ28+EA26+EA27+EA28+EB26+EB27-16)*Percapita/30*GH$4))))))</f>
        <v>0</v>
      </c>
      <c r="GI26" s="177">
        <f>IF(C26=4,SUM(EC26+EC27+EC28+EE26+EE27+EE28)*Percapita/30*GI$4+(ED26+ED27+ED28+EF26+EF27+EF28)*Cadeirante/30*GI$4,IF(C26=3,IF(EC29+EE29=10,Fixo/30*GI$4+(EC26+EC27+EC28+EE26+EE27+EE28)*Percapita/30*GI$4+(ED29+EF29)*Cadeirante/30*GI$4,IF(EC29+EE29&lt;=9,(EC29+EE29)*Crechee/30*GI$4)+(ED29+EF29)*Cadeirante/30*GI$4+(EC26+EC27+EC28+EE26+EE27+EE28)*Percapita/30*GI$4)+IF(EC29+EE29&gt;=11,Fixo/30*GI$4+(EC29+EE29-10)*Crechee/30*GI$4,0),IF(C26=2,IF(ED26+ED27+ED28+ED29+EF26+EF27+EF28+EF29=1,Cadeirante/30*GI$4,IF(ED26+ED27+ED28+ED29+EF26+EF27+EF28+EF29=2,Fixo/30*GI$4,IF(ED26+ED27+ED28+ED29+EF26+EF27+EF28+EF29&gt;2,Fixo/30*GI$4+(ED26+ED27+ED28+ED29+EF26+EF27+EF28+EF29-2)*Cadeirante/30*GI$4)))+(EC26+EC27+EC28+EE26+EE27+EE28)*Percapita/30*GI$4+(EC29+EE29)*Crechee/30*GI$4,IF(C26=1,IF(EC26+EC27+EC28+ED26+ED27+ED28+EE26+EE27+EE28+EF26+EF27+EF28&lt;=15,(EC26+EC27+EC28+EE26+EE27+EE28)*Percapita/30*GI$4,IF(EC26+EC27+EC28+ED26+ED27+ED28+EE26+EE27+EE28+EF26+EF27+EF28&gt;=16,Fixo/30*GI$4+(EC26+EC27+EC28+ED26+ED27+ED28+EE26+EE27+EE28+EF26+EF27-16)*Percapita/30*GI$4))))))</f>
        <v>0</v>
      </c>
      <c r="GJ26" s="177">
        <f>IF(C26=4,SUM(EG26+EG27+EG28+EI26+EI27+EI28)*Percapita/30*GJ$4+(EH26+EH27+EH28+EJ26+EJ27+EJ28)*Cadeirante/30*GJ$4,IF(C26=3,IF(EG29+EI29=10,Fixo/30*GJ$4+(EG26+EG27+EG28+EI26+EI27+EI28)*Percapita/30*GJ$4+(EH29+EJ29)*Cadeirante/30*GJ$4,IF(EG29+EI29&lt;=9,(EG29+EI29)*Crechee/30*GJ$4)+(EH29+EJ29)*Cadeirante/30*GJ$4+(EG26+EG27+EG28+EI26+EI27+EI28)*Percapita/30*GJ$4)+IF(EG29+EI29&gt;=11,Fixo/30*GJ$4+(EG29+EI29-10)*Crechee/30*GJ$4,0),IF(C26=2,IF(EH26+EH27+EH28+EH29+EJ26+EJ27+EJ28+EJ29=1,Cadeirante/30*GJ$4,IF(EH26+EH27+EH28+EH29+EJ26+EJ27+EJ28+EJ29=2,Fixo/30*GJ$4,IF(EH26+EH27+EH28+EH29+EJ26+EJ27+EJ28+EJ29&gt;2,Fixo/30*GJ$4+(EH26+EH27+EH28+EH29+EJ26+EJ27+EJ28+EJ29-2)*Cadeirante/30*GJ$4)))+(EG26+EG27+EG28+EI26+EI27+EI28)*Percapita/30*GJ$4+(EG29+EI29)*Crechee/30*GJ$4,IF(C26=1,IF(EG26+EG27+EG28+EH26+EH27+EH28+EI26+EI27+EI28+EJ26+EJ27+EJ28&lt;=15,(EG26+EG27+EG28+EI26+EI27+EI28)*Percapita/30*GJ$4,IF(EG26+EG27+EG28+EH26+EH27+EH28+EI26+EI27+EI28+EJ26+EJ27+EJ28&gt;=16,Fixo/30*GJ$4+(EG26+EG27+EG28+EH26+EH27+EH28+EI26+EI27+EI28+EJ26+EJ27-16)*Percapita/30*GJ$4))))))</f>
        <v>0</v>
      </c>
      <c r="GK26" s="178"/>
      <c r="GL26" s="103">
        <f t="shared" si="30"/>
        <v>0</v>
      </c>
      <c r="GM26" s="124"/>
      <c r="GN26" s="104">
        <f>SUMIF(V26:V29,"&lt;0")*Cadeirante/30*GN$4+SUMIF(X26:X29,"&lt;0")*Cadeirante/30*GN$4</f>
        <v>0</v>
      </c>
      <c r="GO26" s="104">
        <f>SUMIF(Z26:Z29,"&lt;0")*Cadeirante/30*GO$4+SUMIF(AB26:AB29,"&lt;0")*Cadeirante/30*GO$4</f>
        <v>0</v>
      </c>
      <c r="GP26" s="104">
        <f>SUMIF(AD26:AD29,"&lt;0")*Cadeirante/30*GP$4+SUMIF(AF26:AF29,"&lt;0")*Cadeirante/30*GP$4</f>
        <v>0</v>
      </c>
      <c r="GQ26" s="104">
        <f>SUMIF(AH26:AH29,"&lt;0")*Cadeirante/30*GQ$4+SUMIF(AJ26:AJ29,"&lt;0")*Cadeirante/30*GQ$4</f>
        <v>0</v>
      </c>
      <c r="GR26" s="104">
        <f>SUMIF(AL26:AL29,"&lt;0")*Cadeirante/30*GR$4+SUMIF(AN26:AN29,"&lt;0")*Cadeirante/30*GR$4</f>
        <v>0</v>
      </c>
      <c r="GS26" s="104">
        <f>SUMIF(AP26:AP29,"&lt;0")*Cadeirante/30*GS$4+SUMIF(AR26:AR29,"&lt;0")*Cadeirante/30*GS$4</f>
        <v>0</v>
      </c>
      <c r="GT26" s="104">
        <f>SUMIF(AT26:AT29,"&lt;0")*Cadeirante/30*GT$4+SUMIF(AV26:AV29,"&lt;0")*Cadeirante/30*GT$4</f>
        <v>0</v>
      </c>
      <c r="GU26" s="104">
        <f>SUMIF(AX26:AX29,"&lt;0")*Cadeirante/30*GU$4+SUMIF(AZ26:AZ29,"&lt;0")*Cadeirante/30*GU$4</f>
        <v>0</v>
      </c>
      <c r="GV26" s="104">
        <f>SUMIF(BB26:BB29,"&lt;0")*Cadeirante/30*GV$4+SUMIF(BD26:BD29,"&lt;0")*Cadeirante/30*GV$4</f>
        <v>0</v>
      </c>
      <c r="GW26" s="104">
        <f>SUMIF(BF26:BF29,"&lt;0")*Cadeirante/30*GW$4+SUMIF(BH26:BH29,"&lt;0")*Cadeirante/30*GW$4</f>
        <v>0</v>
      </c>
      <c r="GX26" s="104">
        <f>SUMIF(BJ26:BJ29,"&lt;0")*Cadeirante/30*GX$4+SUMIF(BL26:BL29,"&lt;0")*Cadeirante/30*GX$4</f>
        <v>0</v>
      </c>
      <c r="GY26" s="104">
        <f>SUMIF(BN26:BN29,"&lt;0")*Cadeirante/30*GY$4+SUMIF(BP26:BP29,"&lt;0")*Cadeirante/30*GY$4</f>
        <v>0</v>
      </c>
      <c r="GZ26" s="104">
        <f>SUMIF(BR26:BR29,"&lt;0")*Cadeirante/30*GZ$4+SUMIF(BT26:BT29,"&lt;0")*Cadeirante/30*GZ$4</f>
        <v>0</v>
      </c>
      <c r="HA26" s="104">
        <f>SUMIF(BV26:BV29,"&lt;0")*Cadeirante/30*HA$4+SUMIF(BX26:BX29,"&lt;0")*Cadeirante/30*HA$4</f>
        <v>0</v>
      </c>
      <c r="HB26" s="104">
        <f>SUMIF(BZ26:BZ29,"&lt;0")*Cadeirante/30*HB$4+SUMIF(CB26:CB29,"&lt;0")*Cadeirante/30*HB$4</f>
        <v>0</v>
      </c>
      <c r="HC26" s="104">
        <f>SUMIF(CD26:CD29,"&lt;0")*Cadeirante/30*HC$4+SUMIF(CF26:CF29,"&lt;0")*Cadeirante/30*HC$4</f>
        <v>0</v>
      </c>
      <c r="HD26" s="104">
        <f>SUMIF(CH26:CH29,"&lt;0")*Cadeirante/30*HD$4+SUMIF(CJ26:CJ29,"&lt;0")*Cadeirante/30*HD$4</f>
        <v>0</v>
      </c>
      <c r="HE26" s="104">
        <f>SUMIF(CL26:CL29,"&lt;0")*Cadeirante/30*HE$4+SUMIF(CN26:CN29,"&lt;0")*Cadeirante/30*HE$4</f>
        <v>0</v>
      </c>
      <c r="HF26" s="104">
        <f>SUMIF(CP26:CP29,"&lt;0")*Cadeirante/30*HF$4+SUMIF(CR26:CR29,"&lt;0")*Cadeirante/30*HF$4</f>
        <v>0</v>
      </c>
      <c r="HG26" s="104">
        <f>SUMIF(CT26:CT29,"&lt;0")*Cadeirante/30*HG$4+SUMIF(CV26:CV29,"&lt;0")*Cadeirante/30*HG$4</f>
        <v>0</v>
      </c>
      <c r="HH26" s="104">
        <f>SUMIF(CX26:CX29,"&lt;0")*Cadeirante/30*HH$4+SUMIF(CZ26:CZ29,"&lt;0")*Cadeirante/30*HH$4</f>
        <v>0</v>
      </c>
      <c r="HI26" s="104">
        <f>SUMIF(DB26:DB29,"&lt;0")*Cadeirante/30*HI$4+SUMIF(DD26:DD29,"&lt;0")*Cadeirante/30*HI$4</f>
        <v>0</v>
      </c>
      <c r="HJ26" s="104">
        <f>SUMIF(DF26:DF29,"&lt;0")*Cadeirante/30*HJ$4+SUMIF(DH26:DH29,"&lt;0")*Cadeirante/30*HJ$4</f>
        <v>0</v>
      </c>
      <c r="HK26" s="104">
        <f>SUMIF(DJ26:DJ29,"&lt;0")*Cadeirante/30*HK$4+SUMIF(DL26:DL29,"&lt;0")*Cadeirante/30*HK$4</f>
        <v>0</v>
      </c>
      <c r="HL26" s="104">
        <f>SUMIF(DN26:DN29,"&lt;0")*Cadeirante/30*HL$4+SUMIF(DP26:DP29,"&lt;0")*Cadeirante/30*HL$4</f>
        <v>0</v>
      </c>
      <c r="HM26" s="104">
        <f>SUMIF(DR26:DR29,"&lt;0")*Cadeirante/30*HM$4+SUMIF(DT26:DT29,"&lt;0")*Cadeirante/30*HM$4</f>
        <v>0</v>
      </c>
      <c r="HN26" s="104">
        <f>SUMIF(DV26:DV29,"&lt;0")*Cadeirante/30*HN$4+SUMIF(DX26:DX29,"&lt;0")*Cadeirante/30*HN$4</f>
        <v>0</v>
      </c>
      <c r="HO26" s="104">
        <f>SUMIF(DZ26:DZ29,"&lt;0")*Cadeirante/30*HO$4+SUMIF(EB26:EB29,"&lt;0")*Cadeirante/30*HO$4</f>
        <v>0</v>
      </c>
      <c r="HP26" s="104">
        <f>SUMIF(ED26:ED29,"&lt;0")*Cadeirante/30*HP$4+SUMIF(EF26:EF29,"&lt;0")*Cadeirante/30*HP$4</f>
        <v>0</v>
      </c>
      <c r="HQ26" s="64"/>
      <c r="HR26" s="64"/>
      <c r="HS26" s="64"/>
      <c r="HT26" s="64"/>
      <c r="HU26" s="64"/>
      <c r="HV26" s="64"/>
      <c r="HW26" s="176">
        <v>17629.309999999998</v>
      </c>
      <c r="HX26" s="64"/>
      <c r="HY26" s="280">
        <f>IF(ISTEXT(EM26), VALUE(EM26), EM26)</f>
        <v>0</v>
      </c>
      <c r="HZ26" s="280">
        <f>IF(ISTEXT(EN26), VALUE(EN26), EN26)</f>
        <v>0</v>
      </c>
      <c r="IA26" s="280">
        <f>IF(ISTEXT(EO26), VALUE(EO26), EO26)</f>
        <v>0</v>
      </c>
      <c r="IB26" s="64" t="b">
        <f>HW26=FE26</f>
        <v>0</v>
      </c>
      <c r="IC26" s="64"/>
    </row>
    <row r="27" spans="1:237" s="106" customFormat="1" ht="22.5" customHeight="1" x14ac:dyDescent="0.25">
      <c r="A27" s="368" t="s">
        <v>3206</v>
      </c>
      <c r="B27" s="369" t="s">
        <v>3207</v>
      </c>
      <c r="C27" s="370" t="s">
        <v>3186</v>
      </c>
      <c r="D27" s="371" t="s">
        <v>3208</v>
      </c>
      <c r="E27" s="371" t="s">
        <v>3209</v>
      </c>
      <c r="F27" s="372" t="s">
        <v>3182</v>
      </c>
      <c r="G27" s="372" t="s">
        <v>3183</v>
      </c>
      <c r="H27" s="373" t="s">
        <v>341</v>
      </c>
      <c r="I27" s="374" t="s">
        <v>341</v>
      </c>
      <c r="J27" s="421" t="s">
        <v>3184</v>
      </c>
      <c r="K27" s="421" t="s">
        <v>3187</v>
      </c>
      <c r="L27" s="329">
        <f>CONTINUA!BV27</f>
        <v>0</v>
      </c>
      <c r="M27" s="329">
        <f>CONTINUA!BW27</f>
        <v>0</v>
      </c>
      <c r="N27" s="895"/>
      <c r="O27" s="896" t="s">
        <v>3278</v>
      </c>
      <c r="P27" s="897">
        <v>0</v>
      </c>
      <c r="Q27" s="400">
        <v>14</v>
      </c>
      <c r="R27" s="401"/>
      <c r="S27" s="400"/>
      <c r="T27" s="401"/>
      <c r="U27" s="400"/>
      <c r="V27" s="401"/>
      <c r="W27" s="400"/>
      <c r="X27" s="401"/>
      <c r="Y27" s="400"/>
      <c r="Z27" s="401"/>
      <c r="AA27" s="400"/>
      <c r="AB27" s="401"/>
      <c r="AC27" s="400"/>
      <c r="AD27" s="401"/>
      <c r="AE27" s="400"/>
      <c r="AF27" s="401"/>
      <c r="AG27" s="400"/>
      <c r="AH27" s="401"/>
      <c r="AI27" s="400"/>
      <c r="AJ27" s="401"/>
      <c r="AK27" s="400"/>
      <c r="AL27" s="401"/>
      <c r="AM27" s="400"/>
      <c r="AN27" s="401"/>
      <c r="AO27" s="400"/>
      <c r="AP27" s="401"/>
      <c r="AQ27" s="400"/>
      <c r="AR27" s="401"/>
      <c r="AS27" s="400"/>
      <c r="AT27" s="401"/>
      <c r="AU27" s="400"/>
      <c r="AV27" s="401"/>
      <c r="AW27" s="400"/>
      <c r="AX27" s="401"/>
      <c r="AY27" s="400"/>
      <c r="AZ27" s="401"/>
      <c r="BA27" s="400"/>
      <c r="BB27" s="401"/>
      <c r="BC27" s="400"/>
      <c r="BD27" s="401"/>
      <c r="BE27" s="400"/>
      <c r="BF27" s="401"/>
      <c r="BG27" s="400"/>
      <c r="BH27" s="401"/>
      <c r="BI27" s="400"/>
      <c r="BJ27" s="401"/>
      <c r="BK27" s="400"/>
      <c r="BL27" s="401"/>
      <c r="BM27" s="400"/>
      <c r="BN27" s="401"/>
      <c r="BO27" s="400"/>
      <c r="BP27" s="401"/>
      <c r="BQ27" s="400"/>
      <c r="BR27" s="401"/>
      <c r="BS27" s="400"/>
      <c r="BT27" s="401"/>
      <c r="BU27" s="400"/>
      <c r="BV27" s="401"/>
      <c r="BW27" s="400"/>
      <c r="BX27" s="401"/>
      <c r="BY27" s="400"/>
      <c r="BZ27" s="401"/>
      <c r="CA27" s="400"/>
      <c r="CB27" s="401"/>
      <c r="CC27" s="400"/>
      <c r="CD27" s="401"/>
      <c r="CE27" s="400"/>
      <c r="CF27" s="401"/>
      <c r="CG27" s="400"/>
      <c r="CH27" s="401"/>
      <c r="CI27" s="400"/>
      <c r="CJ27" s="401"/>
      <c r="CK27" s="400"/>
      <c r="CL27" s="401"/>
      <c r="CM27" s="400"/>
      <c r="CN27" s="401"/>
      <c r="CO27" s="400"/>
      <c r="CP27" s="401"/>
      <c r="CQ27" s="400"/>
      <c r="CR27" s="401"/>
      <c r="CS27" s="400"/>
      <c r="CT27" s="401"/>
      <c r="CU27" s="400"/>
      <c r="CV27" s="401"/>
      <c r="CW27" s="400"/>
      <c r="CX27" s="401"/>
      <c r="CY27" s="400"/>
      <c r="CZ27" s="401"/>
      <c r="DA27" s="400"/>
      <c r="DB27" s="401"/>
      <c r="DC27" s="400"/>
      <c r="DD27" s="401"/>
      <c r="DE27" s="400"/>
      <c r="DF27" s="401"/>
      <c r="DG27" s="400">
        <v>1</v>
      </c>
      <c r="DH27" s="401"/>
      <c r="DI27" s="400"/>
      <c r="DJ27" s="401"/>
      <c r="DK27" s="400"/>
      <c r="DL27" s="401"/>
      <c r="DM27" s="400"/>
      <c r="DN27" s="401"/>
      <c r="DO27" s="400"/>
      <c r="DP27" s="401"/>
      <c r="DQ27" s="400"/>
      <c r="DR27" s="401"/>
      <c r="DS27" s="400"/>
      <c r="DT27" s="401"/>
      <c r="DU27" s="400"/>
      <c r="DV27" s="401"/>
      <c r="DW27" s="400"/>
      <c r="DX27" s="401"/>
      <c r="DY27" s="400"/>
      <c r="DZ27" s="401"/>
      <c r="EA27" s="400"/>
      <c r="EB27" s="401"/>
      <c r="EC27" s="400"/>
      <c r="ED27" s="401"/>
      <c r="EE27" s="400"/>
      <c r="EF27" s="401"/>
      <c r="EG27" s="400"/>
      <c r="EH27" s="401"/>
      <c r="EI27" s="400"/>
      <c r="EJ27" s="447"/>
      <c r="EK27" s="511"/>
      <c r="EL27" s="514"/>
      <c r="EM27" s="448"/>
      <c r="EN27" s="344"/>
      <c r="EO27" s="345"/>
      <c r="EP27" s="171">
        <f t="shared" si="22"/>
        <v>14</v>
      </c>
      <c r="EQ27" s="171">
        <f t="shared" si="23"/>
        <v>0</v>
      </c>
      <c r="ER27" s="171">
        <f t="shared" si="24"/>
        <v>1</v>
      </c>
      <c r="ES27" s="171">
        <f t="shared" si="25"/>
        <v>0</v>
      </c>
      <c r="ET27" s="171">
        <f t="shared" si="26"/>
        <v>0</v>
      </c>
      <c r="EU27" s="171">
        <f t="shared" si="27"/>
        <v>0</v>
      </c>
      <c r="EV27" s="172">
        <f t="shared" si="28"/>
        <v>15</v>
      </c>
      <c r="EW27" s="173"/>
      <c r="EX27" s="248">
        <f t="shared" si="45"/>
        <v>0</v>
      </c>
      <c r="EY27" s="174">
        <f>(L27*regular)+(M27*Cadeirantee)</f>
        <v>0</v>
      </c>
      <c r="EZ27" s="249">
        <f>SUMIF(FG27:GJ27,"&gt;0")</f>
        <v>0</v>
      </c>
      <c r="FA27" s="249">
        <f>SUMIF(FG27:GJ27,"&lt;0")+SUMIF(GN27:HP27,"&lt;0")</f>
        <v>0</v>
      </c>
      <c r="FB27" s="174">
        <v>0</v>
      </c>
      <c r="FC27" s="126">
        <f>N27*km*'VALORES TABELA'!$B$13</f>
        <v>0</v>
      </c>
      <c r="FD27" s="250">
        <f t="shared" ref="FD27:FD30" si="46">GL27</f>
        <v>0</v>
      </c>
      <c r="FE27" s="105"/>
      <c r="FF27" s="119"/>
      <c r="FG27" s="119"/>
      <c r="FH27" s="119"/>
      <c r="FI27" s="119"/>
      <c r="FJ27" s="119"/>
      <c r="FK27" s="119"/>
      <c r="FL27" s="119"/>
      <c r="FM27" s="119"/>
      <c r="FN27" s="119"/>
      <c r="FO27" s="119"/>
      <c r="FP27" s="119"/>
      <c r="FQ27" s="119"/>
      <c r="FR27" s="119"/>
      <c r="FS27" s="119"/>
      <c r="FT27" s="119"/>
      <c r="FU27" s="119"/>
      <c r="FV27" s="119"/>
      <c r="FW27" s="119"/>
      <c r="FX27" s="119"/>
      <c r="FY27" s="119"/>
      <c r="FZ27" s="119"/>
      <c r="GA27" s="119"/>
      <c r="GB27" s="119"/>
      <c r="GC27" s="119"/>
      <c r="GD27" s="119"/>
      <c r="GE27" s="119"/>
      <c r="GF27" s="119"/>
      <c r="GG27" s="119"/>
      <c r="GH27" s="119"/>
      <c r="GI27" s="119"/>
      <c r="GJ27" s="119"/>
      <c r="GK27" s="251"/>
      <c r="GL27" s="103">
        <f t="shared" si="30"/>
        <v>0</v>
      </c>
      <c r="GM27" s="124"/>
      <c r="GN27" s="104"/>
      <c r="GO27" s="104"/>
      <c r="GP27" s="104"/>
      <c r="GQ27" s="104"/>
      <c r="GR27" s="104"/>
      <c r="GS27" s="104"/>
      <c r="GT27" s="104"/>
      <c r="GU27" s="104"/>
      <c r="GV27" s="104"/>
      <c r="GW27" s="104"/>
      <c r="GX27" s="104"/>
      <c r="GY27" s="104"/>
      <c r="GZ27" s="104"/>
      <c r="HA27" s="104"/>
      <c r="HB27" s="104"/>
      <c r="HC27" s="104"/>
      <c r="HD27" s="104"/>
      <c r="HE27" s="104"/>
      <c r="HF27" s="104"/>
      <c r="HG27" s="104"/>
      <c r="HH27" s="104"/>
      <c r="HI27" s="104"/>
      <c r="HJ27" s="104"/>
      <c r="HK27" s="104"/>
      <c r="HL27" s="104"/>
      <c r="HM27" s="104"/>
      <c r="HN27" s="104"/>
      <c r="HO27" s="104"/>
      <c r="HP27" s="104"/>
      <c r="HQ27" s="64"/>
      <c r="HR27" s="64"/>
      <c r="HS27" s="64"/>
      <c r="HT27" s="64"/>
      <c r="HU27" s="64"/>
      <c r="HV27" s="64"/>
      <c r="HW27" s="105"/>
      <c r="HX27" s="64"/>
      <c r="HY27" s="280">
        <f t="shared" ref="HY27:HY30" si="47">IF(ISTEXT(EM27), VALUE(EM27), EM27)</f>
        <v>0</v>
      </c>
      <c r="HZ27" s="280">
        <f t="shared" ref="HZ27:HZ30" si="48">IF(ISTEXT(EN27), VALUE(EN27), EN27)</f>
        <v>0</v>
      </c>
      <c r="IA27" s="280">
        <f t="shared" ref="IA27:IA30" si="49">IF(ISTEXT(EO27), VALUE(EO27), EO27)</f>
        <v>0</v>
      </c>
      <c r="IB27" s="64"/>
      <c r="IC27" s="64"/>
    </row>
    <row r="28" spans="1:237" s="106" customFormat="1" ht="22.5" customHeight="1" x14ac:dyDescent="0.25">
      <c r="A28" s="368" t="s">
        <v>3206</v>
      </c>
      <c r="B28" s="369" t="s">
        <v>3207</v>
      </c>
      <c r="C28" s="375" t="s">
        <v>3186</v>
      </c>
      <c r="D28" s="371" t="s">
        <v>3208</v>
      </c>
      <c r="E28" s="371" t="s">
        <v>3209</v>
      </c>
      <c r="F28" s="376" t="s">
        <v>3182</v>
      </c>
      <c r="G28" s="376" t="s">
        <v>3183</v>
      </c>
      <c r="H28" s="373" t="s">
        <v>341</v>
      </c>
      <c r="I28" s="374" t="s">
        <v>341</v>
      </c>
      <c r="J28" s="421" t="s">
        <v>3184</v>
      </c>
      <c r="K28" s="422" t="s">
        <v>3188</v>
      </c>
      <c r="L28" s="329">
        <f>CONTINUA!BV28</f>
        <v>0</v>
      </c>
      <c r="M28" s="329">
        <f>CONTINUA!BW28</f>
        <v>0</v>
      </c>
      <c r="N28" s="895"/>
      <c r="O28" s="896" t="s">
        <v>3278</v>
      </c>
      <c r="P28" s="897">
        <v>0</v>
      </c>
      <c r="Q28" s="400"/>
      <c r="R28" s="401"/>
      <c r="S28" s="400"/>
      <c r="T28" s="401"/>
      <c r="U28" s="400"/>
      <c r="V28" s="401"/>
      <c r="W28" s="400"/>
      <c r="X28" s="401"/>
      <c r="Y28" s="400"/>
      <c r="Z28" s="401"/>
      <c r="AA28" s="400"/>
      <c r="AB28" s="401"/>
      <c r="AC28" s="400"/>
      <c r="AD28" s="401"/>
      <c r="AE28" s="400"/>
      <c r="AF28" s="401"/>
      <c r="AG28" s="400"/>
      <c r="AH28" s="401"/>
      <c r="AI28" s="400"/>
      <c r="AJ28" s="401"/>
      <c r="AK28" s="400"/>
      <c r="AL28" s="401"/>
      <c r="AM28" s="400"/>
      <c r="AN28" s="401"/>
      <c r="AO28" s="400"/>
      <c r="AP28" s="401"/>
      <c r="AQ28" s="400"/>
      <c r="AR28" s="401"/>
      <c r="AS28" s="400"/>
      <c r="AT28" s="401"/>
      <c r="AU28" s="400"/>
      <c r="AV28" s="401"/>
      <c r="AW28" s="400"/>
      <c r="AX28" s="401"/>
      <c r="AY28" s="400"/>
      <c r="AZ28" s="401"/>
      <c r="BA28" s="400"/>
      <c r="BB28" s="401"/>
      <c r="BC28" s="400"/>
      <c r="BD28" s="401"/>
      <c r="BE28" s="400"/>
      <c r="BF28" s="401"/>
      <c r="BG28" s="400"/>
      <c r="BH28" s="401"/>
      <c r="BI28" s="400"/>
      <c r="BJ28" s="401"/>
      <c r="BK28" s="400"/>
      <c r="BL28" s="401"/>
      <c r="BM28" s="400"/>
      <c r="BN28" s="401"/>
      <c r="BO28" s="400"/>
      <c r="BP28" s="401"/>
      <c r="BQ28" s="400"/>
      <c r="BR28" s="401"/>
      <c r="BS28" s="400"/>
      <c r="BT28" s="401"/>
      <c r="BU28" s="400"/>
      <c r="BV28" s="401"/>
      <c r="BW28" s="400"/>
      <c r="BX28" s="401"/>
      <c r="BY28" s="400"/>
      <c r="BZ28" s="401"/>
      <c r="CA28" s="400"/>
      <c r="CB28" s="401"/>
      <c r="CC28" s="400"/>
      <c r="CD28" s="401"/>
      <c r="CE28" s="400"/>
      <c r="CF28" s="401"/>
      <c r="CG28" s="400"/>
      <c r="CH28" s="401"/>
      <c r="CI28" s="400"/>
      <c r="CJ28" s="401"/>
      <c r="CK28" s="400"/>
      <c r="CL28" s="401"/>
      <c r="CM28" s="400"/>
      <c r="CN28" s="401"/>
      <c r="CO28" s="400"/>
      <c r="CP28" s="401"/>
      <c r="CQ28" s="400"/>
      <c r="CR28" s="401"/>
      <c r="CS28" s="400"/>
      <c r="CT28" s="401"/>
      <c r="CU28" s="400"/>
      <c r="CV28" s="401"/>
      <c r="CW28" s="400"/>
      <c r="CX28" s="401"/>
      <c r="CY28" s="400"/>
      <c r="CZ28" s="401"/>
      <c r="DA28" s="400"/>
      <c r="DB28" s="401"/>
      <c r="DC28" s="400"/>
      <c r="DD28" s="401"/>
      <c r="DE28" s="400"/>
      <c r="DF28" s="401"/>
      <c r="DG28" s="400"/>
      <c r="DH28" s="401"/>
      <c r="DI28" s="400"/>
      <c r="DJ28" s="401"/>
      <c r="DK28" s="400"/>
      <c r="DL28" s="401"/>
      <c r="DM28" s="400"/>
      <c r="DN28" s="401"/>
      <c r="DO28" s="400"/>
      <c r="DP28" s="401"/>
      <c r="DQ28" s="400"/>
      <c r="DR28" s="401"/>
      <c r="DS28" s="400"/>
      <c r="DT28" s="401"/>
      <c r="DU28" s="400"/>
      <c r="DV28" s="401"/>
      <c r="DW28" s="400"/>
      <c r="DX28" s="401"/>
      <c r="DY28" s="400"/>
      <c r="DZ28" s="401"/>
      <c r="EA28" s="400"/>
      <c r="EB28" s="401"/>
      <c r="EC28" s="400"/>
      <c r="ED28" s="401"/>
      <c r="EE28" s="400"/>
      <c r="EF28" s="401"/>
      <c r="EG28" s="400"/>
      <c r="EH28" s="401"/>
      <c r="EI28" s="400"/>
      <c r="EJ28" s="447"/>
      <c r="EK28" s="511"/>
      <c r="EL28" s="514"/>
      <c r="EM28" s="448"/>
      <c r="EN28" s="344"/>
      <c r="EO28" s="345"/>
      <c r="EP28" s="171">
        <f t="shared" si="22"/>
        <v>0</v>
      </c>
      <c r="EQ28" s="171">
        <f t="shared" si="23"/>
        <v>0</v>
      </c>
      <c r="ER28" s="171">
        <f t="shared" si="24"/>
        <v>0</v>
      </c>
      <c r="ES28" s="171">
        <f t="shared" si="25"/>
        <v>0</v>
      </c>
      <c r="ET28" s="171">
        <f t="shared" si="26"/>
        <v>0</v>
      </c>
      <c r="EU28" s="171">
        <f t="shared" si="27"/>
        <v>0</v>
      </c>
      <c r="EV28" s="172">
        <f t="shared" si="28"/>
        <v>0</v>
      </c>
      <c r="EW28" s="125"/>
      <c r="EX28" s="248">
        <f t="shared" si="45"/>
        <v>0</v>
      </c>
      <c r="EY28" s="174">
        <f>(L28*regular)+(M28*Cadeirantee)</f>
        <v>0</v>
      </c>
      <c r="EZ28" s="249">
        <f>SUMIF(FG28:GJ28,"&gt;0")</f>
        <v>0</v>
      </c>
      <c r="FA28" s="249">
        <f>SUMIF(FG28:GJ28,"&lt;0")+SUMIF(GN28:HP28,"&lt;0")</f>
        <v>0</v>
      </c>
      <c r="FB28" s="174">
        <v>0</v>
      </c>
      <c r="FC28" s="126">
        <f>N28*km*'VALORES TABELA'!$B$13</f>
        <v>0</v>
      </c>
      <c r="FD28" s="250">
        <f t="shared" si="46"/>
        <v>0</v>
      </c>
      <c r="FE28" s="105"/>
      <c r="FF28" s="108"/>
      <c r="FG28" s="108"/>
      <c r="FH28" s="108"/>
      <c r="FI28" s="108"/>
      <c r="FJ28" s="108"/>
      <c r="FK28" s="108"/>
      <c r="FL28" s="108"/>
      <c r="FM28" s="108"/>
      <c r="FN28" s="108"/>
      <c r="FO28" s="108"/>
      <c r="FP28" s="108"/>
      <c r="FQ28" s="108"/>
      <c r="FR28" s="108"/>
      <c r="FS28" s="108"/>
      <c r="FT28" s="108"/>
      <c r="FU28" s="108"/>
      <c r="FV28" s="108"/>
      <c r="FW28" s="108"/>
      <c r="FX28" s="108"/>
      <c r="FY28" s="108"/>
      <c r="FZ28" s="108"/>
      <c r="GA28" s="108"/>
      <c r="GB28" s="108"/>
      <c r="GC28" s="108"/>
      <c r="GD28" s="108"/>
      <c r="GE28" s="108"/>
      <c r="GF28" s="108"/>
      <c r="GG28" s="108"/>
      <c r="GH28" s="108"/>
      <c r="GI28" s="108"/>
      <c r="GJ28" s="108"/>
      <c r="GK28" s="251"/>
      <c r="GL28" s="103">
        <f t="shared" si="30"/>
        <v>0</v>
      </c>
      <c r="GM28" s="124"/>
      <c r="GN28" s="104"/>
      <c r="GO28" s="104"/>
      <c r="GP28" s="104"/>
      <c r="GQ28" s="104"/>
      <c r="GR28" s="104"/>
      <c r="GS28" s="104"/>
      <c r="GT28" s="104"/>
      <c r="GU28" s="104"/>
      <c r="GV28" s="104"/>
      <c r="GW28" s="104"/>
      <c r="GX28" s="104"/>
      <c r="GY28" s="104"/>
      <c r="GZ28" s="104"/>
      <c r="HA28" s="104"/>
      <c r="HB28" s="104"/>
      <c r="HC28" s="104"/>
      <c r="HD28" s="104"/>
      <c r="HE28" s="104"/>
      <c r="HF28" s="104"/>
      <c r="HG28" s="104"/>
      <c r="HH28" s="104"/>
      <c r="HI28" s="104"/>
      <c r="HJ28" s="104"/>
      <c r="HK28" s="104"/>
      <c r="HL28" s="104"/>
      <c r="HM28" s="104"/>
      <c r="HN28" s="104"/>
      <c r="HO28" s="104"/>
      <c r="HP28" s="104"/>
      <c r="HQ28" s="64"/>
      <c r="HR28" s="64"/>
      <c r="HS28" s="64"/>
      <c r="HT28" s="64"/>
      <c r="HU28" s="64"/>
      <c r="HV28" s="64"/>
      <c r="HW28" s="105"/>
      <c r="HX28" s="64"/>
      <c r="HY28" s="280">
        <f t="shared" si="47"/>
        <v>0</v>
      </c>
      <c r="HZ28" s="280">
        <f t="shared" si="48"/>
        <v>0</v>
      </c>
      <c r="IA28" s="280">
        <f t="shared" si="49"/>
        <v>0</v>
      </c>
      <c r="IB28" s="64"/>
      <c r="IC28" s="64"/>
    </row>
    <row r="29" spans="1:237" s="106" customFormat="1" ht="22.5" customHeight="1" x14ac:dyDescent="0.25">
      <c r="A29" s="368" t="s">
        <v>3206</v>
      </c>
      <c r="B29" s="369" t="s">
        <v>3207</v>
      </c>
      <c r="C29" s="375" t="s">
        <v>3186</v>
      </c>
      <c r="D29" s="371" t="s">
        <v>3208</v>
      </c>
      <c r="E29" s="371" t="s">
        <v>3209</v>
      </c>
      <c r="F29" s="376" t="s">
        <v>3182</v>
      </c>
      <c r="G29" s="376" t="s">
        <v>3183</v>
      </c>
      <c r="H29" s="373" t="s">
        <v>341</v>
      </c>
      <c r="I29" s="374" t="s">
        <v>341</v>
      </c>
      <c r="J29" s="421" t="s">
        <v>3184</v>
      </c>
      <c r="K29" s="423" t="s">
        <v>3189</v>
      </c>
      <c r="L29" s="329">
        <f>CONTINUA!BV29</f>
        <v>0</v>
      </c>
      <c r="M29" s="329">
        <f>CONTINUA!BW29</f>
        <v>0</v>
      </c>
      <c r="N29" s="895"/>
      <c r="O29" s="896" t="s">
        <v>3278</v>
      </c>
      <c r="P29" s="897">
        <v>0</v>
      </c>
      <c r="Q29" s="400"/>
      <c r="R29" s="401"/>
      <c r="S29" s="400"/>
      <c r="T29" s="401"/>
      <c r="U29" s="400"/>
      <c r="V29" s="401"/>
      <c r="W29" s="400"/>
      <c r="X29" s="401"/>
      <c r="Y29" s="400"/>
      <c r="Z29" s="401"/>
      <c r="AA29" s="400"/>
      <c r="AB29" s="401"/>
      <c r="AC29" s="400"/>
      <c r="AD29" s="401"/>
      <c r="AE29" s="400"/>
      <c r="AF29" s="401"/>
      <c r="AG29" s="400"/>
      <c r="AH29" s="401"/>
      <c r="AI29" s="400"/>
      <c r="AJ29" s="401"/>
      <c r="AK29" s="400"/>
      <c r="AL29" s="401"/>
      <c r="AM29" s="400"/>
      <c r="AN29" s="401"/>
      <c r="AO29" s="400"/>
      <c r="AP29" s="401"/>
      <c r="AQ29" s="400"/>
      <c r="AR29" s="401"/>
      <c r="AS29" s="400"/>
      <c r="AT29" s="401"/>
      <c r="AU29" s="400"/>
      <c r="AV29" s="401"/>
      <c r="AW29" s="400"/>
      <c r="AX29" s="401"/>
      <c r="AY29" s="400"/>
      <c r="AZ29" s="401"/>
      <c r="BA29" s="400"/>
      <c r="BB29" s="401"/>
      <c r="BC29" s="400"/>
      <c r="BD29" s="401"/>
      <c r="BE29" s="400"/>
      <c r="BF29" s="401"/>
      <c r="BG29" s="400"/>
      <c r="BH29" s="401"/>
      <c r="BI29" s="400"/>
      <c r="BJ29" s="401"/>
      <c r="BK29" s="400"/>
      <c r="BL29" s="401"/>
      <c r="BM29" s="400"/>
      <c r="BN29" s="401"/>
      <c r="BO29" s="400"/>
      <c r="BP29" s="401"/>
      <c r="BQ29" s="400"/>
      <c r="BR29" s="401"/>
      <c r="BS29" s="400"/>
      <c r="BT29" s="401"/>
      <c r="BU29" s="400"/>
      <c r="BV29" s="401"/>
      <c r="BW29" s="400"/>
      <c r="BX29" s="401"/>
      <c r="BY29" s="400"/>
      <c r="BZ29" s="401"/>
      <c r="CA29" s="400"/>
      <c r="CB29" s="401"/>
      <c r="CC29" s="400"/>
      <c r="CD29" s="401"/>
      <c r="CE29" s="400"/>
      <c r="CF29" s="401"/>
      <c r="CG29" s="400"/>
      <c r="CH29" s="401"/>
      <c r="CI29" s="400"/>
      <c r="CJ29" s="401"/>
      <c r="CK29" s="400"/>
      <c r="CL29" s="401"/>
      <c r="CM29" s="400"/>
      <c r="CN29" s="401"/>
      <c r="CO29" s="400"/>
      <c r="CP29" s="401"/>
      <c r="CQ29" s="400"/>
      <c r="CR29" s="401"/>
      <c r="CS29" s="400"/>
      <c r="CT29" s="401"/>
      <c r="CU29" s="400"/>
      <c r="CV29" s="401"/>
      <c r="CW29" s="400"/>
      <c r="CX29" s="401"/>
      <c r="CY29" s="400"/>
      <c r="CZ29" s="401"/>
      <c r="DA29" s="400"/>
      <c r="DB29" s="401"/>
      <c r="DC29" s="400"/>
      <c r="DD29" s="401"/>
      <c r="DE29" s="400"/>
      <c r="DF29" s="401"/>
      <c r="DG29" s="400"/>
      <c r="DH29" s="401"/>
      <c r="DI29" s="400"/>
      <c r="DJ29" s="401"/>
      <c r="DK29" s="400"/>
      <c r="DL29" s="401"/>
      <c r="DM29" s="400"/>
      <c r="DN29" s="401"/>
      <c r="DO29" s="400"/>
      <c r="DP29" s="401"/>
      <c r="DQ29" s="400"/>
      <c r="DR29" s="401"/>
      <c r="DS29" s="400"/>
      <c r="DT29" s="401"/>
      <c r="DU29" s="400"/>
      <c r="DV29" s="401"/>
      <c r="DW29" s="400"/>
      <c r="DX29" s="401"/>
      <c r="DY29" s="400"/>
      <c r="DZ29" s="401"/>
      <c r="EA29" s="400"/>
      <c r="EB29" s="401"/>
      <c r="EC29" s="400"/>
      <c r="ED29" s="401"/>
      <c r="EE29" s="400"/>
      <c r="EF29" s="401"/>
      <c r="EG29" s="400"/>
      <c r="EH29" s="401"/>
      <c r="EI29" s="400"/>
      <c r="EJ29" s="447"/>
      <c r="EK29" s="511"/>
      <c r="EL29" s="514"/>
      <c r="EM29" s="448"/>
      <c r="EN29" s="344"/>
      <c r="EO29" s="345"/>
      <c r="EP29" s="171">
        <f t="shared" si="22"/>
        <v>0</v>
      </c>
      <c r="EQ29" s="171">
        <f t="shared" si="23"/>
        <v>0</v>
      </c>
      <c r="ER29" s="171">
        <f t="shared" si="24"/>
        <v>0</v>
      </c>
      <c r="ES29" s="171">
        <f t="shared" si="25"/>
        <v>0</v>
      </c>
      <c r="ET29" s="171">
        <f t="shared" si="26"/>
        <v>0</v>
      </c>
      <c r="EU29" s="171">
        <f t="shared" si="27"/>
        <v>0</v>
      </c>
      <c r="EV29" s="172">
        <f t="shared" si="28"/>
        <v>0</v>
      </c>
      <c r="EW29" s="127"/>
      <c r="EX29" s="248">
        <f t="shared" si="45"/>
        <v>0</v>
      </c>
      <c r="EY29" s="174">
        <f>(L29*regular)+(M29*Cadeirantee)</f>
        <v>0</v>
      </c>
      <c r="EZ29" s="249">
        <f>SUMIF(FG29:GJ29,"&gt;0")</f>
        <v>0</v>
      </c>
      <c r="FA29" s="249">
        <f>SUMIF(FG29:GJ29,"&lt;0")+SUMIF(GN29:HP29,"&lt;0")</f>
        <v>0</v>
      </c>
      <c r="FB29" s="174">
        <v>0</v>
      </c>
      <c r="FC29" s="126">
        <f>N29*km*'VALORES TABELA'!$B$13</f>
        <v>0</v>
      </c>
      <c r="FD29" s="250">
        <f t="shared" si="46"/>
        <v>0</v>
      </c>
      <c r="FE29" s="105"/>
      <c r="FF29" s="118"/>
      <c r="FG29" s="118"/>
      <c r="FH29" s="118"/>
      <c r="FI29" s="118"/>
      <c r="FJ29" s="118"/>
      <c r="FK29" s="118"/>
      <c r="FL29" s="118"/>
      <c r="FM29" s="118"/>
      <c r="FN29" s="118"/>
      <c r="FO29" s="118"/>
      <c r="FP29" s="118"/>
      <c r="FQ29" s="118"/>
      <c r="FR29" s="118"/>
      <c r="FS29" s="118"/>
      <c r="FT29" s="118"/>
      <c r="FU29" s="118"/>
      <c r="FV29" s="118"/>
      <c r="FW29" s="118"/>
      <c r="FX29" s="118"/>
      <c r="FY29" s="118"/>
      <c r="FZ29" s="118"/>
      <c r="GA29" s="118"/>
      <c r="GB29" s="118"/>
      <c r="GC29" s="118"/>
      <c r="GD29" s="118"/>
      <c r="GE29" s="118"/>
      <c r="GF29" s="118"/>
      <c r="GG29" s="118"/>
      <c r="GH29" s="118"/>
      <c r="GI29" s="118"/>
      <c r="GJ29" s="118"/>
      <c r="GK29" s="252"/>
      <c r="GL29" s="103">
        <f t="shared" si="30"/>
        <v>0</v>
      </c>
      <c r="GM29" s="124"/>
      <c r="GN29" s="104"/>
      <c r="GO29" s="104"/>
      <c r="GP29" s="104"/>
      <c r="GQ29" s="104"/>
      <c r="GR29" s="104"/>
      <c r="GS29" s="104"/>
      <c r="GT29" s="104"/>
      <c r="GU29" s="104"/>
      <c r="GV29" s="104"/>
      <c r="GW29" s="104"/>
      <c r="GX29" s="104"/>
      <c r="GY29" s="104"/>
      <c r="GZ29" s="104"/>
      <c r="HA29" s="104"/>
      <c r="HB29" s="104"/>
      <c r="HC29" s="104"/>
      <c r="HD29" s="104"/>
      <c r="HE29" s="104"/>
      <c r="HF29" s="104"/>
      <c r="HG29" s="104"/>
      <c r="HH29" s="104"/>
      <c r="HI29" s="104"/>
      <c r="HJ29" s="104"/>
      <c r="HK29" s="104"/>
      <c r="HL29" s="104"/>
      <c r="HM29" s="104"/>
      <c r="HN29" s="104"/>
      <c r="HO29" s="104"/>
      <c r="HP29" s="104"/>
      <c r="HQ29" s="64"/>
      <c r="HR29" s="65"/>
      <c r="HS29" s="65"/>
      <c r="HT29" s="65"/>
      <c r="HU29" s="65"/>
      <c r="HV29" s="65"/>
      <c r="HW29" s="105"/>
      <c r="HX29" s="65"/>
      <c r="HY29" s="280">
        <f t="shared" si="47"/>
        <v>0</v>
      </c>
      <c r="HZ29" s="280">
        <f t="shared" si="48"/>
        <v>0</v>
      </c>
      <c r="IA29" s="280">
        <f t="shared" si="49"/>
        <v>0</v>
      </c>
      <c r="IB29" s="65"/>
      <c r="IC29" s="65"/>
    </row>
    <row r="30" spans="1:237" s="106" customFormat="1" ht="22.5" customHeight="1" thickBot="1" x14ac:dyDescent="0.3">
      <c r="A30" s="377" t="s">
        <v>3206</v>
      </c>
      <c r="B30" s="378" t="s">
        <v>3207</v>
      </c>
      <c r="C30" s="379" t="s">
        <v>3186</v>
      </c>
      <c r="D30" s="380" t="s">
        <v>3208</v>
      </c>
      <c r="E30" s="380" t="s">
        <v>3209</v>
      </c>
      <c r="F30" s="381" t="s">
        <v>3182</v>
      </c>
      <c r="G30" s="381" t="s">
        <v>3183</v>
      </c>
      <c r="H30" s="382" t="s">
        <v>341</v>
      </c>
      <c r="I30" s="383" t="s">
        <v>341</v>
      </c>
      <c r="J30" s="421" t="s">
        <v>3184</v>
      </c>
      <c r="K30" s="424" t="s">
        <v>60</v>
      </c>
      <c r="L30" s="329">
        <f>CONTINUA!BV30</f>
        <v>0</v>
      </c>
      <c r="M30" s="329">
        <f>CONTINUA!BW30</f>
        <v>0</v>
      </c>
      <c r="N30" s="895"/>
      <c r="O30" s="896" t="s">
        <v>3278</v>
      </c>
      <c r="P30" s="897">
        <v>0</v>
      </c>
      <c r="Q30" s="400"/>
      <c r="R30" s="401"/>
      <c r="S30" s="400"/>
      <c r="T30" s="401"/>
      <c r="U30" s="400"/>
      <c r="V30" s="401"/>
      <c r="W30" s="400"/>
      <c r="X30" s="401"/>
      <c r="Y30" s="400"/>
      <c r="Z30" s="401"/>
      <c r="AA30" s="400"/>
      <c r="AB30" s="401"/>
      <c r="AC30" s="400"/>
      <c r="AD30" s="401"/>
      <c r="AE30" s="400"/>
      <c r="AF30" s="401"/>
      <c r="AG30" s="400"/>
      <c r="AH30" s="401"/>
      <c r="AI30" s="400"/>
      <c r="AJ30" s="401"/>
      <c r="AK30" s="400"/>
      <c r="AL30" s="401"/>
      <c r="AM30" s="400"/>
      <c r="AN30" s="401"/>
      <c r="AO30" s="400"/>
      <c r="AP30" s="401"/>
      <c r="AQ30" s="400"/>
      <c r="AR30" s="401"/>
      <c r="AS30" s="400"/>
      <c r="AT30" s="401"/>
      <c r="AU30" s="400"/>
      <c r="AV30" s="401"/>
      <c r="AW30" s="400"/>
      <c r="AX30" s="401"/>
      <c r="AY30" s="400"/>
      <c r="AZ30" s="401"/>
      <c r="BA30" s="400"/>
      <c r="BB30" s="401"/>
      <c r="BC30" s="400"/>
      <c r="BD30" s="401"/>
      <c r="BE30" s="400"/>
      <c r="BF30" s="401"/>
      <c r="BG30" s="400"/>
      <c r="BH30" s="401"/>
      <c r="BI30" s="400"/>
      <c r="BJ30" s="401"/>
      <c r="BK30" s="400"/>
      <c r="BL30" s="401"/>
      <c r="BM30" s="400"/>
      <c r="BN30" s="401"/>
      <c r="BO30" s="400"/>
      <c r="BP30" s="401"/>
      <c r="BQ30" s="400"/>
      <c r="BR30" s="401"/>
      <c r="BS30" s="400"/>
      <c r="BT30" s="401"/>
      <c r="BU30" s="400"/>
      <c r="BV30" s="401"/>
      <c r="BW30" s="400"/>
      <c r="BX30" s="401"/>
      <c r="BY30" s="400"/>
      <c r="BZ30" s="401"/>
      <c r="CA30" s="400"/>
      <c r="CB30" s="401"/>
      <c r="CC30" s="400"/>
      <c r="CD30" s="401"/>
      <c r="CE30" s="400"/>
      <c r="CF30" s="401"/>
      <c r="CG30" s="400"/>
      <c r="CH30" s="401"/>
      <c r="CI30" s="400"/>
      <c r="CJ30" s="401"/>
      <c r="CK30" s="400"/>
      <c r="CL30" s="401"/>
      <c r="CM30" s="400"/>
      <c r="CN30" s="401"/>
      <c r="CO30" s="400"/>
      <c r="CP30" s="401"/>
      <c r="CQ30" s="400"/>
      <c r="CR30" s="401"/>
      <c r="CS30" s="400"/>
      <c r="CT30" s="401"/>
      <c r="CU30" s="400"/>
      <c r="CV30" s="401"/>
      <c r="CW30" s="400"/>
      <c r="CX30" s="401"/>
      <c r="CY30" s="400"/>
      <c r="CZ30" s="401"/>
      <c r="DA30" s="400"/>
      <c r="DB30" s="401"/>
      <c r="DC30" s="400"/>
      <c r="DD30" s="401"/>
      <c r="DE30" s="400"/>
      <c r="DF30" s="401"/>
      <c r="DG30" s="400"/>
      <c r="DH30" s="401"/>
      <c r="DI30" s="400"/>
      <c r="DJ30" s="401"/>
      <c r="DK30" s="400"/>
      <c r="DL30" s="401"/>
      <c r="DM30" s="400"/>
      <c r="DN30" s="401"/>
      <c r="DO30" s="400"/>
      <c r="DP30" s="401"/>
      <c r="DQ30" s="400"/>
      <c r="DR30" s="401"/>
      <c r="DS30" s="400"/>
      <c r="DT30" s="401"/>
      <c r="DU30" s="400"/>
      <c r="DV30" s="401"/>
      <c r="DW30" s="400"/>
      <c r="DX30" s="401"/>
      <c r="DY30" s="400"/>
      <c r="DZ30" s="401"/>
      <c r="EA30" s="400"/>
      <c r="EB30" s="401"/>
      <c r="EC30" s="400"/>
      <c r="ED30" s="401"/>
      <c r="EE30" s="400"/>
      <c r="EF30" s="401"/>
      <c r="EG30" s="400"/>
      <c r="EH30" s="401"/>
      <c r="EI30" s="400"/>
      <c r="EJ30" s="447"/>
      <c r="EK30" s="512"/>
      <c r="EL30" s="515"/>
      <c r="EM30" s="450"/>
      <c r="EN30" s="348"/>
      <c r="EO30" s="348"/>
      <c r="EP30" s="179">
        <f t="shared" si="22"/>
        <v>0</v>
      </c>
      <c r="EQ30" s="179">
        <f t="shared" si="23"/>
        <v>0</v>
      </c>
      <c r="ER30" s="179">
        <f t="shared" si="24"/>
        <v>0</v>
      </c>
      <c r="ES30" s="179">
        <f t="shared" si="25"/>
        <v>0</v>
      </c>
      <c r="ET30" s="179">
        <f t="shared" si="26"/>
        <v>0</v>
      </c>
      <c r="EU30" s="179">
        <f t="shared" si="27"/>
        <v>0</v>
      </c>
      <c r="EV30" s="172">
        <f t="shared" si="28"/>
        <v>0</v>
      </c>
      <c r="EW30" s="253"/>
      <c r="EX30" s="254">
        <v>0</v>
      </c>
      <c r="EY30" s="180">
        <v>0</v>
      </c>
      <c r="EZ30" s="255">
        <v>0</v>
      </c>
      <c r="FA30" s="255">
        <v>0</v>
      </c>
      <c r="FB30" s="180">
        <f>SUM(FF30:GI30)/2</f>
        <v>0</v>
      </c>
      <c r="FC30" s="256">
        <f>N30*km*'VALORES TABELA'!$B$13</f>
        <v>0</v>
      </c>
      <c r="FD30" s="250">
        <f t="shared" si="46"/>
        <v>0</v>
      </c>
      <c r="FE30" s="257"/>
      <c r="FF30" s="181">
        <f>((Q30+S30)*Percapita)+((R30+T30)*Cadeirante)</f>
        <v>0</v>
      </c>
      <c r="FG30" s="181">
        <f>((U30+W30)*Percapita/30*FG$4)+((V30+X30)*Cadeirante/30*FG$4)</f>
        <v>0</v>
      </c>
      <c r="FH30" s="181">
        <f>((Y30+AA30)*Percapita/30*FH$4)+((Z30+AB30)*Cadeirante/30*FH$4)</f>
        <v>0</v>
      </c>
      <c r="FI30" s="181">
        <f>((AC30+AE30)*Percapita/30*FI$4)+((AD30+AF30)*Cadeirante/30*FI$4)</f>
        <v>0</v>
      </c>
      <c r="FJ30" s="181">
        <f>((AG30+AI30)*Percapita/30*FJ$4)+((AH30+AJ30)*Cadeirante/30*FJ$4)</f>
        <v>0</v>
      </c>
      <c r="FK30" s="181">
        <f>((AK30+AM30)*Percapita/30*FK$4)+((AL30+AN30)*Cadeirante/30*FK$4)</f>
        <v>0</v>
      </c>
      <c r="FL30" s="181">
        <f>((AO30+AQ30)*Percapita/30*FL$4)+((AP30+AR30)*Cadeirante/30*FL$4)</f>
        <v>0</v>
      </c>
      <c r="FM30" s="181">
        <f>((AS30+AU30)*Percapita/30*FM$4)+((AT30+AV30)*Cadeirante/30*FM$4)</f>
        <v>0</v>
      </c>
      <c r="FN30" s="181">
        <f>((AW30+AY30)*Percapita/30*FN$4)+((AX30+AZ30)*Cadeirante/30*FN$4)</f>
        <v>0</v>
      </c>
      <c r="FO30" s="181">
        <f>((BA30+BC30)*Percapita/30*FO$4)+((BB30+BD30)*Cadeirante/30*FO$4)</f>
        <v>0</v>
      </c>
      <c r="FP30" s="181">
        <f>((BE30+BG30)*Percapita/30*FP$4)+((BF30+BH30)*Cadeirante/30*FP$4)</f>
        <v>0</v>
      </c>
      <c r="FQ30" s="181">
        <f>((BI30+BK30)*Percapita/30*FQ$4)+((BJ30+BL30)*Cadeirante/30*FQ$4)</f>
        <v>0</v>
      </c>
      <c r="FR30" s="181">
        <f>((BM30+BO30)*Percapita/30*FR$4)+((BN30+BP30)*Cadeirante/30*FR$4)</f>
        <v>0</v>
      </c>
      <c r="FS30" s="181">
        <f>((BQ30+BS30)*Percapita/30*FS$4)+((BR30+BT30)*Cadeirante/30*FS$4)</f>
        <v>0</v>
      </c>
      <c r="FT30" s="181">
        <f>((BU30+BW30)*Percapita/30*FT$4)+((BV30+BX30)*Cadeirante/30*FT$4)</f>
        <v>0</v>
      </c>
      <c r="FU30" s="181">
        <f>((BY30+CA30)*Percapita/30*FU$4)+((BZ30+CB30)*Cadeirante/30*FU$4)</f>
        <v>0</v>
      </c>
      <c r="FV30" s="181">
        <f>((CC30+CE30)*Percapita/30*FV$4)+((CD30+CF30)*Cadeirante/30*FV$4)</f>
        <v>0</v>
      </c>
      <c r="FW30" s="181">
        <f>((CG30+CI30)*Percapita/30*FW$4)+((CI30+CK30)*Cadeirante/30*FW$4)</f>
        <v>0</v>
      </c>
      <c r="FX30" s="181">
        <f>((CK30+CM30)*Percapita/30*FX$4)+((CL30+CN30)*Cadeirante/30*FX$4)</f>
        <v>0</v>
      </c>
      <c r="FY30" s="181">
        <f>((CO30+CQ30)*Percapita/30*FY$4)+((CP30+CR30)*Cadeirante/30*FY$4)</f>
        <v>0</v>
      </c>
      <c r="FZ30" s="181">
        <f>((CS30+CU30)*Percapita/30*FZ$4)+((CT30+CV30)*Cadeirante/30*FZ$4)</f>
        <v>0</v>
      </c>
      <c r="GA30" s="181">
        <f>((CW30+CY30)*Percapita/30*GA$4)+((CX30+CZ30)*Cadeirante/30*GA$4)</f>
        <v>0</v>
      </c>
      <c r="GB30" s="181">
        <f>((DA30+DC30)*Percapita/30*GB$4)+((DB30+DD30)*Cadeirante/30*GB$4)</f>
        <v>0</v>
      </c>
      <c r="GC30" s="181">
        <f>((DE30+DG30)*Percapita/30*GC$4)+((DF30+DH30)*Cadeirante/30*GC$4)</f>
        <v>0</v>
      </c>
      <c r="GD30" s="181">
        <f>((DI30+DK30)*Percapita/30*GD$4)+((DJ30+DL30)*Cadeirante/30*GD$4)</f>
        <v>0</v>
      </c>
      <c r="GE30" s="181">
        <f>((DM30+DO30)*Percapita/30*GE$4)+((DN30+DP30)*Cadeirante/30*GE$4)</f>
        <v>0</v>
      </c>
      <c r="GF30" s="181">
        <f>((DQ30+DS30)*Percapita/30*GF$4)+((DR30+DT30)*Cadeirante/30*GF$4)</f>
        <v>0</v>
      </c>
      <c r="GG30" s="181">
        <f>((DU30+DW30)*Percapita/30*GG$4)+((DV30+DX30)*Cadeirante/30*GG$4)</f>
        <v>0</v>
      </c>
      <c r="GH30" s="181">
        <f>((DY30+EA30)*Percapita/30*GH$4)+((DZ30+EB30)*Cadeirante/30*GH$4)</f>
        <v>0</v>
      </c>
      <c r="GI30" s="181">
        <f>((EC30+EE30)*Percapita/30*GI$4)+((ED30+EF30)*Cadeirante/30*GI$4)</f>
        <v>0</v>
      </c>
      <c r="GJ30" s="181">
        <f>((EG30+EI30)*Percapita)+((EH30+EJ30)*Cadeirante)</f>
        <v>0</v>
      </c>
      <c r="GK30" s="258"/>
      <c r="GL30" s="103">
        <f t="shared" si="30"/>
        <v>0</v>
      </c>
      <c r="GM30" s="124"/>
      <c r="GN30" s="182"/>
      <c r="GO30" s="182"/>
      <c r="GP30" s="182"/>
      <c r="GQ30" s="182"/>
      <c r="GR30" s="182"/>
      <c r="GS30" s="182"/>
      <c r="GT30" s="182"/>
      <c r="GU30" s="182"/>
      <c r="GV30" s="182"/>
      <c r="GW30" s="182"/>
      <c r="GX30" s="182"/>
      <c r="GY30" s="182"/>
      <c r="GZ30" s="182"/>
      <c r="HA30" s="182"/>
      <c r="HB30" s="182"/>
      <c r="HC30" s="182"/>
      <c r="HD30" s="182"/>
      <c r="HE30" s="182"/>
      <c r="HF30" s="182"/>
      <c r="HG30" s="182"/>
      <c r="HH30" s="182"/>
      <c r="HI30" s="182"/>
      <c r="HJ30" s="182"/>
      <c r="HK30" s="182"/>
      <c r="HL30" s="182"/>
      <c r="HM30" s="182"/>
      <c r="HN30" s="182"/>
      <c r="HO30" s="182"/>
      <c r="HP30" s="259"/>
      <c r="HQ30" s="64"/>
      <c r="HW30" s="257"/>
      <c r="HY30" s="280">
        <f t="shared" si="47"/>
        <v>0</v>
      </c>
      <c r="HZ30" s="280">
        <f t="shared" si="48"/>
        <v>0</v>
      </c>
      <c r="IA30" s="280">
        <f t="shared" si="49"/>
        <v>0</v>
      </c>
    </row>
    <row r="31" spans="1:237" s="106" customFormat="1" ht="22.5" customHeight="1" x14ac:dyDescent="0.25">
      <c r="A31" t="s">
        <v>3210</v>
      </c>
      <c r="B31" s="522" t="s">
        <v>3211</v>
      </c>
      <c r="C31" s="523">
        <v>1</v>
      </c>
      <c r="D31" s="524" t="s">
        <v>3212</v>
      </c>
      <c r="E31" s="524" t="s">
        <v>3213</v>
      </c>
      <c r="F31" s="525" t="s">
        <v>3182</v>
      </c>
      <c r="G31" s="525" t="s">
        <v>3183</v>
      </c>
      <c r="H31" s="350" t="s">
        <v>342</v>
      </c>
      <c r="I31" s="351" t="s">
        <v>342</v>
      </c>
      <c r="J31" s="409" t="s">
        <v>3184</v>
      </c>
      <c r="K31" s="410" t="s">
        <v>3185</v>
      </c>
      <c r="L31" s="329">
        <f>CONTINUA!BV31</f>
        <v>0</v>
      </c>
      <c r="M31" s="329">
        <f>CONTINUA!BW31</f>
        <v>0</v>
      </c>
      <c r="N31" s="895"/>
      <c r="O31" s="896" t="s">
        <v>3279</v>
      </c>
      <c r="P31" s="897">
        <v>0</v>
      </c>
      <c r="Q31" s="400">
        <v>5</v>
      </c>
      <c r="R31" s="401"/>
      <c r="S31" s="400"/>
      <c r="T31" s="401"/>
      <c r="U31" s="400"/>
      <c r="V31" s="401"/>
      <c r="W31" s="400"/>
      <c r="X31" s="401"/>
      <c r="Y31" s="400"/>
      <c r="Z31" s="401"/>
      <c r="AA31" s="400"/>
      <c r="AB31" s="401"/>
      <c r="AC31" s="400"/>
      <c r="AD31" s="401"/>
      <c r="AE31" s="400"/>
      <c r="AF31" s="401"/>
      <c r="AG31" s="400"/>
      <c r="AH31" s="401"/>
      <c r="AI31" s="400"/>
      <c r="AJ31" s="401"/>
      <c r="AK31" s="400"/>
      <c r="AL31" s="401"/>
      <c r="AM31" s="400"/>
      <c r="AN31" s="401"/>
      <c r="AO31" s="400"/>
      <c r="AP31" s="401"/>
      <c r="AQ31" s="400"/>
      <c r="AR31" s="401"/>
      <c r="AS31" s="400"/>
      <c r="AT31" s="401"/>
      <c r="AU31" s="400"/>
      <c r="AV31" s="401"/>
      <c r="AW31" s="400"/>
      <c r="AX31" s="401"/>
      <c r="AY31" s="400"/>
      <c r="AZ31" s="401"/>
      <c r="BA31" s="400"/>
      <c r="BB31" s="401"/>
      <c r="BC31" s="400"/>
      <c r="BD31" s="401"/>
      <c r="BE31" s="400"/>
      <c r="BF31" s="401"/>
      <c r="BG31" s="400"/>
      <c r="BH31" s="401"/>
      <c r="BI31" s="400"/>
      <c r="BJ31" s="401"/>
      <c r="BK31" s="400"/>
      <c r="BL31" s="401"/>
      <c r="BM31" s="400"/>
      <c r="BN31" s="401"/>
      <c r="BO31" s="400"/>
      <c r="BP31" s="401"/>
      <c r="BQ31" s="400"/>
      <c r="BR31" s="401"/>
      <c r="BS31" s="400"/>
      <c r="BT31" s="401"/>
      <c r="BU31" s="400"/>
      <c r="BV31" s="401"/>
      <c r="BW31" s="400"/>
      <c r="BX31" s="401"/>
      <c r="BY31" s="400"/>
      <c r="BZ31" s="401"/>
      <c r="CA31" s="400"/>
      <c r="CB31" s="401"/>
      <c r="CC31" s="400"/>
      <c r="CD31" s="401"/>
      <c r="CE31" s="400"/>
      <c r="CF31" s="401"/>
      <c r="CG31" s="400"/>
      <c r="CH31" s="401"/>
      <c r="CI31" s="400"/>
      <c r="CJ31" s="401"/>
      <c r="CK31" s="400"/>
      <c r="CL31" s="401"/>
      <c r="CM31" s="400"/>
      <c r="CN31" s="401"/>
      <c r="CO31" s="400"/>
      <c r="CP31" s="401"/>
      <c r="CQ31" s="400"/>
      <c r="CR31" s="401"/>
      <c r="CS31" s="400"/>
      <c r="CT31" s="401"/>
      <c r="CU31" s="400"/>
      <c r="CV31" s="401"/>
      <c r="CW31" s="400"/>
      <c r="CX31" s="401"/>
      <c r="CY31" s="400"/>
      <c r="CZ31" s="401"/>
      <c r="DA31" s="400"/>
      <c r="DB31" s="401"/>
      <c r="DC31" s="400"/>
      <c r="DD31" s="401"/>
      <c r="DE31" s="400"/>
      <c r="DF31" s="401"/>
      <c r="DG31" s="400"/>
      <c r="DH31" s="401"/>
      <c r="DI31" s="400"/>
      <c r="DJ31" s="401"/>
      <c r="DK31" s="400"/>
      <c r="DL31" s="401"/>
      <c r="DM31" s="400"/>
      <c r="DN31" s="401"/>
      <c r="DO31" s="400"/>
      <c r="DP31" s="401"/>
      <c r="DQ31" s="400"/>
      <c r="DR31" s="401"/>
      <c r="DS31" s="400"/>
      <c r="DT31" s="401"/>
      <c r="DU31" s="400"/>
      <c r="DV31" s="401"/>
      <c r="DW31" s="400"/>
      <c r="DX31" s="401"/>
      <c r="DY31" s="400"/>
      <c r="DZ31" s="401"/>
      <c r="EA31" s="400"/>
      <c r="EB31" s="401"/>
      <c r="EC31" s="400"/>
      <c r="ED31" s="401"/>
      <c r="EE31" s="400"/>
      <c r="EF31" s="401"/>
      <c r="EG31" s="400"/>
      <c r="EH31" s="401"/>
      <c r="EI31" s="400"/>
      <c r="EJ31" s="447"/>
      <c r="EK31" s="510"/>
      <c r="EL31" s="513"/>
      <c r="EM31" s="520"/>
      <c r="EN31" s="520"/>
      <c r="EO31" s="520"/>
      <c r="EP31" s="171">
        <f t="shared" si="22"/>
        <v>5</v>
      </c>
      <c r="EQ31" s="171">
        <f t="shared" si="23"/>
        <v>0</v>
      </c>
      <c r="ER31" s="171">
        <f t="shared" si="24"/>
        <v>0</v>
      </c>
      <c r="ES31" s="171">
        <f t="shared" si="25"/>
        <v>0</v>
      </c>
      <c r="ET31" s="171">
        <f t="shared" si="26"/>
        <v>0</v>
      </c>
      <c r="EU31" s="171">
        <f t="shared" si="27"/>
        <v>0</v>
      </c>
      <c r="EV31" s="172">
        <f t="shared" si="28"/>
        <v>5</v>
      </c>
      <c r="EW31" s="367">
        <f>IF(C31=4,IF(MAX(Q31:EJ33)&gt;0,(Especiall/30*(IF(($G31-$F31)=($G$5-$F$5),30,IF(DAY($G31)=31,($G31-$F31),($G31-$F31)+1)))),0),0)</f>
        <v>0</v>
      </c>
      <c r="EX31" s="248">
        <f t="shared" ref="EX31:EX34" si="50">FF31</f>
        <v>15582.35</v>
      </c>
      <c r="EY31" s="174">
        <f>(L31*regular)+(M31*Cadeirantee)</f>
        <v>0</v>
      </c>
      <c r="EZ31" s="249">
        <f>SUMIF(FG31:GJ31,"&gt;0")</f>
        <v>231.13800000000003</v>
      </c>
      <c r="FA31" s="249">
        <f>SUMIF(FG31:GJ31,"&lt;0")+SUMIF(GN31:HP31,"&lt;0")</f>
        <v>0</v>
      </c>
      <c r="FB31" s="174">
        <v>0</v>
      </c>
      <c r="FC31" s="175">
        <f>N31*km*'VALORES TABELA'!$B$13</f>
        <v>0</v>
      </c>
      <c r="FD31" s="250">
        <f>GL31</f>
        <v>0</v>
      </c>
      <c r="FE31" s="176">
        <f>(EW31+EW32+EW33+EW34+EX31+EX32+EX33+EX34+EY31+EY32+EY33+EY34+EY35+EZ31+EZ32+EZ33+EZ34+FA31+FA32+FA33+FA34+FC31+FC32+FC33+FC34+HY31-HZ31-IA31+FD31+FD32+FD33+FD34+FB35)</f>
        <v>17230.567999999999</v>
      </c>
      <c r="FF31" s="177">
        <f>IF(C31=4,SUM(Q31+Q32+Q33+S31+S32+S33)*Percapita/30*FF$4+(R31+R32+R33+T31+T32+T33)*Cadeirante/30*FF$4,IF(C31=3,IF(Q34+S34=10,Fixo/30*FF$4+(Q31+Q32+Q33+S31+S32+S33)*Percapita/30*FF$4+(R34+T34)*Cadeirante/30*FF$4,IF(Q34+S34&lt;=9,(Q34+S34)*Crechee/30*FF$4)+(R34+T34)*Cadeirante/30*FF$4+(Q31+Q32+Q33+S31+S32+S33)*Percapita/30*FF$4)+IF(Q34+S34&gt;=11,Fixo/30*FF$4+(Q34+S34-10)*Crechee/30*FF$4,0),IF(C31=2,IF(R31+R32+R33+R34+T31+T32+T33+T34=1,Cadeirante/30*FF$4,IF(R31+R32+R33+R34+T31+T32+T33+T34=2,Fixo/30*FF$4,IF(R31+R32+R33+R34+T31+T32+T33+T34&gt;2,Fixo/30*FF$4+(R31+R32+R33+R34+T31+T32+T33+T34-2)*Cadeirante/30*FF$4)))+(Q31+Q32+Q33+S31+S32+S33)*Percapita/30*FF$4+(Q34+S34)*Crechee/30*FF$4,IF(C31=1,IF(Q31+Q32+Q33+R31+R32+R33+S31+S32+S33+T31+T32+T33&lt;=15,(Q31+Q32+Q33+S31+S32+S33)*Percapita/30*FF$4,IF(Q31+Q32+Q33+R31+R32+R33+S31+S32+S33+T31+T32+T33&gt;=16,Fixo/30*FF$4+(Q31+Q32+Q33+R31+R32+R33+S31+S32+S33+T31+T32-16)*Percapita/30*FF$4))))))</f>
        <v>15582.35</v>
      </c>
      <c r="FG31" s="177">
        <f>IF(C31=4,SUM(U31+U32+U33+W31+W32+W33)*Percapita/30*FG$4+(V31+V32+V33+X31+X32+X33)*Cadeirante/30*FG$4,IF(C31=3,IF(U34+W34=10,Fixo/30*FG$4+(U31+U32+U33+W31+W32+W33)*Percapita/30*FG$4+(V34+X34)*Cadeirante/30*FG$4,IF(U34+W34&lt;=9,(U34+W34)*Crechee/30*FG$4)+(V34+X34)*Cadeirante/30*FG$4+(U31+U32+U33+W31+W32+W33)*Percapita/30*FG$4)+IF(U34+W34&gt;=11,Fixo/30*FG$4+(U34+W34-10)*Crechee/30*FG$4,0),IF(C31=2,IF(V31+V32+V33+V34+X31+X32+X33+X34=1,Cadeirante/30*FG$4,IF(V31+V32+V33+V34+X31+X32+X33+X34=2,Fixo/30*FG$4,IF(V31+V32+V33+V34+X31+X32+X33+X34&gt;2,Fixo/30*FG$4+(V31+V32+V33+V34+X31+X32+X33+X34-2)*Cadeirante/30*FG$4)))+(U31+U32+U33+W31+W32+W33)*Percapita/30*FG$4+(U34+W34)*Crechee/30*FG$4,IF(C31=1,IF(U31+U32+U33+V31+V32+V33+W31+W32+W33+X31+X32+X33&lt;=15,(U31+U32+U33+W31+W32+W33)*Percapita/30*FG$4,IF(U31+U32+U33+V31+V32+V33+W31+W32+W33+X31+X32+X33&gt;=16,Fixo/30*FG$4+(U31+U32+U33+V31+V32+V33+W31+W32+W33+X31+X32-16)*Percapita/30*FG$4))))))</f>
        <v>0</v>
      </c>
      <c r="FH31" s="177">
        <f>IF(C31=4,SUM(Y31+Y32+Y33+AA31+AA32+AA33)*Percapita/30*FH$4+(Z31+Z32+Z33+AB31+AB32+AB33)*Cadeirante/30*FH$4,IF(C31=3,IF(Y34+AA34=10,Fixo/30*FH$4+(Y31+Y32+Y33+AA31+AA32+AA33)*Percapita/30*FH$4+(Z34+AB34)*Cadeirante/30*FH$4,IF(Y34+AA34&lt;=9,(Y34+AA34)*Crechee/30*FH$4)+(Z34+AB34)*Cadeirante/30*FH$4+(Y31+Y32+Y33+AA31+AA32+AA33)*Percapita/30*FH$4)+IF(Y34+AA34&gt;=11,Fixo/30*FH$4+(Y34+AA34-10)*Crechee/30*FH$4,0),IF(C31=2,IF(Z31+Z32+Z33+Z34+AB31+AB32+AB33+AB34=1,Cadeirante/30*FH$4,IF(Z31+Z32+Z33+Z34+AB31+AB32+AB33+AB34=2,Fixo/30*FH$4,IF(Z31+Z32+Z33+Z34+AB31+AB32+AB33+AB34&gt;2,Fixo/30*FH$4+(Z31+Z32+Z33+Z34+AB31+AB32+AB33+AB34-2)*Cadeirante/30*FH$4)))+(Y31+Y32+Y33+AA31+AA32+AA33)*Percapita/30*FH$4+(Y34+AA34)*Crechee/30*FH$4,IF(C31=1,IF(Y31+Y32+Y33+Z31+Z32+Z33+AA31+AA32+AA33+AB31+AB32+AB33&lt;=15,(Y31+Y32+Y33+AA31+AA32+AA33)*Percapita/30*FH$4,IF(Y31+Y32+Y33+Z31+Z32+Z33+AA31+AA32+AA33+AB31+AB32+AB33&gt;=16,Fixo/30*FH$4+(Y31+Y32+Y33+Z31+Z32+Z33+AA31+AA32+AA33+AB31+AB32-16)*Percapita/30*FH$4))))))</f>
        <v>0</v>
      </c>
      <c r="FI31" s="177">
        <f>IF(C31=4,SUM(AC31+AC32+AC33+AE31+AE32+AE33)*Percapita/30*FI$4+(AD31+AD32+AD33+AF31+AF32+AF33)*Cadeirante/30*FI$4,IF(C31=3,IF(AC34+AE34=10,Fixo/30*FI$4+(AC31+AC32+AC33+AE31+AE32+AE33)*Percapita/30*FI$4+(AD34+AF34)*Cadeirante/30*FI$4,IF(AC34+AE34&lt;=9,(AC34+AE34)*Crechee/30*FI$4)+(AD34+AF34)*Cadeirante/30*FI$4+(AC31+AC32+AC33+AE31+AE32+AE33)*Percapita/30*FI$4)+IF(AC34+AE34&gt;=11,Fixo/30*FI$4+(AC34+AE34-10)*Crechee/30*FI$4,0),IF(C31=2,IF(AD31+AD32+AD33+AD34+AF31+AF32+AF33+AF34=1,Cadeirante/30*FI$4,IF(AD31+AD32+AD33+AD34+AF31+AF32+AF33+AF34=2,Fixo/30*FI$4,IF(AD31+AD32+AD33+AD34+AF31+AF32+AF33+AF34&gt;2,Fixo/30*FI$4+(AD31+AD32+AD33+AD34+AF31+AF32+AF33+AF34-2)*Cadeirante/30*FI$4)))+(AC31+AC32+AC33+AE31+AE32+AE33)*Percapita/30*FI$4+(AC34+AE34)*Crechee/30*FI$4,IF(C31=1,IF(AC31+AC32+AC33+AD31+AD32+AD33+AE31+AE32+AE33+AF31+AF32+AF33&lt;=15,(AC31+AC32+AC33+AE31+AE32+AE33)*Percapita/30*FI$4,IF(AC31+AC32+AC33+AD31+AD32+AD33+AE31+AE32+AE33+AF31+AF32+AF33&gt;=16,Fixo/30*FI$4+(AC31+AC32+AC33+AD31+AD32+AD33+AE31+AE32+AE33+AF31+AF32-16)*Percapita/30*FI$4))))))</f>
        <v>0</v>
      </c>
      <c r="FJ31" s="177">
        <f>IF(C31=4,SUM(AG31+AG32+AG33+AI31+AI32+AI33)*Percapita/30*FJ$4+(AH31+AH32+AH33+AJ31+AJ32+AJ33)*Cadeirante/30*FJ$4,IF(C31=3,IF(AG34+AI34=10,Fixo/30*FJ$4+(AG31+AG32+AG33+AI31+AI32+AI33)*Percapita/30*FJ$4+(AH34+AJ34)*Cadeirante/30*FJ$4,IF(AG34+AI34&lt;=9,(AG34+AI34)*Crechee/30*FJ$4)+(AH34+AJ34)*Cadeirante/30*FJ$4+(AG31+AG32+AG33+AI31+AI32+AI33)*Percapita/30*FJ$4)+IF(AG34+AI34&gt;=11,Fixo/30*FJ$4+(AG34+AI34-10)*Crechee/30*FJ$4,0),IF(C31=2,IF(AH31+AH32+AH33+AH34+AJ31+AJ32+AJ33+AJ34=1,Cadeirante/30*FJ$4,IF(AH31+AH32+AH33+AH34+AJ31+AJ32+AJ33+AJ34=2,Fixo/30*FJ$4,IF(AH31+AH32+AH33+AH34+AJ31+AJ32+AJ33+AJ34&gt;2,Fixo/30*FJ$4+(AH31+AH32+AH33+AH34+AJ31+AJ32+AJ33+AJ34-2)*Cadeirante/30*FJ$4)))+(AG31+AG32+AG33+AI31+AI32+AI33)*Percapita/30*FJ$4+(AG34+AI34)*Crechee/30*FJ$4,IF(C31=1,IF(AG31+AG32+AG33+AH31+AH32+AH33+AI31+AI32+AI33+AJ31+AJ32+AJ33&lt;=15,(AG31+AG32+AG33+AI31+AI32+AI33)*Percapita/30*FJ$4,IF(AG31+AG32+AG33+AH31+AH32+AH33+AI31+AI32+AI33+AJ31+AJ32+AJ33&gt;=16,Fixo/30*FJ$4+(AG31+AG32+AG33+AH31+AH32+AH33+AI31+AI32+AI33+AJ31+AJ32-16)*Percapita/30*FJ$4))))))</f>
        <v>0</v>
      </c>
      <c r="FK31" s="177">
        <f>IF(C31=4,SUM(AK31+AK32+AK33+AM31+AM32+AM33)*Percapita/30*FK$4+(AL31+AL32+AL33+AN31+AN32+AN33)*Cadeirante/30*FK$4,IF(C31=3,IF(AK34+AM34=10,Fixo/30*FK$4+(AK31+AK32+AK33+AM31+AM32+AM33)*Percapita/30*FK$4+(AL34+AN34)*Cadeirante/30*FK$4,IF(AK34+AM34&lt;=9,(AK34+AM34)*Crechee/30*FK$4)+(AL34+AN34)*Cadeirante/30*FK$4+(AK31+AK32+AK33+AM31+AM32+AM33)*Percapita/30*FK$4)+IF(AK34+AM34&gt;=11,Fixo/30*FK$4+(AK34+AM34-10)*Crechee/30*FK$4,0),IF(C31=2,IF(AL31+AL32+AL33+AL34+AN31+AN32+AN33+AN34=1,Cadeirante/30*FK$4,IF(AL31+AL32+AL33+AL34+AN31+AN32+AN33+AN34=2,Fixo/30*FK$4,IF(AL31+AL32+AL33+AL34+AN31+AN32+AN33+AN34&gt;2,Fixo/30*FK$4+(AL31+AL32+AL33+AL34+AN31+AN32+AN33+AN34-2)*Cadeirante/30*FK$4)))+(AK31+AK32+AK33+AM31+AM32+AM33)*Percapita/30*FK$4+(AK34+AM34)*Crechee/30*FK$4,IF(C31=1,IF(AK31+AK32+AK33+AL31+AL32+AL33+AM31+AM32+AM33+AN31+AN32+AN33&lt;=15,(AK31+AK32+AK33+AM31+AM32+AM33)*Percapita/30*FK$4,IF(AK31+AK32+AK33+AL31+AL32+AL33+AM31+AM32+AM33+AN31+AN32+AN33&gt;=16,Fixo/30*FK$4+(AK31+AK32+AK33+AL31+AL32+AL33+AM31+AM32+AM33+AN31+AN32-16)*Percapita/30*FK$4))))))</f>
        <v>0</v>
      </c>
      <c r="FL31" s="177">
        <f>IF(C31=4,SUM(AO31+AO32+AO33+AQ31+AQ32+AQ33)*Percapita/30*FL$4+(AP31+AP32+AP33+AR31+AR32+AR33)*Cadeirante/30*FL$4,IF(C31=3,IF(AO34+AQ34=10,Fixo/30*FL$4+(AO31+AO32+AO33+AQ31+AQ32+AQ33)*Percapita/30*FL$4+(AP34+AR34)*Cadeirante/30*FL$4,IF(AO34+AQ34&lt;=9,(AO34+AQ34)*Crechee/30*FL$4)+(AP34+AR34)*Cadeirante/30*FL$4+(AO31+AO32+AO33+AQ31+AQ32+AQ33)*Percapita/30*FL$4)+IF(AO34+AQ34&gt;=11,Fixo/30*FL$4+(AO34+AQ34-10)*Crechee/30*FL$4,0),IF(C31=2,IF(AP31+AP32+AP33+AP34+AR31+AR32+AR33+AR34=1,Cadeirante/30*FL$4,IF(AP31+AP32+AP33+AP34+AR31+AR32+AR33+AR34=2,Fixo/30*FL$4,IF(AP31+AP32+AP33+AP34+AR31+AR32+AR33+AR34&gt;2,Fixo/30*FL$4+(AP31+AP32+AP33+AP34+AR31+AR32+AR33+AR34-2)*Cadeirante/30*FL$4)))+(AO31+AO32+AO33+AQ31+AQ32+AQ33)*Percapita/30*FL$4+(AO34+AQ34)*Crechee/30*FL$4,IF(C31=1,IF(AO31+AO32+AO33+AP31+AP32+AP33+AQ31+AQ32+AQ33+AR31+AR32+AR33&lt;=15,(AO31+AO32+AO33+AQ31+AQ32+AQ33)*Percapita/30*FL$4,IF(AO31+AO32+AO33+AP31+AP32+AP33+AQ31+AQ32+AQ33+AR31+AR32+AR33&gt;=16,Fixo/30*FL$4+(AO31+AO32+AO33+AP31+AP32+AP33+AQ31+AQ32+AQ33+AR31+AR32-16)*Percapita/30*FL$4))))))</f>
        <v>0</v>
      </c>
      <c r="FM31" s="177">
        <f>IF(C31=4,SUM(AS31+AS32+AS33+AU31+AU32+AU33)*Percapita/30*FM$4+(AT31+AT32+AT33+AV31+AV32+AV33)*Cadeirante/30*FM$4,IF(C31=3,IF(AS34+AU34=10,Fixo/30*FM$4+(AS31+AS32+AS33+AU31+AU32+AU33)*Percapita/30*FM$4+(AT34+AV34)*Cadeirante/30*FM$4,IF(AS34+AU34&lt;=9,(AS34+AU34)*Crechee/30*FM$4)+(AT34+AV34)*Cadeirante/30*FM$4+(AS31+AS32+AS33+AU31+AU32+AU33)*Percapita/30*FM$4)+IF(AS34+AU34&gt;=11,Fixo/30*FM$4+(AS34+AU34-10)*Crechee/30*FM$4,0),IF(C31=2,IF(AT31+AT32+AT33+AT34+AV31+AV32+AV33+AV34=1,Cadeirante/30*FM$4,IF(AT31+AT32+AT33+AT34+AV31+AV32+AV33+AV34=2,Fixo/30*FM$4,IF(AT31+AT32+AT33+AT34+AV31+AV32+AV33+AV34&gt;2,Fixo/30*FM$4+(AT31+AT32+AT33+AT34+AV31+AV32+AV33+AV34-2)*Cadeirante/30*FM$4)))+(AS31+AS32+AS33+AU31+AU32+AU33)*Percapita/30*FM$4+(AS34+AU34)*Crechee/30*FM$4,IF(C31=1,IF(AS31+AS32+AS33+AT31+AT32+AT33+AU31+AU32+AU33+AV31+AV32+AV33&lt;=15,(AS31+AS32+AS33+AU31+AU32+AU33)*Percapita/30*FM$4,IF(AS31+AS32+AS33+AT31+AT32+AT33+AU31+AU32+AU33+AV31+AV32+AV33&gt;=16,Fixo/30*FM$4+(AS31+AS32+AS33+AT31+AT32+AT33+AU31+AU32+AU33+AV31+AV32-16)*Percapita/30*FM$4))))))</f>
        <v>0</v>
      </c>
      <c r="FN31" s="177">
        <f>IF(C31=4,SUM(AW31+AW32+AW33+AY31+AY32+AY33)*Percapita/30*FN$4+(AX31+AX32+AX33+AZ31+AZ32+AZ33)*Cadeirante/30*FN$4,IF(C31=3,IF(AW34+AY34=10,Fixo/30*FN$4+(AW31+AW32+AW33+AY31+AY32+AY33)*Percapita/30*FN$4+(AX34+AZ34)*Cadeirante/30*FN$4,IF(AW34+AY34&lt;=9,(AW34+AY34)*Crechee/30*FN$4)+(AX34+AZ34)*Cadeirante/30*FN$4+(AW31+AW32+AW33+AY31+AY32+AY33)*Percapita/30*FN$4)+IF(AW34+AY34&gt;=11,Fixo/30*FN$4+(AW34+AY34-10)*Crechee/30*FN$4,0),IF(C31=2,IF(AX31+AX32+AX33+AX34+AZ31+AZ32+AZ33+AZ34=1,Cadeirante/30*FN$4,IF(AX31+AX32+AX33+AX34+AZ31+AZ32+AZ33+AZ34=2,Fixo/30*FN$4,IF(AX31+AX32+AX33+AX34+AZ31+AZ32+AZ33+AZ34&gt;2,Fixo/30*FN$4+(AX31+AX32+AX33+AX34+AZ31+AZ32+AZ33+AZ34-2)*Cadeirante/30*FN$4)))+(AW31+AW32+AW33+AY31+AY32+AY33)*Percapita/30*FN$4+(AW34+AY34)*Crechee/30*FN$4,IF(C31=1,IF(AW31+AW32+AW33+AX31+AX32+AX33+AY31+AY32+AY33+AZ31+AZ32+AZ33&lt;=15,(AW31+AW32+AW33+AY31+AY32+AY33)*Percapita/30*FN$4,IF(AW31+AW32+AW33+AX31+AX32+AX33+AY31+AY32+AY33+AZ31+AZ32+AZ33&gt;=16,Fixo/30*FN$4+(AW31+AW32+AW33+AX31+AX32+AX33+AY31+AY32+AY33+AZ31+AZ32-16)*Percapita/30*FN$4))))))</f>
        <v>0</v>
      </c>
      <c r="FO31" s="177">
        <f>IF(C31=4,SUM(BA31+BA32+BA33+BC31+BC32+BC33)*Percapita/30*FO$4+(BB31+BB32+BB33+BD31+BD32+BD33)*Cadeirante/30*FO$4,IF(C31=3,IF(BA34+BC34=10,Fixo/30*FO$4+(BA31+BA32+BA33+BC31+BC32+BC33)*Percapita/30*FO$4+(BB34+BD34)*Cadeirante/30*FO$4,IF(BA34+BC34&lt;=9,(BA34+BC34)*Crechee/30*FO$4)+(BB34+BD34)*Cadeirante/30*FO$4+(BA31+BA32+BA33+BC31+BC32+BC33)*Percapita/30*FO$4)+IF(BA34+BC34&gt;=11,Fixo/30*FO$4+(BA34+BC34-10)*Crechee/30*FO$4,0),IF(C31=2,IF(BB31+BB32+BB33+BB34+BD31+BD32+BD33+BD34=1,Cadeirante/30*FO$4,IF(BB31+BB32+BB33+BB34+BD31+BD32+BD33+BD34=2,Fixo/30*FO$4,IF(BB31+BB32+BB33+BB34+BD31+BD32+BD33+BD34&gt;2,Fixo/30*FO$4+(BB31+BB32+BB33+BB34+BD31+BD32+BD33+BD34-2)*Cadeirante/30*FO$4)))+(BA31+BA32+BA33+BC31+BC32+BC33)*Percapita/30*FO$4+(BA34+BC34)*Crechee/30*FO$4,IF(C31=1,IF(BA31+BA32+BA33+BB31+BB32+BB33+BC31+BC32+BC33+BD31+BD32+BD33&lt;=15,(BA31+BA32+BA33+BC31+BC32+BC33)*Percapita/30*FO$4,IF(BA31+BA32+BA33+BB31+BB32+BB33+BC31+BC32+BC33+BD31+BD32+BD33&gt;=16,Fixo/30*FO$4+(BA31+BA32+BA33+BB31+BB32+BB33+BC31+BC32+BC33+BD31+BD32-16)*Percapita/30*FO$4))))))</f>
        <v>0</v>
      </c>
      <c r="FP31" s="177">
        <f>IF(C31=4,SUM(BE31+BE32+BE33+BG31+BG32+BG33)*Percapita/30*FP$4+(BF31+BF32+BF33+BH31+BH32+BH33)*Cadeirante/30*FP$4,IF(C31=3,IF(BE34+BG34=10,Fixo/30*FP$4+(BE31+BE32+BE33+BG31+BG32+BG33)*Percapita/30*FP$4+(BF34+BH34)*Cadeirante/30*FP$4,IF(BE34+BG34&lt;=9,(BE34+BG34)*Crechee/30*FP$4)+(BF34+BH34)*Cadeirante/30*FP$4+(BE31+BE32+BE33+BG31+BG32+BG33)*Percapita/30*FP$4)+IF(BE34+BG34&gt;=11,Fixo/30*FP$4+(BE34+BG34-10)*Crechee/30*FP$4,0),IF(C31=2,IF(BF31+BF32+BF33+BF34+BH31+BH32+BH33+BH34=1,Cadeirante/30*FP$4,IF(BF31+BF32+BF33+BF34+BH31+BH32+BH33+BH34=2,Fixo/30*FP$4,IF(BF31+BF32+BF33+BF34+BH31+BH32+BH33+BH34&gt;2,Fixo/30*FP$4+(BF31+BF32+BF33+BF34+BH31+BH32+BH33+BH34-2)*Cadeirante/30*FP$4)))+(BE31+BE32+BE33+BG31+BG32+BG33)*Percapita/30*FP$4+(BE34+BG34)*Crechee/30*FP$4,IF(C31=1,IF(BE31+BE32+BE33+BF31+BF32+BF33+BG31+BG32+BG33+BH31+BH32+BH33&lt;=15,(BE31+BE32+BE33+BG31+BG32+BG33)*Percapita/30*FP$4,IF(BE31+BE32+BE33+BF31+BF32+BF33+BG31+BG32+BG33+BH31+BH32+BH33&gt;=16,Fixo/30*FP$4+(BE31+BE32+BE33+BF31+BF32+BF33+BG31+BG32+BG33+BH31+BH32-16)*Percapita/30*FP$4))))))</f>
        <v>0</v>
      </c>
      <c r="FQ31" s="177">
        <f>IF(C31=4,SUM(BI31+BI32+BI33+BK31+BK32+BK33)*Percapita/30*FQ$4+(BJ31+BJ32+BJ33+BL31+BL32+BL33)*Cadeirante/30*FQ$4,IF(C31=3,IF(BI34+BK34=10,Fixo/30*FQ$4+(BI31+BI32+BI33+BK31+BK32+BK33)*Percapita/30*FQ$4+(BJ34+BL34)*Cadeirante/30*FQ$4,IF(BI34+BK34&lt;=9,(BI34+BK34)*Crechee/30*FQ$4)+(BJ34+BL34)*Cadeirante/30*FQ$4+(BI31+BI32+BI33+BK31+BK32+BK33)*Percapita/30*FQ$4)+IF(BI34+BK34&gt;=11,Fixo/30*FQ$4+(BI34+BK34-10)*Crechee/30*FQ$4,0),IF(C31=2,IF(BJ31+BJ32+BJ33+BJ34+BL31+BL32+BL33+BL34=1,Cadeirante/30*FQ$4,IF(BJ31+BJ32+BJ33+BJ34+BL31+BL32+BL33+BL34=2,Fixo/30*FQ$4,IF(BJ31+BJ32+BJ33+BJ34+BL31+BL32+BL33+BL34&gt;2,Fixo/30*FQ$4+(BJ31+BJ32+BJ33+BJ34+BL31+BL32+BL33+BL34-2)*Cadeirante/30*FQ$4)))+(BI31+BI32+BI33+BK31+BK32+BK33)*Percapita/30*FQ$4+(BI34+BK34)*Crechee/30*FQ$4,IF(C31=1,IF(BI31+BI32+BI33+BJ31+BJ32+BJ33+BK31+BK32+BK33+BL31+BL32+BL33&lt;=15,(BI31+BI32+BI33+BK31+BK32+BK33)*Percapita/30*FQ$4,IF(BI31+BI32+BI33+BJ31+BJ32+BJ33+BK31+BK32+BK33+BL31+BL32+BL33&gt;=16,Fixo/30*FQ$4+(BI31+BI32+BI33+BJ31+BJ32+BJ33+BK31+BK32+BK33+BL31+BL32-16)*Percapita/30*FQ$4))))))</f>
        <v>0</v>
      </c>
      <c r="FR31" s="177">
        <f>IF(C31=4,SUM(BM31+BM32+BM33+BO31+BO32+BO33)*Percapita/30*FR$4+(BN31+BN32+BN33+BP31+BP32+BP33)*Cadeirante/30*FR$4,IF(C31=3,IF(BM34+BO34=10,Fixo/30*FR$4+(BM31+BM32+BM33+BO31+BO32+BO33)*Percapita/30*FR$4+(BN34+BP34)*Cadeirante/30*FR$4,IF(BM34+BO34&lt;=9,(BM34+BO34)*Crechee/30*FR$4)+(BN34+BP34)*Cadeirante/30*FR$4+(BM31+BM32+BM33+BO31+BO32+BO33)*Percapita/30*FR$4)+IF(BM34+BO34&gt;=11,Fixo/30*FR$4+(BM34+BO34-10)*Crechee/30*FR$4,0),IF(C31=2,IF(BN31+BN32+BN33+BN34+BP31+BP32+BP33+BP34=1,Cadeirante/30*FR$4,IF(BN31+BN32+BN33+BN34+BP31+BP32+BP33+BP34=2,Fixo/30*FR$4,IF(BN31+BN32+BN33+BN34+BP31+BP32+BP33+BP34&gt;2,Fixo/30*FR$4+(BN31+BN32+BN33+BN34+BP31+BP32+BP33+BP34-2)*Cadeirante/30*FR$4)))+(BM31+BM32+BM33+BO31+BO32+BO33)*Percapita/30*FR$4+(BM34+BO34)*Crechee/30*FR$4,IF(C31=1,IF(BM31+BM32+BM33+BN31+BN32+BN33+BO31+BO32+BO33+BP31+BP32+BP33&lt;=15,(BM31+BM32+BM33+BO31+BO32+BO33)*Percapita/30*FR$4,IF(BM31+BM32+BM33+BN31+BN32+BN33+BO31+BO32+BO33+BP31+BP32+BP33&gt;=16,Fixo/30*FR$4+(BM31+BM32+BM33+BN31+BN32+BN33+BO31+BO32+BO33+BP31+BP32-16)*Percapita/30*FR$4))))))</f>
        <v>0</v>
      </c>
      <c r="FS31" s="177">
        <f>IF(C31=4,SUM(BQ31+BQ32+BQ33+BS31+BS32+BS33)*Percapita/30*FS$4+(BR31+BR32+BR33+BT31+BT32+BT33)*Cadeirante/30*FS$4,IF(C31=3,IF(BQ34+BS34=10,Fixo/30*FS$4+(BQ31+BQ32+BQ33+BS31+BS32+BS33)*Percapita/30*FS$4+(BR34+BT34)*Cadeirante/30*FS$4,IF(BQ34+BS34&lt;=9,(BQ34+BS34)*Crechee/30*FS$4)+(BR34+BT34)*Cadeirante/30*FS$4+(BQ31+BQ32+BQ33+BS31+BS32+BS33)*Percapita/30*FS$4)+IF(BQ34+BS34&gt;=11,Fixo/30*FS$4+(BQ34+BS34-10)*Crechee/30*FS$4,0),IF(C31=2,IF(BR31+BR32+BR33+BR34+BT31+BT32+BT33+BT34=1,Cadeirante/30*FS$4,IF(BR31+BR32+BR33+BR34+BT31+BT32+BT33+BT34=2,Fixo/30*FS$4,IF(BR31+BR32+BR33+BR34+BT31+BT32+BT33+BT34&gt;2,Fixo/30*FS$4+(BR31+BR32+BR33+BR34+BT31+BT32+BT33+BT34-2)*Cadeirante/30*FS$4)))+(BQ31+BQ32+BQ33+BS31+BS32+BS33)*Percapita/30*FS$4+(BQ34+BS34)*Crechee/30*FS$4,IF(C31=1,IF(BQ31+BQ32+BQ33+BR31+BR32+BR33+BS31+BS32+BS33+BT31+BT32+BT33&lt;=15,(BQ31+BQ32+BQ33+BS31+BS32+BS33)*Percapita/30*FS$4,IF(BQ31+BQ32+BQ33+BR31+BR32+BR33+BS31+BS32+BS33+BT31+BT32+BT33&gt;=16,Fixo/30*FS$4+(BQ31+BQ32+BQ33+BR31+BR32+BR33+BS31+BS32+BS33+BT31+BT32-16)*Percapita/30*FS$4))))))</f>
        <v>0</v>
      </c>
      <c r="FT31" s="177">
        <f>IF(C31=4,SUM(BU31+BU32+BU33+BW31+BW32+BW33)*Percapita/30*FT$4+(BV31+BV32+BV33+BX31+BX32+BX33)*Cadeirante/30*FT$4,IF(C31=3,IF(BU34+BW34=10,Fixo/30*FT$4+(BU31+BU32+BU33+BW31+BW32+BW33)*Percapita/30*FT$4+(BV34+BX34)*Cadeirante/30*FT$4,IF(BU34+BW34&lt;=9,(BU34+BW34)*Crechee/30*FT$4)+(BV34+BX34)*Cadeirante/30*FT$4+(BU31+BU32+BU33+BW31+BW32+BW33)*Percapita/30*FT$4)+IF(BU34+BW34&gt;=11,Fixo/30*FT$4+(BU34+BW34-10)*Crechee/30*FT$4,0),IF(C31=2,IF(BV31+BV32+BV33+BV34+BX31+BX32+BX33+BX34=1,Cadeirante/30*FT$4,IF(BV31+BV32+BV33+BV34+BX31+BX32+BX33+BX34=2,Fixo/30*FT$4,IF(BV31+BV32+BV33+BV34+BX31+BX32+BX33+BX34&gt;2,Fixo/30*FT$4+(BV31+BV32+BV33+BV34+BX31+BX32+BX33+BX34-2)*Cadeirante/30*FT$4)))+(BU31+BU32+BU33+BW31+BW32+BW33)*Percapita/30*FT$4+(BU34+BW34)*Crechee/30*FT$4,IF(C31=1,IF(BU31+BU32+BU33+BV31+BV32+BV33+BW31+BW32+BW33+BX31+BX32+BX33&lt;=15,(BU31+BU32+BU33+BW31+BW32+BW33)*Percapita/30*FT$4,IF(BU31+BU32+BU33+BV31+BV32+BV33+BW31+BW32+BW33+BX31+BX32+BX33&gt;=16,Fixo/30*FT$4+(BU31+BU32+BU33+BV31+BV32+BV33+BW31+BW32+BW33+BX31+BX32-16)*Percapita/30*FT$4))))))</f>
        <v>0</v>
      </c>
      <c r="FU31" s="177">
        <f>IF(C31=4,SUM(BY31+BY32+BY33+CA31+CA32+CA33)*Percapita/30*FU$4+(BZ31+BZ32+BZ33+CB31+CB32+CB33)*Cadeirante/30*FU$4,IF(C31=3,IF(BY34+CA34=10,Fixo/30*FU$4+(BY31+BY32+BY33+CA31+CA32+CA33)*Percapita/30*FU$4+(BZ34+CB34)*Cadeirante/30*FU$4,IF(BY34+CA34&lt;=9,(BY34+CA34)*Crechee/30*FU$4)+(BZ34+CB34)*Cadeirante/30*FU$4+(BY31+BY32+BY33+CA31+CA32+CA33)*Percapita/30*FU$4)+IF(BY34+CA34&gt;=11,Fixo/30*FU$4+(BY34+CA34-10)*Crechee/30*FU$4,0),IF(C31=2,IF(BZ31+BZ32+BZ33+BZ34+CB31+CB32+CB33+CB34=1,Cadeirante/30*FU$4,IF(BZ31+BZ32+BZ33+BZ34+CB31+CB32+CB33+CB34=2,Fixo/30*FU$4,IF(BZ31+BZ32+BZ33+BZ34+CB31+CB32+CB33+CB34&gt;2,Fixo/30*FU$4+(BZ31+BZ32+BZ33+BZ34+CB31+CB32+CB33+CB34-2)*Cadeirante/30*FU$4)))+(BY31+BY32+BY33+CA31+CA32+CA33)*Percapita/30*FU$4+(BY34+CA34)*Crechee/30*FU$4,IF(C31=1,IF(BY31+BY32+BY33+BZ31+BZ32+BZ33+CA31+CA32+CA33+CB31+CB32+CB33&lt;=15,(BY31+BY32+BY33+CA31+CA32+CA33)*Percapita/30*FU$4,IF(BY31+BY32+BY33+BZ31+BZ32+BZ33+CA31+CA32+CA33+CB31+CB32+CB33&gt;=16,Fixo/30*FU$4+(BY31+BY32+BY33+BZ31+BZ32+BZ33+CA31+CA32+CA33+CB31+CB32-16)*Percapita/30*FU$4))))))</f>
        <v>0</v>
      </c>
      <c r="FV31" s="177">
        <f>IF(C31=4,SUM(CC31+CC32+CC33+CE31+CE32+CE33)*Percapita/30*FV$4+(CD31+CD32+CD33+CF31+CF32+CF33)*Cadeirante/30*FV$4,IF(C31=3,IF(CC34+CE34=10,Fixo/30*FV$4+(CC31+CC32+CC33+CE31+CE32+CE33)*Percapita/30*FV$4+(CD34+CF34)*Cadeirante/30*FV$4,IF(CC34+CE34&lt;=9,(CC34+CE34)*Crechee/30*FV$4)+(CD34+CF34)*Cadeirante/30*FV$4+(CC31+CC32+CC33+CE31+CE32+CE33)*Percapita/30*FV$4)+IF(CC34+CE34&gt;=11,Fixo/30*FV$4+(CC34+CE34-10)*Crechee/30*FV$4,0),IF(C31=2,IF(CD31+CD32+CD33+CD34+CF31+CF32+CF33+CF34=1,Cadeirante/30*FV$4,IF(CD31+CD32+CD33+CD34+CF31+CF32+CF33+CF34=2,Fixo/30*FV$4,IF(CD31+CD32+CD33+CD34+CF31+CF32+CF33+CF34&gt;2,Fixo/30*FV$4+(CD31+CD32+CD33+CD34+CF31+CF32+CF33+CF34-2)*Cadeirante/30*FV$4)))+(CC31+CC32+CC33+CE31+CE32+CE33)*Percapita/30*FV$4+(CC34+CE34)*Crechee/30*FV$4,IF(C31=1,IF(CC31+CC32+CC33+CD31+CD32+CD33+CE31+CE32+CE33+CF31+CF32+CF33&lt;=15,(CC31+CC32+CC33+CE31+CE32+CE33)*Percapita/30*FV$4,IF(CC31+CC32+CC33+CD31+CD32+CD33+CE31+CE32+CE33+CF31+CF32+CF33&gt;=16,Fixo/30*FV$4+(CC31+CC32+CC33+CD31+CD32+CD33+CE31+CE32+CE33+CF31+CF32-16)*Percapita/30*FV$4))))))</f>
        <v>0</v>
      </c>
      <c r="FW31" s="177">
        <f>IF(C31=4,SUM(CG31+CG32+CG33+CI31+CI32+CI33)*Percapita/30*FW$4+(CH31+CH32+CH33+CJ31+CJ32+CJ33)*Cadeirante/30*FW$4,IF(C31=3,IF(CG34+CI34=10,Fixo/30*FW$4+(CG31+CG32+CG33+CI31+CI32+CI33)*Percapita/30*FW$4+(CH34+CJ34)*Cadeirante/30*FW$4,IF(CG34+CI34&lt;=9,(CG34+CI34)*Crechee/30*FW$4)+(CH34+CJ34)*Cadeirante/30*FW$4+(CG31+CG32+CG33+CI31+CI32+CI33)*Percapita/30*FW$4)+IF(CG34+CI34&gt;=11,Fixo/30*FW$4+(CG34+CI34-10)*Crechee/30*FW$4,0),IF(C31=2,IF(CH31+CH32+CH33+CH34+CJ31+CJ32+CJ33+CJ34=1,Cadeirante/30*FW$4,IF(CH31+CH32+CH33+CH34+CJ31+CJ32+CJ33+CJ34=2,Fixo/30*FW$4,IF(CH31+CH32+CH33+CH34+CJ31+CJ32+CJ33+CJ34&gt;2,Fixo/30*FW$4+(CH31+CH32+CH33+CH34+CJ31+CJ32+CJ33+CJ34-2)*Cadeirante/30*FW$4)))+(CG31+CG32+CG33+CI31+CI32+CI33)*Percapita/30*FW$4+(CG34+CI34)*Crechee/30*FW$4,IF(C31=1,IF(CG31+CG32+CG33+CH31+CH32+CH33+CI31+CI32+CI33+CJ31+CJ32+CJ33&lt;=15,(CG31+CG32+CG33+CI31+CI32+CI33)*Percapita/30*FW$4,IF(CG31+CG32+CG33+CH31+CH32+CH33+CI31+CI32+CI33+CJ31+CJ32+CJ33&gt;=16,Fixo/30*FW$4+(CG31+CG32+CG33+CH31+CH32+CH33+CI31+CI32+CI33+CJ31+CJ32-16)*Percapita/30*FW$4))))))</f>
        <v>0</v>
      </c>
      <c r="FX31" s="177">
        <f>IF(C31=4,SUM(CK31+CK32+CK33+CM31+CM32+CM33)*Percapita/30*FX$4+(CL31+CL32+CL33+CN31+CN32+CN33)*Cadeirante/30*FX$4,IF(C31=3,IF(CK34+CM34=10,Fixo/30*FX$4+(CK31+CK32+CK33+CM31+CM32+CM33)*Percapita/30*FX$4+(CL34+CN34)*Cadeirante/30*FX$4,IF(CK34+CM34&lt;=9,(CK34+CM34)*Crechee/30*FX$4)+(CL34+CN34)*Cadeirante/30*FX$4+(CK31+CK32+CK33+CM31+CM32+CM33)*Percapita/30*FX$4)+IF(CK34+CM34&gt;=11,Fixo/30*FX$4+(CK34+CM34-10)*Crechee/30*FX$4,0),IF(C31=2,IF(CL31+CL32+CL33+CL34+CN31+CN32+CN33+CN34=1,Cadeirante/30*FX$4,IF(CL31+CL32+CL33+CL34+CN31+CN32+CN33+CN34=2,Fixo/30*FX$4,IF(CL31+CL32+CL33+CL34+CN31+CN32+CN33+CN34&gt;2,Fixo/30*FX$4+(CL31+CL32+CL33+CL34+CN31+CN32+CN33+CN34-2)*Cadeirante/30*FX$4)))+(CK31+CK32+CK33+CM31+CM32+CM33)*Percapita/30*FX$4+(CK34+CM34)*Crechee/30*FX$4,IF(C31=1,IF(CK31+CK32+CK33+CL31+CL32+CL33+CM31+CM32+CM33+CN31+CN32+CN33&lt;=15,(CK31+CK32+CK33+CM31+CM32+CM33)*Percapita/30*FX$4,IF(CK31+CK32+CK33+CL31+CL32+CL33+CM31+CM32+CM33+CN31+CN32+CN33&gt;=16,Fixo/30*FX$4+(CK31+CK32+CK33+CL31+CL32+CL33+CM31+CM32+CM33+CN31+CN32-16)*Percapita/30*FX$4))))))</f>
        <v>0</v>
      </c>
      <c r="FY31" s="177">
        <f>IF(C31=4,SUM(CO31+CO32+CO33+CQ31+CQ32+CQ33)*Percapita/30*FY$4+(CP31+CP32+CP33+CR31+CR32+CR33)*Cadeirante/30*FY$4,IF(C31=3,IF(CO34+CQ34=10,Fixo/30*FY$4+(CO31+CO32+CO33+CQ31+CQ32+CQ33)*Percapita/30*FY$4+(CP34+CR34)*Cadeirante/30*FY$4,IF(CO34+CQ34&lt;=9,(CO34+CQ34)*Crechee/30*FY$4)+(CP34+CR34)*Cadeirante/30*FY$4+(CO31+CO32+CO33+CQ31+CQ32+CQ33)*Percapita/30*FY$4)+IF(CO34+CQ34&gt;=11,Fixo/30*FY$4+(CO34+CQ34-10)*Crechee/30*FY$4,0),IF(C31=2,IF(CP31+CP32+CP33+CP34+CR31+CR32+CR33+CR34=1,Cadeirante/30*FY$4,IF(CP31+CP32+CP33+CP34+CR31+CR32+CR33+CR34=2,Fixo/30*FY$4,IF(CP31+CP32+CP33+CP34+CR31+CR32+CR33+CR34&gt;2,Fixo/30*FY$4+(CP31+CP32+CP33+CP34+CR31+CR32+CR33+CR34-2)*Cadeirante/30*FY$4)))+(CO31+CO32+CO33+CQ31+CQ32+CQ33)*Percapita/30*FY$4+(CO34+CQ34)*Crechee/30*FY$4,IF(C31=1,IF(CO31+CO32+CO33+CP31+CP32+CP33+CQ31+CQ32+CQ33+CR31+CR32+CR33&lt;=15,(CO31+CO32+CO33+CQ31+CQ32+CQ33)*Percapita/30*FY$4,IF(CO31+CO32+CO33+CP31+CP32+CP33+CQ31+CQ32+CQ33+CR31+CR32+CR33&gt;=16,Fixo/30*FY$4+(CO31+CO32+CO33+CP31+CP32+CP33+CQ31+CQ32+CQ33+CR31+CR32-16)*Percapita/30*FY$4))))))</f>
        <v>0</v>
      </c>
      <c r="FZ31" s="177">
        <f>IF(C31=4,SUM(CS31+CS32+CS33+CU31+CU32+CU33)*Percapita/30*FZ$4+(CT31+CT32+CT33+CV31+CV32+CV33)*Cadeirante/30*FZ$4,IF(C31=3,IF(CS34+CU34=10,Fixo/30*FZ$4+(CS31+CS32+CS33+CU31+CU32+CU33)*Percapita/30*FZ$4+(CT34+CV34)*Cadeirante/30*FZ$4,IF(CS34+CU34&lt;=9,(CS34+CU34)*Crechee/30*FZ$4)+(CT34+CV34)*Cadeirante/30*FZ$4+(CS31+CS32+CS33+CU31+CU32+CU33)*Percapita/30*FZ$4)+IF(CS34+CU34&gt;=11,Fixo/30*FZ$4+(CS34+CU34-10)*Crechee/30*FZ$4,0),IF(C31=2,IF(CT31+CT32+CT33+CT34+CV31+CV32+CV33+CV34=1,Cadeirante/30*FZ$4,IF(CT31+CT32+CT33+CT34+CV31+CV32+CV33+CV34=2,Fixo/30*FZ$4,IF(CT31+CT32+CT33+CT34+CV31+CV32+CV33+CV34&gt;2,Fixo/30*FZ$4+(CT31+CT32+CT33+CT34+CV31+CV32+CV33+CV34-2)*Cadeirante/30*FZ$4)))+(CS31+CS32+CS33+CU31+CU32+CU33)*Percapita/30*FZ$4+(CS34+CU34)*Crechee/30*FZ$4,IF(C31=1,IF(CS31+CS32+CS33+CT31+CT32+CT33+CU31+CU32+CU33+CV31+CV32+CV33&lt;=15,(CS31+CS32+CS33+CU31+CU32+CU33)*Percapita/30*FZ$4,IF(CS31+CS32+CS33+CT31+CT32+CT33+CU31+CU32+CU33+CV31+CV32+CV33&gt;=16,Fixo/30*FZ$4+(CS31+CS32+CS33+CT31+CT32+CT33+CU31+CU32+CU33+CV31+CV32-16)*Percapita/30*FZ$4))))))</f>
        <v>0</v>
      </c>
      <c r="GA31" s="177">
        <f>IF(C31=4,SUM(CW31+CW32+CW33+CY31+CY32+CY33)*Percapita/30*GA$4+(CX31+CX32+CX33+CZ31+CZ32+CZ33)*Cadeirante/30*GA$4,IF(C31=3,IF(CW34+CY34=10,Fixo/30*GA$4+(CW31+CW32+CW33+CY31+CY32+CY33)*Percapita/30*GA$4+(CX34+CZ34)*Cadeirante/30*GA$4,IF(CW34+CY34&lt;=9,(CW34+CY34)*Crechee/30*GA$4)+(CX34+CZ34)*Cadeirante/30*GA$4+(CW31+CW32+CW33+CY31+CY32+CY33)*Percapita/30*GA$4)+IF(CW34+CY34&gt;=11,Fixo/30*GA$4+(CW34+CY34-10)*Crechee/30*GA$4,0),IF(C31=2,IF(CX31+CX32+CX33+CX34+CZ31+CZ32+CZ33+CZ34=1,Cadeirante/30*GA$4,IF(CX31+CX32+CX33+CX34+CZ31+CZ32+CZ33+CZ34=2,Fixo/30*GA$4,IF(CX31+CX32+CX33+CX34+CZ31+CZ32+CZ33+CZ34&gt;2,Fixo/30*GA$4+(CX31+CX32+CX33+CX34+CZ31+CZ32+CZ33+CZ34-2)*Cadeirante/30*GA$4)))+(CW31+CW32+CW33+CY31+CY32+CY33)*Percapita/30*GA$4+(CW34+CY34)*Crechee/30*GA$4,IF(C31=1,IF(CW31+CW32+CW33+CX31+CX32+CX33+CY31+CY32+CY33+CZ31+CZ32+CZ33&lt;=15,(CW31+CW32+CW33+CY31+CY32+CY33)*Percapita/30*GA$4,IF(CW31+CW32+CW33+CX31+CX32+CX33+CY31+CY32+CY33+CZ31+CZ32+CZ33&gt;=16,Fixo/30*GA$4+(CW31+CW32+CW33+CX31+CX32+CX33+CY31+CY32+CY33+CZ31+CZ32-16)*Percapita/30*GA$4))))))</f>
        <v>231.13800000000003</v>
      </c>
      <c r="GB31" s="177">
        <f>IF(C31=4,SUM(DA31+DA32+DA33+DC31+DC32+DC33)*Percapita/30*GB$4+(DB31+DB32+DB33+DD31+DD32+DD33)*Cadeirante/30*GB$4,IF(C31=3,IF(DA34+DC34=10,Fixo/30*GB$4+(DA31+DA32+DA33+DC31+DC32+DC33)*Percapita/30*GB$4+(DB34+DD34)*Cadeirante/30*GB$4,IF(DA34+DC34&lt;=9,(DA34+DC34)*Crechee/30*GB$4)+(DB34+DD34)*Cadeirante/30*GB$4+(DA31+DA32+DA33+DC31+DC32+DC33)*Percapita/30*GB$4)+IF(DA34+DC34&gt;=11,Fixo/30*GB$4+(DA34+DC34-10)*Crechee/30*GB$4,0),IF(C31=2,IF(DB31+DB32+DB33+DB34+DD31+DD32+DD33+DD34=1,Cadeirante/30*GB$4,IF(DB31+DB32+DB33+DB34+DD31+DD32+DD33+DD34=2,Fixo/30*GB$4,IF(DB31+DB32+DB33+DB34+DD31+DD32+DD33+DD34&gt;2,Fixo/30*GB$4+(DB31+DB32+DB33+DB34+DD31+DD32+DD33+DD34-2)*Cadeirante/30*GB$4)))+(DA31+DA32+DA33+DC31+DC32+DC33)*Percapita/30*GB$4+(DA34+DC34)*Crechee/30*GB$4,IF(C31=1,IF(DA31+DA32+DA33+DB31+DB32+DB33+DC31+DC32+DC33+DD31+DD32+DD33&lt;=15,(DA31+DA32+DA33+DC31+DC32+DC33)*Percapita/30*GB$4,IF(DA31+DA32+DA33+DB31+DB32+DB33+DC31+DC32+DC33+DD31+DD32+DD33&gt;=16,Fixo/30*GB$4+(DA31+DA32+DA33+DB31+DB32+DB33+DC31+DC32+DC33+DD31+DD32-16)*Percapita/30*GB$4))))))</f>
        <v>0</v>
      </c>
      <c r="GC31" s="177">
        <f>IF(C31=4,SUM(DE31+DE32+DE33+DG31+DG32+DG33)*Percapita/30*GC$4+(DF31+DF32+DF33+DH31+DH32+DH33)*Cadeirante/30*GC$4,IF(C31=3,IF(DE34+DG34=10,Fixo/30*GC$4+(DE31+DE32+DE33+DG31+DG32+DG33)*Percapita/30*GC$4+(DF34+DH34)*Cadeirante/30*GC$4,IF(DE34+DG34&lt;=9,(DE34+DG34)*Crechee/30*GC$4)+(DF34+DH34)*Cadeirante/30*GC$4+(DE31+DE32+DE33+DG31+DG32+DG33)*Percapita/30*GC$4)+IF(DE34+DG34&gt;=11,Fixo/30*GC$4+(DE34+DG34-10)*Crechee/30*GC$4,0),IF(C31=2,IF(DF31+DF32+DF33+DF34+DH31+DH32+DH33+DH34=1,Cadeirante/30*GC$4,IF(DF31+DF32+DF33+DF34+DH31+DH32+DH33+DH34=2,Fixo/30*GC$4,IF(DF31+DF32+DF33+DF34+DH31+DH32+DH33+DH34&gt;2,Fixo/30*GC$4+(DF31+DF32+DF33+DF34+DH31+DH32+DH33+DH34-2)*Cadeirante/30*GC$4)))+(DE31+DE32+DE33+DG31+DG32+DG33)*Percapita/30*GC$4+(DE34+DG34)*Crechee/30*GC$4,IF(C31=1,IF(DE31+DE32+DE33+DF31+DF32+DF33+DG31+DG32+DG33+DH31+DH32+DH33&lt;=15,(DE31+DE32+DE33+DG31+DG32+DG33)*Percapita/30*GC$4,IF(DE31+DE32+DE33+DF31+DF32+DF33+DG31+DG32+DG33+DH31+DH32+DH33&gt;=16,Fixo/30*GC$4+(DE31+DE32+DE33+DF31+DF32+DF33+DG31+DG32+DG33+DH31+DH32-16)*Percapita/30*GC$4))))))</f>
        <v>0</v>
      </c>
      <c r="GD31" s="177">
        <f>IF(C31=4,SUM(DI31+DI32+DI33+DK31+DK32+DK33)*Percapita/30*GD$4+(DJ31+DJ32+DJ33+DL31+DL32+DL33)*Cadeirante/30*GD$4,IF(C31=3,IF(DI34+DK34=10,Fixo/30*GD$4+(DI31+DI32+DI33+DK31+DK32+DK33)*Percapita/30*GD$4+(DJ34+DL34)*Cadeirante/30*GD$4,IF(DI34+DK34&lt;=9,(DI34+DK34)*Crechee/30*GD$4)+(DJ34+DL34)*Cadeirante/30*GD$4+(DI31+DI32+DI33+DK31+DK32+DK33)*Percapita/30*GD$4)+IF(DI34+DK34&gt;=11,Fixo/30*GD$4+(DI34+DK34-10)*Crechee/30*GD$4,0),IF(C31=2,IF(DJ31+DJ32+DJ33+DJ34+DL31+DL32+DL33+DL34=1,Cadeirante/30*GD$4,IF(DJ31+DJ32+DJ33+DJ34+DL31+DL32+DL33+DL34=2,Fixo/30*GD$4,IF(DJ31+DJ32+DJ33+DJ34+DL31+DL32+DL33+DL34&gt;2,Fixo/30*GD$4+(DJ31+DJ32+DJ33+DJ34+DL31+DL32+DL33+DL34-2)*Cadeirante/30*GD$4)))+(DI31+DI32+DI33+DK31+DK32+DK33)*Percapita/30*GD$4+(DI34+DK34)*Crechee/30*GD$4,IF(C31=1,IF(DI31+DI32+DI33+DJ31+DJ32+DJ33+DK31+DK32+DK33+DL31+DL32+DL33&lt;=15,(DI31+DI32+DI33+DK31+DK32+DK33)*Percapita/30*GD$4,IF(DI31+DI32+DI33+DJ31+DJ32+DJ33+DK31+DK32+DK33+DL31+DL32+DL33&gt;=16,Fixo/30*GD$4+(DI31+DI32+DI33+DJ31+DJ32+DJ33+DK31+DK32+DK33+DL31+DL32-16)*Percapita/30*GD$4))))))</f>
        <v>0</v>
      </c>
      <c r="GE31" s="177">
        <f>IF(C31=4,SUM(DM31+DM32+DM33+DO31+DO32+DO33)*Percapita/30*GE$4+(DN31+DN32+DN33+DP31+DP32+DP33)*Cadeirante/30*GE$4,IF(C31=3,IF(DM34+DO34=10,Fixo/30*GE$4+(DM31+DM32+DM33+DO31+DO32+DO33)*Percapita/30*GE$4+(DN34+DP34)*Cadeirante/30*GE$4,IF(DM34+DO34&lt;=9,(DM34+DO34)*Crechee/30*GE$4)+(DN34+DP34)*Cadeirante/30*GE$4+(DM31+DM32+DM33+DO31+DO32+DO33)*Percapita/30*GE$4)+IF(DM34+DO34&gt;=11,Fixo/30*GE$4+(DM34+DO34-10)*Crechee/30*GE$4,0),IF(C31=2,IF(DN31+DN32+DN33+DN34+DP31+DP32+DP33+DP34=1,Cadeirante/30*GE$4,IF(DN31+DN32+DN33+DN34+DP31+DP32+DP33+DP34=2,Fixo/30*GE$4,IF(DN31+DN32+DN33+DN34+DP31+DP32+DP33+DP34&gt;2,Fixo/30*GE$4+(DN31+DN32+DN33+DN34+DP31+DP32+DP33+DP34-2)*Cadeirante/30*GE$4)))+(DM31+DM32+DM33+DO31+DO32+DO33)*Percapita/30*GE$4+(DM34+DO34)*Crechee/30*GE$4,IF(C31=1,IF(DM31+DM32+DM33+DN31+DN32+DN33+DO31+DO32+DO33+DP31+DP32+DP33&lt;=15,(DM31+DM32+DM33+DO31+DO32+DO33)*Percapita/30*GE$4,IF(DM31+DM32+DM33+DN31+DN32+DN33+DO31+DO32+DO33+DP31+DP32+DP33&gt;=16,Fixo/30*GE$4+(DM31+DM32+DM33+DN31+DN32+DN33+DO31+DO32+DO33+DP31+DP32-16)*Percapita/30*GE$4))))))</f>
        <v>0</v>
      </c>
      <c r="GF31" s="177">
        <f>IF(C31=4,SUM(DQ31+DQ32+DQ33+DS31+DS32+DS33)*Percapita/30*GF$4+(DR31+DR32+DR33+DT31+DT32+DT33)*Cadeirante/30*GF$4,IF(C31=3,IF(DQ34+DS34=10,Fixo/30*GF$4+(DQ31+DQ32+DQ33+DS31+DS32+DS33)*Percapita/30*GF$4+(DR34+DT34)*Cadeirante/30*GF$4,IF(DQ34+DS34&lt;=9,(DQ34+DS34)*Crechee/30*GF$4)+(DR34+DT34)*Cadeirante/30*GF$4+(DQ31+DQ32+DQ33+DS31+DS32+DS33)*Percapita/30*GF$4)+IF(DQ34+DS34&gt;=11,Fixo/30*GF$4+(DQ34+DS34-10)*Crechee/30*GF$4,0),IF(C31=2,IF(DR31+DR32+DR33+DR34+DT31+DT32+DT33+DT34=1,Cadeirante/30*GF$4,IF(DR31+DR32+DR33+DR34+DT31+DT32+DT33+DT34=2,Fixo/30*GF$4,IF(DR31+DR32+DR33+DR34+DT31+DT32+DT33+DT34&gt;2,Fixo/30*GF$4+(DR31+DR32+DR33+DR34+DT31+DT32+DT33+DT34-2)*Cadeirante/30*GF$4)))+(DQ31+DQ32+DQ33+DS31+DS32+DS33)*Percapita/30*GF$4+(DQ34+DS34)*Crechee/30*GF$4,IF(C31=1,IF(DQ31+DQ32+DQ33+DR31+DR32+DR33+DS31+DS32+DS33+DT31+DT32+DT33&lt;=15,(DQ31+DQ32+DQ33+DS31+DS32+DS33)*Percapita/30*GF$4,IF(DQ31+DQ32+DQ33+DR31+DR32+DR33+DS31+DS32+DS33+DT31+DT32+DT33&gt;=16,Fixo/30*GF$4+(DQ31+DQ32+DQ33+DR31+DR32+DR33+DS31+DS32+DS33+DT31+DT32-16)*Percapita/30*GF$4))))))</f>
        <v>0</v>
      </c>
      <c r="GG31" s="177">
        <f>IF(C31=4,SUM(DU31+DU32+DU33+DW31+DW32+DW33)*Percapita/30*GG$4+(DV31+DV32+DV33+DX31+DX32+DX33)*Cadeirante/30*GG$4,IF(C31=3,IF(DU34+DW34=10,Fixo/30*GG$4+(DU31+DU32+DU33+DW31+DW32+DW33)*Percapita/30*GG$4+(DV34+DX34)*Cadeirante/30*GG$4,IF(DU34+DW34&lt;=9,(DU34+DW34)*Crechee/30*GG$4)+(DV34+DX34)*Cadeirante/30*GG$4+(DU31+DU32+DU33+DW31+DW32+DW33)*Percapita/30*GG$4)+IF(DU34+DW34&gt;=11,Fixo/30*GG$4+(DU34+DW34-10)*Crechee/30*GG$4,0),IF(C31=2,IF(DV31+DV32+DV33+DV34+DX31+DX32+DX33+DX34=1,Cadeirante/30*GG$4,IF(DV31+DV32+DV33+DV34+DX31+DX32+DX33+DX34=2,Fixo/30*GG$4,IF(DV31+DV32+DV33+DV34+DX31+DX32+DX33+DX34&gt;2,Fixo/30*GG$4+(DV31+DV32+DV33+DV34+DX31+DX32+DX33+DX34-2)*Cadeirante/30*GG$4)))+(DU31+DU32+DU33+DW31+DW32+DW33)*Percapita/30*GG$4+(DU34+DW34)*Crechee/30*GG$4,IF(C31=1,IF(DU31+DU32+DU33+DV31+DV32+DV33+DW31+DW32+DW33+DX31+DX32+DX33&lt;=15,(DU31+DU32+DU33+DW31+DW32+DW33)*Percapita/30*GG$4,IF(DU31+DU32+DU33+DV31+DV32+DV33+DW31+DW32+DW33+DX31+DX32+DX33&gt;=16,Fixo/30*GG$4+(DU31+DU32+DU33+DV31+DV32+DV33+DW31+DW32+DW33+DX31+DX32-16)*Percapita/30*GG$4))))))</f>
        <v>0</v>
      </c>
      <c r="GH31" s="177">
        <f>IF(C31=4,SUM(DY31+DY32+DY33+EA31+EA32+EA33)*Percapita/30*GH$4+(DZ31+DZ32+DZ33+EB31+EB32+EB33)*Cadeirante/30*GH$4,IF(C31=3,IF(DY34+EA34=10,Fixo/30*GH$4+(DY31+DY32+DY33+EA31+EA32+EA33)*Percapita/30*GH$4+(DZ34+EB34)*Cadeirante/30*GH$4,IF(DY34+EA34&lt;=9,(DY34+EA34)*Crechee/30*GH$4)+(DZ34+EB34)*Cadeirante/30*GH$4+(DY31+DY32+DY33+EA31+EA32+EA33)*Percapita/30*GH$4)+IF(DY34+EA34&gt;=11,Fixo/30*GH$4+(DY34+EA34-10)*Crechee/30*GH$4,0),IF(C31=2,IF(DZ31+DZ32+DZ33+DZ34+EB31+EB32+EB33+EB34=1,Cadeirante/30*GH$4,IF(DZ31+DZ32+DZ33+DZ34+EB31+EB32+EB33+EB34=2,Fixo/30*GH$4,IF(DZ31+DZ32+DZ33+DZ34+EB31+EB32+EB33+EB34&gt;2,Fixo/30*GH$4+(DZ31+DZ32+DZ33+DZ34+EB31+EB32+EB33+EB34-2)*Cadeirante/30*GH$4)))+(DY31+DY32+DY33+EA31+EA32+EA33)*Percapita/30*GH$4+(DY34+EA34)*Crechee/30*GH$4,IF(C31=1,IF(DY31+DY32+DY33+DZ31+DZ32+DZ33+EA31+EA32+EA33+EB31+EB32+EB33&lt;=15,(DY31+DY32+DY33+EA31+EA32+EA33)*Percapita/30*GH$4,IF(DY31+DY32+DY33+DZ31+DZ32+DZ33+EA31+EA32+EA33+EB31+EB32+EB33&gt;=16,Fixo/30*GH$4+(DY31+DY32+DY33+DZ31+DZ32+DZ33+EA31+EA32+EA33+EB31+EB32-16)*Percapita/30*GH$4))))))</f>
        <v>0</v>
      </c>
      <c r="GI31" s="177">
        <f>IF(C31=4,SUM(EC31+EC32+EC33+EE31+EE32+EE33)*Percapita/30*GI$4+(ED31+ED32+ED33+EF31+EF32+EF33)*Cadeirante/30*GI$4,IF(C31=3,IF(EC34+EE34=10,Fixo/30*GI$4+(EC31+EC32+EC33+EE31+EE32+EE33)*Percapita/30*GI$4+(ED34+EF34)*Cadeirante/30*GI$4,IF(EC34+EE34&lt;=9,(EC34+EE34)*Crechee/30*GI$4)+(ED34+EF34)*Cadeirante/30*GI$4+(EC31+EC32+EC33+EE31+EE32+EE33)*Percapita/30*GI$4)+IF(EC34+EE34&gt;=11,Fixo/30*GI$4+(EC34+EE34-10)*Crechee/30*GI$4,0),IF(C31=2,IF(ED31+ED32+ED33+ED34+EF31+EF32+EF33+EF34=1,Cadeirante/30*GI$4,IF(ED31+ED32+ED33+ED34+EF31+EF32+EF33+EF34=2,Fixo/30*GI$4,IF(ED31+ED32+ED33+ED34+EF31+EF32+EF33+EF34&gt;2,Fixo/30*GI$4+(ED31+ED32+ED33+ED34+EF31+EF32+EF33+EF34-2)*Cadeirante/30*GI$4)))+(EC31+EC32+EC33+EE31+EE32+EE33)*Percapita/30*GI$4+(EC34+EE34)*Crechee/30*GI$4,IF(C31=1,IF(EC31+EC32+EC33+ED31+ED32+ED33+EE31+EE32+EE33+EF31+EF32+EF33&lt;=15,(EC31+EC32+EC33+EE31+EE32+EE33)*Percapita/30*GI$4,IF(EC31+EC32+EC33+ED31+ED32+ED33+EE31+EE32+EE33+EF31+EF32+EF33&gt;=16,Fixo/30*GI$4+(EC31+EC32+EC33+ED31+ED32+ED33+EE31+EE32+EE33+EF31+EF32-16)*Percapita/30*GI$4))))))</f>
        <v>0</v>
      </c>
      <c r="GJ31" s="177">
        <f>IF(C31=4,SUM(EG31+EG32+EG33+EI31+EI32+EI33)*Percapita/30*GJ$4+(EH31+EH32+EH33+EJ31+EJ32+EJ33)*Cadeirante/30*GJ$4,IF(C31=3,IF(EG34+EI34=10,Fixo/30*GJ$4+(EG31+EG32+EG33+EI31+EI32+EI33)*Percapita/30*GJ$4+(EH34+EJ34)*Cadeirante/30*GJ$4,IF(EG34+EI34&lt;=9,(EG34+EI34)*Crechee/30*GJ$4)+(EH34+EJ34)*Cadeirante/30*GJ$4+(EG31+EG32+EG33+EI31+EI32+EI33)*Percapita/30*GJ$4)+IF(EG34+EI34&gt;=11,Fixo/30*GJ$4+(EG34+EI34-10)*Crechee/30*GJ$4,0),IF(C31=2,IF(EH31+EH32+EH33+EH34+EJ31+EJ32+EJ33+EJ34=1,Cadeirante/30*GJ$4,IF(EH31+EH32+EH33+EH34+EJ31+EJ32+EJ33+EJ34=2,Fixo/30*GJ$4,IF(EH31+EH32+EH33+EH34+EJ31+EJ32+EJ33+EJ34&gt;2,Fixo/30*GJ$4+(EH31+EH32+EH33+EH34+EJ31+EJ32+EJ33+EJ34-2)*Cadeirante/30*GJ$4)))+(EG31+EG32+EG33+EI31+EI32+EI33)*Percapita/30*GJ$4+(EG34+EI34)*Crechee/30*GJ$4,IF(C31=1,IF(EG31+EG32+EG33+EH31+EH32+EH33+EI31+EI32+EI33+EJ31+EJ32+EJ33&lt;=15,(EG31+EG32+EG33+EI31+EI32+EI33)*Percapita/30*GJ$4,IF(EG31+EG32+EG33+EH31+EH32+EH33+EI31+EI32+EI33+EJ31+EJ32+EJ33&gt;=16,Fixo/30*GJ$4+(EG31+EG32+EG33+EH31+EH32+EH33+EI31+EI32+EI33+EJ31+EJ32-16)*Percapita/30*GJ$4))))))</f>
        <v>0</v>
      </c>
      <c r="GK31" s="178"/>
      <c r="GL31" s="103">
        <f t="shared" si="30"/>
        <v>0</v>
      </c>
      <c r="GM31" s="124"/>
      <c r="GN31" s="104">
        <f>SUMIF(V31:V34,"&lt;0")*Cadeirante/30*GN$4+SUMIF(X31:X34,"&lt;0")*Cadeirante/30*GN$4</f>
        <v>0</v>
      </c>
      <c r="GO31" s="104">
        <f>SUMIF(Z31:Z34,"&lt;0")*Cadeirante/30*GO$4+SUMIF(AB31:AB34,"&lt;0")*Cadeirante/30*GO$4</f>
        <v>0</v>
      </c>
      <c r="GP31" s="104">
        <f>SUMIF(AD31:AD34,"&lt;0")*Cadeirante/30*GP$4+SUMIF(AF31:AF34,"&lt;0")*Cadeirante/30*GP$4</f>
        <v>0</v>
      </c>
      <c r="GQ31" s="104">
        <f>SUMIF(AH31:AH34,"&lt;0")*Cadeirante/30*GQ$4+SUMIF(AJ31:AJ34,"&lt;0")*Cadeirante/30*GQ$4</f>
        <v>0</v>
      </c>
      <c r="GR31" s="104">
        <f>SUMIF(AL31:AL34,"&lt;0")*Cadeirante/30*GR$4+SUMIF(AN31:AN34,"&lt;0")*Cadeirante/30*GR$4</f>
        <v>0</v>
      </c>
      <c r="GS31" s="104">
        <f>SUMIF(AP31:AP34,"&lt;0")*Cadeirante/30*GS$4+SUMIF(AR31:AR34,"&lt;0")*Cadeirante/30*GS$4</f>
        <v>0</v>
      </c>
      <c r="GT31" s="104">
        <f>SUMIF(AT31:AT34,"&lt;0")*Cadeirante/30*GT$4+SUMIF(AV31:AV34,"&lt;0")*Cadeirante/30*GT$4</f>
        <v>0</v>
      </c>
      <c r="GU31" s="104">
        <f>SUMIF(AX31:AX34,"&lt;0")*Cadeirante/30*GU$4+SUMIF(AZ31:AZ34,"&lt;0")*Cadeirante/30*GU$4</f>
        <v>0</v>
      </c>
      <c r="GV31" s="104">
        <f>SUMIF(BB31:BB34,"&lt;0")*Cadeirante/30*GV$4+SUMIF(BD31:BD34,"&lt;0")*Cadeirante/30*GV$4</f>
        <v>0</v>
      </c>
      <c r="GW31" s="104">
        <f>SUMIF(BF31:BF34,"&lt;0")*Cadeirante/30*GW$4+SUMIF(BH31:BH34,"&lt;0")*Cadeirante/30*GW$4</f>
        <v>0</v>
      </c>
      <c r="GX31" s="104">
        <f>SUMIF(BJ31:BJ34,"&lt;0")*Cadeirante/30*GX$4+SUMIF(BL31:BL34,"&lt;0")*Cadeirante/30*GX$4</f>
        <v>0</v>
      </c>
      <c r="GY31" s="104">
        <f>SUMIF(BN31:BN34,"&lt;0")*Cadeirante/30*GY$4+SUMIF(BP31:BP34,"&lt;0")*Cadeirante/30*GY$4</f>
        <v>0</v>
      </c>
      <c r="GZ31" s="104">
        <f>SUMIF(BR31:BR34,"&lt;0")*Cadeirante/30*GZ$4+SUMIF(BT31:BT34,"&lt;0")*Cadeirante/30*GZ$4</f>
        <v>0</v>
      </c>
      <c r="HA31" s="104">
        <f>SUMIF(BV31:BV34,"&lt;0")*Cadeirante/30*HA$4+SUMIF(BX31:BX34,"&lt;0")*Cadeirante/30*HA$4</f>
        <v>0</v>
      </c>
      <c r="HB31" s="104">
        <f>SUMIF(BZ31:BZ34,"&lt;0")*Cadeirante/30*HB$4+SUMIF(CB31:CB34,"&lt;0")*Cadeirante/30*HB$4</f>
        <v>0</v>
      </c>
      <c r="HC31" s="104">
        <f>SUMIF(CD31:CD34,"&lt;0")*Cadeirante/30*HC$4+SUMIF(CF31:CF34,"&lt;0")*Cadeirante/30*HC$4</f>
        <v>0</v>
      </c>
      <c r="HD31" s="104">
        <f>SUMIF(CH31:CH34,"&lt;0")*Cadeirante/30*HD$4+SUMIF(CJ31:CJ34,"&lt;0")*Cadeirante/30*HD$4</f>
        <v>0</v>
      </c>
      <c r="HE31" s="104">
        <f>SUMIF(CL31:CL34,"&lt;0")*Cadeirante/30*HE$4+SUMIF(CN31:CN34,"&lt;0")*Cadeirante/30*HE$4</f>
        <v>0</v>
      </c>
      <c r="HF31" s="104">
        <f>SUMIF(CP31:CP34,"&lt;0")*Cadeirante/30*HF$4+SUMIF(CR31:CR34,"&lt;0")*Cadeirante/30*HF$4</f>
        <v>0</v>
      </c>
      <c r="HG31" s="104">
        <f>SUMIF(CT31:CT34,"&lt;0")*Cadeirante/30*HG$4+SUMIF(CV31:CV34,"&lt;0")*Cadeirante/30*HG$4</f>
        <v>0</v>
      </c>
      <c r="HH31" s="104">
        <f>SUMIF(CX31:CX34,"&lt;0")*Cadeirante/30*HH$4+SUMIF(CZ31:CZ34,"&lt;0")*Cadeirante/30*HH$4</f>
        <v>0</v>
      </c>
      <c r="HI31" s="104">
        <f>SUMIF(DB31:DB34,"&lt;0")*Cadeirante/30*HI$4+SUMIF(DD31:DD34,"&lt;0")*Cadeirante/30*HI$4</f>
        <v>0</v>
      </c>
      <c r="HJ31" s="104">
        <f>SUMIF(DF31:DF34,"&lt;0")*Cadeirante/30*HJ$4+SUMIF(DH31:DH34,"&lt;0")*Cadeirante/30*HJ$4</f>
        <v>0</v>
      </c>
      <c r="HK31" s="104">
        <f>SUMIF(DJ31:DJ34,"&lt;0")*Cadeirante/30*HK$4+SUMIF(DL31:DL34,"&lt;0")*Cadeirante/30*HK$4</f>
        <v>0</v>
      </c>
      <c r="HL31" s="104">
        <f>SUMIF(DN31:DN34,"&lt;0")*Cadeirante/30*HL$4+SUMIF(DP31:DP34,"&lt;0")*Cadeirante/30*HL$4</f>
        <v>0</v>
      </c>
      <c r="HM31" s="104">
        <f>SUMIF(DR31:DR34,"&lt;0")*Cadeirante/30*HM$4+SUMIF(DT31:DT34,"&lt;0")*Cadeirante/30*HM$4</f>
        <v>0</v>
      </c>
      <c r="HN31" s="104">
        <f>SUMIF(DV31:DV34,"&lt;0")*Cadeirante/30*HN$4+SUMIF(DX31:DX34,"&lt;0")*Cadeirante/30*HN$4</f>
        <v>0</v>
      </c>
      <c r="HO31" s="104">
        <f>SUMIF(DZ31:DZ34,"&lt;0")*Cadeirante/30*HO$4+SUMIF(EB31:EB34,"&lt;0")*Cadeirante/30*HO$4</f>
        <v>0</v>
      </c>
      <c r="HP31" s="104">
        <f>SUMIF(ED31:ED34,"&lt;0")*Cadeirante/30*HP$4+SUMIF(EF31:EF34,"&lt;0")*Cadeirante/30*HP$4</f>
        <v>0</v>
      </c>
      <c r="HQ31" s="64"/>
      <c r="HR31" s="64"/>
      <c r="HS31" s="64"/>
      <c r="HT31" s="64"/>
      <c r="HU31" s="64"/>
      <c r="HV31" s="64"/>
      <c r="HW31" s="176">
        <v>17629.309999999998</v>
      </c>
      <c r="HX31" s="64"/>
      <c r="HY31" s="280">
        <f>IF(ISTEXT(EM31), VALUE(EM31), EM31)</f>
        <v>0</v>
      </c>
      <c r="HZ31" s="280">
        <f>IF(ISTEXT(EN31), VALUE(EN31), EN31)</f>
        <v>0</v>
      </c>
      <c r="IA31" s="280">
        <f>IF(ISTEXT(EO31), VALUE(EO31), EO31)</f>
        <v>0</v>
      </c>
      <c r="IB31" s="64" t="b">
        <f>HW31=FE31</f>
        <v>0</v>
      </c>
      <c r="IC31" s="64"/>
    </row>
    <row r="32" spans="1:237" s="106" customFormat="1" ht="22.5" customHeight="1" x14ac:dyDescent="0.25">
      <c r="A32" s="368" t="s">
        <v>3210</v>
      </c>
      <c r="B32" s="369" t="s">
        <v>3211</v>
      </c>
      <c r="C32" s="370" t="s">
        <v>3186</v>
      </c>
      <c r="D32" s="371" t="s">
        <v>3212</v>
      </c>
      <c r="E32" s="371" t="s">
        <v>3213</v>
      </c>
      <c r="F32" s="372" t="s">
        <v>3182</v>
      </c>
      <c r="G32" s="372" t="s">
        <v>3183</v>
      </c>
      <c r="H32" s="373" t="s">
        <v>342</v>
      </c>
      <c r="I32" s="374" t="s">
        <v>342</v>
      </c>
      <c r="J32" s="421" t="s">
        <v>3184</v>
      </c>
      <c r="K32" s="421" t="s">
        <v>3187</v>
      </c>
      <c r="L32" s="329">
        <f>CONTINUA!BV32</f>
        <v>147</v>
      </c>
      <c r="M32" s="329">
        <f>CONTINUA!BW32</f>
        <v>0</v>
      </c>
      <c r="N32" s="895"/>
      <c r="O32" s="896" t="s">
        <v>3279</v>
      </c>
      <c r="P32" s="897">
        <v>0</v>
      </c>
      <c r="Q32" s="400">
        <v>32</v>
      </c>
      <c r="R32" s="401"/>
      <c r="S32" s="400"/>
      <c r="T32" s="401"/>
      <c r="U32" s="400"/>
      <c r="V32" s="401"/>
      <c r="W32" s="400"/>
      <c r="X32" s="401"/>
      <c r="Y32" s="400"/>
      <c r="Z32" s="401"/>
      <c r="AA32" s="400"/>
      <c r="AB32" s="401"/>
      <c r="AC32" s="400"/>
      <c r="AD32" s="401"/>
      <c r="AE32" s="400"/>
      <c r="AF32" s="401"/>
      <c r="AG32" s="400"/>
      <c r="AH32" s="401"/>
      <c r="AI32" s="400"/>
      <c r="AJ32" s="401"/>
      <c r="AK32" s="400"/>
      <c r="AL32" s="401"/>
      <c r="AM32" s="400"/>
      <c r="AN32" s="401"/>
      <c r="AO32" s="400"/>
      <c r="AP32" s="401"/>
      <c r="AQ32" s="400"/>
      <c r="AR32" s="401"/>
      <c r="AS32" s="400"/>
      <c r="AT32" s="401"/>
      <c r="AU32" s="400"/>
      <c r="AV32" s="401"/>
      <c r="AW32" s="400"/>
      <c r="AX32" s="401"/>
      <c r="AY32" s="400"/>
      <c r="AZ32" s="401"/>
      <c r="BA32" s="400"/>
      <c r="BB32" s="401"/>
      <c r="BC32" s="400"/>
      <c r="BD32" s="401"/>
      <c r="BE32" s="400"/>
      <c r="BF32" s="401"/>
      <c r="BG32" s="400"/>
      <c r="BH32" s="401"/>
      <c r="BI32" s="400"/>
      <c r="BJ32" s="401"/>
      <c r="BK32" s="400"/>
      <c r="BL32" s="401"/>
      <c r="BM32" s="400"/>
      <c r="BN32" s="401"/>
      <c r="BO32" s="400"/>
      <c r="BP32" s="401"/>
      <c r="BQ32" s="400"/>
      <c r="BR32" s="401"/>
      <c r="BS32" s="400"/>
      <c r="BT32" s="401"/>
      <c r="BU32" s="400"/>
      <c r="BV32" s="401"/>
      <c r="BW32" s="400"/>
      <c r="BX32" s="401"/>
      <c r="BY32" s="400"/>
      <c r="BZ32" s="401"/>
      <c r="CA32" s="400"/>
      <c r="CB32" s="401"/>
      <c r="CC32" s="400"/>
      <c r="CD32" s="401"/>
      <c r="CE32" s="400"/>
      <c r="CF32" s="401"/>
      <c r="CG32" s="400"/>
      <c r="CH32" s="401"/>
      <c r="CI32" s="400"/>
      <c r="CJ32" s="401"/>
      <c r="CK32" s="400"/>
      <c r="CL32" s="401"/>
      <c r="CM32" s="400"/>
      <c r="CN32" s="401"/>
      <c r="CO32" s="400"/>
      <c r="CP32" s="401"/>
      <c r="CQ32" s="400"/>
      <c r="CR32" s="401"/>
      <c r="CS32" s="400"/>
      <c r="CT32" s="401"/>
      <c r="CU32" s="400"/>
      <c r="CV32" s="401"/>
      <c r="CW32" s="400">
        <v>1</v>
      </c>
      <c r="CX32" s="401"/>
      <c r="CY32" s="400">
        <v>1</v>
      </c>
      <c r="CZ32" s="401"/>
      <c r="DA32" s="400"/>
      <c r="DB32" s="401"/>
      <c r="DC32" s="400"/>
      <c r="DD32" s="401"/>
      <c r="DE32" s="400"/>
      <c r="DF32" s="401"/>
      <c r="DG32" s="400"/>
      <c r="DH32" s="401"/>
      <c r="DI32" s="400"/>
      <c r="DJ32" s="401"/>
      <c r="DK32" s="400"/>
      <c r="DL32" s="401"/>
      <c r="DM32" s="400"/>
      <c r="DN32" s="401"/>
      <c r="DO32" s="400"/>
      <c r="DP32" s="401"/>
      <c r="DQ32" s="400"/>
      <c r="DR32" s="401"/>
      <c r="DS32" s="400"/>
      <c r="DT32" s="401"/>
      <c r="DU32" s="400"/>
      <c r="DV32" s="401"/>
      <c r="DW32" s="400"/>
      <c r="DX32" s="401"/>
      <c r="DY32" s="400"/>
      <c r="DZ32" s="401"/>
      <c r="EA32" s="400"/>
      <c r="EB32" s="401"/>
      <c r="EC32" s="400"/>
      <c r="ED32" s="401"/>
      <c r="EE32" s="400"/>
      <c r="EF32" s="401"/>
      <c r="EG32" s="400"/>
      <c r="EH32" s="401"/>
      <c r="EI32" s="400"/>
      <c r="EJ32" s="447"/>
      <c r="EK32" s="511"/>
      <c r="EL32" s="514"/>
      <c r="EM32" s="448"/>
      <c r="EN32" s="344"/>
      <c r="EO32" s="345"/>
      <c r="EP32" s="171">
        <f t="shared" si="22"/>
        <v>32</v>
      </c>
      <c r="EQ32" s="171">
        <f t="shared" si="23"/>
        <v>1</v>
      </c>
      <c r="ER32" s="171">
        <f t="shared" si="24"/>
        <v>1</v>
      </c>
      <c r="ES32" s="171">
        <f t="shared" si="25"/>
        <v>0</v>
      </c>
      <c r="ET32" s="171">
        <f t="shared" si="26"/>
        <v>0</v>
      </c>
      <c r="EU32" s="171">
        <f t="shared" si="27"/>
        <v>0</v>
      </c>
      <c r="EV32" s="172">
        <f t="shared" si="28"/>
        <v>34</v>
      </c>
      <c r="EW32" s="173"/>
      <c r="EX32" s="248">
        <f t="shared" si="50"/>
        <v>0</v>
      </c>
      <c r="EY32" s="174">
        <f>(L32*regular)+(M32*Cadeirantee)</f>
        <v>1417.0800000000002</v>
      </c>
      <c r="EZ32" s="249">
        <f>SUMIF(FG32:GJ32,"&gt;0")</f>
        <v>0</v>
      </c>
      <c r="FA32" s="249">
        <f>SUMIF(FG32:GJ32,"&lt;0")+SUMIF(GN32:HP32,"&lt;0")</f>
        <v>0</v>
      </c>
      <c r="FB32" s="174">
        <v>0</v>
      </c>
      <c r="FC32" s="126">
        <f>N32*km*'VALORES TABELA'!$B$13</f>
        <v>0</v>
      </c>
      <c r="FD32" s="250">
        <f t="shared" ref="FD32:FD35" si="51">GL32</f>
        <v>0</v>
      </c>
      <c r="FE32" s="105"/>
      <c r="FF32" s="119"/>
      <c r="FG32" s="119"/>
      <c r="FH32" s="119"/>
      <c r="FI32" s="119"/>
      <c r="FJ32" s="119"/>
      <c r="FK32" s="119"/>
      <c r="FL32" s="119"/>
      <c r="FM32" s="119"/>
      <c r="FN32" s="119"/>
      <c r="FO32" s="119"/>
      <c r="FP32" s="119"/>
      <c r="FQ32" s="119"/>
      <c r="FR32" s="119"/>
      <c r="FS32" s="119"/>
      <c r="FT32" s="119"/>
      <c r="FU32" s="119"/>
      <c r="FV32" s="119"/>
      <c r="FW32" s="119"/>
      <c r="FX32" s="119"/>
      <c r="FY32" s="119"/>
      <c r="FZ32" s="119"/>
      <c r="GA32" s="119"/>
      <c r="GB32" s="119"/>
      <c r="GC32" s="119"/>
      <c r="GD32" s="119"/>
      <c r="GE32" s="119"/>
      <c r="GF32" s="119"/>
      <c r="GG32" s="119"/>
      <c r="GH32" s="119"/>
      <c r="GI32" s="119"/>
      <c r="GJ32" s="119"/>
      <c r="GK32" s="251"/>
      <c r="GL32" s="103">
        <f t="shared" si="30"/>
        <v>0</v>
      </c>
      <c r="GM32" s="124"/>
      <c r="GN32" s="104"/>
      <c r="GO32" s="104"/>
      <c r="GP32" s="104"/>
      <c r="GQ32" s="104"/>
      <c r="GR32" s="104"/>
      <c r="GS32" s="104"/>
      <c r="GT32" s="104"/>
      <c r="GU32" s="104"/>
      <c r="GV32" s="104"/>
      <c r="GW32" s="104"/>
      <c r="GX32" s="104"/>
      <c r="GY32" s="104"/>
      <c r="GZ32" s="104"/>
      <c r="HA32" s="104"/>
      <c r="HB32" s="104"/>
      <c r="HC32" s="104"/>
      <c r="HD32" s="104"/>
      <c r="HE32" s="104"/>
      <c r="HF32" s="104"/>
      <c r="HG32" s="104"/>
      <c r="HH32" s="104"/>
      <c r="HI32" s="104"/>
      <c r="HJ32" s="104"/>
      <c r="HK32" s="104"/>
      <c r="HL32" s="104"/>
      <c r="HM32" s="104"/>
      <c r="HN32" s="104"/>
      <c r="HO32" s="104"/>
      <c r="HP32" s="104"/>
      <c r="HQ32" s="64"/>
      <c r="HR32" s="64"/>
      <c r="HS32" s="64"/>
      <c r="HT32" s="64"/>
      <c r="HU32" s="64"/>
      <c r="HV32" s="64"/>
      <c r="HW32" s="105"/>
      <c r="HX32" s="64"/>
      <c r="HY32" s="280">
        <f t="shared" ref="HY32:HY35" si="52">IF(ISTEXT(EM32), VALUE(EM32), EM32)</f>
        <v>0</v>
      </c>
      <c r="HZ32" s="280">
        <f t="shared" ref="HZ32:HZ35" si="53">IF(ISTEXT(EN32), VALUE(EN32), EN32)</f>
        <v>0</v>
      </c>
      <c r="IA32" s="280">
        <f t="shared" ref="IA32:IA35" si="54">IF(ISTEXT(EO32), VALUE(EO32), EO32)</f>
        <v>0</v>
      </c>
      <c r="IB32" s="64"/>
      <c r="IC32" s="64"/>
    </row>
    <row r="33" spans="1:237" s="106" customFormat="1" ht="22.5" customHeight="1" x14ac:dyDescent="0.25">
      <c r="A33" s="368" t="s">
        <v>3210</v>
      </c>
      <c r="B33" s="369" t="s">
        <v>3211</v>
      </c>
      <c r="C33" s="375" t="s">
        <v>3186</v>
      </c>
      <c r="D33" s="371" t="s">
        <v>3212</v>
      </c>
      <c r="E33" s="371" t="s">
        <v>3213</v>
      </c>
      <c r="F33" s="376" t="s">
        <v>3182</v>
      </c>
      <c r="G33" s="376" t="s">
        <v>3183</v>
      </c>
      <c r="H33" s="373" t="s">
        <v>342</v>
      </c>
      <c r="I33" s="374" t="s">
        <v>342</v>
      </c>
      <c r="J33" s="421" t="s">
        <v>3184</v>
      </c>
      <c r="K33" s="422" t="s">
        <v>3188</v>
      </c>
      <c r="L33" s="329">
        <f>CONTINUA!BV33</f>
        <v>0</v>
      </c>
      <c r="M33" s="329">
        <f>CONTINUA!BW33</f>
        <v>0</v>
      </c>
      <c r="N33" s="895"/>
      <c r="O33" s="896" t="s">
        <v>3279</v>
      </c>
      <c r="P33" s="897">
        <v>0</v>
      </c>
      <c r="Q33" s="400"/>
      <c r="R33" s="401"/>
      <c r="S33" s="400"/>
      <c r="T33" s="401"/>
      <c r="U33" s="400"/>
      <c r="V33" s="401"/>
      <c r="W33" s="400"/>
      <c r="X33" s="401"/>
      <c r="Y33" s="400"/>
      <c r="Z33" s="401"/>
      <c r="AA33" s="400"/>
      <c r="AB33" s="401"/>
      <c r="AC33" s="400"/>
      <c r="AD33" s="401"/>
      <c r="AE33" s="400"/>
      <c r="AF33" s="401"/>
      <c r="AG33" s="400"/>
      <c r="AH33" s="401"/>
      <c r="AI33" s="400"/>
      <c r="AJ33" s="401"/>
      <c r="AK33" s="400"/>
      <c r="AL33" s="401"/>
      <c r="AM33" s="400"/>
      <c r="AN33" s="401"/>
      <c r="AO33" s="400"/>
      <c r="AP33" s="401"/>
      <c r="AQ33" s="400"/>
      <c r="AR33" s="401"/>
      <c r="AS33" s="400"/>
      <c r="AT33" s="401"/>
      <c r="AU33" s="400"/>
      <c r="AV33" s="401"/>
      <c r="AW33" s="400"/>
      <c r="AX33" s="401"/>
      <c r="AY33" s="400"/>
      <c r="AZ33" s="401"/>
      <c r="BA33" s="400"/>
      <c r="BB33" s="401"/>
      <c r="BC33" s="400"/>
      <c r="BD33" s="401"/>
      <c r="BE33" s="400"/>
      <c r="BF33" s="401"/>
      <c r="BG33" s="400"/>
      <c r="BH33" s="401"/>
      <c r="BI33" s="400"/>
      <c r="BJ33" s="401"/>
      <c r="BK33" s="400"/>
      <c r="BL33" s="401"/>
      <c r="BM33" s="400"/>
      <c r="BN33" s="401"/>
      <c r="BO33" s="400"/>
      <c r="BP33" s="401"/>
      <c r="BQ33" s="400"/>
      <c r="BR33" s="401"/>
      <c r="BS33" s="400"/>
      <c r="BT33" s="401"/>
      <c r="BU33" s="400"/>
      <c r="BV33" s="401"/>
      <c r="BW33" s="400"/>
      <c r="BX33" s="401"/>
      <c r="BY33" s="400"/>
      <c r="BZ33" s="401"/>
      <c r="CA33" s="400"/>
      <c r="CB33" s="401"/>
      <c r="CC33" s="400"/>
      <c r="CD33" s="401"/>
      <c r="CE33" s="400"/>
      <c r="CF33" s="401"/>
      <c r="CG33" s="400"/>
      <c r="CH33" s="401"/>
      <c r="CI33" s="400"/>
      <c r="CJ33" s="401"/>
      <c r="CK33" s="400"/>
      <c r="CL33" s="401"/>
      <c r="CM33" s="400"/>
      <c r="CN33" s="401"/>
      <c r="CO33" s="400"/>
      <c r="CP33" s="401"/>
      <c r="CQ33" s="400"/>
      <c r="CR33" s="401"/>
      <c r="CS33" s="400"/>
      <c r="CT33" s="401"/>
      <c r="CU33" s="400"/>
      <c r="CV33" s="401"/>
      <c r="CW33" s="400"/>
      <c r="CX33" s="401"/>
      <c r="CY33" s="400"/>
      <c r="CZ33" s="401"/>
      <c r="DA33" s="400"/>
      <c r="DB33" s="401"/>
      <c r="DC33" s="400"/>
      <c r="DD33" s="401"/>
      <c r="DE33" s="400"/>
      <c r="DF33" s="401"/>
      <c r="DG33" s="400"/>
      <c r="DH33" s="401"/>
      <c r="DI33" s="400"/>
      <c r="DJ33" s="401"/>
      <c r="DK33" s="400"/>
      <c r="DL33" s="401"/>
      <c r="DM33" s="400"/>
      <c r="DN33" s="401"/>
      <c r="DO33" s="400"/>
      <c r="DP33" s="401"/>
      <c r="DQ33" s="400"/>
      <c r="DR33" s="401"/>
      <c r="DS33" s="400"/>
      <c r="DT33" s="401"/>
      <c r="DU33" s="400"/>
      <c r="DV33" s="401"/>
      <c r="DW33" s="400"/>
      <c r="DX33" s="401"/>
      <c r="DY33" s="400"/>
      <c r="DZ33" s="401"/>
      <c r="EA33" s="400"/>
      <c r="EB33" s="401"/>
      <c r="EC33" s="400"/>
      <c r="ED33" s="401"/>
      <c r="EE33" s="400"/>
      <c r="EF33" s="401"/>
      <c r="EG33" s="400"/>
      <c r="EH33" s="401"/>
      <c r="EI33" s="400"/>
      <c r="EJ33" s="447"/>
      <c r="EK33" s="511"/>
      <c r="EL33" s="514"/>
      <c r="EM33" s="448"/>
      <c r="EN33" s="344"/>
      <c r="EO33" s="345"/>
      <c r="EP33" s="171">
        <f t="shared" si="22"/>
        <v>0</v>
      </c>
      <c r="EQ33" s="171">
        <f t="shared" si="23"/>
        <v>0</v>
      </c>
      <c r="ER33" s="171">
        <f t="shared" si="24"/>
        <v>0</v>
      </c>
      <c r="ES33" s="171">
        <f t="shared" si="25"/>
        <v>0</v>
      </c>
      <c r="ET33" s="171">
        <f t="shared" si="26"/>
        <v>0</v>
      </c>
      <c r="EU33" s="171">
        <f t="shared" si="27"/>
        <v>0</v>
      </c>
      <c r="EV33" s="172">
        <f t="shared" si="28"/>
        <v>0</v>
      </c>
      <c r="EW33" s="125"/>
      <c r="EX33" s="248">
        <f t="shared" si="50"/>
        <v>0</v>
      </c>
      <c r="EY33" s="174">
        <f>(L33*regular)+(M33*Cadeirantee)</f>
        <v>0</v>
      </c>
      <c r="EZ33" s="249">
        <f>SUMIF(FG33:GJ33,"&gt;0")</f>
        <v>0</v>
      </c>
      <c r="FA33" s="249">
        <f>SUMIF(FG33:GJ33,"&lt;0")+SUMIF(GN33:HP33,"&lt;0")</f>
        <v>0</v>
      </c>
      <c r="FB33" s="174">
        <v>0</v>
      </c>
      <c r="FC33" s="126">
        <f>N33*km*'VALORES TABELA'!$B$13</f>
        <v>0</v>
      </c>
      <c r="FD33" s="250">
        <f t="shared" si="51"/>
        <v>0</v>
      </c>
      <c r="FE33" s="105"/>
      <c r="FF33" s="108"/>
      <c r="FG33" s="108"/>
      <c r="FH33" s="108"/>
      <c r="FI33" s="108"/>
      <c r="FJ33" s="108"/>
      <c r="FK33" s="108"/>
      <c r="FL33" s="108"/>
      <c r="FM33" s="108"/>
      <c r="FN33" s="108"/>
      <c r="FO33" s="108"/>
      <c r="FP33" s="108"/>
      <c r="FQ33" s="108"/>
      <c r="FR33" s="108"/>
      <c r="FS33" s="108"/>
      <c r="FT33" s="108"/>
      <c r="FU33" s="108"/>
      <c r="FV33" s="108"/>
      <c r="FW33" s="108"/>
      <c r="FX33" s="108"/>
      <c r="FY33" s="108"/>
      <c r="FZ33" s="108"/>
      <c r="GA33" s="108"/>
      <c r="GB33" s="108"/>
      <c r="GC33" s="108"/>
      <c r="GD33" s="108"/>
      <c r="GE33" s="108"/>
      <c r="GF33" s="108"/>
      <c r="GG33" s="108"/>
      <c r="GH33" s="108"/>
      <c r="GI33" s="108"/>
      <c r="GJ33" s="108"/>
      <c r="GK33" s="251"/>
      <c r="GL33" s="103">
        <f t="shared" si="30"/>
        <v>0</v>
      </c>
      <c r="GM33" s="124"/>
      <c r="GN33" s="104"/>
      <c r="GO33" s="104"/>
      <c r="GP33" s="104"/>
      <c r="GQ33" s="104"/>
      <c r="GR33" s="104"/>
      <c r="GS33" s="104"/>
      <c r="GT33" s="104"/>
      <c r="GU33" s="104"/>
      <c r="GV33" s="104"/>
      <c r="GW33" s="104"/>
      <c r="GX33" s="104"/>
      <c r="GY33" s="104"/>
      <c r="GZ33" s="104"/>
      <c r="HA33" s="104"/>
      <c r="HB33" s="104"/>
      <c r="HC33" s="104"/>
      <c r="HD33" s="104"/>
      <c r="HE33" s="104"/>
      <c r="HF33" s="104"/>
      <c r="HG33" s="104"/>
      <c r="HH33" s="104"/>
      <c r="HI33" s="104"/>
      <c r="HJ33" s="104"/>
      <c r="HK33" s="104"/>
      <c r="HL33" s="104"/>
      <c r="HM33" s="104"/>
      <c r="HN33" s="104"/>
      <c r="HO33" s="104"/>
      <c r="HP33" s="104"/>
      <c r="HQ33" s="64"/>
      <c r="HR33" s="64"/>
      <c r="HS33" s="64"/>
      <c r="HT33" s="64"/>
      <c r="HU33" s="64"/>
      <c r="HV33" s="64"/>
      <c r="HW33" s="105"/>
      <c r="HX33" s="64"/>
      <c r="HY33" s="280">
        <f t="shared" si="52"/>
        <v>0</v>
      </c>
      <c r="HZ33" s="280">
        <f t="shared" si="53"/>
        <v>0</v>
      </c>
      <c r="IA33" s="280">
        <f t="shared" si="54"/>
        <v>0</v>
      </c>
      <c r="IB33" s="64"/>
      <c r="IC33" s="64"/>
    </row>
    <row r="34" spans="1:237" s="106" customFormat="1" ht="22.5" customHeight="1" x14ac:dyDescent="0.25">
      <c r="A34" s="368" t="s">
        <v>3210</v>
      </c>
      <c r="B34" s="369" t="s">
        <v>3211</v>
      </c>
      <c r="C34" s="375" t="s">
        <v>3186</v>
      </c>
      <c r="D34" s="371" t="s">
        <v>3212</v>
      </c>
      <c r="E34" s="371" t="s">
        <v>3213</v>
      </c>
      <c r="F34" s="376" t="s">
        <v>3182</v>
      </c>
      <c r="G34" s="376" t="s">
        <v>3183</v>
      </c>
      <c r="H34" s="373" t="s">
        <v>342</v>
      </c>
      <c r="I34" s="374" t="s">
        <v>342</v>
      </c>
      <c r="J34" s="421" t="s">
        <v>3184</v>
      </c>
      <c r="K34" s="423" t="s">
        <v>3189</v>
      </c>
      <c r="L34" s="329">
        <f>CONTINUA!BV34</f>
        <v>0</v>
      </c>
      <c r="M34" s="329">
        <f>CONTINUA!BW34</f>
        <v>0</v>
      </c>
      <c r="N34" s="895"/>
      <c r="O34" s="896" t="s">
        <v>3279</v>
      </c>
      <c r="P34" s="897">
        <v>0</v>
      </c>
      <c r="Q34" s="400"/>
      <c r="R34" s="401"/>
      <c r="S34" s="400"/>
      <c r="T34" s="401"/>
      <c r="U34" s="400"/>
      <c r="V34" s="401"/>
      <c r="W34" s="400"/>
      <c r="X34" s="401"/>
      <c r="Y34" s="400"/>
      <c r="Z34" s="401"/>
      <c r="AA34" s="400"/>
      <c r="AB34" s="401"/>
      <c r="AC34" s="400"/>
      <c r="AD34" s="401"/>
      <c r="AE34" s="400"/>
      <c r="AF34" s="401"/>
      <c r="AG34" s="400"/>
      <c r="AH34" s="401"/>
      <c r="AI34" s="400"/>
      <c r="AJ34" s="401"/>
      <c r="AK34" s="400"/>
      <c r="AL34" s="401"/>
      <c r="AM34" s="400"/>
      <c r="AN34" s="401"/>
      <c r="AO34" s="400"/>
      <c r="AP34" s="401"/>
      <c r="AQ34" s="400"/>
      <c r="AR34" s="401"/>
      <c r="AS34" s="400"/>
      <c r="AT34" s="401"/>
      <c r="AU34" s="400"/>
      <c r="AV34" s="401"/>
      <c r="AW34" s="400"/>
      <c r="AX34" s="401"/>
      <c r="AY34" s="400"/>
      <c r="AZ34" s="401"/>
      <c r="BA34" s="400"/>
      <c r="BB34" s="401"/>
      <c r="BC34" s="400"/>
      <c r="BD34" s="401"/>
      <c r="BE34" s="400"/>
      <c r="BF34" s="401"/>
      <c r="BG34" s="400"/>
      <c r="BH34" s="401"/>
      <c r="BI34" s="400"/>
      <c r="BJ34" s="401"/>
      <c r="BK34" s="400"/>
      <c r="BL34" s="401"/>
      <c r="BM34" s="400"/>
      <c r="BN34" s="401"/>
      <c r="BO34" s="400"/>
      <c r="BP34" s="401"/>
      <c r="BQ34" s="400"/>
      <c r="BR34" s="401"/>
      <c r="BS34" s="400"/>
      <c r="BT34" s="401"/>
      <c r="BU34" s="400"/>
      <c r="BV34" s="401"/>
      <c r="BW34" s="400"/>
      <c r="BX34" s="401"/>
      <c r="BY34" s="400"/>
      <c r="BZ34" s="401"/>
      <c r="CA34" s="400"/>
      <c r="CB34" s="401"/>
      <c r="CC34" s="400"/>
      <c r="CD34" s="401"/>
      <c r="CE34" s="400"/>
      <c r="CF34" s="401"/>
      <c r="CG34" s="400"/>
      <c r="CH34" s="401"/>
      <c r="CI34" s="400"/>
      <c r="CJ34" s="401"/>
      <c r="CK34" s="400"/>
      <c r="CL34" s="401"/>
      <c r="CM34" s="400"/>
      <c r="CN34" s="401"/>
      <c r="CO34" s="400"/>
      <c r="CP34" s="401"/>
      <c r="CQ34" s="400"/>
      <c r="CR34" s="401"/>
      <c r="CS34" s="400"/>
      <c r="CT34" s="401"/>
      <c r="CU34" s="400"/>
      <c r="CV34" s="401"/>
      <c r="CW34" s="400"/>
      <c r="CX34" s="401"/>
      <c r="CY34" s="400"/>
      <c r="CZ34" s="401"/>
      <c r="DA34" s="400"/>
      <c r="DB34" s="401"/>
      <c r="DC34" s="400"/>
      <c r="DD34" s="401"/>
      <c r="DE34" s="400"/>
      <c r="DF34" s="401"/>
      <c r="DG34" s="400"/>
      <c r="DH34" s="401"/>
      <c r="DI34" s="400"/>
      <c r="DJ34" s="401"/>
      <c r="DK34" s="400"/>
      <c r="DL34" s="401"/>
      <c r="DM34" s="400"/>
      <c r="DN34" s="401"/>
      <c r="DO34" s="400"/>
      <c r="DP34" s="401"/>
      <c r="DQ34" s="400"/>
      <c r="DR34" s="401"/>
      <c r="DS34" s="400"/>
      <c r="DT34" s="401"/>
      <c r="DU34" s="400"/>
      <c r="DV34" s="401"/>
      <c r="DW34" s="400"/>
      <c r="DX34" s="401"/>
      <c r="DY34" s="400"/>
      <c r="DZ34" s="401"/>
      <c r="EA34" s="400"/>
      <c r="EB34" s="401"/>
      <c r="EC34" s="400"/>
      <c r="ED34" s="401"/>
      <c r="EE34" s="400"/>
      <c r="EF34" s="401"/>
      <c r="EG34" s="400"/>
      <c r="EH34" s="401"/>
      <c r="EI34" s="400"/>
      <c r="EJ34" s="447"/>
      <c r="EK34" s="511"/>
      <c r="EL34" s="514"/>
      <c r="EM34" s="448"/>
      <c r="EN34" s="344"/>
      <c r="EO34" s="345"/>
      <c r="EP34" s="171">
        <f t="shared" si="22"/>
        <v>0</v>
      </c>
      <c r="EQ34" s="171">
        <f t="shared" si="23"/>
        <v>0</v>
      </c>
      <c r="ER34" s="171">
        <f t="shared" si="24"/>
        <v>0</v>
      </c>
      <c r="ES34" s="171">
        <f t="shared" si="25"/>
        <v>0</v>
      </c>
      <c r="ET34" s="171">
        <f t="shared" si="26"/>
        <v>0</v>
      </c>
      <c r="EU34" s="171">
        <f t="shared" si="27"/>
        <v>0</v>
      </c>
      <c r="EV34" s="172">
        <f t="shared" si="28"/>
        <v>0</v>
      </c>
      <c r="EW34" s="127"/>
      <c r="EX34" s="248">
        <f t="shared" si="50"/>
        <v>0</v>
      </c>
      <c r="EY34" s="174">
        <f>(L34*regular)+(M34*Cadeirantee)</f>
        <v>0</v>
      </c>
      <c r="EZ34" s="249">
        <f>SUMIF(FG34:GJ34,"&gt;0")</f>
        <v>0</v>
      </c>
      <c r="FA34" s="249">
        <f>SUMIF(FG34:GJ34,"&lt;0")+SUMIF(GN34:HP34,"&lt;0")</f>
        <v>0</v>
      </c>
      <c r="FB34" s="174">
        <v>0</v>
      </c>
      <c r="FC34" s="126">
        <f>N34*km*'VALORES TABELA'!$B$13</f>
        <v>0</v>
      </c>
      <c r="FD34" s="250">
        <f t="shared" si="51"/>
        <v>0</v>
      </c>
      <c r="FE34" s="105"/>
      <c r="FF34" s="118"/>
      <c r="FG34" s="118"/>
      <c r="FH34" s="118"/>
      <c r="FI34" s="118"/>
      <c r="FJ34" s="118"/>
      <c r="FK34" s="118"/>
      <c r="FL34" s="118"/>
      <c r="FM34" s="118"/>
      <c r="FN34" s="118"/>
      <c r="FO34" s="118"/>
      <c r="FP34" s="118"/>
      <c r="FQ34" s="118"/>
      <c r="FR34" s="118"/>
      <c r="FS34" s="118"/>
      <c r="FT34" s="118"/>
      <c r="FU34" s="118"/>
      <c r="FV34" s="118"/>
      <c r="FW34" s="118"/>
      <c r="FX34" s="118"/>
      <c r="FY34" s="118"/>
      <c r="FZ34" s="118"/>
      <c r="GA34" s="118"/>
      <c r="GB34" s="118"/>
      <c r="GC34" s="118"/>
      <c r="GD34" s="118"/>
      <c r="GE34" s="118"/>
      <c r="GF34" s="118"/>
      <c r="GG34" s="118"/>
      <c r="GH34" s="118"/>
      <c r="GI34" s="118"/>
      <c r="GJ34" s="118"/>
      <c r="GK34" s="252"/>
      <c r="GL34" s="103">
        <f t="shared" si="30"/>
        <v>0</v>
      </c>
      <c r="GM34" s="124"/>
      <c r="GN34" s="104"/>
      <c r="GO34" s="104"/>
      <c r="GP34" s="104"/>
      <c r="GQ34" s="104"/>
      <c r="GR34" s="104"/>
      <c r="GS34" s="104"/>
      <c r="GT34" s="104"/>
      <c r="GU34" s="104"/>
      <c r="GV34" s="104"/>
      <c r="GW34" s="104"/>
      <c r="GX34" s="104"/>
      <c r="GY34" s="104"/>
      <c r="GZ34" s="104"/>
      <c r="HA34" s="104"/>
      <c r="HB34" s="104"/>
      <c r="HC34" s="104"/>
      <c r="HD34" s="104"/>
      <c r="HE34" s="104"/>
      <c r="HF34" s="104"/>
      <c r="HG34" s="104"/>
      <c r="HH34" s="104"/>
      <c r="HI34" s="104"/>
      <c r="HJ34" s="104"/>
      <c r="HK34" s="104"/>
      <c r="HL34" s="104"/>
      <c r="HM34" s="104"/>
      <c r="HN34" s="104"/>
      <c r="HO34" s="104"/>
      <c r="HP34" s="104"/>
      <c r="HQ34" s="64"/>
      <c r="HR34" s="65"/>
      <c r="HS34" s="65"/>
      <c r="HT34" s="65"/>
      <c r="HU34" s="65"/>
      <c r="HV34" s="65"/>
      <c r="HW34" s="105"/>
      <c r="HX34" s="65"/>
      <c r="HY34" s="280">
        <f t="shared" si="52"/>
        <v>0</v>
      </c>
      <c r="HZ34" s="280">
        <f t="shared" si="53"/>
        <v>0</v>
      </c>
      <c r="IA34" s="280">
        <f t="shared" si="54"/>
        <v>0</v>
      </c>
      <c r="IB34" s="65"/>
      <c r="IC34" s="65"/>
    </row>
    <row r="35" spans="1:237" s="106" customFormat="1" ht="22.5" customHeight="1" thickBot="1" x14ac:dyDescent="0.3">
      <c r="A35" s="377" t="s">
        <v>3210</v>
      </c>
      <c r="B35" s="378" t="s">
        <v>3211</v>
      </c>
      <c r="C35" s="379" t="s">
        <v>3186</v>
      </c>
      <c r="D35" s="380" t="s">
        <v>3212</v>
      </c>
      <c r="E35" s="380" t="s">
        <v>3213</v>
      </c>
      <c r="F35" s="381" t="s">
        <v>3182</v>
      </c>
      <c r="G35" s="381" t="s">
        <v>3183</v>
      </c>
      <c r="H35" s="382" t="s">
        <v>342</v>
      </c>
      <c r="I35" s="383" t="s">
        <v>342</v>
      </c>
      <c r="J35" s="421" t="s">
        <v>3184</v>
      </c>
      <c r="K35" s="424" t="s">
        <v>60</v>
      </c>
      <c r="L35" s="329">
        <f>CONTINUA!BV35</f>
        <v>0</v>
      </c>
      <c r="M35" s="329">
        <f>CONTINUA!BW35</f>
        <v>0</v>
      </c>
      <c r="N35" s="895"/>
      <c r="O35" s="896" t="s">
        <v>3279</v>
      </c>
      <c r="P35" s="897">
        <v>0</v>
      </c>
      <c r="Q35" s="400"/>
      <c r="R35" s="401"/>
      <c r="S35" s="400"/>
      <c r="T35" s="401"/>
      <c r="U35" s="400"/>
      <c r="V35" s="401"/>
      <c r="W35" s="400"/>
      <c r="X35" s="401"/>
      <c r="Y35" s="400"/>
      <c r="Z35" s="401"/>
      <c r="AA35" s="400"/>
      <c r="AB35" s="401"/>
      <c r="AC35" s="400"/>
      <c r="AD35" s="401"/>
      <c r="AE35" s="400"/>
      <c r="AF35" s="401"/>
      <c r="AG35" s="400"/>
      <c r="AH35" s="401"/>
      <c r="AI35" s="400"/>
      <c r="AJ35" s="401"/>
      <c r="AK35" s="400"/>
      <c r="AL35" s="401"/>
      <c r="AM35" s="400"/>
      <c r="AN35" s="401"/>
      <c r="AO35" s="400"/>
      <c r="AP35" s="401"/>
      <c r="AQ35" s="400"/>
      <c r="AR35" s="401"/>
      <c r="AS35" s="400"/>
      <c r="AT35" s="401"/>
      <c r="AU35" s="400"/>
      <c r="AV35" s="401"/>
      <c r="AW35" s="400"/>
      <c r="AX35" s="401"/>
      <c r="AY35" s="400"/>
      <c r="AZ35" s="401"/>
      <c r="BA35" s="400"/>
      <c r="BB35" s="401"/>
      <c r="BC35" s="400"/>
      <c r="BD35" s="401"/>
      <c r="BE35" s="400"/>
      <c r="BF35" s="401"/>
      <c r="BG35" s="400"/>
      <c r="BH35" s="401"/>
      <c r="BI35" s="400"/>
      <c r="BJ35" s="401"/>
      <c r="BK35" s="400"/>
      <c r="BL35" s="401"/>
      <c r="BM35" s="400"/>
      <c r="BN35" s="401"/>
      <c r="BO35" s="400"/>
      <c r="BP35" s="401"/>
      <c r="BQ35" s="400"/>
      <c r="BR35" s="401"/>
      <c r="BS35" s="400"/>
      <c r="BT35" s="401"/>
      <c r="BU35" s="400"/>
      <c r="BV35" s="401"/>
      <c r="BW35" s="400"/>
      <c r="BX35" s="401"/>
      <c r="BY35" s="400"/>
      <c r="BZ35" s="401"/>
      <c r="CA35" s="400"/>
      <c r="CB35" s="401"/>
      <c r="CC35" s="400"/>
      <c r="CD35" s="401"/>
      <c r="CE35" s="400"/>
      <c r="CF35" s="401"/>
      <c r="CG35" s="400"/>
      <c r="CH35" s="401"/>
      <c r="CI35" s="400"/>
      <c r="CJ35" s="401"/>
      <c r="CK35" s="400"/>
      <c r="CL35" s="401"/>
      <c r="CM35" s="400"/>
      <c r="CN35" s="401"/>
      <c r="CO35" s="400"/>
      <c r="CP35" s="401"/>
      <c r="CQ35" s="400"/>
      <c r="CR35" s="401"/>
      <c r="CS35" s="400"/>
      <c r="CT35" s="401"/>
      <c r="CU35" s="400"/>
      <c r="CV35" s="401"/>
      <c r="CW35" s="400"/>
      <c r="CX35" s="401"/>
      <c r="CY35" s="400"/>
      <c r="CZ35" s="401"/>
      <c r="DA35" s="400"/>
      <c r="DB35" s="401"/>
      <c r="DC35" s="400"/>
      <c r="DD35" s="401"/>
      <c r="DE35" s="400"/>
      <c r="DF35" s="401"/>
      <c r="DG35" s="400"/>
      <c r="DH35" s="401"/>
      <c r="DI35" s="400"/>
      <c r="DJ35" s="401"/>
      <c r="DK35" s="400"/>
      <c r="DL35" s="401"/>
      <c r="DM35" s="400"/>
      <c r="DN35" s="401"/>
      <c r="DO35" s="400"/>
      <c r="DP35" s="401"/>
      <c r="DQ35" s="400"/>
      <c r="DR35" s="401"/>
      <c r="DS35" s="400"/>
      <c r="DT35" s="401"/>
      <c r="DU35" s="400"/>
      <c r="DV35" s="401"/>
      <c r="DW35" s="400"/>
      <c r="DX35" s="401"/>
      <c r="DY35" s="400"/>
      <c r="DZ35" s="401"/>
      <c r="EA35" s="400"/>
      <c r="EB35" s="401"/>
      <c r="EC35" s="400"/>
      <c r="ED35" s="401"/>
      <c r="EE35" s="400"/>
      <c r="EF35" s="401"/>
      <c r="EG35" s="400"/>
      <c r="EH35" s="401"/>
      <c r="EI35" s="400"/>
      <c r="EJ35" s="447"/>
      <c r="EK35" s="512"/>
      <c r="EL35" s="515"/>
      <c r="EM35" s="450"/>
      <c r="EN35" s="348"/>
      <c r="EO35" s="348"/>
      <c r="EP35" s="179">
        <f t="shared" si="22"/>
        <v>0</v>
      </c>
      <c r="EQ35" s="179">
        <f t="shared" si="23"/>
        <v>0</v>
      </c>
      <c r="ER35" s="179">
        <f t="shared" si="24"/>
        <v>0</v>
      </c>
      <c r="ES35" s="179">
        <f t="shared" si="25"/>
        <v>0</v>
      </c>
      <c r="ET35" s="179">
        <f t="shared" si="26"/>
        <v>0</v>
      </c>
      <c r="EU35" s="179">
        <f t="shared" si="27"/>
        <v>0</v>
      </c>
      <c r="EV35" s="172">
        <f t="shared" si="28"/>
        <v>0</v>
      </c>
      <c r="EW35" s="253"/>
      <c r="EX35" s="254">
        <v>0</v>
      </c>
      <c r="EY35" s="180">
        <v>0</v>
      </c>
      <c r="EZ35" s="255">
        <v>0</v>
      </c>
      <c r="FA35" s="255">
        <v>0</v>
      </c>
      <c r="FB35" s="180">
        <f>SUM(FF35:GI35)/2</f>
        <v>0</v>
      </c>
      <c r="FC35" s="256">
        <f>N35*km*'VALORES TABELA'!$B$13</f>
        <v>0</v>
      </c>
      <c r="FD35" s="250">
        <f t="shared" si="51"/>
        <v>0</v>
      </c>
      <c r="FE35" s="257"/>
      <c r="FF35" s="181">
        <f>((Q35+S35)*Percapita)+((R35+T35)*Cadeirante)</f>
        <v>0</v>
      </c>
      <c r="FG35" s="181">
        <f>((U35+W35)*Percapita/30*FG$4)+((V35+X35)*Cadeirante/30*FG$4)</f>
        <v>0</v>
      </c>
      <c r="FH35" s="181">
        <f>((Y35+AA35)*Percapita/30*FH$4)+((Z35+AB35)*Cadeirante/30*FH$4)</f>
        <v>0</v>
      </c>
      <c r="FI35" s="181">
        <f>((AC35+AE35)*Percapita/30*FI$4)+((AD35+AF35)*Cadeirante/30*FI$4)</f>
        <v>0</v>
      </c>
      <c r="FJ35" s="181">
        <f>((AG35+AI35)*Percapita/30*FJ$4)+((AH35+AJ35)*Cadeirante/30*FJ$4)</f>
        <v>0</v>
      </c>
      <c r="FK35" s="181">
        <f>((AK35+AM35)*Percapita/30*FK$4)+((AL35+AN35)*Cadeirante/30*FK$4)</f>
        <v>0</v>
      </c>
      <c r="FL35" s="181">
        <f>((AO35+AQ35)*Percapita/30*FL$4)+((AP35+AR35)*Cadeirante/30*FL$4)</f>
        <v>0</v>
      </c>
      <c r="FM35" s="181">
        <f>((AS35+AU35)*Percapita/30*FM$4)+((AT35+AV35)*Cadeirante/30*FM$4)</f>
        <v>0</v>
      </c>
      <c r="FN35" s="181">
        <f>((AW35+AY35)*Percapita/30*FN$4)+((AX35+AZ35)*Cadeirante/30*FN$4)</f>
        <v>0</v>
      </c>
      <c r="FO35" s="181">
        <f>((BA35+BC35)*Percapita/30*FO$4)+((BB35+BD35)*Cadeirante/30*FO$4)</f>
        <v>0</v>
      </c>
      <c r="FP35" s="181">
        <f>((BE35+BG35)*Percapita/30*FP$4)+((BF35+BH35)*Cadeirante/30*FP$4)</f>
        <v>0</v>
      </c>
      <c r="FQ35" s="181">
        <f>((BI35+BK35)*Percapita/30*FQ$4)+((BJ35+BL35)*Cadeirante/30*FQ$4)</f>
        <v>0</v>
      </c>
      <c r="FR35" s="181">
        <f>((BM35+BO35)*Percapita/30*FR$4)+((BN35+BP35)*Cadeirante/30*FR$4)</f>
        <v>0</v>
      </c>
      <c r="FS35" s="181">
        <f>((BQ35+BS35)*Percapita/30*FS$4)+((BR35+BT35)*Cadeirante/30*FS$4)</f>
        <v>0</v>
      </c>
      <c r="FT35" s="181">
        <f>((BU35+BW35)*Percapita/30*FT$4)+((BV35+BX35)*Cadeirante/30*FT$4)</f>
        <v>0</v>
      </c>
      <c r="FU35" s="181">
        <f>((BY35+CA35)*Percapita/30*FU$4)+((BZ35+CB35)*Cadeirante/30*FU$4)</f>
        <v>0</v>
      </c>
      <c r="FV35" s="181">
        <f>((CC35+CE35)*Percapita/30*FV$4)+((CD35+CF35)*Cadeirante/30*FV$4)</f>
        <v>0</v>
      </c>
      <c r="FW35" s="181">
        <f>((CG35+CI35)*Percapita/30*FW$4)+((CI35+CK35)*Cadeirante/30*FW$4)</f>
        <v>0</v>
      </c>
      <c r="FX35" s="181">
        <f>((CK35+CM35)*Percapita/30*FX$4)+((CL35+CN35)*Cadeirante/30*FX$4)</f>
        <v>0</v>
      </c>
      <c r="FY35" s="181">
        <f>((CO35+CQ35)*Percapita/30*FY$4)+((CP35+CR35)*Cadeirante/30*FY$4)</f>
        <v>0</v>
      </c>
      <c r="FZ35" s="181">
        <f>((CS35+CU35)*Percapita/30*FZ$4)+((CT35+CV35)*Cadeirante/30*FZ$4)</f>
        <v>0</v>
      </c>
      <c r="GA35" s="181">
        <f>((CW35+CY35)*Percapita/30*GA$4)+((CX35+CZ35)*Cadeirante/30*GA$4)</f>
        <v>0</v>
      </c>
      <c r="GB35" s="181">
        <f>((DA35+DC35)*Percapita/30*GB$4)+((DB35+DD35)*Cadeirante/30*GB$4)</f>
        <v>0</v>
      </c>
      <c r="GC35" s="181">
        <f>((DE35+DG35)*Percapita/30*GC$4)+((DF35+DH35)*Cadeirante/30*GC$4)</f>
        <v>0</v>
      </c>
      <c r="GD35" s="181">
        <f>((DI35+DK35)*Percapita/30*GD$4)+((DJ35+DL35)*Cadeirante/30*GD$4)</f>
        <v>0</v>
      </c>
      <c r="GE35" s="181">
        <f>((DM35+DO35)*Percapita/30*GE$4)+((DN35+DP35)*Cadeirante/30*GE$4)</f>
        <v>0</v>
      </c>
      <c r="GF35" s="181">
        <f>((DQ35+DS35)*Percapita/30*GF$4)+((DR35+DT35)*Cadeirante/30*GF$4)</f>
        <v>0</v>
      </c>
      <c r="GG35" s="181">
        <f>((DU35+DW35)*Percapita/30*GG$4)+((DV35+DX35)*Cadeirante/30*GG$4)</f>
        <v>0</v>
      </c>
      <c r="GH35" s="181">
        <f>((DY35+EA35)*Percapita/30*GH$4)+((DZ35+EB35)*Cadeirante/30*GH$4)</f>
        <v>0</v>
      </c>
      <c r="GI35" s="181">
        <f>((EC35+EE35)*Percapita/30*GI$4)+((ED35+EF35)*Cadeirante/30*GI$4)</f>
        <v>0</v>
      </c>
      <c r="GJ35" s="181">
        <f>((EG35+EI35)*Percapita)+((EH35+EJ35)*Cadeirante)</f>
        <v>0</v>
      </c>
      <c r="GK35" s="258"/>
      <c r="GL35" s="103">
        <f t="shared" si="30"/>
        <v>0</v>
      </c>
      <c r="GM35" s="124"/>
      <c r="GN35" s="182"/>
      <c r="GO35" s="182"/>
      <c r="GP35" s="182"/>
      <c r="GQ35" s="182"/>
      <c r="GR35" s="182"/>
      <c r="GS35" s="182"/>
      <c r="GT35" s="182"/>
      <c r="GU35" s="182"/>
      <c r="GV35" s="182"/>
      <c r="GW35" s="182"/>
      <c r="GX35" s="182"/>
      <c r="GY35" s="182"/>
      <c r="GZ35" s="182"/>
      <c r="HA35" s="182"/>
      <c r="HB35" s="182"/>
      <c r="HC35" s="182"/>
      <c r="HD35" s="182"/>
      <c r="HE35" s="182"/>
      <c r="HF35" s="182"/>
      <c r="HG35" s="182"/>
      <c r="HH35" s="182"/>
      <c r="HI35" s="182"/>
      <c r="HJ35" s="182"/>
      <c r="HK35" s="182"/>
      <c r="HL35" s="182"/>
      <c r="HM35" s="182"/>
      <c r="HN35" s="182"/>
      <c r="HO35" s="182"/>
      <c r="HP35" s="259"/>
      <c r="HQ35" s="64"/>
      <c r="HW35" s="257"/>
      <c r="HY35" s="280">
        <f t="shared" si="52"/>
        <v>0</v>
      </c>
      <c r="HZ35" s="280">
        <f t="shared" si="53"/>
        <v>0</v>
      </c>
      <c r="IA35" s="280">
        <f t="shared" si="54"/>
        <v>0</v>
      </c>
    </row>
    <row r="36" spans="1:237" s="106" customFormat="1" ht="22.5" customHeight="1" x14ac:dyDescent="0.25">
      <c r="A36" t="s">
        <v>3214</v>
      </c>
      <c r="B36" s="522" t="s">
        <v>3215</v>
      </c>
      <c r="C36" s="523">
        <v>1</v>
      </c>
      <c r="D36" s="524" t="s">
        <v>3216</v>
      </c>
      <c r="E36" s="524" t="s">
        <v>3217</v>
      </c>
      <c r="F36" s="525" t="s">
        <v>3182</v>
      </c>
      <c r="G36" s="525" t="s">
        <v>3183</v>
      </c>
      <c r="H36" s="350" t="s">
        <v>343</v>
      </c>
      <c r="I36" s="351" t="s">
        <v>343</v>
      </c>
      <c r="J36" s="409" t="s">
        <v>3184</v>
      </c>
      <c r="K36" s="410" t="s">
        <v>3185</v>
      </c>
      <c r="L36" s="329">
        <f>CONTINUA!BV36</f>
        <v>0</v>
      </c>
      <c r="M36" s="329">
        <f>CONTINUA!BW36</f>
        <v>0</v>
      </c>
      <c r="N36" s="895"/>
      <c r="O36" s="896" t="s">
        <v>3280</v>
      </c>
      <c r="P36" s="897">
        <v>0</v>
      </c>
      <c r="Q36" s="400">
        <v>54</v>
      </c>
      <c r="R36" s="401"/>
      <c r="S36" s="400"/>
      <c r="T36" s="401"/>
      <c r="U36" s="400"/>
      <c r="V36" s="401"/>
      <c r="W36" s="400"/>
      <c r="X36" s="401"/>
      <c r="Y36" s="400"/>
      <c r="Z36" s="401"/>
      <c r="AA36" s="400"/>
      <c r="AB36" s="401"/>
      <c r="AC36" s="400"/>
      <c r="AD36" s="401"/>
      <c r="AE36" s="400"/>
      <c r="AF36" s="401"/>
      <c r="AG36" s="400"/>
      <c r="AH36" s="401"/>
      <c r="AI36" s="400"/>
      <c r="AJ36" s="401"/>
      <c r="AK36" s="400"/>
      <c r="AL36" s="401"/>
      <c r="AM36" s="400"/>
      <c r="AN36" s="401"/>
      <c r="AO36" s="400"/>
      <c r="AP36" s="401"/>
      <c r="AQ36" s="400"/>
      <c r="AR36" s="401"/>
      <c r="AS36" s="400"/>
      <c r="AT36" s="401"/>
      <c r="AU36" s="400"/>
      <c r="AV36" s="401"/>
      <c r="AW36" s="400"/>
      <c r="AX36" s="401"/>
      <c r="AY36" s="400"/>
      <c r="AZ36" s="401"/>
      <c r="BA36" s="400"/>
      <c r="BB36" s="401"/>
      <c r="BC36" s="400"/>
      <c r="BD36" s="401"/>
      <c r="BE36" s="400"/>
      <c r="BF36" s="401"/>
      <c r="BG36" s="400"/>
      <c r="BH36" s="401"/>
      <c r="BI36" s="400"/>
      <c r="BJ36" s="401"/>
      <c r="BK36" s="400"/>
      <c r="BL36" s="401"/>
      <c r="BM36" s="400"/>
      <c r="BN36" s="401"/>
      <c r="BO36" s="400"/>
      <c r="BP36" s="401"/>
      <c r="BQ36" s="400"/>
      <c r="BR36" s="401"/>
      <c r="BS36" s="400"/>
      <c r="BT36" s="401"/>
      <c r="BU36" s="400"/>
      <c r="BV36" s="401"/>
      <c r="BW36" s="400"/>
      <c r="BX36" s="401"/>
      <c r="BY36" s="400"/>
      <c r="BZ36" s="401"/>
      <c r="CA36" s="400"/>
      <c r="CB36" s="401"/>
      <c r="CC36" s="400"/>
      <c r="CD36" s="401"/>
      <c r="CE36" s="400"/>
      <c r="CF36" s="401"/>
      <c r="CG36" s="400"/>
      <c r="CH36" s="401"/>
      <c r="CI36" s="400"/>
      <c r="CJ36" s="401"/>
      <c r="CK36" s="400"/>
      <c r="CL36" s="401"/>
      <c r="CM36" s="400"/>
      <c r="CN36" s="401"/>
      <c r="CO36" s="400"/>
      <c r="CP36" s="401"/>
      <c r="CQ36" s="400"/>
      <c r="CR36" s="401"/>
      <c r="CS36" s="400"/>
      <c r="CT36" s="401"/>
      <c r="CU36" s="400"/>
      <c r="CV36" s="401"/>
      <c r="CW36" s="400"/>
      <c r="CX36" s="401"/>
      <c r="CY36" s="400"/>
      <c r="CZ36" s="401"/>
      <c r="DA36" s="400"/>
      <c r="DB36" s="401"/>
      <c r="DC36" s="400"/>
      <c r="DD36" s="401"/>
      <c r="DE36" s="400"/>
      <c r="DF36" s="401"/>
      <c r="DG36" s="400"/>
      <c r="DH36" s="401"/>
      <c r="DI36" s="400"/>
      <c r="DJ36" s="401"/>
      <c r="DK36" s="400"/>
      <c r="DL36" s="401"/>
      <c r="DM36" s="400"/>
      <c r="DN36" s="401"/>
      <c r="DO36" s="400"/>
      <c r="DP36" s="401"/>
      <c r="DQ36" s="400"/>
      <c r="DR36" s="401"/>
      <c r="DS36" s="400"/>
      <c r="DT36" s="401"/>
      <c r="DU36" s="400"/>
      <c r="DV36" s="401"/>
      <c r="DW36" s="400"/>
      <c r="DX36" s="401"/>
      <c r="DY36" s="400"/>
      <c r="DZ36" s="401"/>
      <c r="EA36" s="400"/>
      <c r="EB36" s="401"/>
      <c r="EC36" s="400"/>
      <c r="ED36" s="401"/>
      <c r="EE36" s="400"/>
      <c r="EF36" s="401"/>
      <c r="EG36" s="400"/>
      <c r="EH36" s="401"/>
      <c r="EI36" s="400"/>
      <c r="EJ36" s="447"/>
      <c r="EK36" s="510"/>
      <c r="EL36" s="513"/>
      <c r="EM36" s="520"/>
      <c r="EN36" s="520"/>
      <c r="EO36" s="520"/>
      <c r="EP36" s="171">
        <f t="shared" si="22"/>
        <v>54</v>
      </c>
      <c r="EQ36" s="171">
        <f t="shared" si="23"/>
        <v>0</v>
      </c>
      <c r="ER36" s="171">
        <f t="shared" si="24"/>
        <v>0</v>
      </c>
      <c r="ES36" s="171">
        <f t="shared" si="25"/>
        <v>0</v>
      </c>
      <c r="ET36" s="171">
        <f t="shared" si="26"/>
        <v>0</v>
      </c>
      <c r="EU36" s="171">
        <f t="shared" si="27"/>
        <v>0</v>
      </c>
      <c r="EV36" s="172">
        <f t="shared" si="28"/>
        <v>54</v>
      </c>
      <c r="EW36" s="367">
        <f>IF(C36=4,IF(MAX(Q36:EJ38)&gt;0,(Especiall/30*(IF(($G36-$F36)=($G$5-$F$5),30,IF(DAY($G36)=31,($G36-$F36),($G36-$F36)+1)))),0),0)</f>
        <v>0</v>
      </c>
      <c r="EX36" s="248">
        <f t="shared" ref="EX36:EX39" si="55">FF36</f>
        <v>22131.260000000002</v>
      </c>
      <c r="EY36" s="174">
        <f>(L36*regular)+(M36*Cadeirantee)</f>
        <v>0</v>
      </c>
      <c r="EZ36" s="249">
        <f>SUMIF(FG36:GJ36,"&gt;0")</f>
        <v>0</v>
      </c>
      <c r="FA36" s="249">
        <f>SUMIF(FG36:GJ36,"&lt;0")+SUMIF(GN36:HP36,"&lt;0")</f>
        <v>0</v>
      </c>
      <c r="FB36" s="174">
        <v>0</v>
      </c>
      <c r="FC36" s="175">
        <f>N36*km*'VALORES TABELA'!$B$13</f>
        <v>0</v>
      </c>
      <c r="FD36" s="250">
        <f>GL36</f>
        <v>0</v>
      </c>
      <c r="FE36" s="176">
        <f>(EW36+EW37+EW38+EW39+EX36+EX37+EX38+EX39+EY36+EY37+EY38+EY39+EY40+EZ36+EZ37+EZ38+EZ39+FA36+FA37+FA38+FA39+FC36+FC37+FC38+FC39+HY36-HZ36-IA36+FD36+FD37+FD38+FD39+FB40)</f>
        <v>22131.260000000002</v>
      </c>
      <c r="FF36" s="177">
        <f>IF(C36=4,SUM(Q36+Q37+Q38+S36+S37+S38)*Percapita/30*FF$4+(R36+R37+R38+T36+T37+T38)*Cadeirante/30*FF$4,IF(C36=3,IF(Q39+S39=10,Fixo/30*FF$4+(Q36+Q37+Q38+S36+S37+S38)*Percapita/30*FF$4+(R39+T39)*Cadeirante/30*FF$4,IF(Q39+S39&lt;=9,(Q39+S39)*Crechee/30*FF$4)+(R39+T39)*Cadeirante/30*FF$4+(Q36+Q37+Q38+S36+S37+S38)*Percapita/30*FF$4)+IF(Q39+S39&gt;=11,Fixo/30*FF$4+(Q39+S39-10)*Crechee/30*FF$4,0),IF(C36=2,IF(R36+R37+R38+R39+T36+T37+T38+T39=1,Cadeirante/30*FF$4,IF(R36+R37+R38+R39+T36+T37+T38+T39=2,Fixo/30*FF$4,IF(R36+R37+R38+R39+T36+T37+T38+T39&gt;2,Fixo/30*FF$4+(R36+R37+R38+R39+T36+T37+T38+T39-2)*Cadeirante/30*FF$4)))+(Q36+Q37+Q38+S36+S37+S38)*Percapita/30*FF$4+(Q39+S39)*Crechee/30*FF$4,IF(C36=1,IF(Q36+Q37+Q38+R36+R37+R38+S36+S37+S38+T36+T37+T38&lt;=15,(Q36+Q37+Q38+S36+S37+S38)*Percapita/30*FF$4,IF(Q36+Q37+Q38+R36+R37+R38+S36+S37+S38+T36+T37+T38&gt;=16,Fixo/30*FF$4+(Q36+Q37+Q38+R36+R37+R38+S36+S37+S38+T36+T37-16)*Percapita/30*FF$4))))))</f>
        <v>22131.260000000002</v>
      </c>
      <c r="FG36" s="177">
        <f>IF(C36=4,SUM(U36+U37+U38+W36+W37+W38)*Percapita/30*FG$4+(V36+V37+V38+X36+X37+X38)*Cadeirante/30*FG$4,IF(C36=3,IF(U39+W39=10,Fixo/30*FG$4+(U36+U37+U38+W36+W37+W38)*Percapita/30*FG$4+(V39+X39)*Cadeirante/30*FG$4,IF(U39+W39&lt;=9,(U39+W39)*Crechee/30*FG$4)+(V39+X39)*Cadeirante/30*FG$4+(U36+U37+U38+W36+W37+W38)*Percapita/30*FG$4)+IF(U39+W39&gt;=11,Fixo/30*FG$4+(U39+W39-10)*Crechee/30*FG$4,0),IF(C36=2,IF(V36+V37+V38+V39+X36+X37+X38+X39=1,Cadeirante/30*FG$4,IF(V36+V37+V38+V39+X36+X37+X38+X39=2,Fixo/30*FG$4,IF(V36+V37+V38+V39+X36+X37+X38+X39&gt;2,Fixo/30*FG$4+(V36+V37+V38+V39+X36+X37+X38+X39-2)*Cadeirante/30*FG$4)))+(U36+U37+U38+W36+W37+W38)*Percapita/30*FG$4+(U39+W39)*Crechee/30*FG$4,IF(C36=1,IF(U36+U37+U38+V36+V37+V38+W36+W37+W38+X36+X37+X38&lt;=15,(U36+U37+U38+W36+W37+W38)*Percapita/30*FG$4,IF(U36+U37+U38+V36+V37+V38+W36+W37+W38+X36+X37+X38&gt;=16,Fixo/30*FG$4+(U36+U37+U38+V36+V37+V38+W36+W37+W38+X36+X37-16)*Percapita/30*FG$4))))))</f>
        <v>0</v>
      </c>
      <c r="FH36" s="177">
        <f>IF(C36=4,SUM(Y36+Y37+Y38+AA36+AA37+AA38)*Percapita/30*FH$4+(Z36+Z37+Z38+AB36+AB37+AB38)*Cadeirante/30*FH$4,IF(C36=3,IF(Y39+AA39=10,Fixo/30*FH$4+(Y36+Y37+Y38+AA36+AA37+AA38)*Percapita/30*FH$4+(Z39+AB39)*Cadeirante/30*FH$4,IF(Y39+AA39&lt;=9,(Y39+AA39)*Crechee/30*FH$4)+(Z39+AB39)*Cadeirante/30*FH$4+(Y36+Y37+Y38+AA36+AA37+AA38)*Percapita/30*FH$4)+IF(Y39+AA39&gt;=11,Fixo/30*FH$4+(Y39+AA39-10)*Crechee/30*FH$4,0),IF(C36=2,IF(Z36+Z37+Z38+Z39+AB36+AB37+AB38+AB39=1,Cadeirante/30*FH$4,IF(Z36+Z37+Z38+Z39+AB36+AB37+AB38+AB39=2,Fixo/30*FH$4,IF(Z36+Z37+Z38+Z39+AB36+AB37+AB38+AB39&gt;2,Fixo/30*FH$4+(Z36+Z37+Z38+Z39+AB36+AB37+AB38+AB39-2)*Cadeirante/30*FH$4)))+(Y36+Y37+Y38+AA36+AA37+AA38)*Percapita/30*FH$4+(Y39+AA39)*Crechee/30*FH$4,IF(C36=1,IF(Y36+Y37+Y38+Z36+Z37+Z38+AA36+AA37+AA38+AB36+AB37+AB38&lt;=15,(Y36+Y37+Y38+AA36+AA37+AA38)*Percapita/30*FH$4,IF(Y36+Y37+Y38+Z36+Z37+Z38+AA36+AA37+AA38+AB36+AB37+AB38&gt;=16,Fixo/30*FH$4+(Y36+Y37+Y38+Z36+Z37+Z38+AA36+AA37+AA38+AB36+AB37-16)*Percapita/30*FH$4))))))</f>
        <v>0</v>
      </c>
      <c r="FI36" s="177">
        <f>IF(C36=4,SUM(AC36+AC37+AC38+AE36+AE37+AE38)*Percapita/30*FI$4+(AD36+AD37+AD38+AF36+AF37+AF38)*Cadeirante/30*FI$4,IF(C36=3,IF(AC39+AE39=10,Fixo/30*FI$4+(AC36+AC37+AC38+AE36+AE37+AE38)*Percapita/30*FI$4+(AD39+AF39)*Cadeirante/30*FI$4,IF(AC39+AE39&lt;=9,(AC39+AE39)*Crechee/30*FI$4)+(AD39+AF39)*Cadeirante/30*FI$4+(AC36+AC37+AC38+AE36+AE37+AE38)*Percapita/30*FI$4)+IF(AC39+AE39&gt;=11,Fixo/30*FI$4+(AC39+AE39-10)*Crechee/30*FI$4,0),IF(C36=2,IF(AD36+AD37+AD38+AD39+AF36+AF37+AF38+AF39=1,Cadeirante/30*FI$4,IF(AD36+AD37+AD38+AD39+AF36+AF37+AF38+AF39=2,Fixo/30*FI$4,IF(AD36+AD37+AD38+AD39+AF36+AF37+AF38+AF39&gt;2,Fixo/30*FI$4+(AD36+AD37+AD38+AD39+AF36+AF37+AF38+AF39-2)*Cadeirante/30*FI$4)))+(AC36+AC37+AC38+AE36+AE37+AE38)*Percapita/30*FI$4+(AC39+AE39)*Crechee/30*FI$4,IF(C36=1,IF(AC36+AC37+AC38+AD36+AD37+AD38+AE36+AE37+AE38+AF36+AF37+AF38&lt;=15,(AC36+AC37+AC38+AE36+AE37+AE38)*Percapita/30*FI$4,IF(AC36+AC37+AC38+AD36+AD37+AD38+AE36+AE37+AE38+AF36+AF37+AF38&gt;=16,Fixo/30*FI$4+(AC36+AC37+AC38+AD36+AD37+AD38+AE36+AE37+AE38+AF36+AF37-16)*Percapita/30*FI$4))))))</f>
        <v>0</v>
      </c>
      <c r="FJ36" s="177">
        <f>IF(C36=4,SUM(AG36+AG37+AG38+AI36+AI37+AI38)*Percapita/30*FJ$4+(AH36+AH37+AH38+AJ36+AJ37+AJ38)*Cadeirante/30*FJ$4,IF(C36=3,IF(AG39+AI39=10,Fixo/30*FJ$4+(AG36+AG37+AG38+AI36+AI37+AI38)*Percapita/30*FJ$4+(AH39+AJ39)*Cadeirante/30*FJ$4,IF(AG39+AI39&lt;=9,(AG39+AI39)*Crechee/30*FJ$4)+(AH39+AJ39)*Cadeirante/30*FJ$4+(AG36+AG37+AG38+AI36+AI37+AI38)*Percapita/30*FJ$4)+IF(AG39+AI39&gt;=11,Fixo/30*FJ$4+(AG39+AI39-10)*Crechee/30*FJ$4,0),IF(C36=2,IF(AH36+AH37+AH38+AH39+AJ36+AJ37+AJ38+AJ39=1,Cadeirante/30*FJ$4,IF(AH36+AH37+AH38+AH39+AJ36+AJ37+AJ38+AJ39=2,Fixo/30*FJ$4,IF(AH36+AH37+AH38+AH39+AJ36+AJ37+AJ38+AJ39&gt;2,Fixo/30*FJ$4+(AH36+AH37+AH38+AH39+AJ36+AJ37+AJ38+AJ39-2)*Cadeirante/30*FJ$4)))+(AG36+AG37+AG38+AI36+AI37+AI38)*Percapita/30*FJ$4+(AG39+AI39)*Crechee/30*FJ$4,IF(C36=1,IF(AG36+AG37+AG38+AH36+AH37+AH38+AI36+AI37+AI38+AJ36+AJ37+AJ38&lt;=15,(AG36+AG37+AG38+AI36+AI37+AI38)*Percapita/30*FJ$4,IF(AG36+AG37+AG38+AH36+AH37+AH38+AI36+AI37+AI38+AJ36+AJ37+AJ38&gt;=16,Fixo/30*FJ$4+(AG36+AG37+AG38+AH36+AH37+AH38+AI36+AI37+AI38+AJ36+AJ37-16)*Percapita/30*FJ$4))))))</f>
        <v>0</v>
      </c>
      <c r="FK36" s="177">
        <f>IF(C36=4,SUM(AK36+AK37+AK38+AM36+AM37+AM38)*Percapita/30*FK$4+(AL36+AL37+AL38+AN36+AN37+AN38)*Cadeirante/30*FK$4,IF(C36=3,IF(AK39+AM39=10,Fixo/30*FK$4+(AK36+AK37+AK38+AM36+AM37+AM38)*Percapita/30*FK$4+(AL39+AN39)*Cadeirante/30*FK$4,IF(AK39+AM39&lt;=9,(AK39+AM39)*Crechee/30*FK$4)+(AL39+AN39)*Cadeirante/30*FK$4+(AK36+AK37+AK38+AM36+AM37+AM38)*Percapita/30*FK$4)+IF(AK39+AM39&gt;=11,Fixo/30*FK$4+(AK39+AM39-10)*Crechee/30*FK$4,0),IF(C36=2,IF(AL36+AL37+AL38+AL39+AN36+AN37+AN38+AN39=1,Cadeirante/30*FK$4,IF(AL36+AL37+AL38+AL39+AN36+AN37+AN38+AN39=2,Fixo/30*FK$4,IF(AL36+AL37+AL38+AL39+AN36+AN37+AN38+AN39&gt;2,Fixo/30*FK$4+(AL36+AL37+AL38+AL39+AN36+AN37+AN38+AN39-2)*Cadeirante/30*FK$4)))+(AK36+AK37+AK38+AM36+AM37+AM38)*Percapita/30*FK$4+(AK39+AM39)*Crechee/30*FK$4,IF(C36=1,IF(AK36+AK37+AK38+AL36+AL37+AL38+AM36+AM37+AM38+AN36+AN37+AN38&lt;=15,(AK36+AK37+AK38+AM36+AM37+AM38)*Percapita/30*FK$4,IF(AK36+AK37+AK38+AL36+AL37+AL38+AM36+AM37+AM38+AN36+AN37+AN38&gt;=16,Fixo/30*FK$4+(AK36+AK37+AK38+AL36+AL37+AL38+AM36+AM37+AM38+AN36+AN37-16)*Percapita/30*FK$4))))))</f>
        <v>0</v>
      </c>
      <c r="FL36" s="177">
        <f>IF(C36=4,SUM(AO36+AO37+AO38+AQ36+AQ37+AQ38)*Percapita/30*FL$4+(AP36+AP37+AP38+AR36+AR37+AR38)*Cadeirante/30*FL$4,IF(C36=3,IF(AO39+AQ39=10,Fixo/30*FL$4+(AO36+AO37+AO38+AQ36+AQ37+AQ38)*Percapita/30*FL$4+(AP39+AR39)*Cadeirante/30*FL$4,IF(AO39+AQ39&lt;=9,(AO39+AQ39)*Crechee/30*FL$4)+(AP39+AR39)*Cadeirante/30*FL$4+(AO36+AO37+AO38+AQ36+AQ37+AQ38)*Percapita/30*FL$4)+IF(AO39+AQ39&gt;=11,Fixo/30*FL$4+(AO39+AQ39-10)*Crechee/30*FL$4,0),IF(C36=2,IF(AP36+AP37+AP38+AP39+AR36+AR37+AR38+AR39=1,Cadeirante/30*FL$4,IF(AP36+AP37+AP38+AP39+AR36+AR37+AR38+AR39=2,Fixo/30*FL$4,IF(AP36+AP37+AP38+AP39+AR36+AR37+AR38+AR39&gt;2,Fixo/30*FL$4+(AP36+AP37+AP38+AP39+AR36+AR37+AR38+AR39-2)*Cadeirante/30*FL$4)))+(AO36+AO37+AO38+AQ36+AQ37+AQ38)*Percapita/30*FL$4+(AO39+AQ39)*Crechee/30*FL$4,IF(C36=1,IF(AO36+AO37+AO38+AP36+AP37+AP38+AQ36+AQ37+AQ38+AR36+AR37+AR38&lt;=15,(AO36+AO37+AO38+AQ36+AQ37+AQ38)*Percapita/30*FL$4,IF(AO36+AO37+AO38+AP36+AP37+AP38+AQ36+AQ37+AQ38+AR36+AR37+AR38&gt;=16,Fixo/30*FL$4+(AO36+AO37+AO38+AP36+AP37+AP38+AQ36+AQ37+AQ38+AR36+AR37-16)*Percapita/30*FL$4))))))</f>
        <v>0</v>
      </c>
      <c r="FM36" s="177">
        <f>IF(C36=4,SUM(AS36+AS37+AS38+AU36+AU37+AU38)*Percapita/30*FM$4+(AT36+AT37+AT38+AV36+AV37+AV38)*Cadeirante/30*FM$4,IF(C36=3,IF(AS39+AU39=10,Fixo/30*FM$4+(AS36+AS37+AS38+AU36+AU37+AU38)*Percapita/30*FM$4+(AT39+AV39)*Cadeirante/30*FM$4,IF(AS39+AU39&lt;=9,(AS39+AU39)*Crechee/30*FM$4)+(AT39+AV39)*Cadeirante/30*FM$4+(AS36+AS37+AS38+AU36+AU37+AU38)*Percapita/30*FM$4)+IF(AS39+AU39&gt;=11,Fixo/30*FM$4+(AS39+AU39-10)*Crechee/30*FM$4,0),IF(C36=2,IF(AT36+AT37+AT38+AT39+AV36+AV37+AV38+AV39=1,Cadeirante/30*FM$4,IF(AT36+AT37+AT38+AT39+AV36+AV37+AV38+AV39=2,Fixo/30*FM$4,IF(AT36+AT37+AT38+AT39+AV36+AV37+AV38+AV39&gt;2,Fixo/30*FM$4+(AT36+AT37+AT38+AT39+AV36+AV37+AV38+AV39-2)*Cadeirante/30*FM$4)))+(AS36+AS37+AS38+AU36+AU37+AU38)*Percapita/30*FM$4+(AS39+AU39)*Crechee/30*FM$4,IF(C36=1,IF(AS36+AS37+AS38+AT36+AT37+AT38+AU36+AU37+AU38+AV36+AV37+AV38&lt;=15,(AS36+AS37+AS38+AU36+AU37+AU38)*Percapita/30*FM$4,IF(AS36+AS37+AS38+AT36+AT37+AT38+AU36+AU37+AU38+AV36+AV37+AV38&gt;=16,Fixo/30*FM$4+(AS36+AS37+AS38+AT36+AT37+AT38+AU36+AU37+AU38+AV36+AV37-16)*Percapita/30*FM$4))))))</f>
        <v>0</v>
      </c>
      <c r="FN36" s="177">
        <f>IF(C36=4,SUM(AW36+AW37+AW38+AY36+AY37+AY38)*Percapita/30*FN$4+(AX36+AX37+AX38+AZ36+AZ37+AZ38)*Cadeirante/30*FN$4,IF(C36=3,IF(AW39+AY39=10,Fixo/30*FN$4+(AW36+AW37+AW38+AY36+AY37+AY38)*Percapita/30*FN$4+(AX39+AZ39)*Cadeirante/30*FN$4,IF(AW39+AY39&lt;=9,(AW39+AY39)*Crechee/30*FN$4)+(AX39+AZ39)*Cadeirante/30*FN$4+(AW36+AW37+AW38+AY36+AY37+AY38)*Percapita/30*FN$4)+IF(AW39+AY39&gt;=11,Fixo/30*FN$4+(AW39+AY39-10)*Crechee/30*FN$4,0),IF(C36=2,IF(AX36+AX37+AX38+AX39+AZ36+AZ37+AZ38+AZ39=1,Cadeirante/30*FN$4,IF(AX36+AX37+AX38+AX39+AZ36+AZ37+AZ38+AZ39=2,Fixo/30*FN$4,IF(AX36+AX37+AX38+AX39+AZ36+AZ37+AZ38+AZ39&gt;2,Fixo/30*FN$4+(AX36+AX37+AX38+AX39+AZ36+AZ37+AZ38+AZ39-2)*Cadeirante/30*FN$4)))+(AW36+AW37+AW38+AY36+AY37+AY38)*Percapita/30*FN$4+(AW39+AY39)*Crechee/30*FN$4,IF(C36=1,IF(AW36+AW37+AW38+AX36+AX37+AX38+AY36+AY37+AY38+AZ36+AZ37+AZ38&lt;=15,(AW36+AW37+AW38+AY36+AY37+AY38)*Percapita/30*FN$4,IF(AW36+AW37+AW38+AX36+AX37+AX38+AY36+AY37+AY38+AZ36+AZ37+AZ38&gt;=16,Fixo/30*FN$4+(AW36+AW37+AW38+AX36+AX37+AX38+AY36+AY37+AY38+AZ36+AZ37-16)*Percapita/30*FN$4))))))</f>
        <v>0</v>
      </c>
      <c r="FO36" s="177">
        <f>IF(C36=4,SUM(BA36+BA37+BA38+BC36+BC37+BC38)*Percapita/30*FO$4+(BB36+BB37+BB38+BD36+BD37+BD38)*Cadeirante/30*FO$4,IF(C36=3,IF(BA39+BC39=10,Fixo/30*FO$4+(BA36+BA37+BA38+BC36+BC37+BC38)*Percapita/30*FO$4+(BB39+BD39)*Cadeirante/30*FO$4,IF(BA39+BC39&lt;=9,(BA39+BC39)*Crechee/30*FO$4)+(BB39+BD39)*Cadeirante/30*FO$4+(BA36+BA37+BA38+BC36+BC37+BC38)*Percapita/30*FO$4)+IF(BA39+BC39&gt;=11,Fixo/30*FO$4+(BA39+BC39-10)*Crechee/30*FO$4,0),IF(C36=2,IF(BB36+BB37+BB38+BB39+BD36+BD37+BD38+BD39=1,Cadeirante/30*FO$4,IF(BB36+BB37+BB38+BB39+BD36+BD37+BD38+BD39=2,Fixo/30*FO$4,IF(BB36+BB37+BB38+BB39+BD36+BD37+BD38+BD39&gt;2,Fixo/30*FO$4+(BB36+BB37+BB38+BB39+BD36+BD37+BD38+BD39-2)*Cadeirante/30*FO$4)))+(BA36+BA37+BA38+BC36+BC37+BC38)*Percapita/30*FO$4+(BA39+BC39)*Crechee/30*FO$4,IF(C36=1,IF(BA36+BA37+BA38+BB36+BB37+BB38+BC36+BC37+BC38+BD36+BD37+BD38&lt;=15,(BA36+BA37+BA38+BC36+BC37+BC38)*Percapita/30*FO$4,IF(BA36+BA37+BA38+BB36+BB37+BB38+BC36+BC37+BC38+BD36+BD37+BD38&gt;=16,Fixo/30*FO$4+(BA36+BA37+BA38+BB36+BB37+BB38+BC36+BC37+BC38+BD36+BD37-16)*Percapita/30*FO$4))))))</f>
        <v>0</v>
      </c>
      <c r="FP36" s="177">
        <f>IF(C36=4,SUM(BE36+BE37+BE38+BG36+BG37+BG38)*Percapita/30*FP$4+(BF36+BF37+BF38+BH36+BH37+BH38)*Cadeirante/30*FP$4,IF(C36=3,IF(BE39+BG39=10,Fixo/30*FP$4+(BE36+BE37+BE38+BG36+BG37+BG38)*Percapita/30*FP$4+(BF39+BH39)*Cadeirante/30*FP$4,IF(BE39+BG39&lt;=9,(BE39+BG39)*Crechee/30*FP$4)+(BF39+BH39)*Cadeirante/30*FP$4+(BE36+BE37+BE38+BG36+BG37+BG38)*Percapita/30*FP$4)+IF(BE39+BG39&gt;=11,Fixo/30*FP$4+(BE39+BG39-10)*Crechee/30*FP$4,0),IF(C36=2,IF(BF36+BF37+BF38+BF39+BH36+BH37+BH38+BH39=1,Cadeirante/30*FP$4,IF(BF36+BF37+BF38+BF39+BH36+BH37+BH38+BH39=2,Fixo/30*FP$4,IF(BF36+BF37+BF38+BF39+BH36+BH37+BH38+BH39&gt;2,Fixo/30*FP$4+(BF36+BF37+BF38+BF39+BH36+BH37+BH38+BH39-2)*Cadeirante/30*FP$4)))+(BE36+BE37+BE38+BG36+BG37+BG38)*Percapita/30*FP$4+(BE39+BG39)*Crechee/30*FP$4,IF(C36=1,IF(BE36+BE37+BE38+BF36+BF37+BF38+BG36+BG37+BG38+BH36+BH37+BH38&lt;=15,(BE36+BE37+BE38+BG36+BG37+BG38)*Percapita/30*FP$4,IF(BE36+BE37+BE38+BF36+BF37+BF38+BG36+BG37+BG38+BH36+BH37+BH38&gt;=16,Fixo/30*FP$4+(BE36+BE37+BE38+BF36+BF37+BF38+BG36+BG37+BG38+BH36+BH37-16)*Percapita/30*FP$4))))))</f>
        <v>0</v>
      </c>
      <c r="FQ36" s="177">
        <f>IF(C36=4,SUM(BI36+BI37+BI38+BK36+BK37+BK38)*Percapita/30*FQ$4+(BJ36+BJ37+BJ38+BL36+BL37+BL38)*Cadeirante/30*FQ$4,IF(C36=3,IF(BI39+BK39=10,Fixo/30*FQ$4+(BI36+BI37+BI38+BK36+BK37+BK38)*Percapita/30*FQ$4+(BJ39+BL39)*Cadeirante/30*FQ$4,IF(BI39+BK39&lt;=9,(BI39+BK39)*Crechee/30*FQ$4)+(BJ39+BL39)*Cadeirante/30*FQ$4+(BI36+BI37+BI38+BK36+BK37+BK38)*Percapita/30*FQ$4)+IF(BI39+BK39&gt;=11,Fixo/30*FQ$4+(BI39+BK39-10)*Crechee/30*FQ$4,0),IF(C36=2,IF(BJ36+BJ37+BJ38+BJ39+BL36+BL37+BL38+BL39=1,Cadeirante/30*FQ$4,IF(BJ36+BJ37+BJ38+BJ39+BL36+BL37+BL38+BL39=2,Fixo/30*FQ$4,IF(BJ36+BJ37+BJ38+BJ39+BL36+BL37+BL38+BL39&gt;2,Fixo/30*FQ$4+(BJ36+BJ37+BJ38+BJ39+BL36+BL37+BL38+BL39-2)*Cadeirante/30*FQ$4)))+(BI36+BI37+BI38+BK36+BK37+BK38)*Percapita/30*FQ$4+(BI39+BK39)*Crechee/30*FQ$4,IF(C36=1,IF(BI36+BI37+BI38+BJ36+BJ37+BJ38+BK36+BK37+BK38+BL36+BL37+BL38&lt;=15,(BI36+BI37+BI38+BK36+BK37+BK38)*Percapita/30*FQ$4,IF(BI36+BI37+BI38+BJ36+BJ37+BJ38+BK36+BK37+BK38+BL36+BL37+BL38&gt;=16,Fixo/30*FQ$4+(BI36+BI37+BI38+BJ36+BJ37+BJ38+BK36+BK37+BK38+BL36+BL37-16)*Percapita/30*FQ$4))))))</f>
        <v>0</v>
      </c>
      <c r="FR36" s="177">
        <f>IF(C36=4,SUM(BM36+BM37+BM38+BO36+BO37+BO38)*Percapita/30*FR$4+(BN36+BN37+BN38+BP36+BP37+BP38)*Cadeirante/30*FR$4,IF(C36=3,IF(BM39+BO39=10,Fixo/30*FR$4+(BM36+BM37+BM38+BO36+BO37+BO38)*Percapita/30*FR$4+(BN39+BP39)*Cadeirante/30*FR$4,IF(BM39+BO39&lt;=9,(BM39+BO39)*Crechee/30*FR$4)+(BN39+BP39)*Cadeirante/30*FR$4+(BM36+BM37+BM38+BO36+BO37+BO38)*Percapita/30*FR$4)+IF(BM39+BO39&gt;=11,Fixo/30*FR$4+(BM39+BO39-10)*Crechee/30*FR$4,0),IF(C36=2,IF(BN36+BN37+BN38+BN39+BP36+BP37+BP38+BP39=1,Cadeirante/30*FR$4,IF(BN36+BN37+BN38+BN39+BP36+BP37+BP38+BP39=2,Fixo/30*FR$4,IF(BN36+BN37+BN38+BN39+BP36+BP37+BP38+BP39&gt;2,Fixo/30*FR$4+(BN36+BN37+BN38+BN39+BP36+BP37+BP38+BP39-2)*Cadeirante/30*FR$4)))+(BM36+BM37+BM38+BO36+BO37+BO38)*Percapita/30*FR$4+(BM39+BO39)*Crechee/30*FR$4,IF(C36=1,IF(BM36+BM37+BM38+BN36+BN37+BN38+BO36+BO37+BO38+BP36+BP37+BP38&lt;=15,(BM36+BM37+BM38+BO36+BO37+BO38)*Percapita/30*FR$4,IF(BM36+BM37+BM38+BN36+BN37+BN38+BO36+BO37+BO38+BP36+BP37+BP38&gt;=16,Fixo/30*FR$4+(BM36+BM37+BM38+BN36+BN37+BN38+BO36+BO37+BO38+BP36+BP37-16)*Percapita/30*FR$4))))))</f>
        <v>0</v>
      </c>
      <c r="FS36" s="177">
        <f>IF(C36=4,SUM(BQ36+BQ37+BQ38+BS36+BS37+BS38)*Percapita/30*FS$4+(BR36+BR37+BR38+BT36+BT37+BT38)*Cadeirante/30*FS$4,IF(C36=3,IF(BQ39+BS39=10,Fixo/30*FS$4+(BQ36+BQ37+BQ38+BS36+BS37+BS38)*Percapita/30*FS$4+(BR39+BT39)*Cadeirante/30*FS$4,IF(BQ39+BS39&lt;=9,(BQ39+BS39)*Crechee/30*FS$4)+(BR39+BT39)*Cadeirante/30*FS$4+(BQ36+BQ37+BQ38+BS36+BS37+BS38)*Percapita/30*FS$4)+IF(BQ39+BS39&gt;=11,Fixo/30*FS$4+(BQ39+BS39-10)*Crechee/30*FS$4,0),IF(C36=2,IF(BR36+BR37+BR38+BR39+BT36+BT37+BT38+BT39=1,Cadeirante/30*FS$4,IF(BR36+BR37+BR38+BR39+BT36+BT37+BT38+BT39=2,Fixo/30*FS$4,IF(BR36+BR37+BR38+BR39+BT36+BT37+BT38+BT39&gt;2,Fixo/30*FS$4+(BR36+BR37+BR38+BR39+BT36+BT37+BT38+BT39-2)*Cadeirante/30*FS$4)))+(BQ36+BQ37+BQ38+BS36+BS37+BS38)*Percapita/30*FS$4+(BQ39+BS39)*Crechee/30*FS$4,IF(C36=1,IF(BQ36+BQ37+BQ38+BR36+BR37+BR38+BS36+BS37+BS38+BT36+BT37+BT38&lt;=15,(BQ36+BQ37+BQ38+BS36+BS37+BS38)*Percapita/30*FS$4,IF(BQ36+BQ37+BQ38+BR36+BR37+BR38+BS36+BS37+BS38+BT36+BT37+BT38&gt;=16,Fixo/30*FS$4+(BQ36+BQ37+BQ38+BR36+BR37+BR38+BS36+BS37+BS38+BT36+BT37-16)*Percapita/30*FS$4))))))</f>
        <v>0</v>
      </c>
      <c r="FT36" s="177">
        <f>IF(C36=4,SUM(BU36+BU37+BU38+BW36+BW37+BW38)*Percapita/30*FT$4+(BV36+BV37+BV38+BX36+BX37+BX38)*Cadeirante/30*FT$4,IF(C36=3,IF(BU39+BW39=10,Fixo/30*FT$4+(BU36+BU37+BU38+BW36+BW37+BW38)*Percapita/30*FT$4+(BV39+BX39)*Cadeirante/30*FT$4,IF(BU39+BW39&lt;=9,(BU39+BW39)*Crechee/30*FT$4)+(BV39+BX39)*Cadeirante/30*FT$4+(BU36+BU37+BU38+BW36+BW37+BW38)*Percapita/30*FT$4)+IF(BU39+BW39&gt;=11,Fixo/30*FT$4+(BU39+BW39-10)*Crechee/30*FT$4,0),IF(C36=2,IF(BV36+BV37+BV38+BV39+BX36+BX37+BX38+BX39=1,Cadeirante/30*FT$4,IF(BV36+BV37+BV38+BV39+BX36+BX37+BX38+BX39=2,Fixo/30*FT$4,IF(BV36+BV37+BV38+BV39+BX36+BX37+BX38+BX39&gt;2,Fixo/30*FT$4+(BV36+BV37+BV38+BV39+BX36+BX37+BX38+BX39-2)*Cadeirante/30*FT$4)))+(BU36+BU37+BU38+BW36+BW37+BW38)*Percapita/30*FT$4+(BU39+BW39)*Crechee/30*FT$4,IF(C36=1,IF(BU36+BU37+BU38+BV36+BV37+BV38+BW36+BW37+BW38+BX36+BX37+BX38&lt;=15,(BU36+BU37+BU38+BW36+BW37+BW38)*Percapita/30*FT$4,IF(BU36+BU37+BU38+BV36+BV37+BV38+BW36+BW37+BW38+BX36+BX37+BX38&gt;=16,Fixo/30*FT$4+(BU36+BU37+BU38+BV36+BV37+BV38+BW36+BW37+BW38+BX36+BX37-16)*Percapita/30*FT$4))))))</f>
        <v>0</v>
      </c>
      <c r="FU36" s="177">
        <f>IF(C36=4,SUM(BY36+BY37+BY38+CA36+CA37+CA38)*Percapita/30*FU$4+(BZ36+BZ37+BZ38+CB36+CB37+CB38)*Cadeirante/30*FU$4,IF(C36=3,IF(BY39+CA39=10,Fixo/30*FU$4+(BY36+BY37+BY38+CA36+CA37+CA38)*Percapita/30*FU$4+(BZ39+CB39)*Cadeirante/30*FU$4,IF(BY39+CA39&lt;=9,(BY39+CA39)*Crechee/30*FU$4)+(BZ39+CB39)*Cadeirante/30*FU$4+(BY36+BY37+BY38+CA36+CA37+CA38)*Percapita/30*FU$4)+IF(BY39+CA39&gt;=11,Fixo/30*FU$4+(BY39+CA39-10)*Crechee/30*FU$4,0),IF(C36=2,IF(BZ36+BZ37+BZ38+BZ39+CB36+CB37+CB38+CB39=1,Cadeirante/30*FU$4,IF(BZ36+BZ37+BZ38+BZ39+CB36+CB37+CB38+CB39=2,Fixo/30*FU$4,IF(BZ36+BZ37+BZ38+BZ39+CB36+CB37+CB38+CB39&gt;2,Fixo/30*FU$4+(BZ36+BZ37+BZ38+BZ39+CB36+CB37+CB38+CB39-2)*Cadeirante/30*FU$4)))+(BY36+BY37+BY38+CA36+CA37+CA38)*Percapita/30*FU$4+(BY39+CA39)*Crechee/30*FU$4,IF(C36=1,IF(BY36+BY37+BY38+BZ36+BZ37+BZ38+CA36+CA37+CA38+CB36+CB37+CB38&lt;=15,(BY36+BY37+BY38+CA36+CA37+CA38)*Percapita/30*FU$4,IF(BY36+BY37+BY38+BZ36+BZ37+BZ38+CA36+CA37+CA38+CB36+CB37+CB38&gt;=16,Fixo/30*FU$4+(BY36+BY37+BY38+BZ36+BZ37+BZ38+CA36+CA37+CA38+CB36+CB37-16)*Percapita/30*FU$4))))))</f>
        <v>0</v>
      </c>
      <c r="FV36" s="177">
        <f>IF(C36=4,SUM(CC36+CC37+CC38+CE36+CE37+CE38)*Percapita/30*FV$4+(CD36+CD37+CD38+CF36+CF37+CF38)*Cadeirante/30*FV$4,IF(C36=3,IF(CC39+CE39=10,Fixo/30*FV$4+(CC36+CC37+CC38+CE36+CE37+CE38)*Percapita/30*FV$4+(CD39+CF39)*Cadeirante/30*FV$4,IF(CC39+CE39&lt;=9,(CC39+CE39)*Crechee/30*FV$4)+(CD39+CF39)*Cadeirante/30*FV$4+(CC36+CC37+CC38+CE36+CE37+CE38)*Percapita/30*FV$4)+IF(CC39+CE39&gt;=11,Fixo/30*FV$4+(CC39+CE39-10)*Crechee/30*FV$4,0),IF(C36=2,IF(CD36+CD37+CD38+CD39+CF36+CF37+CF38+CF39=1,Cadeirante/30*FV$4,IF(CD36+CD37+CD38+CD39+CF36+CF37+CF38+CF39=2,Fixo/30*FV$4,IF(CD36+CD37+CD38+CD39+CF36+CF37+CF38+CF39&gt;2,Fixo/30*FV$4+(CD36+CD37+CD38+CD39+CF36+CF37+CF38+CF39-2)*Cadeirante/30*FV$4)))+(CC36+CC37+CC38+CE36+CE37+CE38)*Percapita/30*FV$4+(CC39+CE39)*Crechee/30*FV$4,IF(C36=1,IF(CC36+CC37+CC38+CD36+CD37+CD38+CE36+CE37+CE38+CF36+CF37+CF38&lt;=15,(CC36+CC37+CC38+CE36+CE37+CE38)*Percapita/30*FV$4,IF(CC36+CC37+CC38+CD36+CD37+CD38+CE36+CE37+CE38+CF36+CF37+CF38&gt;=16,Fixo/30*FV$4+(CC36+CC37+CC38+CD36+CD37+CD38+CE36+CE37+CE38+CF36+CF37-16)*Percapita/30*FV$4))))))</f>
        <v>0</v>
      </c>
      <c r="FW36" s="177">
        <f>IF(C36=4,SUM(CG36+CG37+CG38+CI36+CI37+CI38)*Percapita/30*FW$4+(CH36+CH37+CH38+CJ36+CJ37+CJ38)*Cadeirante/30*FW$4,IF(C36=3,IF(CG39+CI39=10,Fixo/30*FW$4+(CG36+CG37+CG38+CI36+CI37+CI38)*Percapita/30*FW$4+(CH39+CJ39)*Cadeirante/30*FW$4,IF(CG39+CI39&lt;=9,(CG39+CI39)*Crechee/30*FW$4)+(CH39+CJ39)*Cadeirante/30*FW$4+(CG36+CG37+CG38+CI36+CI37+CI38)*Percapita/30*FW$4)+IF(CG39+CI39&gt;=11,Fixo/30*FW$4+(CG39+CI39-10)*Crechee/30*FW$4,0),IF(C36=2,IF(CH36+CH37+CH38+CH39+CJ36+CJ37+CJ38+CJ39=1,Cadeirante/30*FW$4,IF(CH36+CH37+CH38+CH39+CJ36+CJ37+CJ38+CJ39=2,Fixo/30*FW$4,IF(CH36+CH37+CH38+CH39+CJ36+CJ37+CJ38+CJ39&gt;2,Fixo/30*FW$4+(CH36+CH37+CH38+CH39+CJ36+CJ37+CJ38+CJ39-2)*Cadeirante/30*FW$4)))+(CG36+CG37+CG38+CI36+CI37+CI38)*Percapita/30*FW$4+(CG39+CI39)*Crechee/30*FW$4,IF(C36=1,IF(CG36+CG37+CG38+CH36+CH37+CH38+CI36+CI37+CI38+CJ36+CJ37+CJ38&lt;=15,(CG36+CG37+CG38+CI36+CI37+CI38)*Percapita/30*FW$4,IF(CG36+CG37+CG38+CH36+CH37+CH38+CI36+CI37+CI38+CJ36+CJ37+CJ38&gt;=16,Fixo/30*FW$4+(CG36+CG37+CG38+CH36+CH37+CH38+CI36+CI37+CI38+CJ36+CJ37-16)*Percapita/30*FW$4))))))</f>
        <v>0</v>
      </c>
      <c r="FX36" s="177">
        <f>IF(C36=4,SUM(CK36+CK37+CK38+CM36+CM37+CM38)*Percapita/30*FX$4+(CL36+CL37+CL38+CN36+CN37+CN38)*Cadeirante/30*FX$4,IF(C36=3,IF(CK39+CM39=10,Fixo/30*FX$4+(CK36+CK37+CK38+CM36+CM37+CM38)*Percapita/30*FX$4+(CL39+CN39)*Cadeirante/30*FX$4,IF(CK39+CM39&lt;=9,(CK39+CM39)*Crechee/30*FX$4)+(CL39+CN39)*Cadeirante/30*FX$4+(CK36+CK37+CK38+CM36+CM37+CM38)*Percapita/30*FX$4)+IF(CK39+CM39&gt;=11,Fixo/30*FX$4+(CK39+CM39-10)*Crechee/30*FX$4,0),IF(C36=2,IF(CL36+CL37+CL38+CL39+CN36+CN37+CN38+CN39=1,Cadeirante/30*FX$4,IF(CL36+CL37+CL38+CL39+CN36+CN37+CN38+CN39=2,Fixo/30*FX$4,IF(CL36+CL37+CL38+CL39+CN36+CN37+CN38+CN39&gt;2,Fixo/30*FX$4+(CL36+CL37+CL38+CL39+CN36+CN37+CN38+CN39-2)*Cadeirante/30*FX$4)))+(CK36+CK37+CK38+CM36+CM37+CM38)*Percapita/30*FX$4+(CK39+CM39)*Crechee/30*FX$4,IF(C36=1,IF(CK36+CK37+CK38+CL36+CL37+CL38+CM36+CM37+CM38+CN36+CN37+CN38&lt;=15,(CK36+CK37+CK38+CM36+CM37+CM38)*Percapita/30*FX$4,IF(CK36+CK37+CK38+CL36+CL37+CL38+CM36+CM37+CM38+CN36+CN37+CN38&gt;=16,Fixo/30*FX$4+(CK36+CK37+CK38+CL36+CL37+CL38+CM36+CM37+CM38+CN36+CN37-16)*Percapita/30*FX$4))))))</f>
        <v>0</v>
      </c>
      <c r="FY36" s="177">
        <f>IF(C36=4,SUM(CO36+CO37+CO38+CQ36+CQ37+CQ38)*Percapita/30*FY$4+(CP36+CP37+CP38+CR36+CR37+CR38)*Cadeirante/30*FY$4,IF(C36=3,IF(CO39+CQ39=10,Fixo/30*FY$4+(CO36+CO37+CO38+CQ36+CQ37+CQ38)*Percapita/30*FY$4+(CP39+CR39)*Cadeirante/30*FY$4,IF(CO39+CQ39&lt;=9,(CO39+CQ39)*Crechee/30*FY$4)+(CP39+CR39)*Cadeirante/30*FY$4+(CO36+CO37+CO38+CQ36+CQ37+CQ38)*Percapita/30*FY$4)+IF(CO39+CQ39&gt;=11,Fixo/30*FY$4+(CO39+CQ39-10)*Crechee/30*FY$4,0),IF(C36=2,IF(CP36+CP37+CP38+CP39+CR36+CR37+CR38+CR39=1,Cadeirante/30*FY$4,IF(CP36+CP37+CP38+CP39+CR36+CR37+CR38+CR39=2,Fixo/30*FY$4,IF(CP36+CP37+CP38+CP39+CR36+CR37+CR38+CR39&gt;2,Fixo/30*FY$4+(CP36+CP37+CP38+CP39+CR36+CR37+CR38+CR39-2)*Cadeirante/30*FY$4)))+(CO36+CO37+CO38+CQ36+CQ37+CQ38)*Percapita/30*FY$4+(CO39+CQ39)*Crechee/30*FY$4,IF(C36=1,IF(CO36+CO37+CO38+CP36+CP37+CP38+CQ36+CQ37+CQ38+CR36+CR37+CR38&lt;=15,(CO36+CO37+CO38+CQ36+CQ37+CQ38)*Percapita/30*FY$4,IF(CO36+CO37+CO38+CP36+CP37+CP38+CQ36+CQ37+CQ38+CR36+CR37+CR38&gt;=16,Fixo/30*FY$4+(CO36+CO37+CO38+CP36+CP37+CP38+CQ36+CQ37+CQ38+CR36+CR37-16)*Percapita/30*FY$4))))))</f>
        <v>0</v>
      </c>
      <c r="FZ36" s="177">
        <f>IF(C36=4,SUM(CS36+CS37+CS38+CU36+CU37+CU38)*Percapita/30*FZ$4+(CT36+CT37+CT38+CV36+CV37+CV38)*Cadeirante/30*FZ$4,IF(C36=3,IF(CS39+CU39=10,Fixo/30*FZ$4+(CS36+CS37+CS38+CU36+CU37+CU38)*Percapita/30*FZ$4+(CT39+CV39)*Cadeirante/30*FZ$4,IF(CS39+CU39&lt;=9,(CS39+CU39)*Crechee/30*FZ$4)+(CT39+CV39)*Cadeirante/30*FZ$4+(CS36+CS37+CS38+CU36+CU37+CU38)*Percapita/30*FZ$4)+IF(CS39+CU39&gt;=11,Fixo/30*FZ$4+(CS39+CU39-10)*Crechee/30*FZ$4,0),IF(C36=2,IF(CT36+CT37+CT38+CT39+CV36+CV37+CV38+CV39=1,Cadeirante/30*FZ$4,IF(CT36+CT37+CT38+CT39+CV36+CV37+CV38+CV39=2,Fixo/30*FZ$4,IF(CT36+CT37+CT38+CT39+CV36+CV37+CV38+CV39&gt;2,Fixo/30*FZ$4+(CT36+CT37+CT38+CT39+CV36+CV37+CV38+CV39-2)*Cadeirante/30*FZ$4)))+(CS36+CS37+CS38+CU36+CU37+CU38)*Percapita/30*FZ$4+(CS39+CU39)*Crechee/30*FZ$4,IF(C36=1,IF(CS36+CS37+CS38+CT36+CT37+CT38+CU36+CU37+CU38+CV36+CV37+CV38&lt;=15,(CS36+CS37+CS38+CU36+CU37+CU38)*Percapita/30*FZ$4,IF(CS36+CS37+CS38+CT36+CT37+CT38+CU36+CU37+CU38+CV36+CV37+CV38&gt;=16,Fixo/30*FZ$4+(CS36+CS37+CS38+CT36+CT37+CT38+CU36+CU37+CU38+CV36+CV37-16)*Percapita/30*FZ$4))))))</f>
        <v>0</v>
      </c>
      <c r="GA36" s="177">
        <f>IF(C36=4,SUM(CW36+CW37+CW38+CY36+CY37+CY38)*Percapita/30*GA$4+(CX36+CX37+CX38+CZ36+CZ37+CZ38)*Cadeirante/30*GA$4,IF(C36=3,IF(CW39+CY39=10,Fixo/30*GA$4+(CW36+CW37+CW38+CY36+CY37+CY38)*Percapita/30*GA$4+(CX39+CZ39)*Cadeirante/30*GA$4,IF(CW39+CY39&lt;=9,(CW39+CY39)*Crechee/30*GA$4)+(CX39+CZ39)*Cadeirante/30*GA$4+(CW36+CW37+CW38+CY36+CY37+CY38)*Percapita/30*GA$4)+IF(CW39+CY39&gt;=11,Fixo/30*GA$4+(CW39+CY39-10)*Crechee/30*GA$4,0),IF(C36=2,IF(CX36+CX37+CX38+CX39+CZ36+CZ37+CZ38+CZ39=1,Cadeirante/30*GA$4,IF(CX36+CX37+CX38+CX39+CZ36+CZ37+CZ38+CZ39=2,Fixo/30*GA$4,IF(CX36+CX37+CX38+CX39+CZ36+CZ37+CZ38+CZ39&gt;2,Fixo/30*GA$4+(CX36+CX37+CX38+CX39+CZ36+CZ37+CZ38+CZ39-2)*Cadeirante/30*GA$4)))+(CW36+CW37+CW38+CY36+CY37+CY38)*Percapita/30*GA$4+(CW39+CY39)*Crechee/30*GA$4,IF(C36=1,IF(CW36+CW37+CW38+CX36+CX37+CX38+CY36+CY37+CY38+CZ36+CZ37+CZ38&lt;=15,(CW36+CW37+CW38+CY36+CY37+CY38)*Percapita/30*GA$4,IF(CW36+CW37+CW38+CX36+CX37+CX38+CY36+CY37+CY38+CZ36+CZ37+CZ38&gt;=16,Fixo/30*GA$4+(CW36+CW37+CW38+CX36+CX37+CX38+CY36+CY37+CY38+CZ36+CZ37-16)*Percapita/30*GA$4))))))</f>
        <v>0</v>
      </c>
      <c r="GB36" s="177">
        <f>IF(C36=4,SUM(DA36+DA37+DA38+DC36+DC37+DC38)*Percapita/30*GB$4+(DB36+DB37+DB38+DD36+DD37+DD38)*Cadeirante/30*GB$4,IF(C36=3,IF(DA39+DC39=10,Fixo/30*GB$4+(DA36+DA37+DA38+DC36+DC37+DC38)*Percapita/30*GB$4+(DB39+DD39)*Cadeirante/30*GB$4,IF(DA39+DC39&lt;=9,(DA39+DC39)*Crechee/30*GB$4)+(DB39+DD39)*Cadeirante/30*GB$4+(DA36+DA37+DA38+DC36+DC37+DC38)*Percapita/30*GB$4)+IF(DA39+DC39&gt;=11,Fixo/30*GB$4+(DA39+DC39-10)*Crechee/30*GB$4,0),IF(C36=2,IF(DB36+DB37+DB38+DB39+DD36+DD37+DD38+DD39=1,Cadeirante/30*GB$4,IF(DB36+DB37+DB38+DB39+DD36+DD37+DD38+DD39=2,Fixo/30*GB$4,IF(DB36+DB37+DB38+DB39+DD36+DD37+DD38+DD39&gt;2,Fixo/30*GB$4+(DB36+DB37+DB38+DB39+DD36+DD37+DD38+DD39-2)*Cadeirante/30*GB$4)))+(DA36+DA37+DA38+DC36+DC37+DC38)*Percapita/30*GB$4+(DA39+DC39)*Crechee/30*GB$4,IF(C36=1,IF(DA36+DA37+DA38+DB36+DB37+DB38+DC36+DC37+DC38+DD36+DD37+DD38&lt;=15,(DA36+DA37+DA38+DC36+DC37+DC38)*Percapita/30*GB$4,IF(DA36+DA37+DA38+DB36+DB37+DB38+DC36+DC37+DC38+DD36+DD37+DD38&gt;=16,Fixo/30*GB$4+(DA36+DA37+DA38+DB36+DB37+DB38+DC36+DC37+DC38+DD36+DD37-16)*Percapita/30*GB$4))))))</f>
        <v>0</v>
      </c>
      <c r="GC36" s="177">
        <f>IF(C36=4,SUM(DE36+DE37+DE38+DG36+DG37+DG38)*Percapita/30*GC$4+(DF36+DF37+DF38+DH36+DH37+DH38)*Cadeirante/30*GC$4,IF(C36=3,IF(DE39+DG39=10,Fixo/30*GC$4+(DE36+DE37+DE38+DG36+DG37+DG38)*Percapita/30*GC$4+(DF39+DH39)*Cadeirante/30*GC$4,IF(DE39+DG39&lt;=9,(DE39+DG39)*Crechee/30*GC$4)+(DF39+DH39)*Cadeirante/30*GC$4+(DE36+DE37+DE38+DG36+DG37+DG38)*Percapita/30*GC$4)+IF(DE39+DG39&gt;=11,Fixo/30*GC$4+(DE39+DG39-10)*Crechee/30*GC$4,0),IF(C36=2,IF(DF36+DF37+DF38+DF39+DH36+DH37+DH38+DH39=1,Cadeirante/30*GC$4,IF(DF36+DF37+DF38+DF39+DH36+DH37+DH38+DH39=2,Fixo/30*GC$4,IF(DF36+DF37+DF38+DF39+DH36+DH37+DH38+DH39&gt;2,Fixo/30*GC$4+(DF36+DF37+DF38+DF39+DH36+DH37+DH38+DH39-2)*Cadeirante/30*GC$4)))+(DE36+DE37+DE38+DG36+DG37+DG38)*Percapita/30*GC$4+(DE39+DG39)*Crechee/30*GC$4,IF(C36=1,IF(DE36+DE37+DE38+DF36+DF37+DF38+DG36+DG37+DG38+DH36+DH37+DH38&lt;=15,(DE36+DE37+DE38+DG36+DG37+DG38)*Percapita/30*GC$4,IF(DE36+DE37+DE38+DF36+DF37+DF38+DG36+DG37+DG38+DH36+DH37+DH38&gt;=16,Fixo/30*GC$4+(DE36+DE37+DE38+DF36+DF37+DF38+DG36+DG37+DG38+DH36+DH37-16)*Percapita/30*GC$4))))))</f>
        <v>0</v>
      </c>
      <c r="GD36" s="177">
        <f>IF(C36=4,SUM(DI36+DI37+DI38+DK36+DK37+DK38)*Percapita/30*GD$4+(DJ36+DJ37+DJ38+DL36+DL37+DL38)*Cadeirante/30*GD$4,IF(C36=3,IF(DI39+DK39=10,Fixo/30*GD$4+(DI36+DI37+DI38+DK36+DK37+DK38)*Percapita/30*GD$4+(DJ39+DL39)*Cadeirante/30*GD$4,IF(DI39+DK39&lt;=9,(DI39+DK39)*Crechee/30*GD$4)+(DJ39+DL39)*Cadeirante/30*GD$4+(DI36+DI37+DI38+DK36+DK37+DK38)*Percapita/30*GD$4)+IF(DI39+DK39&gt;=11,Fixo/30*GD$4+(DI39+DK39-10)*Crechee/30*GD$4,0),IF(C36=2,IF(DJ36+DJ37+DJ38+DJ39+DL36+DL37+DL38+DL39=1,Cadeirante/30*GD$4,IF(DJ36+DJ37+DJ38+DJ39+DL36+DL37+DL38+DL39=2,Fixo/30*GD$4,IF(DJ36+DJ37+DJ38+DJ39+DL36+DL37+DL38+DL39&gt;2,Fixo/30*GD$4+(DJ36+DJ37+DJ38+DJ39+DL36+DL37+DL38+DL39-2)*Cadeirante/30*GD$4)))+(DI36+DI37+DI38+DK36+DK37+DK38)*Percapita/30*GD$4+(DI39+DK39)*Crechee/30*GD$4,IF(C36=1,IF(DI36+DI37+DI38+DJ36+DJ37+DJ38+DK36+DK37+DK38+DL36+DL37+DL38&lt;=15,(DI36+DI37+DI38+DK36+DK37+DK38)*Percapita/30*GD$4,IF(DI36+DI37+DI38+DJ36+DJ37+DJ38+DK36+DK37+DK38+DL36+DL37+DL38&gt;=16,Fixo/30*GD$4+(DI36+DI37+DI38+DJ36+DJ37+DJ38+DK36+DK37+DK38+DL36+DL37-16)*Percapita/30*GD$4))))))</f>
        <v>0</v>
      </c>
      <c r="GE36" s="177">
        <f>IF(C36=4,SUM(DM36+DM37+DM38+DO36+DO37+DO38)*Percapita/30*GE$4+(DN36+DN37+DN38+DP36+DP37+DP38)*Cadeirante/30*GE$4,IF(C36=3,IF(DM39+DO39=10,Fixo/30*GE$4+(DM36+DM37+DM38+DO36+DO37+DO38)*Percapita/30*GE$4+(DN39+DP39)*Cadeirante/30*GE$4,IF(DM39+DO39&lt;=9,(DM39+DO39)*Crechee/30*GE$4)+(DN39+DP39)*Cadeirante/30*GE$4+(DM36+DM37+DM38+DO36+DO37+DO38)*Percapita/30*GE$4)+IF(DM39+DO39&gt;=11,Fixo/30*GE$4+(DM39+DO39-10)*Crechee/30*GE$4,0),IF(C36=2,IF(DN36+DN37+DN38+DN39+DP36+DP37+DP38+DP39=1,Cadeirante/30*GE$4,IF(DN36+DN37+DN38+DN39+DP36+DP37+DP38+DP39=2,Fixo/30*GE$4,IF(DN36+DN37+DN38+DN39+DP36+DP37+DP38+DP39&gt;2,Fixo/30*GE$4+(DN36+DN37+DN38+DN39+DP36+DP37+DP38+DP39-2)*Cadeirante/30*GE$4)))+(DM36+DM37+DM38+DO36+DO37+DO38)*Percapita/30*GE$4+(DM39+DO39)*Crechee/30*GE$4,IF(C36=1,IF(DM36+DM37+DM38+DN36+DN37+DN38+DO36+DO37+DO38+DP36+DP37+DP38&lt;=15,(DM36+DM37+DM38+DO36+DO37+DO38)*Percapita/30*GE$4,IF(DM36+DM37+DM38+DN36+DN37+DN38+DO36+DO37+DO38+DP36+DP37+DP38&gt;=16,Fixo/30*GE$4+(DM36+DM37+DM38+DN36+DN37+DN38+DO36+DO37+DO38+DP36+DP37-16)*Percapita/30*GE$4))))))</f>
        <v>0</v>
      </c>
      <c r="GF36" s="177">
        <f>IF(C36=4,SUM(DQ36+DQ37+DQ38+DS36+DS37+DS38)*Percapita/30*GF$4+(DR36+DR37+DR38+DT36+DT37+DT38)*Cadeirante/30*GF$4,IF(C36=3,IF(DQ39+DS39=10,Fixo/30*GF$4+(DQ36+DQ37+DQ38+DS36+DS37+DS38)*Percapita/30*GF$4+(DR39+DT39)*Cadeirante/30*GF$4,IF(DQ39+DS39&lt;=9,(DQ39+DS39)*Crechee/30*GF$4)+(DR39+DT39)*Cadeirante/30*GF$4+(DQ36+DQ37+DQ38+DS36+DS37+DS38)*Percapita/30*GF$4)+IF(DQ39+DS39&gt;=11,Fixo/30*GF$4+(DQ39+DS39-10)*Crechee/30*GF$4,0),IF(C36=2,IF(DR36+DR37+DR38+DR39+DT36+DT37+DT38+DT39=1,Cadeirante/30*GF$4,IF(DR36+DR37+DR38+DR39+DT36+DT37+DT38+DT39=2,Fixo/30*GF$4,IF(DR36+DR37+DR38+DR39+DT36+DT37+DT38+DT39&gt;2,Fixo/30*GF$4+(DR36+DR37+DR38+DR39+DT36+DT37+DT38+DT39-2)*Cadeirante/30*GF$4)))+(DQ36+DQ37+DQ38+DS36+DS37+DS38)*Percapita/30*GF$4+(DQ39+DS39)*Crechee/30*GF$4,IF(C36=1,IF(DQ36+DQ37+DQ38+DR36+DR37+DR38+DS36+DS37+DS38+DT36+DT37+DT38&lt;=15,(DQ36+DQ37+DQ38+DS36+DS37+DS38)*Percapita/30*GF$4,IF(DQ36+DQ37+DQ38+DR36+DR37+DR38+DS36+DS37+DS38+DT36+DT37+DT38&gt;=16,Fixo/30*GF$4+(DQ36+DQ37+DQ38+DR36+DR37+DR38+DS36+DS37+DS38+DT36+DT37-16)*Percapita/30*GF$4))))))</f>
        <v>0</v>
      </c>
      <c r="GG36" s="177">
        <f>IF(C36=4,SUM(DU36+DU37+DU38+DW36+DW37+DW38)*Percapita/30*GG$4+(DV36+DV37+DV38+DX36+DX37+DX38)*Cadeirante/30*GG$4,IF(C36=3,IF(DU39+DW39=10,Fixo/30*GG$4+(DU36+DU37+DU38+DW36+DW37+DW38)*Percapita/30*GG$4+(DV39+DX39)*Cadeirante/30*GG$4,IF(DU39+DW39&lt;=9,(DU39+DW39)*Crechee/30*GG$4)+(DV39+DX39)*Cadeirante/30*GG$4+(DU36+DU37+DU38+DW36+DW37+DW38)*Percapita/30*GG$4)+IF(DU39+DW39&gt;=11,Fixo/30*GG$4+(DU39+DW39-10)*Crechee/30*GG$4,0),IF(C36=2,IF(DV36+DV37+DV38+DV39+DX36+DX37+DX38+DX39=1,Cadeirante/30*GG$4,IF(DV36+DV37+DV38+DV39+DX36+DX37+DX38+DX39=2,Fixo/30*GG$4,IF(DV36+DV37+DV38+DV39+DX36+DX37+DX38+DX39&gt;2,Fixo/30*GG$4+(DV36+DV37+DV38+DV39+DX36+DX37+DX38+DX39-2)*Cadeirante/30*GG$4)))+(DU36+DU37+DU38+DW36+DW37+DW38)*Percapita/30*GG$4+(DU39+DW39)*Crechee/30*GG$4,IF(C36=1,IF(DU36+DU37+DU38+DV36+DV37+DV38+DW36+DW37+DW38+DX36+DX37+DX38&lt;=15,(DU36+DU37+DU38+DW36+DW37+DW38)*Percapita/30*GG$4,IF(DU36+DU37+DU38+DV36+DV37+DV38+DW36+DW37+DW38+DX36+DX37+DX38&gt;=16,Fixo/30*GG$4+(DU36+DU37+DU38+DV36+DV37+DV38+DW36+DW37+DW38+DX36+DX37-16)*Percapita/30*GG$4))))))</f>
        <v>0</v>
      </c>
      <c r="GH36" s="177">
        <f>IF(C36=4,SUM(DY36+DY37+DY38+EA36+EA37+EA38)*Percapita/30*GH$4+(DZ36+DZ37+DZ38+EB36+EB37+EB38)*Cadeirante/30*GH$4,IF(C36=3,IF(DY39+EA39=10,Fixo/30*GH$4+(DY36+DY37+DY38+EA36+EA37+EA38)*Percapita/30*GH$4+(DZ39+EB39)*Cadeirante/30*GH$4,IF(DY39+EA39&lt;=9,(DY39+EA39)*Crechee/30*GH$4)+(DZ39+EB39)*Cadeirante/30*GH$4+(DY36+DY37+DY38+EA36+EA37+EA38)*Percapita/30*GH$4)+IF(DY39+EA39&gt;=11,Fixo/30*GH$4+(DY39+EA39-10)*Crechee/30*GH$4,0),IF(C36=2,IF(DZ36+DZ37+DZ38+DZ39+EB36+EB37+EB38+EB39=1,Cadeirante/30*GH$4,IF(DZ36+DZ37+DZ38+DZ39+EB36+EB37+EB38+EB39=2,Fixo/30*GH$4,IF(DZ36+DZ37+DZ38+DZ39+EB36+EB37+EB38+EB39&gt;2,Fixo/30*GH$4+(DZ36+DZ37+DZ38+DZ39+EB36+EB37+EB38+EB39-2)*Cadeirante/30*GH$4)))+(DY36+DY37+DY38+EA36+EA37+EA38)*Percapita/30*GH$4+(DY39+EA39)*Crechee/30*GH$4,IF(C36=1,IF(DY36+DY37+DY38+DZ36+DZ37+DZ38+EA36+EA37+EA38+EB36+EB37+EB38&lt;=15,(DY36+DY37+DY38+EA36+EA37+EA38)*Percapita/30*GH$4,IF(DY36+DY37+DY38+DZ36+DZ37+DZ38+EA36+EA37+EA38+EB36+EB37+EB38&gt;=16,Fixo/30*GH$4+(DY36+DY37+DY38+DZ36+DZ37+DZ38+EA36+EA37+EA38+EB36+EB37-16)*Percapita/30*GH$4))))))</f>
        <v>0</v>
      </c>
      <c r="GI36" s="177">
        <f>IF(C36=4,SUM(EC36+EC37+EC38+EE36+EE37+EE38)*Percapita/30*GI$4+(ED36+ED37+ED38+EF36+EF37+EF38)*Cadeirante/30*GI$4,IF(C36=3,IF(EC39+EE39=10,Fixo/30*GI$4+(EC36+EC37+EC38+EE36+EE37+EE38)*Percapita/30*GI$4+(ED39+EF39)*Cadeirante/30*GI$4,IF(EC39+EE39&lt;=9,(EC39+EE39)*Crechee/30*GI$4)+(ED39+EF39)*Cadeirante/30*GI$4+(EC36+EC37+EC38+EE36+EE37+EE38)*Percapita/30*GI$4)+IF(EC39+EE39&gt;=11,Fixo/30*GI$4+(EC39+EE39-10)*Crechee/30*GI$4,0),IF(C36=2,IF(ED36+ED37+ED38+ED39+EF36+EF37+EF38+EF39=1,Cadeirante/30*GI$4,IF(ED36+ED37+ED38+ED39+EF36+EF37+EF38+EF39=2,Fixo/30*GI$4,IF(ED36+ED37+ED38+ED39+EF36+EF37+EF38+EF39&gt;2,Fixo/30*GI$4+(ED36+ED37+ED38+ED39+EF36+EF37+EF38+EF39-2)*Cadeirante/30*GI$4)))+(EC36+EC37+EC38+EE36+EE37+EE38)*Percapita/30*GI$4+(EC39+EE39)*Crechee/30*GI$4,IF(C36=1,IF(EC36+EC37+EC38+ED36+ED37+ED38+EE36+EE37+EE38+EF36+EF37+EF38&lt;=15,(EC36+EC37+EC38+EE36+EE37+EE38)*Percapita/30*GI$4,IF(EC36+EC37+EC38+ED36+ED37+ED38+EE36+EE37+EE38+EF36+EF37+EF38&gt;=16,Fixo/30*GI$4+(EC36+EC37+EC38+ED36+ED37+ED38+EE36+EE37+EE38+EF36+EF37-16)*Percapita/30*GI$4))))))</f>
        <v>0</v>
      </c>
      <c r="GJ36" s="177">
        <f>IF(C36=4,SUM(EG36+EG37+EG38+EI36+EI37+EI38)*Percapita/30*GJ$4+(EH36+EH37+EH38+EJ36+EJ37+EJ38)*Cadeirante/30*GJ$4,IF(C36=3,IF(EG39+EI39=10,Fixo/30*GJ$4+(EG36+EG37+EG38+EI36+EI37+EI38)*Percapita/30*GJ$4+(EH39+EJ39)*Cadeirante/30*GJ$4,IF(EG39+EI39&lt;=9,(EG39+EI39)*Crechee/30*GJ$4)+(EH39+EJ39)*Cadeirante/30*GJ$4+(EG36+EG37+EG38+EI36+EI37+EI38)*Percapita/30*GJ$4)+IF(EG39+EI39&gt;=11,Fixo/30*GJ$4+(EG39+EI39-10)*Crechee/30*GJ$4,0),IF(C36=2,IF(EH36+EH37+EH38+EH39+EJ36+EJ37+EJ38+EJ39=1,Cadeirante/30*GJ$4,IF(EH36+EH37+EH38+EH39+EJ36+EJ37+EJ38+EJ39=2,Fixo/30*GJ$4,IF(EH36+EH37+EH38+EH39+EJ36+EJ37+EJ38+EJ39&gt;2,Fixo/30*GJ$4+(EH36+EH37+EH38+EH39+EJ36+EJ37+EJ38+EJ39-2)*Cadeirante/30*GJ$4)))+(EG36+EG37+EG38+EI36+EI37+EI38)*Percapita/30*GJ$4+(EG39+EI39)*Crechee/30*GJ$4,IF(C36=1,IF(EG36+EG37+EG38+EH36+EH37+EH38+EI36+EI37+EI38+EJ36+EJ37+EJ38&lt;=15,(EG36+EG37+EG38+EI36+EI37+EI38)*Percapita/30*GJ$4,IF(EG36+EG37+EG38+EH36+EH37+EH38+EI36+EI37+EI38+EJ36+EJ37+EJ38&gt;=16,Fixo/30*GJ$4+(EG36+EG37+EG38+EH36+EH37+EH38+EI36+EI37+EI38+EJ36+EJ37-16)*Percapita/30*GJ$4))))))</f>
        <v>0</v>
      </c>
      <c r="GK36" s="178"/>
      <c r="GL36" s="103">
        <f t="shared" si="30"/>
        <v>0</v>
      </c>
      <c r="GM36" s="124"/>
      <c r="GN36" s="104">
        <f>SUMIF(V36:V39,"&lt;0")*Cadeirante/30*GN$4+SUMIF(X36:X39,"&lt;0")*Cadeirante/30*GN$4</f>
        <v>0</v>
      </c>
      <c r="GO36" s="104">
        <f>SUMIF(Z36:Z39,"&lt;0")*Cadeirante/30*GO$4+SUMIF(AB36:AB39,"&lt;0")*Cadeirante/30*GO$4</f>
        <v>0</v>
      </c>
      <c r="GP36" s="104">
        <f>SUMIF(AD36:AD39,"&lt;0")*Cadeirante/30*GP$4+SUMIF(AF36:AF39,"&lt;0")*Cadeirante/30*GP$4</f>
        <v>0</v>
      </c>
      <c r="GQ36" s="104">
        <f>SUMIF(AH36:AH39,"&lt;0")*Cadeirante/30*GQ$4+SUMIF(AJ36:AJ39,"&lt;0")*Cadeirante/30*GQ$4</f>
        <v>0</v>
      </c>
      <c r="GR36" s="104">
        <f>SUMIF(AL36:AL39,"&lt;0")*Cadeirante/30*GR$4+SUMIF(AN36:AN39,"&lt;0")*Cadeirante/30*GR$4</f>
        <v>0</v>
      </c>
      <c r="GS36" s="104">
        <f>SUMIF(AP36:AP39,"&lt;0")*Cadeirante/30*GS$4+SUMIF(AR36:AR39,"&lt;0")*Cadeirante/30*GS$4</f>
        <v>0</v>
      </c>
      <c r="GT36" s="104">
        <f>SUMIF(AT36:AT39,"&lt;0")*Cadeirante/30*GT$4+SUMIF(AV36:AV39,"&lt;0")*Cadeirante/30*GT$4</f>
        <v>0</v>
      </c>
      <c r="GU36" s="104">
        <f>SUMIF(AX36:AX39,"&lt;0")*Cadeirante/30*GU$4+SUMIF(AZ36:AZ39,"&lt;0")*Cadeirante/30*GU$4</f>
        <v>0</v>
      </c>
      <c r="GV36" s="104">
        <f>SUMIF(BB36:BB39,"&lt;0")*Cadeirante/30*GV$4+SUMIF(BD36:BD39,"&lt;0")*Cadeirante/30*GV$4</f>
        <v>0</v>
      </c>
      <c r="GW36" s="104">
        <f>SUMIF(BF36:BF39,"&lt;0")*Cadeirante/30*GW$4+SUMIF(BH36:BH39,"&lt;0")*Cadeirante/30*GW$4</f>
        <v>0</v>
      </c>
      <c r="GX36" s="104">
        <f>SUMIF(BJ36:BJ39,"&lt;0")*Cadeirante/30*GX$4+SUMIF(BL36:BL39,"&lt;0")*Cadeirante/30*GX$4</f>
        <v>0</v>
      </c>
      <c r="GY36" s="104">
        <f>SUMIF(BN36:BN39,"&lt;0")*Cadeirante/30*GY$4+SUMIF(BP36:BP39,"&lt;0")*Cadeirante/30*GY$4</f>
        <v>0</v>
      </c>
      <c r="GZ36" s="104">
        <f>SUMIF(BR36:BR39,"&lt;0")*Cadeirante/30*GZ$4+SUMIF(BT36:BT39,"&lt;0")*Cadeirante/30*GZ$4</f>
        <v>0</v>
      </c>
      <c r="HA36" s="104">
        <f>SUMIF(BV36:BV39,"&lt;0")*Cadeirante/30*HA$4+SUMIF(BX36:BX39,"&lt;0")*Cadeirante/30*HA$4</f>
        <v>0</v>
      </c>
      <c r="HB36" s="104">
        <f>SUMIF(BZ36:BZ39,"&lt;0")*Cadeirante/30*HB$4+SUMIF(CB36:CB39,"&lt;0")*Cadeirante/30*HB$4</f>
        <v>0</v>
      </c>
      <c r="HC36" s="104">
        <f>SUMIF(CD36:CD39,"&lt;0")*Cadeirante/30*HC$4+SUMIF(CF36:CF39,"&lt;0")*Cadeirante/30*HC$4</f>
        <v>0</v>
      </c>
      <c r="HD36" s="104">
        <f>SUMIF(CH36:CH39,"&lt;0")*Cadeirante/30*HD$4+SUMIF(CJ36:CJ39,"&lt;0")*Cadeirante/30*HD$4</f>
        <v>0</v>
      </c>
      <c r="HE36" s="104">
        <f>SUMIF(CL36:CL39,"&lt;0")*Cadeirante/30*HE$4+SUMIF(CN36:CN39,"&lt;0")*Cadeirante/30*HE$4</f>
        <v>0</v>
      </c>
      <c r="HF36" s="104">
        <f>SUMIF(CP36:CP39,"&lt;0")*Cadeirante/30*HF$4+SUMIF(CR36:CR39,"&lt;0")*Cadeirante/30*HF$4</f>
        <v>0</v>
      </c>
      <c r="HG36" s="104">
        <f>SUMIF(CT36:CT39,"&lt;0")*Cadeirante/30*HG$4+SUMIF(CV36:CV39,"&lt;0")*Cadeirante/30*HG$4</f>
        <v>0</v>
      </c>
      <c r="HH36" s="104">
        <f>SUMIF(CX36:CX39,"&lt;0")*Cadeirante/30*HH$4+SUMIF(CZ36:CZ39,"&lt;0")*Cadeirante/30*HH$4</f>
        <v>0</v>
      </c>
      <c r="HI36" s="104">
        <f>SUMIF(DB36:DB39,"&lt;0")*Cadeirante/30*HI$4+SUMIF(DD36:DD39,"&lt;0")*Cadeirante/30*HI$4</f>
        <v>0</v>
      </c>
      <c r="HJ36" s="104">
        <f>SUMIF(DF36:DF39,"&lt;0")*Cadeirante/30*HJ$4+SUMIF(DH36:DH39,"&lt;0")*Cadeirante/30*HJ$4</f>
        <v>0</v>
      </c>
      <c r="HK36" s="104">
        <f>SUMIF(DJ36:DJ39,"&lt;0")*Cadeirante/30*HK$4+SUMIF(DL36:DL39,"&lt;0")*Cadeirante/30*HK$4</f>
        <v>0</v>
      </c>
      <c r="HL36" s="104">
        <f>SUMIF(DN36:DN39,"&lt;0")*Cadeirante/30*HL$4+SUMIF(DP36:DP39,"&lt;0")*Cadeirante/30*HL$4</f>
        <v>0</v>
      </c>
      <c r="HM36" s="104">
        <f>SUMIF(DR36:DR39,"&lt;0")*Cadeirante/30*HM$4+SUMIF(DT36:DT39,"&lt;0")*Cadeirante/30*HM$4</f>
        <v>0</v>
      </c>
      <c r="HN36" s="104">
        <f>SUMIF(DV36:DV39,"&lt;0")*Cadeirante/30*HN$4+SUMIF(DX36:DX39,"&lt;0")*Cadeirante/30*HN$4</f>
        <v>0</v>
      </c>
      <c r="HO36" s="104">
        <f>SUMIF(DZ36:DZ39,"&lt;0")*Cadeirante/30*HO$4+SUMIF(EB36:EB39,"&lt;0")*Cadeirante/30*HO$4</f>
        <v>0</v>
      </c>
      <c r="HP36" s="104">
        <f>SUMIF(ED36:ED39,"&lt;0")*Cadeirante/30*HP$4+SUMIF(EF36:EF39,"&lt;0")*Cadeirante/30*HP$4</f>
        <v>0</v>
      </c>
      <c r="HQ36" s="64"/>
      <c r="HR36" s="64"/>
      <c r="HS36" s="64"/>
      <c r="HT36" s="64"/>
      <c r="HU36" s="64"/>
      <c r="HV36" s="64"/>
      <c r="HW36" s="176">
        <v>17629.309999999998</v>
      </c>
      <c r="HX36" s="64"/>
      <c r="HY36" s="280">
        <f>IF(ISTEXT(EM36), VALUE(EM36), EM36)</f>
        <v>0</v>
      </c>
      <c r="HZ36" s="280">
        <f>IF(ISTEXT(EN36), VALUE(EN36), EN36)</f>
        <v>0</v>
      </c>
      <c r="IA36" s="280">
        <f>IF(ISTEXT(EO36), VALUE(EO36), EO36)</f>
        <v>0</v>
      </c>
      <c r="IB36" s="64" t="b">
        <f>HW36=FE36</f>
        <v>0</v>
      </c>
      <c r="IC36" s="64"/>
    </row>
    <row r="37" spans="1:237" s="106" customFormat="1" ht="22.5" customHeight="1" x14ac:dyDescent="0.25">
      <c r="A37" s="368" t="s">
        <v>3214</v>
      </c>
      <c r="B37" s="369" t="s">
        <v>3215</v>
      </c>
      <c r="C37" s="370" t="s">
        <v>3186</v>
      </c>
      <c r="D37" s="371" t="s">
        <v>3216</v>
      </c>
      <c r="E37" s="371" t="s">
        <v>3217</v>
      </c>
      <c r="F37" s="372" t="s">
        <v>3182</v>
      </c>
      <c r="G37" s="372" t="s">
        <v>3183</v>
      </c>
      <c r="H37" s="373" t="s">
        <v>343</v>
      </c>
      <c r="I37" s="374" t="s">
        <v>343</v>
      </c>
      <c r="J37" s="421" t="s">
        <v>3184</v>
      </c>
      <c r="K37" s="421" t="s">
        <v>3187</v>
      </c>
      <c r="L37" s="329">
        <f>CONTINUA!BV37</f>
        <v>0</v>
      </c>
      <c r="M37" s="329">
        <f>CONTINUA!BW37</f>
        <v>0</v>
      </c>
      <c r="N37" s="895"/>
      <c r="O37" s="896" t="s">
        <v>3280</v>
      </c>
      <c r="P37" s="897">
        <v>0</v>
      </c>
      <c r="Q37" s="400"/>
      <c r="R37" s="401"/>
      <c r="S37" s="400"/>
      <c r="T37" s="401"/>
      <c r="U37" s="400"/>
      <c r="V37" s="401"/>
      <c r="W37" s="400"/>
      <c r="X37" s="401"/>
      <c r="Y37" s="400"/>
      <c r="Z37" s="401"/>
      <c r="AA37" s="400"/>
      <c r="AB37" s="401"/>
      <c r="AC37" s="400"/>
      <c r="AD37" s="401"/>
      <c r="AE37" s="400"/>
      <c r="AF37" s="401"/>
      <c r="AG37" s="400"/>
      <c r="AH37" s="401"/>
      <c r="AI37" s="400"/>
      <c r="AJ37" s="401"/>
      <c r="AK37" s="400"/>
      <c r="AL37" s="401"/>
      <c r="AM37" s="400"/>
      <c r="AN37" s="401"/>
      <c r="AO37" s="400"/>
      <c r="AP37" s="401"/>
      <c r="AQ37" s="400"/>
      <c r="AR37" s="401"/>
      <c r="AS37" s="400"/>
      <c r="AT37" s="401"/>
      <c r="AU37" s="400"/>
      <c r="AV37" s="401"/>
      <c r="AW37" s="400"/>
      <c r="AX37" s="401"/>
      <c r="AY37" s="400"/>
      <c r="AZ37" s="401"/>
      <c r="BA37" s="400"/>
      <c r="BB37" s="401"/>
      <c r="BC37" s="400"/>
      <c r="BD37" s="401"/>
      <c r="BE37" s="400"/>
      <c r="BF37" s="401"/>
      <c r="BG37" s="400"/>
      <c r="BH37" s="401"/>
      <c r="BI37" s="400"/>
      <c r="BJ37" s="401"/>
      <c r="BK37" s="400"/>
      <c r="BL37" s="401"/>
      <c r="BM37" s="400"/>
      <c r="BN37" s="401"/>
      <c r="BO37" s="400"/>
      <c r="BP37" s="401"/>
      <c r="BQ37" s="400"/>
      <c r="BR37" s="401"/>
      <c r="BS37" s="400"/>
      <c r="BT37" s="401"/>
      <c r="BU37" s="400"/>
      <c r="BV37" s="401"/>
      <c r="BW37" s="400"/>
      <c r="BX37" s="401"/>
      <c r="BY37" s="400"/>
      <c r="BZ37" s="401"/>
      <c r="CA37" s="400"/>
      <c r="CB37" s="401"/>
      <c r="CC37" s="400"/>
      <c r="CD37" s="401"/>
      <c r="CE37" s="400"/>
      <c r="CF37" s="401"/>
      <c r="CG37" s="400"/>
      <c r="CH37" s="401"/>
      <c r="CI37" s="400"/>
      <c r="CJ37" s="401"/>
      <c r="CK37" s="400"/>
      <c r="CL37" s="401"/>
      <c r="CM37" s="400"/>
      <c r="CN37" s="401"/>
      <c r="CO37" s="400"/>
      <c r="CP37" s="401"/>
      <c r="CQ37" s="400"/>
      <c r="CR37" s="401"/>
      <c r="CS37" s="400"/>
      <c r="CT37" s="401"/>
      <c r="CU37" s="400"/>
      <c r="CV37" s="401"/>
      <c r="CW37" s="400"/>
      <c r="CX37" s="401"/>
      <c r="CY37" s="400"/>
      <c r="CZ37" s="401"/>
      <c r="DA37" s="400"/>
      <c r="DB37" s="401"/>
      <c r="DC37" s="400"/>
      <c r="DD37" s="401"/>
      <c r="DE37" s="400"/>
      <c r="DF37" s="401"/>
      <c r="DG37" s="400"/>
      <c r="DH37" s="401"/>
      <c r="DI37" s="400"/>
      <c r="DJ37" s="401"/>
      <c r="DK37" s="400"/>
      <c r="DL37" s="401"/>
      <c r="DM37" s="400"/>
      <c r="DN37" s="401"/>
      <c r="DO37" s="400"/>
      <c r="DP37" s="401"/>
      <c r="DQ37" s="400"/>
      <c r="DR37" s="401"/>
      <c r="DS37" s="400"/>
      <c r="DT37" s="401"/>
      <c r="DU37" s="400"/>
      <c r="DV37" s="401"/>
      <c r="DW37" s="400"/>
      <c r="DX37" s="401"/>
      <c r="DY37" s="400"/>
      <c r="DZ37" s="401"/>
      <c r="EA37" s="400"/>
      <c r="EB37" s="401"/>
      <c r="EC37" s="400"/>
      <c r="ED37" s="401"/>
      <c r="EE37" s="400"/>
      <c r="EF37" s="401"/>
      <c r="EG37" s="400"/>
      <c r="EH37" s="401"/>
      <c r="EI37" s="400"/>
      <c r="EJ37" s="447"/>
      <c r="EK37" s="511"/>
      <c r="EL37" s="514"/>
      <c r="EM37" s="448"/>
      <c r="EN37" s="344"/>
      <c r="EO37" s="345"/>
      <c r="EP37" s="171">
        <f t="shared" si="22"/>
        <v>0</v>
      </c>
      <c r="EQ37" s="171">
        <f t="shared" si="23"/>
        <v>0</v>
      </c>
      <c r="ER37" s="171">
        <f t="shared" si="24"/>
        <v>0</v>
      </c>
      <c r="ES37" s="171">
        <f t="shared" si="25"/>
        <v>0</v>
      </c>
      <c r="ET37" s="171">
        <f t="shared" si="26"/>
        <v>0</v>
      </c>
      <c r="EU37" s="171">
        <f t="shared" si="27"/>
        <v>0</v>
      </c>
      <c r="EV37" s="172">
        <f t="shared" si="28"/>
        <v>0</v>
      </c>
      <c r="EW37" s="173"/>
      <c r="EX37" s="248">
        <f t="shared" si="55"/>
        <v>0</v>
      </c>
      <c r="EY37" s="174">
        <f>(L37*regular)+(M37*Cadeirantee)</f>
        <v>0</v>
      </c>
      <c r="EZ37" s="249">
        <f>SUMIF(FG37:GJ37,"&gt;0")</f>
        <v>0</v>
      </c>
      <c r="FA37" s="249">
        <f>SUMIF(FG37:GJ37,"&lt;0")+SUMIF(GN37:HP37,"&lt;0")</f>
        <v>0</v>
      </c>
      <c r="FB37" s="174">
        <v>0</v>
      </c>
      <c r="FC37" s="126">
        <f>N37*km*'VALORES TABELA'!$B$13</f>
        <v>0</v>
      </c>
      <c r="FD37" s="250">
        <f t="shared" ref="FD37:FD40" si="56">GL37</f>
        <v>0</v>
      </c>
      <c r="FE37" s="105"/>
      <c r="FF37" s="119"/>
      <c r="FG37" s="119"/>
      <c r="FH37" s="119"/>
      <c r="FI37" s="119"/>
      <c r="FJ37" s="119"/>
      <c r="FK37" s="119"/>
      <c r="FL37" s="119"/>
      <c r="FM37" s="119"/>
      <c r="FN37" s="119"/>
      <c r="FO37" s="119"/>
      <c r="FP37" s="119"/>
      <c r="FQ37" s="119"/>
      <c r="FR37" s="119"/>
      <c r="FS37" s="119"/>
      <c r="FT37" s="119"/>
      <c r="FU37" s="119"/>
      <c r="FV37" s="119"/>
      <c r="FW37" s="119"/>
      <c r="FX37" s="119"/>
      <c r="FY37" s="119"/>
      <c r="FZ37" s="119"/>
      <c r="GA37" s="119"/>
      <c r="GB37" s="119"/>
      <c r="GC37" s="119"/>
      <c r="GD37" s="119"/>
      <c r="GE37" s="119"/>
      <c r="GF37" s="119"/>
      <c r="GG37" s="119"/>
      <c r="GH37" s="119"/>
      <c r="GI37" s="119"/>
      <c r="GJ37" s="119"/>
      <c r="GK37" s="251"/>
      <c r="GL37" s="103">
        <f t="shared" si="30"/>
        <v>0</v>
      </c>
      <c r="GM37" s="124"/>
      <c r="GN37" s="104"/>
      <c r="GO37" s="104"/>
      <c r="GP37" s="104"/>
      <c r="GQ37" s="104"/>
      <c r="GR37" s="104"/>
      <c r="GS37" s="104"/>
      <c r="GT37" s="104"/>
      <c r="GU37" s="104"/>
      <c r="GV37" s="104"/>
      <c r="GW37" s="104"/>
      <c r="GX37" s="104"/>
      <c r="GY37" s="104"/>
      <c r="GZ37" s="104"/>
      <c r="HA37" s="104"/>
      <c r="HB37" s="104"/>
      <c r="HC37" s="104"/>
      <c r="HD37" s="104"/>
      <c r="HE37" s="104"/>
      <c r="HF37" s="104"/>
      <c r="HG37" s="104"/>
      <c r="HH37" s="104"/>
      <c r="HI37" s="104"/>
      <c r="HJ37" s="104"/>
      <c r="HK37" s="104"/>
      <c r="HL37" s="104"/>
      <c r="HM37" s="104"/>
      <c r="HN37" s="104"/>
      <c r="HO37" s="104"/>
      <c r="HP37" s="104"/>
      <c r="HQ37" s="64"/>
      <c r="HR37" s="64"/>
      <c r="HS37" s="64"/>
      <c r="HT37" s="64"/>
      <c r="HU37" s="64"/>
      <c r="HV37" s="64"/>
      <c r="HW37" s="105"/>
      <c r="HX37" s="64"/>
      <c r="HY37" s="280">
        <f t="shared" ref="HY37:HY40" si="57">IF(ISTEXT(EM37), VALUE(EM37), EM37)</f>
        <v>0</v>
      </c>
      <c r="HZ37" s="280">
        <f t="shared" ref="HZ37:HZ40" si="58">IF(ISTEXT(EN37), VALUE(EN37), EN37)</f>
        <v>0</v>
      </c>
      <c r="IA37" s="280">
        <f t="shared" ref="IA37:IA40" si="59">IF(ISTEXT(EO37), VALUE(EO37), EO37)</f>
        <v>0</v>
      </c>
      <c r="IB37" s="64"/>
      <c r="IC37" s="64"/>
    </row>
    <row r="38" spans="1:237" s="106" customFormat="1" ht="22.5" customHeight="1" x14ac:dyDescent="0.25">
      <c r="A38" s="368" t="s">
        <v>3214</v>
      </c>
      <c r="B38" s="369" t="s">
        <v>3215</v>
      </c>
      <c r="C38" s="375" t="s">
        <v>3186</v>
      </c>
      <c r="D38" s="371" t="s">
        <v>3216</v>
      </c>
      <c r="E38" s="371" t="s">
        <v>3217</v>
      </c>
      <c r="F38" s="376" t="s">
        <v>3182</v>
      </c>
      <c r="G38" s="376" t="s">
        <v>3183</v>
      </c>
      <c r="H38" s="373" t="s">
        <v>343</v>
      </c>
      <c r="I38" s="374" t="s">
        <v>343</v>
      </c>
      <c r="J38" s="421" t="s">
        <v>3184</v>
      </c>
      <c r="K38" s="422" t="s">
        <v>3188</v>
      </c>
      <c r="L38" s="329">
        <f>CONTINUA!BV38</f>
        <v>0</v>
      </c>
      <c r="M38" s="329">
        <f>CONTINUA!BW38</f>
        <v>0</v>
      </c>
      <c r="N38" s="895"/>
      <c r="O38" s="896" t="s">
        <v>3280</v>
      </c>
      <c r="P38" s="897">
        <v>0</v>
      </c>
      <c r="Q38" s="400"/>
      <c r="R38" s="401"/>
      <c r="S38" s="400"/>
      <c r="T38" s="401"/>
      <c r="U38" s="400"/>
      <c r="V38" s="401"/>
      <c r="W38" s="400"/>
      <c r="X38" s="401"/>
      <c r="Y38" s="400"/>
      <c r="Z38" s="401"/>
      <c r="AA38" s="400"/>
      <c r="AB38" s="401"/>
      <c r="AC38" s="400"/>
      <c r="AD38" s="401"/>
      <c r="AE38" s="400"/>
      <c r="AF38" s="401"/>
      <c r="AG38" s="400"/>
      <c r="AH38" s="401"/>
      <c r="AI38" s="400"/>
      <c r="AJ38" s="401"/>
      <c r="AK38" s="400"/>
      <c r="AL38" s="401"/>
      <c r="AM38" s="400"/>
      <c r="AN38" s="401"/>
      <c r="AO38" s="400"/>
      <c r="AP38" s="401"/>
      <c r="AQ38" s="400"/>
      <c r="AR38" s="401"/>
      <c r="AS38" s="400"/>
      <c r="AT38" s="401"/>
      <c r="AU38" s="400"/>
      <c r="AV38" s="401"/>
      <c r="AW38" s="400"/>
      <c r="AX38" s="401"/>
      <c r="AY38" s="400"/>
      <c r="AZ38" s="401"/>
      <c r="BA38" s="400"/>
      <c r="BB38" s="401"/>
      <c r="BC38" s="400"/>
      <c r="BD38" s="401"/>
      <c r="BE38" s="400"/>
      <c r="BF38" s="401"/>
      <c r="BG38" s="400"/>
      <c r="BH38" s="401"/>
      <c r="BI38" s="400"/>
      <c r="BJ38" s="401"/>
      <c r="BK38" s="400"/>
      <c r="BL38" s="401"/>
      <c r="BM38" s="400"/>
      <c r="BN38" s="401"/>
      <c r="BO38" s="400"/>
      <c r="BP38" s="401"/>
      <c r="BQ38" s="400"/>
      <c r="BR38" s="401"/>
      <c r="BS38" s="400"/>
      <c r="BT38" s="401"/>
      <c r="BU38" s="400"/>
      <c r="BV38" s="401"/>
      <c r="BW38" s="400"/>
      <c r="BX38" s="401"/>
      <c r="BY38" s="400"/>
      <c r="BZ38" s="401"/>
      <c r="CA38" s="400"/>
      <c r="CB38" s="401"/>
      <c r="CC38" s="400"/>
      <c r="CD38" s="401"/>
      <c r="CE38" s="400"/>
      <c r="CF38" s="401"/>
      <c r="CG38" s="400"/>
      <c r="CH38" s="401"/>
      <c r="CI38" s="400"/>
      <c r="CJ38" s="401"/>
      <c r="CK38" s="400"/>
      <c r="CL38" s="401"/>
      <c r="CM38" s="400"/>
      <c r="CN38" s="401"/>
      <c r="CO38" s="400"/>
      <c r="CP38" s="401"/>
      <c r="CQ38" s="400"/>
      <c r="CR38" s="401"/>
      <c r="CS38" s="400"/>
      <c r="CT38" s="401"/>
      <c r="CU38" s="400"/>
      <c r="CV38" s="401"/>
      <c r="CW38" s="400"/>
      <c r="CX38" s="401"/>
      <c r="CY38" s="400"/>
      <c r="CZ38" s="401"/>
      <c r="DA38" s="400"/>
      <c r="DB38" s="401"/>
      <c r="DC38" s="400"/>
      <c r="DD38" s="401"/>
      <c r="DE38" s="400"/>
      <c r="DF38" s="401"/>
      <c r="DG38" s="400"/>
      <c r="DH38" s="401"/>
      <c r="DI38" s="400"/>
      <c r="DJ38" s="401"/>
      <c r="DK38" s="400"/>
      <c r="DL38" s="401"/>
      <c r="DM38" s="400"/>
      <c r="DN38" s="401"/>
      <c r="DO38" s="400"/>
      <c r="DP38" s="401"/>
      <c r="DQ38" s="400"/>
      <c r="DR38" s="401"/>
      <c r="DS38" s="400"/>
      <c r="DT38" s="401"/>
      <c r="DU38" s="400"/>
      <c r="DV38" s="401"/>
      <c r="DW38" s="400"/>
      <c r="DX38" s="401"/>
      <c r="DY38" s="400"/>
      <c r="DZ38" s="401"/>
      <c r="EA38" s="400"/>
      <c r="EB38" s="401"/>
      <c r="EC38" s="400"/>
      <c r="ED38" s="401"/>
      <c r="EE38" s="400"/>
      <c r="EF38" s="401"/>
      <c r="EG38" s="400"/>
      <c r="EH38" s="401"/>
      <c r="EI38" s="400"/>
      <c r="EJ38" s="447"/>
      <c r="EK38" s="511"/>
      <c r="EL38" s="514"/>
      <c r="EM38" s="448"/>
      <c r="EN38" s="344"/>
      <c r="EO38" s="345"/>
      <c r="EP38" s="171">
        <f t="shared" si="22"/>
        <v>0</v>
      </c>
      <c r="EQ38" s="171">
        <f t="shared" si="23"/>
        <v>0</v>
      </c>
      <c r="ER38" s="171">
        <f t="shared" si="24"/>
        <v>0</v>
      </c>
      <c r="ES38" s="171">
        <f t="shared" si="25"/>
        <v>0</v>
      </c>
      <c r="ET38" s="171">
        <f t="shared" si="26"/>
        <v>0</v>
      </c>
      <c r="EU38" s="171">
        <f t="shared" si="27"/>
        <v>0</v>
      </c>
      <c r="EV38" s="172">
        <f t="shared" si="28"/>
        <v>0</v>
      </c>
      <c r="EW38" s="125"/>
      <c r="EX38" s="248">
        <f t="shared" si="55"/>
        <v>0</v>
      </c>
      <c r="EY38" s="174">
        <f>(L38*regular)+(M38*Cadeirantee)</f>
        <v>0</v>
      </c>
      <c r="EZ38" s="249">
        <f>SUMIF(FG38:GJ38,"&gt;0")</f>
        <v>0</v>
      </c>
      <c r="FA38" s="249">
        <f>SUMIF(FG38:GJ38,"&lt;0")+SUMIF(GN38:HP38,"&lt;0")</f>
        <v>0</v>
      </c>
      <c r="FB38" s="174">
        <v>0</v>
      </c>
      <c r="FC38" s="126">
        <f>N38*km*'VALORES TABELA'!$B$13</f>
        <v>0</v>
      </c>
      <c r="FD38" s="250">
        <f t="shared" si="56"/>
        <v>0</v>
      </c>
      <c r="FE38" s="105"/>
      <c r="FF38" s="108"/>
      <c r="FG38" s="108"/>
      <c r="FH38" s="108"/>
      <c r="FI38" s="108"/>
      <c r="FJ38" s="108"/>
      <c r="FK38" s="108"/>
      <c r="FL38" s="108"/>
      <c r="FM38" s="108"/>
      <c r="FN38" s="108"/>
      <c r="FO38" s="108"/>
      <c r="FP38" s="108"/>
      <c r="FQ38" s="108"/>
      <c r="FR38" s="108"/>
      <c r="FS38" s="108"/>
      <c r="FT38" s="108"/>
      <c r="FU38" s="108"/>
      <c r="FV38" s="108"/>
      <c r="FW38" s="108"/>
      <c r="FX38" s="108"/>
      <c r="FY38" s="108"/>
      <c r="FZ38" s="108"/>
      <c r="GA38" s="108"/>
      <c r="GB38" s="108"/>
      <c r="GC38" s="108"/>
      <c r="GD38" s="108"/>
      <c r="GE38" s="108"/>
      <c r="GF38" s="108"/>
      <c r="GG38" s="108"/>
      <c r="GH38" s="108"/>
      <c r="GI38" s="108"/>
      <c r="GJ38" s="108"/>
      <c r="GK38" s="251"/>
      <c r="GL38" s="103">
        <f t="shared" si="30"/>
        <v>0</v>
      </c>
      <c r="GM38" s="124"/>
      <c r="GN38" s="104"/>
      <c r="GO38" s="104"/>
      <c r="GP38" s="104"/>
      <c r="GQ38" s="104"/>
      <c r="GR38" s="104"/>
      <c r="GS38" s="104"/>
      <c r="GT38" s="104"/>
      <c r="GU38" s="104"/>
      <c r="GV38" s="104"/>
      <c r="GW38" s="104"/>
      <c r="GX38" s="104"/>
      <c r="GY38" s="104"/>
      <c r="GZ38" s="104"/>
      <c r="HA38" s="104"/>
      <c r="HB38" s="104"/>
      <c r="HC38" s="104"/>
      <c r="HD38" s="104"/>
      <c r="HE38" s="104"/>
      <c r="HF38" s="104"/>
      <c r="HG38" s="104"/>
      <c r="HH38" s="104"/>
      <c r="HI38" s="104"/>
      <c r="HJ38" s="104"/>
      <c r="HK38" s="104"/>
      <c r="HL38" s="104"/>
      <c r="HM38" s="104"/>
      <c r="HN38" s="104"/>
      <c r="HO38" s="104"/>
      <c r="HP38" s="104"/>
      <c r="HQ38" s="64"/>
      <c r="HR38" s="64"/>
      <c r="HS38" s="64"/>
      <c r="HT38" s="64"/>
      <c r="HU38" s="64"/>
      <c r="HV38" s="64"/>
      <c r="HW38" s="105"/>
      <c r="HX38" s="64"/>
      <c r="HY38" s="280">
        <f t="shared" si="57"/>
        <v>0</v>
      </c>
      <c r="HZ38" s="280">
        <f t="shared" si="58"/>
        <v>0</v>
      </c>
      <c r="IA38" s="280">
        <f t="shared" si="59"/>
        <v>0</v>
      </c>
      <c r="IB38" s="64"/>
      <c r="IC38" s="64"/>
    </row>
    <row r="39" spans="1:237" s="106" customFormat="1" ht="22.5" customHeight="1" x14ac:dyDescent="0.25">
      <c r="A39" s="368" t="s">
        <v>3214</v>
      </c>
      <c r="B39" s="369" t="s">
        <v>3215</v>
      </c>
      <c r="C39" s="375" t="s">
        <v>3186</v>
      </c>
      <c r="D39" s="371" t="s">
        <v>3216</v>
      </c>
      <c r="E39" s="371" t="s">
        <v>3217</v>
      </c>
      <c r="F39" s="376" t="s">
        <v>3182</v>
      </c>
      <c r="G39" s="376" t="s">
        <v>3183</v>
      </c>
      <c r="H39" s="373" t="s">
        <v>343</v>
      </c>
      <c r="I39" s="374" t="s">
        <v>343</v>
      </c>
      <c r="J39" s="421" t="s">
        <v>3184</v>
      </c>
      <c r="K39" s="423" t="s">
        <v>3189</v>
      </c>
      <c r="L39" s="329">
        <f>CONTINUA!BV39</f>
        <v>0</v>
      </c>
      <c r="M39" s="329">
        <f>CONTINUA!BW39</f>
        <v>0</v>
      </c>
      <c r="N39" s="895"/>
      <c r="O39" s="896" t="s">
        <v>3280</v>
      </c>
      <c r="P39" s="897">
        <v>0</v>
      </c>
      <c r="Q39" s="400"/>
      <c r="R39" s="401"/>
      <c r="S39" s="400"/>
      <c r="T39" s="401"/>
      <c r="U39" s="400"/>
      <c r="V39" s="401"/>
      <c r="W39" s="400"/>
      <c r="X39" s="401"/>
      <c r="Y39" s="400"/>
      <c r="Z39" s="401"/>
      <c r="AA39" s="400"/>
      <c r="AB39" s="401"/>
      <c r="AC39" s="400"/>
      <c r="AD39" s="401"/>
      <c r="AE39" s="400"/>
      <c r="AF39" s="401"/>
      <c r="AG39" s="400"/>
      <c r="AH39" s="401"/>
      <c r="AI39" s="400"/>
      <c r="AJ39" s="401"/>
      <c r="AK39" s="400"/>
      <c r="AL39" s="401"/>
      <c r="AM39" s="400"/>
      <c r="AN39" s="401"/>
      <c r="AO39" s="400"/>
      <c r="AP39" s="401"/>
      <c r="AQ39" s="400"/>
      <c r="AR39" s="401"/>
      <c r="AS39" s="400"/>
      <c r="AT39" s="401"/>
      <c r="AU39" s="400"/>
      <c r="AV39" s="401"/>
      <c r="AW39" s="400"/>
      <c r="AX39" s="401"/>
      <c r="AY39" s="400"/>
      <c r="AZ39" s="401"/>
      <c r="BA39" s="400"/>
      <c r="BB39" s="401"/>
      <c r="BC39" s="400"/>
      <c r="BD39" s="401"/>
      <c r="BE39" s="400"/>
      <c r="BF39" s="401"/>
      <c r="BG39" s="400"/>
      <c r="BH39" s="401"/>
      <c r="BI39" s="400"/>
      <c r="BJ39" s="401"/>
      <c r="BK39" s="400"/>
      <c r="BL39" s="401"/>
      <c r="BM39" s="400"/>
      <c r="BN39" s="401"/>
      <c r="BO39" s="400"/>
      <c r="BP39" s="401"/>
      <c r="BQ39" s="400"/>
      <c r="BR39" s="401"/>
      <c r="BS39" s="400"/>
      <c r="BT39" s="401"/>
      <c r="BU39" s="400"/>
      <c r="BV39" s="401"/>
      <c r="BW39" s="400"/>
      <c r="BX39" s="401"/>
      <c r="BY39" s="400"/>
      <c r="BZ39" s="401"/>
      <c r="CA39" s="400"/>
      <c r="CB39" s="401"/>
      <c r="CC39" s="400"/>
      <c r="CD39" s="401"/>
      <c r="CE39" s="400"/>
      <c r="CF39" s="401"/>
      <c r="CG39" s="400"/>
      <c r="CH39" s="401"/>
      <c r="CI39" s="400"/>
      <c r="CJ39" s="401"/>
      <c r="CK39" s="400"/>
      <c r="CL39" s="401"/>
      <c r="CM39" s="400"/>
      <c r="CN39" s="401"/>
      <c r="CO39" s="400"/>
      <c r="CP39" s="401"/>
      <c r="CQ39" s="400"/>
      <c r="CR39" s="401"/>
      <c r="CS39" s="400"/>
      <c r="CT39" s="401"/>
      <c r="CU39" s="400"/>
      <c r="CV39" s="401"/>
      <c r="CW39" s="400"/>
      <c r="CX39" s="401"/>
      <c r="CY39" s="400"/>
      <c r="CZ39" s="401"/>
      <c r="DA39" s="400"/>
      <c r="DB39" s="401"/>
      <c r="DC39" s="400"/>
      <c r="DD39" s="401"/>
      <c r="DE39" s="400"/>
      <c r="DF39" s="401"/>
      <c r="DG39" s="400"/>
      <c r="DH39" s="401"/>
      <c r="DI39" s="400"/>
      <c r="DJ39" s="401"/>
      <c r="DK39" s="400"/>
      <c r="DL39" s="401"/>
      <c r="DM39" s="400"/>
      <c r="DN39" s="401"/>
      <c r="DO39" s="400"/>
      <c r="DP39" s="401"/>
      <c r="DQ39" s="400"/>
      <c r="DR39" s="401"/>
      <c r="DS39" s="400"/>
      <c r="DT39" s="401"/>
      <c r="DU39" s="400"/>
      <c r="DV39" s="401"/>
      <c r="DW39" s="400"/>
      <c r="DX39" s="401"/>
      <c r="DY39" s="400"/>
      <c r="DZ39" s="401"/>
      <c r="EA39" s="400"/>
      <c r="EB39" s="401"/>
      <c r="EC39" s="400"/>
      <c r="ED39" s="401"/>
      <c r="EE39" s="400"/>
      <c r="EF39" s="401"/>
      <c r="EG39" s="400"/>
      <c r="EH39" s="401"/>
      <c r="EI39" s="400"/>
      <c r="EJ39" s="447"/>
      <c r="EK39" s="511"/>
      <c r="EL39" s="514"/>
      <c r="EM39" s="448"/>
      <c r="EN39" s="344"/>
      <c r="EO39" s="345"/>
      <c r="EP39" s="171">
        <f t="shared" si="22"/>
        <v>0</v>
      </c>
      <c r="EQ39" s="171">
        <f t="shared" si="23"/>
        <v>0</v>
      </c>
      <c r="ER39" s="171">
        <f t="shared" si="24"/>
        <v>0</v>
      </c>
      <c r="ES39" s="171">
        <f t="shared" si="25"/>
        <v>0</v>
      </c>
      <c r="ET39" s="171">
        <f t="shared" si="26"/>
        <v>0</v>
      </c>
      <c r="EU39" s="171">
        <f t="shared" si="27"/>
        <v>0</v>
      </c>
      <c r="EV39" s="172">
        <f t="shared" si="28"/>
        <v>0</v>
      </c>
      <c r="EW39" s="127"/>
      <c r="EX39" s="248">
        <f t="shared" si="55"/>
        <v>0</v>
      </c>
      <c r="EY39" s="174">
        <f>(L39*regular)+(M39*Cadeirantee)</f>
        <v>0</v>
      </c>
      <c r="EZ39" s="249">
        <f>SUMIF(FG39:GJ39,"&gt;0")</f>
        <v>0</v>
      </c>
      <c r="FA39" s="249">
        <f>SUMIF(FG39:GJ39,"&lt;0")+SUMIF(GN39:HP39,"&lt;0")</f>
        <v>0</v>
      </c>
      <c r="FB39" s="174">
        <v>0</v>
      </c>
      <c r="FC39" s="126">
        <f>N39*km*'VALORES TABELA'!$B$13</f>
        <v>0</v>
      </c>
      <c r="FD39" s="250">
        <f t="shared" si="56"/>
        <v>0</v>
      </c>
      <c r="FE39" s="105"/>
      <c r="FF39" s="118"/>
      <c r="FG39" s="118"/>
      <c r="FH39" s="118"/>
      <c r="FI39" s="118"/>
      <c r="FJ39" s="118"/>
      <c r="FK39" s="118"/>
      <c r="FL39" s="118"/>
      <c r="FM39" s="118"/>
      <c r="FN39" s="118"/>
      <c r="FO39" s="118"/>
      <c r="FP39" s="118"/>
      <c r="FQ39" s="118"/>
      <c r="FR39" s="118"/>
      <c r="FS39" s="118"/>
      <c r="FT39" s="118"/>
      <c r="FU39" s="118"/>
      <c r="FV39" s="118"/>
      <c r="FW39" s="118"/>
      <c r="FX39" s="118"/>
      <c r="FY39" s="118"/>
      <c r="FZ39" s="118"/>
      <c r="GA39" s="118"/>
      <c r="GB39" s="118"/>
      <c r="GC39" s="118"/>
      <c r="GD39" s="118"/>
      <c r="GE39" s="118"/>
      <c r="GF39" s="118"/>
      <c r="GG39" s="118"/>
      <c r="GH39" s="118"/>
      <c r="GI39" s="118"/>
      <c r="GJ39" s="118"/>
      <c r="GK39" s="252"/>
      <c r="GL39" s="103">
        <f t="shared" si="30"/>
        <v>0</v>
      </c>
      <c r="GM39" s="124"/>
      <c r="GN39" s="104"/>
      <c r="GO39" s="104"/>
      <c r="GP39" s="104"/>
      <c r="GQ39" s="104"/>
      <c r="GR39" s="104"/>
      <c r="GS39" s="104"/>
      <c r="GT39" s="104"/>
      <c r="GU39" s="104"/>
      <c r="GV39" s="104"/>
      <c r="GW39" s="104"/>
      <c r="GX39" s="104"/>
      <c r="GY39" s="104"/>
      <c r="GZ39" s="104"/>
      <c r="HA39" s="104"/>
      <c r="HB39" s="104"/>
      <c r="HC39" s="104"/>
      <c r="HD39" s="104"/>
      <c r="HE39" s="104"/>
      <c r="HF39" s="104"/>
      <c r="HG39" s="104"/>
      <c r="HH39" s="104"/>
      <c r="HI39" s="104"/>
      <c r="HJ39" s="104"/>
      <c r="HK39" s="104"/>
      <c r="HL39" s="104"/>
      <c r="HM39" s="104"/>
      <c r="HN39" s="104"/>
      <c r="HO39" s="104"/>
      <c r="HP39" s="104"/>
      <c r="HQ39" s="64"/>
      <c r="HR39" s="65"/>
      <c r="HS39" s="65"/>
      <c r="HT39" s="65"/>
      <c r="HU39" s="65"/>
      <c r="HV39" s="65"/>
      <c r="HW39" s="105"/>
      <c r="HX39" s="65"/>
      <c r="HY39" s="280">
        <f t="shared" si="57"/>
        <v>0</v>
      </c>
      <c r="HZ39" s="280">
        <f t="shared" si="58"/>
        <v>0</v>
      </c>
      <c r="IA39" s="280">
        <f t="shared" si="59"/>
        <v>0</v>
      </c>
      <c r="IB39" s="65"/>
      <c r="IC39" s="65"/>
    </row>
    <row r="40" spans="1:237" s="106" customFormat="1" ht="22.5" customHeight="1" thickBot="1" x14ac:dyDescent="0.3">
      <c r="A40" s="377" t="s">
        <v>3214</v>
      </c>
      <c r="B40" s="378" t="s">
        <v>3215</v>
      </c>
      <c r="C40" s="379" t="s">
        <v>3186</v>
      </c>
      <c r="D40" s="380" t="s">
        <v>3216</v>
      </c>
      <c r="E40" s="380" t="s">
        <v>3217</v>
      </c>
      <c r="F40" s="381" t="s">
        <v>3182</v>
      </c>
      <c r="G40" s="381" t="s">
        <v>3183</v>
      </c>
      <c r="H40" s="382" t="s">
        <v>343</v>
      </c>
      <c r="I40" s="383" t="s">
        <v>343</v>
      </c>
      <c r="J40" s="421" t="s">
        <v>3184</v>
      </c>
      <c r="K40" s="424" t="s">
        <v>60</v>
      </c>
      <c r="L40" s="329">
        <f>CONTINUA!BV40</f>
        <v>0</v>
      </c>
      <c r="M40" s="329">
        <f>CONTINUA!BW40</f>
        <v>0</v>
      </c>
      <c r="N40" s="895"/>
      <c r="O40" s="896" t="s">
        <v>3280</v>
      </c>
      <c r="P40" s="897">
        <v>0</v>
      </c>
      <c r="Q40" s="400"/>
      <c r="R40" s="401"/>
      <c r="S40" s="400"/>
      <c r="T40" s="401"/>
      <c r="U40" s="400"/>
      <c r="V40" s="401"/>
      <c r="W40" s="400"/>
      <c r="X40" s="401"/>
      <c r="Y40" s="400"/>
      <c r="Z40" s="401"/>
      <c r="AA40" s="400"/>
      <c r="AB40" s="401"/>
      <c r="AC40" s="400"/>
      <c r="AD40" s="401"/>
      <c r="AE40" s="400"/>
      <c r="AF40" s="401"/>
      <c r="AG40" s="400"/>
      <c r="AH40" s="401"/>
      <c r="AI40" s="400"/>
      <c r="AJ40" s="401"/>
      <c r="AK40" s="400"/>
      <c r="AL40" s="401"/>
      <c r="AM40" s="400"/>
      <c r="AN40" s="401"/>
      <c r="AO40" s="400"/>
      <c r="AP40" s="401"/>
      <c r="AQ40" s="400"/>
      <c r="AR40" s="401"/>
      <c r="AS40" s="400"/>
      <c r="AT40" s="401"/>
      <c r="AU40" s="400"/>
      <c r="AV40" s="401"/>
      <c r="AW40" s="400"/>
      <c r="AX40" s="401"/>
      <c r="AY40" s="400"/>
      <c r="AZ40" s="401"/>
      <c r="BA40" s="400"/>
      <c r="BB40" s="401"/>
      <c r="BC40" s="400"/>
      <c r="BD40" s="401"/>
      <c r="BE40" s="400"/>
      <c r="BF40" s="401"/>
      <c r="BG40" s="400"/>
      <c r="BH40" s="401"/>
      <c r="BI40" s="400"/>
      <c r="BJ40" s="401"/>
      <c r="BK40" s="400"/>
      <c r="BL40" s="401"/>
      <c r="BM40" s="400"/>
      <c r="BN40" s="401"/>
      <c r="BO40" s="400"/>
      <c r="BP40" s="401"/>
      <c r="BQ40" s="400"/>
      <c r="BR40" s="401"/>
      <c r="BS40" s="400"/>
      <c r="BT40" s="401"/>
      <c r="BU40" s="400"/>
      <c r="BV40" s="401"/>
      <c r="BW40" s="400"/>
      <c r="BX40" s="401"/>
      <c r="BY40" s="400"/>
      <c r="BZ40" s="401"/>
      <c r="CA40" s="400"/>
      <c r="CB40" s="401"/>
      <c r="CC40" s="400"/>
      <c r="CD40" s="401"/>
      <c r="CE40" s="400"/>
      <c r="CF40" s="401"/>
      <c r="CG40" s="400"/>
      <c r="CH40" s="401"/>
      <c r="CI40" s="400"/>
      <c r="CJ40" s="401"/>
      <c r="CK40" s="400"/>
      <c r="CL40" s="401"/>
      <c r="CM40" s="400"/>
      <c r="CN40" s="401"/>
      <c r="CO40" s="400"/>
      <c r="CP40" s="401"/>
      <c r="CQ40" s="400"/>
      <c r="CR40" s="401"/>
      <c r="CS40" s="400"/>
      <c r="CT40" s="401"/>
      <c r="CU40" s="400"/>
      <c r="CV40" s="401"/>
      <c r="CW40" s="400"/>
      <c r="CX40" s="401"/>
      <c r="CY40" s="400"/>
      <c r="CZ40" s="401"/>
      <c r="DA40" s="400"/>
      <c r="DB40" s="401"/>
      <c r="DC40" s="400"/>
      <c r="DD40" s="401"/>
      <c r="DE40" s="400"/>
      <c r="DF40" s="401"/>
      <c r="DG40" s="400"/>
      <c r="DH40" s="401"/>
      <c r="DI40" s="400"/>
      <c r="DJ40" s="401"/>
      <c r="DK40" s="400"/>
      <c r="DL40" s="401"/>
      <c r="DM40" s="400"/>
      <c r="DN40" s="401"/>
      <c r="DO40" s="400"/>
      <c r="DP40" s="401"/>
      <c r="DQ40" s="400"/>
      <c r="DR40" s="401"/>
      <c r="DS40" s="400"/>
      <c r="DT40" s="401"/>
      <c r="DU40" s="400"/>
      <c r="DV40" s="401"/>
      <c r="DW40" s="400"/>
      <c r="DX40" s="401"/>
      <c r="DY40" s="400"/>
      <c r="DZ40" s="401"/>
      <c r="EA40" s="400"/>
      <c r="EB40" s="401"/>
      <c r="EC40" s="400"/>
      <c r="ED40" s="401"/>
      <c r="EE40" s="400"/>
      <c r="EF40" s="401"/>
      <c r="EG40" s="400"/>
      <c r="EH40" s="401"/>
      <c r="EI40" s="400"/>
      <c r="EJ40" s="447"/>
      <c r="EK40" s="512"/>
      <c r="EL40" s="515"/>
      <c r="EM40" s="450"/>
      <c r="EN40" s="348"/>
      <c r="EO40" s="348"/>
      <c r="EP40" s="179">
        <f t="shared" si="22"/>
        <v>0</v>
      </c>
      <c r="EQ40" s="179">
        <f t="shared" si="23"/>
        <v>0</v>
      </c>
      <c r="ER40" s="179">
        <f t="shared" si="24"/>
        <v>0</v>
      </c>
      <c r="ES40" s="179">
        <f t="shared" si="25"/>
        <v>0</v>
      </c>
      <c r="ET40" s="179">
        <f t="shared" si="26"/>
        <v>0</v>
      </c>
      <c r="EU40" s="179">
        <f t="shared" si="27"/>
        <v>0</v>
      </c>
      <c r="EV40" s="172">
        <f t="shared" si="28"/>
        <v>0</v>
      </c>
      <c r="EW40" s="253"/>
      <c r="EX40" s="254">
        <v>0</v>
      </c>
      <c r="EY40" s="180">
        <v>0</v>
      </c>
      <c r="EZ40" s="255">
        <v>0</v>
      </c>
      <c r="FA40" s="255">
        <v>0</v>
      </c>
      <c r="FB40" s="180">
        <f>SUM(FF40:GI40)/2</f>
        <v>0</v>
      </c>
      <c r="FC40" s="256">
        <f>N40*km*'VALORES TABELA'!$B$13</f>
        <v>0</v>
      </c>
      <c r="FD40" s="250">
        <f t="shared" si="56"/>
        <v>0</v>
      </c>
      <c r="FE40" s="257"/>
      <c r="FF40" s="181">
        <f>((Q40+S40)*Percapita)+((R40+T40)*Cadeirante)</f>
        <v>0</v>
      </c>
      <c r="FG40" s="181">
        <f>((U40+W40)*Percapita/30*FG$4)+((V40+X40)*Cadeirante/30*FG$4)</f>
        <v>0</v>
      </c>
      <c r="FH40" s="181">
        <f>((Y40+AA40)*Percapita/30*FH$4)+((Z40+AB40)*Cadeirante/30*FH$4)</f>
        <v>0</v>
      </c>
      <c r="FI40" s="181">
        <f>((AC40+AE40)*Percapita/30*FI$4)+((AD40+AF40)*Cadeirante/30*FI$4)</f>
        <v>0</v>
      </c>
      <c r="FJ40" s="181">
        <f>((AG40+AI40)*Percapita/30*FJ$4)+((AH40+AJ40)*Cadeirante/30*FJ$4)</f>
        <v>0</v>
      </c>
      <c r="FK40" s="181">
        <f>((AK40+AM40)*Percapita/30*FK$4)+((AL40+AN40)*Cadeirante/30*FK$4)</f>
        <v>0</v>
      </c>
      <c r="FL40" s="181">
        <f>((AO40+AQ40)*Percapita/30*FL$4)+((AP40+AR40)*Cadeirante/30*FL$4)</f>
        <v>0</v>
      </c>
      <c r="FM40" s="181">
        <f>((AS40+AU40)*Percapita/30*FM$4)+((AT40+AV40)*Cadeirante/30*FM$4)</f>
        <v>0</v>
      </c>
      <c r="FN40" s="181">
        <f>((AW40+AY40)*Percapita/30*FN$4)+((AX40+AZ40)*Cadeirante/30*FN$4)</f>
        <v>0</v>
      </c>
      <c r="FO40" s="181">
        <f>((BA40+BC40)*Percapita/30*FO$4)+((BB40+BD40)*Cadeirante/30*FO$4)</f>
        <v>0</v>
      </c>
      <c r="FP40" s="181">
        <f>((BE40+BG40)*Percapita/30*FP$4)+((BF40+BH40)*Cadeirante/30*FP$4)</f>
        <v>0</v>
      </c>
      <c r="FQ40" s="181">
        <f>((BI40+BK40)*Percapita/30*FQ$4)+((BJ40+BL40)*Cadeirante/30*FQ$4)</f>
        <v>0</v>
      </c>
      <c r="FR40" s="181">
        <f>((BM40+BO40)*Percapita/30*FR$4)+((BN40+BP40)*Cadeirante/30*FR$4)</f>
        <v>0</v>
      </c>
      <c r="FS40" s="181">
        <f>((BQ40+BS40)*Percapita/30*FS$4)+((BR40+BT40)*Cadeirante/30*FS$4)</f>
        <v>0</v>
      </c>
      <c r="FT40" s="181">
        <f>((BU40+BW40)*Percapita/30*FT$4)+((BV40+BX40)*Cadeirante/30*FT$4)</f>
        <v>0</v>
      </c>
      <c r="FU40" s="181">
        <f>((BY40+CA40)*Percapita/30*FU$4)+((BZ40+CB40)*Cadeirante/30*FU$4)</f>
        <v>0</v>
      </c>
      <c r="FV40" s="181">
        <f>((CC40+CE40)*Percapita/30*FV$4)+((CD40+CF40)*Cadeirante/30*FV$4)</f>
        <v>0</v>
      </c>
      <c r="FW40" s="181">
        <f>((CG40+CI40)*Percapita/30*FW$4)+((CI40+CK40)*Cadeirante/30*FW$4)</f>
        <v>0</v>
      </c>
      <c r="FX40" s="181">
        <f>((CK40+CM40)*Percapita/30*FX$4)+((CL40+CN40)*Cadeirante/30*FX$4)</f>
        <v>0</v>
      </c>
      <c r="FY40" s="181">
        <f>((CO40+CQ40)*Percapita/30*FY$4)+((CP40+CR40)*Cadeirante/30*FY$4)</f>
        <v>0</v>
      </c>
      <c r="FZ40" s="181">
        <f>((CS40+CU40)*Percapita/30*FZ$4)+((CT40+CV40)*Cadeirante/30*FZ$4)</f>
        <v>0</v>
      </c>
      <c r="GA40" s="181">
        <f>((CW40+CY40)*Percapita/30*GA$4)+((CX40+CZ40)*Cadeirante/30*GA$4)</f>
        <v>0</v>
      </c>
      <c r="GB40" s="181">
        <f>((DA40+DC40)*Percapita/30*GB$4)+((DB40+DD40)*Cadeirante/30*GB$4)</f>
        <v>0</v>
      </c>
      <c r="GC40" s="181">
        <f>((DE40+DG40)*Percapita/30*GC$4)+((DF40+DH40)*Cadeirante/30*GC$4)</f>
        <v>0</v>
      </c>
      <c r="GD40" s="181">
        <f>((DI40+DK40)*Percapita/30*GD$4)+((DJ40+DL40)*Cadeirante/30*GD$4)</f>
        <v>0</v>
      </c>
      <c r="GE40" s="181">
        <f>((DM40+DO40)*Percapita/30*GE$4)+((DN40+DP40)*Cadeirante/30*GE$4)</f>
        <v>0</v>
      </c>
      <c r="GF40" s="181">
        <f>((DQ40+DS40)*Percapita/30*GF$4)+((DR40+DT40)*Cadeirante/30*GF$4)</f>
        <v>0</v>
      </c>
      <c r="GG40" s="181">
        <f>((DU40+DW40)*Percapita/30*GG$4)+((DV40+DX40)*Cadeirante/30*GG$4)</f>
        <v>0</v>
      </c>
      <c r="GH40" s="181">
        <f>((DY40+EA40)*Percapita/30*GH$4)+((DZ40+EB40)*Cadeirante/30*GH$4)</f>
        <v>0</v>
      </c>
      <c r="GI40" s="181">
        <f>((EC40+EE40)*Percapita/30*GI$4)+((ED40+EF40)*Cadeirante/30*GI$4)</f>
        <v>0</v>
      </c>
      <c r="GJ40" s="181">
        <f>((EG40+EI40)*Percapita)+((EH40+EJ40)*Cadeirante)</f>
        <v>0</v>
      </c>
      <c r="GK40" s="258"/>
      <c r="GL40" s="103">
        <f t="shared" si="30"/>
        <v>0</v>
      </c>
      <c r="GM40" s="124"/>
      <c r="GN40" s="182"/>
      <c r="GO40" s="182"/>
      <c r="GP40" s="182"/>
      <c r="GQ40" s="182"/>
      <c r="GR40" s="182"/>
      <c r="GS40" s="182"/>
      <c r="GT40" s="182"/>
      <c r="GU40" s="182"/>
      <c r="GV40" s="182"/>
      <c r="GW40" s="182"/>
      <c r="GX40" s="182"/>
      <c r="GY40" s="182"/>
      <c r="GZ40" s="182"/>
      <c r="HA40" s="182"/>
      <c r="HB40" s="182"/>
      <c r="HC40" s="182"/>
      <c r="HD40" s="182"/>
      <c r="HE40" s="182"/>
      <c r="HF40" s="182"/>
      <c r="HG40" s="182"/>
      <c r="HH40" s="182"/>
      <c r="HI40" s="182"/>
      <c r="HJ40" s="182"/>
      <c r="HK40" s="182"/>
      <c r="HL40" s="182"/>
      <c r="HM40" s="182"/>
      <c r="HN40" s="182"/>
      <c r="HO40" s="182"/>
      <c r="HP40" s="259"/>
      <c r="HQ40" s="64"/>
      <c r="HW40" s="257"/>
      <c r="HY40" s="280">
        <f t="shared" si="57"/>
        <v>0</v>
      </c>
      <c r="HZ40" s="280">
        <f t="shared" si="58"/>
        <v>0</v>
      </c>
      <c r="IA40" s="280">
        <f t="shared" si="59"/>
        <v>0</v>
      </c>
    </row>
    <row r="41" spans="1:237" s="106" customFormat="1" ht="22.5" customHeight="1" x14ac:dyDescent="0.25">
      <c r="A41" t="s">
        <v>3218</v>
      </c>
      <c r="B41" s="522" t="s">
        <v>3219</v>
      </c>
      <c r="C41" s="523">
        <v>1</v>
      </c>
      <c r="D41" s="524" t="s">
        <v>3220</v>
      </c>
      <c r="E41" s="524" t="s">
        <v>3221</v>
      </c>
      <c r="F41" s="525" t="s">
        <v>3182</v>
      </c>
      <c r="G41" s="525" t="s">
        <v>3183</v>
      </c>
      <c r="H41" s="350" t="s">
        <v>344</v>
      </c>
      <c r="I41" s="351" t="s">
        <v>344</v>
      </c>
      <c r="J41" s="409" t="s">
        <v>3184</v>
      </c>
      <c r="K41" s="410" t="s">
        <v>3185</v>
      </c>
      <c r="L41" s="329">
        <f>CONTINUA!BV41</f>
        <v>0</v>
      </c>
      <c r="M41" s="329">
        <f>CONTINUA!BW41</f>
        <v>0</v>
      </c>
      <c r="N41" s="895"/>
      <c r="O41" s="896" t="s">
        <v>3281</v>
      </c>
      <c r="P41" s="897">
        <v>0</v>
      </c>
      <c r="Q41" s="400">
        <v>24</v>
      </c>
      <c r="R41" s="401"/>
      <c r="S41" s="400"/>
      <c r="T41" s="401"/>
      <c r="U41" s="400"/>
      <c r="V41" s="401"/>
      <c r="W41" s="400"/>
      <c r="X41" s="401"/>
      <c r="Y41" s="400"/>
      <c r="Z41" s="401"/>
      <c r="AA41" s="400"/>
      <c r="AB41" s="401"/>
      <c r="AC41" s="400"/>
      <c r="AD41" s="401"/>
      <c r="AE41" s="400"/>
      <c r="AF41" s="401"/>
      <c r="AG41" s="400"/>
      <c r="AH41" s="401"/>
      <c r="AI41" s="400"/>
      <c r="AJ41" s="401"/>
      <c r="AK41" s="400"/>
      <c r="AL41" s="401"/>
      <c r="AM41" s="400"/>
      <c r="AN41" s="401"/>
      <c r="AO41" s="400"/>
      <c r="AP41" s="401"/>
      <c r="AQ41" s="400"/>
      <c r="AR41" s="401"/>
      <c r="AS41" s="400"/>
      <c r="AT41" s="401"/>
      <c r="AU41" s="400"/>
      <c r="AV41" s="401"/>
      <c r="AW41" s="400"/>
      <c r="AX41" s="401"/>
      <c r="AY41" s="400"/>
      <c r="AZ41" s="401"/>
      <c r="BA41" s="400">
        <v>1</v>
      </c>
      <c r="BB41" s="401"/>
      <c r="BC41" s="400"/>
      <c r="BD41" s="401"/>
      <c r="BE41" s="400"/>
      <c r="BF41" s="401"/>
      <c r="BG41" s="400"/>
      <c r="BH41" s="401"/>
      <c r="BI41" s="400"/>
      <c r="BJ41" s="401"/>
      <c r="BK41" s="400"/>
      <c r="BL41" s="401"/>
      <c r="BM41" s="400"/>
      <c r="BN41" s="401"/>
      <c r="BO41" s="400"/>
      <c r="BP41" s="401"/>
      <c r="BQ41" s="400"/>
      <c r="BR41" s="401"/>
      <c r="BS41" s="400"/>
      <c r="BT41" s="401"/>
      <c r="BU41" s="400"/>
      <c r="BV41" s="401"/>
      <c r="BW41" s="400"/>
      <c r="BX41" s="401"/>
      <c r="BY41" s="400"/>
      <c r="BZ41" s="401"/>
      <c r="CA41" s="400"/>
      <c r="CB41" s="401"/>
      <c r="CC41" s="400"/>
      <c r="CD41" s="401"/>
      <c r="CE41" s="400"/>
      <c r="CF41" s="401"/>
      <c r="CG41" s="400"/>
      <c r="CH41" s="401"/>
      <c r="CI41" s="400"/>
      <c r="CJ41" s="401"/>
      <c r="CK41" s="400"/>
      <c r="CL41" s="401"/>
      <c r="CM41" s="400"/>
      <c r="CN41" s="401"/>
      <c r="CO41" s="400"/>
      <c r="CP41" s="401"/>
      <c r="CQ41" s="400"/>
      <c r="CR41" s="401"/>
      <c r="CS41" s="400"/>
      <c r="CT41" s="401"/>
      <c r="CU41" s="400"/>
      <c r="CV41" s="401"/>
      <c r="CW41" s="400"/>
      <c r="CX41" s="401"/>
      <c r="CY41" s="400"/>
      <c r="CZ41" s="401"/>
      <c r="DA41" s="400"/>
      <c r="DB41" s="401"/>
      <c r="DC41" s="400"/>
      <c r="DD41" s="401"/>
      <c r="DE41" s="400"/>
      <c r="DF41" s="401"/>
      <c r="DG41" s="400"/>
      <c r="DH41" s="401"/>
      <c r="DI41" s="400"/>
      <c r="DJ41" s="401"/>
      <c r="DK41" s="400"/>
      <c r="DL41" s="401"/>
      <c r="DM41" s="400"/>
      <c r="DN41" s="401"/>
      <c r="DO41" s="400"/>
      <c r="DP41" s="401"/>
      <c r="DQ41" s="400">
        <v>-1</v>
      </c>
      <c r="DR41" s="401"/>
      <c r="DS41" s="400"/>
      <c r="DT41" s="401"/>
      <c r="DU41" s="400"/>
      <c r="DV41" s="401"/>
      <c r="DW41" s="400"/>
      <c r="DX41" s="401"/>
      <c r="DY41" s="400"/>
      <c r="DZ41" s="401"/>
      <c r="EA41" s="400"/>
      <c r="EB41" s="401"/>
      <c r="EC41" s="400"/>
      <c r="ED41" s="401"/>
      <c r="EE41" s="400"/>
      <c r="EF41" s="401"/>
      <c r="EG41" s="400"/>
      <c r="EH41" s="401"/>
      <c r="EI41" s="400"/>
      <c r="EJ41" s="447"/>
      <c r="EK41" s="510"/>
      <c r="EL41" s="513"/>
      <c r="EM41" s="520"/>
      <c r="EN41" s="520"/>
      <c r="EO41" s="520"/>
      <c r="EP41" s="171">
        <f t="shared" si="22"/>
        <v>24</v>
      </c>
      <c r="EQ41" s="171">
        <f t="shared" si="23"/>
        <v>0</v>
      </c>
      <c r="ER41" s="171">
        <f t="shared" si="24"/>
        <v>0</v>
      </c>
      <c r="ES41" s="171">
        <f t="shared" si="25"/>
        <v>0</v>
      </c>
      <c r="ET41" s="171">
        <f t="shared" si="26"/>
        <v>0</v>
      </c>
      <c r="EU41" s="171">
        <f t="shared" si="27"/>
        <v>0</v>
      </c>
      <c r="EV41" s="172">
        <f t="shared" si="28"/>
        <v>24</v>
      </c>
      <c r="EW41" s="367">
        <f>IF(C41=4,IF(MAX(Q41:EJ43)&gt;0,(Especiall/30*(IF(($G41-$F41)=($G$5-$F$5),30,IF(DAY($G41)=31,($G41-$F41),($G41-$F41)+1)))),0),0)</f>
        <v>0</v>
      </c>
      <c r="EX41" s="248">
        <f t="shared" ref="EX41:EX44" si="60">FF41</f>
        <v>10574.36</v>
      </c>
      <c r="EY41" s="174">
        <f>(L41*regular)+(M41*Cadeirantee)</f>
        <v>0</v>
      </c>
      <c r="EZ41" s="249">
        <f>SUMIF(FG41:GJ41,"&gt;0")</f>
        <v>269.661</v>
      </c>
      <c r="FA41" s="249">
        <f>SUMIF(FG41:GJ41,"&lt;0")+SUMIF(GN41:HP41,"&lt;0")</f>
        <v>-51.364000000000004</v>
      </c>
      <c r="FB41" s="174">
        <v>0</v>
      </c>
      <c r="FC41" s="175">
        <f>N41*km*'VALORES TABELA'!$B$13</f>
        <v>0</v>
      </c>
      <c r="FD41" s="250">
        <f>GL41</f>
        <v>0</v>
      </c>
      <c r="FE41" s="176">
        <f>(EW41+EW42+EW43+EW44+EX41+EX42+EX43+EX44+EY41+EY42+EY43+EY44+EY45+EZ41+EZ42+EZ43+EZ44+FA41+FA42+FA43+FA44+FC41+FC42+FC43+FC44+HY41-HZ41-IA41+FD41+FD42+FD43+FD44+FB45)</f>
        <v>10792.657000000001</v>
      </c>
      <c r="FF41" s="177">
        <f>IF(C41=4,SUM(Q41+Q42+Q43+S41+S42+S43)*Percapita/30*FF$4+(R41+R42+R43+T41+T42+T43)*Cadeirante/30*FF$4,IF(C41=3,IF(Q44+S44=10,Fixo/30*FF$4+(Q41+Q42+Q43+S41+S42+S43)*Percapita/30*FF$4+(R44+T44)*Cadeirante/30*FF$4,IF(Q44+S44&lt;=9,(Q44+S44)*Crechee/30*FF$4)+(R44+T44)*Cadeirante/30*FF$4+(Q41+Q42+Q43+S41+S42+S43)*Percapita/30*FF$4)+IF(Q44+S44&gt;=11,Fixo/30*FF$4+(Q44+S44-10)*Crechee/30*FF$4,0),IF(C41=2,IF(R41+R42+R43+R44+T41+T42+T43+T44=1,Cadeirante/30*FF$4,IF(R41+R42+R43+R44+T41+T42+T43+T44=2,Fixo/30*FF$4,IF(R41+R42+R43+R44+T41+T42+T43+T44&gt;2,Fixo/30*FF$4+(R41+R42+R43+R44+T41+T42+T43+T44-2)*Cadeirante/30*FF$4)))+(Q41+Q42+Q43+S41+S42+S43)*Percapita/30*FF$4+(Q44+S44)*Crechee/30*FF$4,IF(C41=1,IF(Q41+Q42+Q43+R41+R42+R43+S41+S42+S43+T41+T42+T43&lt;=15,(Q41+Q42+Q43+S41+S42+S43)*Percapita/30*FF$4,IF(Q41+Q42+Q43+R41+R42+R43+S41+S42+S43+T41+T42+T43&gt;=16,Fixo/30*FF$4+(Q41+Q42+Q43+R41+R42+R43+S41+S42+S43+T41+T42-16)*Percapita/30*FF$4))))))</f>
        <v>10574.36</v>
      </c>
      <c r="FG41" s="177">
        <f>IF(C41=4,SUM(U41+U42+U43+W41+W42+W43)*Percapita/30*FG$4+(V41+V42+V43+X41+X42+X43)*Cadeirante/30*FG$4,IF(C41=3,IF(U44+W44=10,Fixo/30*FG$4+(U41+U42+U43+W41+W42+W43)*Percapita/30*FG$4+(V44+X44)*Cadeirante/30*FG$4,IF(U44+W44&lt;=9,(U44+W44)*Crechee/30*FG$4)+(V44+X44)*Cadeirante/30*FG$4+(U41+U42+U43+W41+W42+W43)*Percapita/30*FG$4)+IF(U44+W44&gt;=11,Fixo/30*FG$4+(U44+W44-10)*Crechee/30*FG$4,0),IF(C41=2,IF(V41+V42+V43+V44+X41+X42+X43+X44=1,Cadeirante/30*FG$4,IF(V41+V42+V43+V44+X41+X42+X43+X44=2,Fixo/30*FG$4,IF(V41+V42+V43+V44+X41+X42+X43+X44&gt;2,Fixo/30*FG$4+(V41+V42+V43+V44+X41+X42+X43+X44-2)*Cadeirante/30*FG$4)))+(U41+U42+U43+W41+W42+W43)*Percapita/30*FG$4+(U44+W44)*Crechee/30*FG$4,IF(C41=1,IF(U41+U42+U43+V41+V42+V43+W41+W42+W43+X41+X42+X43&lt;=15,(U41+U42+U43+W41+W42+W43)*Percapita/30*FG$4,IF(U41+U42+U43+V41+V42+V43+W41+W42+W43+X41+X42+X43&gt;=16,Fixo/30*FG$4+(U41+U42+U43+V41+V42+V43+W41+W42+W43+X41+X42-16)*Percapita/30*FG$4))))))</f>
        <v>0</v>
      </c>
      <c r="FH41" s="177">
        <f>IF(C41=4,SUM(Y41+Y42+Y43+AA41+AA42+AA43)*Percapita/30*FH$4+(Z41+Z42+Z43+AB41+AB42+AB43)*Cadeirante/30*FH$4,IF(C41=3,IF(Y44+AA44=10,Fixo/30*FH$4+(Y41+Y42+Y43+AA41+AA42+AA43)*Percapita/30*FH$4+(Z44+AB44)*Cadeirante/30*FH$4,IF(Y44+AA44&lt;=9,(Y44+AA44)*Crechee/30*FH$4)+(Z44+AB44)*Cadeirante/30*FH$4+(Y41+Y42+Y43+AA41+AA42+AA43)*Percapita/30*FH$4)+IF(Y44+AA44&gt;=11,Fixo/30*FH$4+(Y44+AA44-10)*Crechee/30*FH$4,0),IF(C41=2,IF(Z41+Z42+Z43+Z44+AB41+AB42+AB43+AB44=1,Cadeirante/30*FH$4,IF(Z41+Z42+Z43+Z44+AB41+AB42+AB43+AB44=2,Fixo/30*FH$4,IF(Z41+Z42+Z43+Z44+AB41+AB42+AB43+AB44&gt;2,Fixo/30*FH$4+(Z41+Z42+Z43+Z44+AB41+AB42+AB43+AB44-2)*Cadeirante/30*FH$4)))+(Y41+Y42+Y43+AA41+AA42+AA43)*Percapita/30*FH$4+(Y44+AA44)*Crechee/30*FH$4,IF(C41=1,IF(Y41+Y42+Y43+Z41+Z42+Z43+AA41+AA42+AA43+AB41+AB42+AB43&lt;=15,(Y41+Y42+Y43+AA41+AA42+AA43)*Percapita/30*FH$4,IF(Y41+Y42+Y43+Z41+Z42+Z43+AA41+AA42+AA43+AB41+AB42+AB43&gt;=16,Fixo/30*FH$4+(Y41+Y42+Y43+Z41+Z42+Z43+AA41+AA42+AA43+AB41+AB42-16)*Percapita/30*FH$4))))))</f>
        <v>0</v>
      </c>
      <c r="FI41" s="177">
        <f>IF(C41=4,SUM(AC41+AC42+AC43+AE41+AE42+AE43)*Percapita/30*FI$4+(AD41+AD42+AD43+AF41+AF42+AF43)*Cadeirante/30*FI$4,IF(C41=3,IF(AC44+AE44=10,Fixo/30*FI$4+(AC41+AC42+AC43+AE41+AE42+AE43)*Percapita/30*FI$4+(AD44+AF44)*Cadeirante/30*FI$4,IF(AC44+AE44&lt;=9,(AC44+AE44)*Crechee/30*FI$4)+(AD44+AF44)*Cadeirante/30*FI$4+(AC41+AC42+AC43+AE41+AE42+AE43)*Percapita/30*FI$4)+IF(AC44+AE44&gt;=11,Fixo/30*FI$4+(AC44+AE44-10)*Crechee/30*FI$4,0),IF(C41=2,IF(AD41+AD42+AD43+AD44+AF41+AF42+AF43+AF44=1,Cadeirante/30*FI$4,IF(AD41+AD42+AD43+AD44+AF41+AF42+AF43+AF44=2,Fixo/30*FI$4,IF(AD41+AD42+AD43+AD44+AF41+AF42+AF43+AF44&gt;2,Fixo/30*FI$4+(AD41+AD42+AD43+AD44+AF41+AF42+AF43+AF44-2)*Cadeirante/30*FI$4)))+(AC41+AC42+AC43+AE41+AE42+AE43)*Percapita/30*FI$4+(AC44+AE44)*Crechee/30*FI$4,IF(C41=1,IF(AC41+AC42+AC43+AD41+AD42+AD43+AE41+AE42+AE43+AF41+AF42+AF43&lt;=15,(AC41+AC42+AC43+AE41+AE42+AE43)*Percapita/30*FI$4,IF(AC41+AC42+AC43+AD41+AD42+AD43+AE41+AE42+AE43+AF41+AF42+AF43&gt;=16,Fixo/30*FI$4+(AC41+AC42+AC43+AD41+AD42+AD43+AE41+AE42+AE43+AF41+AF42-16)*Percapita/30*FI$4))))))</f>
        <v>0</v>
      </c>
      <c r="FJ41" s="177">
        <f>IF(C41=4,SUM(AG41+AG42+AG43+AI41+AI42+AI43)*Percapita/30*FJ$4+(AH41+AH42+AH43+AJ41+AJ42+AJ43)*Cadeirante/30*FJ$4,IF(C41=3,IF(AG44+AI44=10,Fixo/30*FJ$4+(AG41+AG42+AG43+AI41+AI42+AI43)*Percapita/30*FJ$4+(AH44+AJ44)*Cadeirante/30*FJ$4,IF(AG44+AI44&lt;=9,(AG44+AI44)*Crechee/30*FJ$4)+(AH44+AJ44)*Cadeirante/30*FJ$4+(AG41+AG42+AG43+AI41+AI42+AI43)*Percapita/30*FJ$4)+IF(AG44+AI44&gt;=11,Fixo/30*FJ$4+(AG44+AI44-10)*Crechee/30*FJ$4,0),IF(C41=2,IF(AH41+AH42+AH43+AH44+AJ41+AJ42+AJ43+AJ44=1,Cadeirante/30*FJ$4,IF(AH41+AH42+AH43+AH44+AJ41+AJ42+AJ43+AJ44=2,Fixo/30*FJ$4,IF(AH41+AH42+AH43+AH44+AJ41+AJ42+AJ43+AJ44&gt;2,Fixo/30*FJ$4+(AH41+AH42+AH43+AH44+AJ41+AJ42+AJ43+AJ44-2)*Cadeirante/30*FJ$4)))+(AG41+AG42+AG43+AI41+AI42+AI43)*Percapita/30*FJ$4+(AG44+AI44)*Crechee/30*FJ$4,IF(C41=1,IF(AG41+AG42+AG43+AH41+AH42+AH43+AI41+AI42+AI43+AJ41+AJ42+AJ43&lt;=15,(AG41+AG42+AG43+AI41+AI42+AI43)*Percapita/30*FJ$4,IF(AG41+AG42+AG43+AH41+AH42+AH43+AI41+AI42+AI43+AJ41+AJ42+AJ43&gt;=16,Fixo/30*FJ$4+(AG41+AG42+AG43+AH41+AH42+AH43+AI41+AI42+AI43+AJ41+AJ42-16)*Percapita/30*FJ$4))))))</f>
        <v>0</v>
      </c>
      <c r="FK41" s="177">
        <f>IF(C41=4,SUM(AK41+AK42+AK43+AM41+AM42+AM43)*Percapita/30*FK$4+(AL41+AL42+AL43+AN41+AN42+AN43)*Cadeirante/30*FK$4,IF(C41=3,IF(AK44+AM44=10,Fixo/30*FK$4+(AK41+AK42+AK43+AM41+AM42+AM43)*Percapita/30*FK$4+(AL44+AN44)*Cadeirante/30*FK$4,IF(AK44+AM44&lt;=9,(AK44+AM44)*Crechee/30*FK$4)+(AL44+AN44)*Cadeirante/30*FK$4+(AK41+AK42+AK43+AM41+AM42+AM43)*Percapita/30*FK$4)+IF(AK44+AM44&gt;=11,Fixo/30*FK$4+(AK44+AM44-10)*Crechee/30*FK$4,0),IF(C41=2,IF(AL41+AL42+AL43+AL44+AN41+AN42+AN43+AN44=1,Cadeirante/30*FK$4,IF(AL41+AL42+AL43+AL44+AN41+AN42+AN43+AN44=2,Fixo/30*FK$4,IF(AL41+AL42+AL43+AL44+AN41+AN42+AN43+AN44&gt;2,Fixo/30*FK$4+(AL41+AL42+AL43+AL44+AN41+AN42+AN43+AN44-2)*Cadeirante/30*FK$4)))+(AK41+AK42+AK43+AM41+AM42+AM43)*Percapita/30*FK$4+(AK44+AM44)*Crechee/30*FK$4,IF(C41=1,IF(AK41+AK42+AK43+AL41+AL42+AL43+AM41+AM42+AM43+AN41+AN42+AN43&lt;=15,(AK41+AK42+AK43+AM41+AM42+AM43)*Percapita/30*FK$4,IF(AK41+AK42+AK43+AL41+AL42+AL43+AM41+AM42+AM43+AN41+AN42+AN43&gt;=16,Fixo/30*FK$4+(AK41+AK42+AK43+AL41+AL42+AL43+AM41+AM42+AM43+AN41+AN42-16)*Percapita/30*FK$4))))))</f>
        <v>0</v>
      </c>
      <c r="FL41" s="177">
        <f>IF(C41=4,SUM(AO41+AO42+AO43+AQ41+AQ42+AQ43)*Percapita/30*FL$4+(AP41+AP42+AP43+AR41+AR42+AR43)*Cadeirante/30*FL$4,IF(C41=3,IF(AO44+AQ44=10,Fixo/30*FL$4+(AO41+AO42+AO43+AQ41+AQ42+AQ43)*Percapita/30*FL$4+(AP44+AR44)*Cadeirante/30*FL$4,IF(AO44+AQ44&lt;=9,(AO44+AQ44)*Crechee/30*FL$4)+(AP44+AR44)*Cadeirante/30*FL$4+(AO41+AO42+AO43+AQ41+AQ42+AQ43)*Percapita/30*FL$4)+IF(AO44+AQ44&gt;=11,Fixo/30*FL$4+(AO44+AQ44-10)*Crechee/30*FL$4,0),IF(C41=2,IF(AP41+AP42+AP43+AP44+AR41+AR42+AR43+AR44=1,Cadeirante/30*FL$4,IF(AP41+AP42+AP43+AP44+AR41+AR42+AR43+AR44=2,Fixo/30*FL$4,IF(AP41+AP42+AP43+AP44+AR41+AR42+AR43+AR44&gt;2,Fixo/30*FL$4+(AP41+AP42+AP43+AP44+AR41+AR42+AR43+AR44-2)*Cadeirante/30*FL$4)))+(AO41+AO42+AO43+AQ41+AQ42+AQ43)*Percapita/30*FL$4+(AO44+AQ44)*Crechee/30*FL$4,IF(C41=1,IF(AO41+AO42+AO43+AP41+AP42+AP43+AQ41+AQ42+AQ43+AR41+AR42+AR43&lt;=15,(AO41+AO42+AO43+AQ41+AQ42+AQ43)*Percapita/30*FL$4,IF(AO41+AO42+AO43+AP41+AP42+AP43+AQ41+AQ42+AQ43+AR41+AR42+AR43&gt;=16,Fixo/30*FL$4+(AO41+AO42+AO43+AP41+AP42+AP43+AQ41+AQ42+AQ43+AR41+AR42-16)*Percapita/30*FL$4))))))</f>
        <v>0</v>
      </c>
      <c r="FM41" s="177">
        <f>IF(C41=4,SUM(AS41+AS42+AS43+AU41+AU42+AU43)*Percapita/30*FM$4+(AT41+AT42+AT43+AV41+AV42+AV43)*Cadeirante/30*FM$4,IF(C41=3,IF(AS44+AU44=10,Fixo/30*FM$4+(AS41+AS42+AS43+AU41+AU42+AU43)*Percapita/30*FM$4+(AT44+AV44)*Cadeirante/30*FM$4,IF(AS44+AU44&lt;=9,(AS44+AU44)*Crechee/30*FM$4)+(AT44+AV44)*Cadeirante/30*FM$4+(AS41+AS42+AS43+AU41+AU42+AU43)*Percapita/30*FM$4)+IF(AS44+AU44&gt;=11,Fixo/30*FM$4+(AS44+AU44-10)*Crechee/30*FM$4,0),IF(C41=2,IF(AT41+AT42+AT43+AT44+AV41+AV42+AV43+AV44=1,Cadeirante/30*FM$4,IF(AT41+AT42+AT43+AT44+AV41+AV42+AV43+AV44=2,Fixo/30*FM$4,IF(AT41+AT42+AT43+AT44+AV41+AV42+AV43+AV44&gt;2,Fixo/30*FM$4+(AT41+AT42+AT43+AT44+AV41+AV42+AV43+AV44-2)*Cadeirante/30*FM$4)))+(AS41+AS42+AS43+AU41+AU42+AU43)*Percapita/30*FM$4+(AS44+AU44)*Crechee/30*FM$4,IF(C41=1,IF(AS41+AS42+AS43+AT41+AT42+AT43+AU41+AU42+AU43+AV41+AV42+AV43&lt;=15,(AS41+AS42+AS43+AU41+AU42+AU43)*Percapita/30*FM$4,IF(AS41+AS42+AS43+AT41+AT42+AT43+AU41+AU42+AU43+AV41+AV42+AV43&gt;=16,Fixo/30*FM$4+(AS41+AS42+AS43+AT41+AT42+AT43+AU41+AU42+AU43+AV41+AV42-16)*Percapita/30*FM$4))))))</f>
        <v>0</v>
      </c>
      <c r="FN41" s="177">
        <f>IF(C41=4,SUM(AW41+AW42+AW43+AY41+AY42+AY43)*Percapita/30*FN$4+(AX41+AX42+AX43+AZ41+AZ42+AZ43)*Cadeirante/30*FN$4,IF(C41=3,IF(AW44+AY44=10,Fixo/30*FN$4+(AW41+AW42+AW43+AY41+AY42+AY43)*Percapita/30*FN$4+(AX44+AZ44)*Cadeirante/30*FN$4,IF(AW44+AY44&lt;=9,(AW44+AY44)*Crechee/30*FN$4)+(AX44+AZ44)*Cadeirante/30*FN$4+(AW41+AW42+AW43+AY41+AY42+AY43)*Percapita/30*FN$4)+IF(AW44+AY44&gt;=11,Fixo/30*FN$4+(AW44+AY44-10)*Crechee/30*FN$4,0),IF(C41=2,IF(AX41+AX42+AX43+AX44+AZ41+AZ42+AZ43+AZ44=1,Cadeirante/30*FN$4,IF(AX41+AX42+AX43+AX44+AZ41+AZ42+AZ43+AZ44=2,Fixo/30*FN$4,IF(AX41+AX42+AX43+AX44+AZ41+AZ42+AZ43+AZ44&gt;2,Fixo/30*FN$4+(AX41+AX42+AX43+AX44+AZ41+AZ42+AZ43+AZ44-2)*Cadeirante/30*FN$4)))+(AW41+AW42+AW43+AY41+AY42+AY43)*Percapita/30*FN$4+(AW44+AY44)*Crechee/30*FN$4,IF(C41=1,IF(AW41+AW42+AW43+AX41+AX42+AX43+AY41+AY42+AY43+AZ41+AZ42+AZ43&lt;=15,(AW41+AW42+AW43+AY41+AY42+AY43)*Percapita/30*FN$4,IF(AW41+AW42+AW43+AX41+AX42+AX43+AY41+AY42+AY43+AZ41+AZ42+AZ43&gt;=16,Fixo/30*FN$4+(AW41+AW42+AW43+AX41+AX42+AX43+AY41+AY42+AY43+AZ41+AZ42-16)*Percapita/30*FN$4))))))</f>
        <v>0</v>
      </c>
      <c r="FO41" s="177">
        <f>IF(C41=4,SUM(BA41+BA42+BA43+BC41+BC42+BC43)*Percapita/30*FO$4+(BB41+BB42+BB43+BD41+BD42+BD43)*Cadeirante/30*FO$4,IF(C41=3,IF(BA44+BC44=10,Fixo/30*FO$4+(BA41+BA42+BA43+BC41+BC42+BC43)*Percapita/30*FO$4+(BB44+BD44)*Cadeirante/30*FO$4,IF(BA44+BC44&lt;=9,(BA44+BC44)*Crechee/30*FO$4)+(BB44+BD44)*Cadeirante/30*FO$4+(BA41+BA42+BA43+BC41+BC42+BC43)*Percapita/30*FO$4)+IF(BA44+BC44&gt;=11,Fixo/30*FO$4+(BA44+BC44-10)*Crechee/30*FO$4,0),IF(C41=2,IF(BB41+BB42+BB43+BB44+BD41+BD42+BD43+BD44=1,Cadeirante/30*FO$4,IF(BB41+BB42+BB43+BB44+BD41+BD42+BD43+BD44=2,Fixo/30*FO$4,IF(BB41+BB42+BB43+BB44+BD41+BD42+BD43+BD44&gt;2,Fixo/30*FO$4+(BB41+BB42+BB43+BB44+BD41+BD42+BD43+BD44-2)*Cadeirante/30*FO$4)))+(BA41+BA42+BA43+BC41+BC42+BC43)*Percapita/30*FO$4+(BA44+BC44)*Crechee/30*FO$4,IF(C41=1,IF(BA41+BA42+BA43+BB41+BB42+BB43+BC41+BC42+BC43+BD41+BD42+BD43&lt;=15,(BA41+BA42+BA43+BC41+BC42+BC43)*Percapita/30*FO$4,IF(BA41+BA42+BA43+BB41+BB42+BB43+BC41+BC42+BC43+BD41+BD42+BD43&gt;=16,Fixo/30*FO$4+(BA41+BA42+BA43+BB41+BB42+BB43+BC41+BC42+BC43+BD41+BD42-16)*Percapita/30*FO$4))))))</f>
        <v>269.661</v>
      </c>
      <c r="FP41" s="177">
        <f>IF(C41=4,SUM(BE41+BE42+BE43+BG41+BG42+BG43)*Percapita/30*FP$4+(BF41+BF42+BF43+BH41+BH42+BH43)*Cadeirante/30*FP$4,IF(C41=3,IF(BE44+BG44=10,Fixo/30*FP$4+(BE41+BE42+BE43+BG41+BG42+BG43)*Percapita/30*FP$4+(BF44+BH44)*Cadeirante/30*FP$4,IF(BE44+BG44&lt;=9,(BE44+BG44)*Crechee/30*FP$4)+(BF44+BH44)*Cadeirante/30*FP$4+(BE41+BE42+BE43+BG41+BG42+BG43)*Percapita/30*FP$4)+IF(BE44+BG44&gt;=11,Fixo/30*FP$4+(BE44+BG44-10)*Crechee/30*FP$4,0),IF(C41=2,IF(BF41+BF42+BF43+BF44+BH41+BH42+BH43+BH44=1,Cadeirante/30*FP$4,IF(BF41+BF42+BF43+BF44+BH41+BH42+BH43+BH44=2,Fixo/30*FP$4,IF(BF41+BF42+BF43+BF44+BH41+BH42+BH43+BH44&gt;2,Fixo/30*FP$4+(BF41+BF42+BF43+BF44+BH41+BH42+BH43+BH44-2)*Cadeirante/30*FP$4)))+(BE41+BE42+BE43+BG41+BG42+BG43)*Percapita/30*FP$4+(BE44+BG44)*Crechee/30*FP$4,IF(C41=1,IF(BE41+BE42+BE43+BF41+BF42+BF43+BG41+BG42+BG43+BH41+BH42+BH43&lt;=15,(BE41+BE42+BE43+BG41+BG42+BG43)*Percapita/30*FP$4,IF(BE41+BE42+BE43+BF41+BF42+BF43+BG41+BG42+BG43+BH41+BH42+BH43&gt;=16,Fixo/30*FP$4+(BE41+BE42+BE43+BF41+BF42+BF43+BG41+BG42+BG43+BH41+BH42-16)*Percapita/30*FP$4))))))</f>
        <v>0</v>
      </c>
      <c r="FQ41" s="177">
        <f>IF(C41=4,SUM(BI41+BI42+BI43+BK41+BK42+BK43)*Percapita/30*FQ$4+(BJ41+BJ42+BJ43+BL41+BL42+BL43)*Cadeirante/30*FQ$4,IF(C41=3,IF(BI44+BK44=10,Fixo/30*FQ$4+(BI41+BI42+BI43+BK41+BK42+BK43)*Percapita/30*FQ$4+(BJ44+BL44)*Cadeirante/30*FQ$4,IF(BI44+BK44&lt;=9,(BI44+BK44)*Crechee/30*FQ$4)+(BJ44+BL44)*Cadeirante/30*FQ$4+(BI41+BI42+BI43+BK41+BK42+BK43)*Percapita/30*FQ$4)+IF(BI44+BK44&gt;=11,Fixo/30*FQ$4+(BI44+BK44-10)*Crechee/30*FQ$4,0),IF(C41=2,IF(BJ41+BJ42+BJ43+BJ44+BL41+BL42+BL43+BL44=1,Cadeirante/30*FQ$4,IF(BJ41+BJ42+BJ43+BJ44+BL41+BL42+BL43+BL44=2,Fixo/30*FQ$4,IF(BJ41+BJ42+BJ43+BJ44+BL41+BL42+BL43+BL44&gt;2,Fixo/30*FQ$4+(BJ41+BJ42+BJ43+BJ44+BL41+BL42+BL43+BL44-2)*Cadeirante/30*FQ$4)))+(BI41+BI42+BI43+BK41+BK42+BK43)*Percapita/30*FQ$4+(BI44+BK44)*Crechee/30*FQ$4,IF(C41=1,IF(BI41+BI42+BI43+BJ41+BJ42+BJ43+BK41+BK42+BK43+BL41+BL42+BL43&lt;=15,(BI41+BI42+BI43+BK41+BK42+BK43)*Percapita/30*FQ$4,IF(BI41+BI42+BI43+BJ41+BJ42+BJ43+BK41+BK42+BK43+BL41+BL42+BL43&gt;=16,Fixo/30*FQ$4+(BI41+BI42+BI43+BJ41+BJ42+BJ43+BK41+BK42+BK43+BL41+BL42-16)*Percapita/30*FQ$4))))))</f>
        <v>0</v>
      </c>
      <c r="FR41" s="177">
        <f>IF(C41=4,SUM(BM41+BM42+BM43+BO41+BO42+BO43)*Percapita/30*FR$4+(BN41+BN42+BN43+BP41+BP42+BP43)*Cadeirante/30*FR$4,IF(C41=3,IF(BM44+BO44=10,Fixo/30*FR$4+(BM41+BM42+BM43+BO41+BO42+BO43)*Percapita/30*FR$4+(BN44+BP44)*Cadeirante/30*FR$4,IF(BM44+BO44&lt;=9,(BM44+BO44)*Crechee/30*FR$4)+(BN44+BP44)*Cadeirante/30*FR$4+(BM41+BM42+BM43+BO41+BO42+BO43)*Percapita/30*FR$4)+IF(BM44+BO44&gt;=11,Fixo/30*FR$4+(BM44+BO44-10)*Crechee/30*FR$4,0),IF(C41=2,IF(BN41+BN42+BN43+BN44+BP41+BP42+BP43+BP44=1,Cadeirante/30*FR$4,IF(BN41+BN42+BN43+BN44+BP41+BP42+BP43+BP44=2,Fixo/30*FR$4,IF(BN41+BN42+BN43+BN44+BP41+BP42+BP43+BP44&gt;2,Fixo/30*FR$4+(BN41+BN42+BN43+BN44+BP41+BP42+BP43+BP44-2)*Cadeirante/30*FR$4)))+(BM41+BM42+BM43+BO41+BO42+BO43)*Percapita/30*FR$4+(BM44+BO44)*Crechee/30*FR$4,IF(C41=1,IF(BM41+BM42+BM43+BN41+BN42+BN43+BO41+BO42+BO43+BP41+BP42+BP43&lt;=15,(BM41+BM42+BM43+BO41+BO42+BO43)*Percapita/30*FR$4,IF(BM41+BM42+BM43+BN41+BN42+BN43+BO41+BO42+BO43+BP41+BP42+BP43&gt;=16,Fixo/30*FR$4+(BM41+BM42+BM43+BN41+BN42+BN43+BO41+BO42+BO43+BP41+BP42-16)*Percapita/30*FR$4))))))</f>
        <v>0</v>
      </c>
      <c r="FS41" s="177">
        <f>IF(C41=4,SUM(BQ41+BQ42+BQ43+BS41+BS42+BS43)*Percapita/30*FS$4+(BR41+BR42+BR43+BT41+BT42+BT43)*Cadeirante/30*FS$4,IF(C41=3,IF(BQ44+BS44=10,Fixo/30*FS$4+(BQ41+BQ42+BQ43+BS41+BS42+BS43)*Percapita/30*FS$4+(BR44+BT44)*Cadeirante/30*FS$4,IF(BQ44+BS44&lt;=9,(BQ44+BS44)*Crechee/30*FS$4)+(BR44+BT44)*Cadeirante/30*FS$4+(BQ41+BQ42+BQ43+BS41+BS42+BS43)*Percapita/30*FS$4)+IF(BQ44+BS44&gt;=11,Fixo/30*FS$4+(BQ44+BS44-10)*Crechee/30*FS$4,0),IF(C41=2,IF(BR41+BR42+BR43+BR44+BT41+BT42+BT43+BT44=1,Cadeirante/30*FS$4,IF(BR41+BR42+BR43+BR44+BT41+BT42+BT43+BT44=2,Fixo/30*FS$4,IF(BR41+BR42+BR43+BR44+BT41+BT42+BT43+BT44&gt;2,Fixo/30*FS$4+(BR41+BR42+BR43+BR44+BT41+BT42+BT43+BT44-2)*Cadeirante/30*FS$4)))+(BQ41+BQ42+BQ43+BS41+BS42+BS43)*Percapita/30*FS$4+(BQ44+BS44)*Crechee/30*FS$4,IF(C41=1,IF(BQ41+BQ42+BQ43+BR41+BR42+BR43+BS41+BS42+BS43+BT41+BT42+BT43&lt;=15,(BQ41+BQ42+BQ43+BS41+BS42+BS43)*Percapita/30*FS$4,IF(BQ41+BQ42+BQ43+BR41+BR42+BR43+BS41+BS42+BS43+BT41+BT42+BT43&gt;=16,Fixo/30*FS$4+(BQ41+BQ42+BQ43+BR41+BR42+BR43+BS41+BS42+BS43+BT41+BT42-16)*Percapita/30*FS$4))))))</f>
        <v>0</v>
      </c>
      <c r="FT41" s="177">
        <f>IF(C41=4,SUM(BU41+BU42+BU43+BW41+BW42+BW43)*Percapita/30*FT$4+(BV41+BV42+BV43+BX41+BX42+BX43)*Cadeirante/30*FT$4,IF(C41=3,IF(BU44+BW44=10,Fixo/30*FT$4+(BU41+BU42+BU43+BW41+BW42+BW43)*Percapita/30*FT$4+(BV44+BX44)*Cadeirante/30*FT$4,IF(BU44+BW44&lt;=9,(BU44+BW44)*Crechee/30*FT$4)+(BV44+BX44)*Cadeirante/30*FT$4+(BU41+BU42+BU43+BW41+BW42+BW43)*Percapita/30*FT$4)+IF(BU44+BW44&gt;=11,Fixo/30*FT$4+(BU44+BW44-10)*Crechee/30*FT$4,0),IF(C41=2,IF(BV41+BV42+BV43+BV44+BX41+BX42+BX43+BX44=1,Cadeirante/30*FT$4,IF(BV41+BV42+BV43+BV44+BX41+BX42+BX43+BX44=2,Fixo/30*FT$4,IF(BV41+BV42+BV43+BV44+BX41+BX42+BX43+BX44&gt;2,Fixo/30*FT$4+(BV41+BV42+BV43+BV44+BX41+BX42+BX43+BX44-2)*Cadeirante/30*FT$4)))+(BU41+BU42+BU43+BW41+BW42+BW43)*Percapita/30*FT$4+(BU44+BW44)*Crechee/30*FT$4,IF(C41=1,IF(BU41+BU42+BU43+BV41+BV42+BV43+BW41+BW42+BW43+BX41+BX42+BX43&lt;=15,(BU41+BU42+BU43+BW41+BW42+BW43)*Percapita/30*FT$4,IF(BU41+BU42+BU43+BV41+BV42+BV43+BW41+BW42+BW43+BX41+BX42+BX43&gt;=16,Fixo/30*FT$4+(BU41+BU42+BU43+BV41+BV42+BV43+BW41+BW42+BW43+BX41+BX42-16)*Percapita/30*FT$4))))))</f>
        <v>0</v>
      </c>
      <c r="FU41" s="177">
        <f>IF(C41=4,SUM(BY41+BY42+BY43+CA41+CA42+CA43)*Percapita/30*FU$4+(BZ41+BZ42+BZ43+CB41+CB42+CB43)*Cadeirante/30*FU$4,IF(C41=3,IF(BY44+CA44=10,Fixo/30*FU$4+(BY41+BY42+BY43+CA41+CA42+CA43)*Percapita/30*FU$4+(BZ44+CB44)*Cadeirante/30*FU$4,IF(BY44+CA44&lt;=9,(BY44+CA44)*Crechee/30*FU$4)+(BZ44+CB44)*Cadeirante/30*FU$4+(BY41+BY42+BY43+CA41+CA42+CA43)*Percapita/30*FU$4)+IF(BY44+CA44&gt;=11,Fixo/30*FU$4+(BY44+CA44-10)*Crechee/30*FU$4,0),IF(C41=2,IF(BZ41+BZ42+BZ43+BZ44+CB41+CB42+CB43+CB44=1,Cadeirante/30*FU$4,IF(BZ41+BZ42+BZ43+BZ44+CB41+CB42+CB43+CB44=2,Fixo/30*FU$4,IF(BZ41+BZ42+BZ43+BZ44+CB41+CB42+CB43+CB44&gt;2,Fixo/30*FU$4+(BZ41+BZ42+BZ43+BZ44+CB41+CB42+CB43+CB44-2)*Cadeirante/30*FU$4)))+(BY41+BY42+BY43+CA41+CA42+CA43)*Percapita/30*FU$4+(BY44+CA44)*Crechee/30*FU$4,IF(C41=1,IF(BY41+BY42+BY43+BZ41+BZ42+BZ43+CA41+CA42+CA43+CB41+CB42+CB43&lt;=15,(BY41+BY42+BY43+CA41+CA42+CA43)*Percapita/30*FU$4,IF(BY41+BY42+BY43+BZ41+BZ42+BZ43+CA41+CA42+CA43+CB41+CB42+CB43&gt;=16,Fixo/30*FU$4+(BY41+BY42+BY43+BZ41+BZ42+BZ43+CA41+CA42+CA43+CB41+CB42-16)*Percapita/30*FU$4))))))</f>
        <v>0</v>
      </c>
      <c r="FV41" s="177">
        <f>IF(C41=4,SUM(CC41+CC42+CC43+CE41+CE42+CE43)*Percapita/30*FV$4+(CD41+CD42+CD43+CF41+CF42+CF43)*Cadeirante/30*FV$4,IF(C41=3,IF(CC44+CE44=10,Fixo/30*FV$4+(CC41+CC42+CC43+CE41+CE42+CE43)*Percapita/30*FV$4+(CD44+CF44)*Cadeirante/30*FV$4,IF(CC44+CE44&lt;=9,(CC44+CE44)*Crechee/30*FV$4)+(CD44+CF44)*Cadeirante/30*FV$4+(CC41+CC42+CC43+CE41+CE42+CE43)*Percapita/30*FV$4)+IF(CC44+CE44&gt;=11,Fixo/30*FV$4+(CC44+CE44-10)*Crechee/30*FV$4,0),IF(C41=2,IF(CD41+CD42+CD43+CD44+CF41+CF42+CF43+CF44=1,Cadeirante/30*FV$4,IF(CD41+CD42+CD43+CD44+CF41+CF42+CF43+CF44=2,Fixo/30*FV$4,IF(CD41+CD42+CD43+CD44+CF41+CF42+CF43+CF44&gt;2,Fixo/30*FV$4+(CD41+CD42+CD43+CD44+CF41+CF42+CF43+CF44-2)*Cadeirante/30*FV$4)))+(CC41+CC42+CC43+CE41+CE42+CE43)*Percapita/30*FV$4+(CC44+CE44)*Crechee/30*FV$4,IF(C41=1,IF(CC41+CC42+CC43+CD41+CD42+CD43+CE41+CE42+CE43+CF41+CF42+CF43&lt;=15,(CC41+CC42+CC43+CE41+CE42+CE43)*Percapita/30*FV$4,IF(CC41+CC42+CC43+CD41+CD42+CD43+CE41+CE42+CE43+CF41+CF42+CF43&gt;=16,Fixo/30*FV$4+(CC41+CC42+CC43+CD41+CD42+CD43+CE41+CE42+CE43+CF41+CF42-16)*Percapita/30*FV$4))))))</f>
        <v>0</v>
      </c>
      <c r="FW41" s="177">
        <f>IF(C41=4,SUM(CG41+CG42+CG43+CI41+CI42+CI43)*Percapita/30*FW$4+(CH41+CH42+CH43+CJ41+CJ42+CJ43)*Cadeirante/30*FW$4,IF(C41=3,IF(CG44+CI44=10,Fixo/30*FW$4+(CG41+CG42+CG43+CI41+CI42+CI43)*Percapita/30*FW$4+(CH44+CJ44)*Cadeirante/30*FW$4,IF(CG44+CI44&lt;=9,(CG44+CI44)*Crechee/30*FW$4)+(CH44+CJ44)*Cadeirante/30*FW$4+(CG41+CG42+CG43+CI41+CI42+CI43)*Percapita/30*FW$4)+IF(CG44+CI44&gt;=11,Fixo/30*FW$4+(CG44+CI44-10)*Crechee/30*FW$4,0),IF(C41=2,IF(CH41+CH42+CH43+CH44+CJ41+CJ42+CJ43+CJ44=1,Cadeirante/30*FW$4,IF(CH41+CH42+CH43+CH44+CJ41+CJ42+CJ43+CJ44=2,Fixo/30*FW$4,IF(CH41+CH42+CH43+CH44+CJ41+CJ42+CJ43+CJ44&gt;2,Fixo/30*FW$4+(CH41+CH42+CH43+CH44+CJ41+CJ42+CJ43+CJ44-2)*Cadeirante/30*FW$4)))+(CG41+CG42+CG43+CI41+CI42+CI43)*Percapita/30*FW$4+(CG44+CI44)*Crechee/30*FW$4,IF(C41=1,IF(CG41+CG42+CG43+CH41+CH42+CH43+CI41+CI42+CI43+CJ41+CJ42+CJ43&lt;=15,(CG41+CG42+CG43+CI41+CI42+CI43)*Percapita/30*FW$4,IF(CG41+CG42+CG43+CH41+CH42+CH43+CI41+CI42+CI43+CJ41+CJ42+CJ43&gt;=16,Fixo/30*FW$4+(CG41+CG42+CG43+CH41+CH42+CH43+CI41+CI42+CI43+CJ41+CJ42-16)*Percapita/30*FW$4))))))</f>
        <v>0</v>
      </c>
      <c r="FX41" s="177">
        <f>IF(C41=4,SUM(CK41+CK42+CK43+CM41+CM42+CM43)*Percapita/30*FX$4+(CL41+CL42+CL43+CN41+CN42+CN43)*Cadeirante/30*FX$4,IF(C41=3,IF(CK44+CM44=10,Fixo/30*FX$4+(CK41+CK42+CK43+CM41+CM42+CM43)*Percapita/30*FX$4+(CL44+CN44)*Cadeirante/30*FX$4,IF(CK44+CM44&lt;=9,(CK44+CM44)*Crechee/30*FX$4)+(CL44+CN44)*Cadeirante/30*FX$4+(CK41+CK42+CK43+CM41+CM42+CM43)*Percapita/30*FX$4)+IF(CK44+CM44&gt;=11,Fixo/30*FX$4+(CK44+CM44-10)*Crechee/30*FX$4,0),IF(C41=2,IF(CL41+CL42+CL43+CL44+CN41+CN42+CN43+CN44=1,Cadeirante/30*FX$4,IF(CL41+CL42+CL43+CL44+CN41+CN42+CN43+CN44=2,Fixo/30*FX$4,IF(CL41+CL42+CL43+CL44+CN41+CN42+CN43+CN44&gt;2,Fixo/30*FX$4+(CL41+CL42+CL43+CL44+CN41+CN42+CN43+CN44-2)*Cadeirante/30*FX$4)))+(CK41+CK42+CK43+CM41+CM42+CM43)*Percapita/30*FX$4+(CK44+CM44)*Crechee/30*FX$4,IF(C41=1,IF(CK41+CK42+CK43+CL41+CL42+CL43+CM41+CM42+CM43+CN41+CN42+CN43&lt;=15,(CK41+CK42+CK43+CM41+CM42+CM43)*Percapita/30*FX$4,IF(CK41+CK42+CK43+CL41+CL42+CL43+CM41+CM42+CM43+CN41+CN42+CN43&gt;=16,Fixo/30*FX$4+(CK41+CK42+CK43+CL41+CL42+CL43+CM41+CM42+CM43+CN41+CN42-16)*Percapita/30*FX$4))))))</f>
        <v>0</v>
      </c>
      <c r="FY41" s="177">
        <f>IF(C41=4,SUM(CO41+CO42+CO43+CQ41+CQ42+CQ43)*Percapita/30*FY$4+(CP41+CP42+CP43+CR41+CR42+CR43)*Cadeirante/30*FY$4,IF(C41=3,IF(CO44+CQ44=10,Fixo/30*FY$4+(CO41+CO42+CO43+CQ41+CQ42+CQ43)*Percapita/30*FY$4+(CP44+CR44)*Cadeirante/30*FY$4,IF(CO44+CQ44&lt;=9,(CO44+CQ44)*Crechee/30*FY$4)+(CP44+CR44)*Cadeirante/30*FY$4+(CO41+CO42+CO43+CQ41+CQ42+CQ43)*Percapita/30*FY$4)+IF(CO44+CQ44&gt;=11,Fixo/30*FY$4+(CO44+CQ44-10)*Crechee/30*FY$4,0),IF(C41=2,IF(CP41+CP42+CP43+CP44+CR41+CR42+CR43+CR44=1,Cadeirante/30*FY$4,IF(CP41+CP42+CP43+CP44+CR41+CR42+CR43+CR44=2,Fixo/30*FY$4,IF(CP41+CP42+CP43+CP44+CR41+CR42+CR43+CR44&gt;2,Fixo/30*FY$4+(CP41+CP42+CP43+CP44+CR41+CR42+CR43+CR44-2)*Cadeirante/30*FY$4)))+(CO41+CO42+CO43+CQ41+CQ42+CQ43)*Percapita/30*FY$4+(CO44+CQ44)*Crechee/30*FY$4,IF(C41=1,IF(CO41+CO42+CO43+CP41+CP42+CP43+CQ41+CQ42+CQ43+CR41+CR42+CR43&lt;=15,(CO41+CO42+CO43+CQ41+CQ42+CQ43)*Percapita/30*FY$4,IF(CO41+CO42+CO43+CP41+CP42+CP43+CQ41+CQ42+CQ43+CR41+CR42+CR43&gt;=16,Fixo/30*FY$4+(CO41+CO42+CO43+CP41+CP42+CP43+CQ41+CQ42+CQ43+CR41+CR42-16)*Percapita/30*FY$4))))))</f>
        <v>0</v>
      </c>
      <c r="FZ41" s="177">
        <f>IF(C41=4,SUM(CS41+CS42+CS43+CU41+CU42+CU43)*Percapita/30*FZ$4+(CT41+CT42+CT43+CV41+CV42+CV43)*Cadeirante/30*FZ$4,IF(C41=3,IF(CS44+CU44=10,Fixo/30*FZ$4+(CS41+CS42+CS43+CU41+CU42+CU43)*Percapita/30*FZ$4+(CT44+CV44)*Cadeirante/30*FZ$4,IF(CS44+CU44&lt;=9,(CS44+CU44)*Crechee/30*FZ$4)+(CT44+CV44)*Cadeirante/30*FZ$4+(CS41+CS42+CS43+CU41+CU42+CU43)*Percapita/30*FZ$4)+IF(CS44+CU44&gt;=11,Fixo/30*FZ$4+(CS44+CU44-10)*Crechee/30*FZ$4,0),IF(C41=2,IF(CT41+CT42+CT43+CT44+CV41+CV42+CV43+CV44=1,Cadeirante/30*FZ$4,IF(CT41+CT42+CT43+CT44+CV41+CV42+CV43+CV44=2,Fixo/30*FZ$4,IF(CT41+CT42+CT43+CT44+CV41+CV42+CV43+CV44&gt;2,Fixo/30*FZ$4+(CT41+CT42+CT43+CT44+CV41+CV42+CV43+CV44-2)*Cadeirante/30*FZ$4)))+(CS41+CS42+CS43+CU41+CU42+CU43)*Percapita/30*FZ$4+(CS44+CU44)*Crechee/30*FZ$4,IF(C41=1,IF(CS41+CS42+CS43+CT41+CT42+CT43+CU41+CU42+CU43+CV41+CV42+CV43&lt;=15,(CS41+CS42+CS43+CU41+CU42+CU43)*Percapita/30*FZ$4,IF(CS41+CS42+CS43+CT41+CT42+CT43+CU41+CU42+CU43+CV41+CV42+CV43&gt;=16,Fixo/30*FZ$4+(CS41+CS42+CS43+CT41+CT42+CT43+CU41+CU42+CU43+CV41+CV42-16)*Percapita/30*FZ$4))))))</f>
        <v>0</v>
      </c>
      <c r="GA41" s="177">
        <f>IF(C41=4,SUM(CW41+CW42+CW43+CY41+CY42+CY43)*Percapita/30*GA$4+(CX41+CX42+CX43+CZ41+CZ42+CZ43)*Cadeirante/30*GA$4,IF(C41=3,IF(CW44+CY44=10,Fixo/30*GA$4+(CW41+CW42+CW43+CY41+CY42+CY43)*Percapita/30*GA$4+(CX44+CZ44)*Cadeirante/30*GA$4,IF(CW44+CY44&lt;=9,(CW44+CY44)*Crechee/30*GA$4)+(CX44+CZ44)*Cadeirante/30*GA$4+(CW41+CW42+CW43+CY41+CY42+CY43)*Percapita/30*GA$4)+IF(CW44+CY44&gt;=11,Fixo/30*GA$4+(CW44+CY44-10)*Crechee/30*GA$4,0),IF(C41=2,IF(CX41+CX42+CX43+CX44+CZ41+CZ42+CZ43+CZ44=1,Cadeirante/30*GA$4,IF(CX41+CX42+CX43+CX44+CZ41+CZ42+CZ43+CZ44=2,Fixo/30*GA$4,IF(CX41+CX42+CX43+CX44+CZ41+CZ42+CZ43+CZ44&gt;2,Fixo/30*GA$4+(CX41+CX42+CX43+CX44+CZ41+CZ42+CZ43+CZ44-2)*Cadeirante/30*GA$4)))+(CW41+CW42+CW43+CY41+CY42+CY43)*Percapita/30*GA$4+(CW44+CY44)*Crechee/30*GA$4,IF(C41=1,IF(CW41+CW42+CW43+CX41+CX42+CX43+CY41+CY42+CY43+CZ41+CZ42+CZ43&lt;=15,(CW41+CW42+CW43+CY41+CY42+CY43)*Percapita/30*GA$4,IF(CW41+CW42+CW43+CX41+CX42+CX43+CY41+CY42+CY43+CZ41+CZ42+CZ43&gt;=16,Fixo/30*GA$4+(CW41+CW42+CW43+CX41+CX42+CX43+CY41+CY42+CY43+CZ41+CZ42-16)*Percapita/30*GA$4))))))</f>
        <v>0</v>
      </c>
      <c r="GB41" s="177">
        <f>IF(C41=4,SUM(DA41+DA42+DA43+DC41+DC42+DC43)*Percapita/30*GB$4+(DB41+DB42+DB43+DD41+DD42+DD43)*Cadeirante/30*GB$4,IF(C41=3,IF(DA44+DC44=10,Fixo/30*GB$4+(DA41+DA42+DA43+DC41+DC42+DC43)*Percapita/30*GB$4+(DB44+DD44)*Cadeirante/30*GB$4,IF(DA44+DC44&lt;=9,(DA44+DC44)*Crechee/30*GB$4)+(DB44+DD44)*Cadeirante/30*GB$4+(DA41+DA42+DA43+DC41+DC42+DC43)*Percapita/30*GB$4)+IF(DA44+DC44&gt;=11,Fixo/30*GB$4+(DA44+DC44-10)*Crechee/30*GB$4,0),IF(C41=2,IF(DB41+DB42+DB43+DB44+DD41+DD42+DD43+DD44=1,Cadeirante/30*GB$4,IF(DB41+DB42+DB43+DB44+DD41+DD42+DD43+DD44=2,Fixo/30*GB$4,IF(DB41+DB42+DB43+DB44+DD41+DD42+DD43+DD44&gt;2,Fixo/30*GB$4+(DB41+DB42+DB43+DB44+DD41+DD42+DD43+DD44-2)*Cadeirante/30*GB$4)))+(DA41+DA42+DA43+DC41+DC42+DC43)*Percapita/30*GB$4+(DA44+DC44)*Crechee/30*GB$4,IF(C41=1,IF(DA41+DA42+DA43+DB41+DB42+DB43+DC41+DC42+DC43+DD41+DD42+DD43&lt;=15,(DA41+DA42+DA43+DC41+DC42+DC43)*Percapita/30*GB$4,IF(DA41+DA42+DA43+DB41+DB42+DB43+DC41+DC42+DC43+DD41+DD42+DD43&gt;=16,Fixo/30*GB$4+(DA41+DA42+DA43+DB41+DB42+DB43+DC41+DC42+DC43+DD41+DD42-16)*Percapita/30*GB$4))))))</f>
        <v>0</v>
      </c>
      <c r="GC41" s="177">
        <f>IF(C41=4,SUM(DE41+DE42+DE43+DG41+DG42+DG43)*Percapita/30*GC$4+(DF41+DF42+DF43+DH41+DH42+DH43)*Cadeirante/30*GC$4,IF(C41=3,IF(DE44+DG44=10,Fixo/30*GC$4+(DE41+DE42+DE43+DG41+DG42+DG43)*Percapita/30*GC$4+(DF44+DH44)*Cadeirante/30*GC$4,IF(DE44+DG44&lt;=9,(DE44+DG44)*Crechee/30*GC$4)+(DF44+DH44)*Cadeirante/30*GC$4+(DE41+DE42+DE43+DG41+DG42+DG43)*Percapita/30*GC$4)+IF(DE44+DG44&gt;=11,Fixo/30*GC$4+(DE44+DG44-10)*Crechee/30*GC$4,0),IF(C41=2,IF(DF41+DF42+DF43+DF44+DH41+DH42+DH43+DH44=1,Cadeirante/30*GC$4,IF(DF41+DF42+DF43+DF44+DH41+DH42+DH43+DH44=2,Fixo/30*GC$4,IF(DF41+DF42+DF43+DF44+DH41+DH42+DH43+DH44&gt;2,Fixo/30*GC$4+(DF41+DF42+DF43+DF44+DH41+DH42+DH43+DH44-2)*Cadeirante/30*GC$4)))+(DE41+DE42+DE43+DG41+DG42+DG43)*Percapita/30*GC$4+(DE44+DG44)*Crechee/30*GC$4,IF(C41=1,IF(DE41+DE42+DE43+DF41+DF42+DF43+DG41+DG42+DG43+DH41+DH42+DH43&lt;=15,(DE41+DE42+DE43+DG41+DG42+DG43)*Percapita/30*GC$4,IF(DE41+DE42+DE43+DF41+DF42+DF43+DG41+DG42+DG43+DH41+DH42+DH43&gt;=16,Fixo/30*GC$4+(DE41+DE42+DE43+DF41+DF42+DF43+DG41+DG42+DG43+DH41+DH42-16)*Percapita/30*GC$4))))))</f>
        <v>0</v>
      </c>
      <c r="GD41" s="177">
        <f>IF(C41=4,SUM(DI41+DI42+DI43+DK41+DK42+DK43)*Percapita/30*GD$4+(DJ41+DJ42+DJ43+DL41+DL42+DL43)*Cadeirante/30*GD$4,IF(C41=3,IF(DI44+DK44=10,Fixo/30*GD$4+(DI41+DI42+DI43+DK41+DK42+DK43)*Percapita/30*GD$4+(DJ44+DL44)*Cadeirante/30*GD$4,IF(DI44+DK44&lt;=9,(DI44+DK44)*Crechee/30*GD$4)+(DJ44+DL44)*Cadeirante/30*GD$4+(DI41+DI42+DI43+DK41+DK42+DK43)*Percapita/30*GD$4)+IF(DI44+DK44&gt;=11,Fixo/30*GD$4+(DI44+DK44-10)*Crechee/30*GD$4,0),IF(C41=2,IF(DJ41+DJ42+DJ43+DJ44+DL41+DL42+DL43+DL44=1,Cadeirante/30*GD$4,IF(DJ41+DJ42+DJ43+DJ44+DL41+DL42+DL43+DL44=2,Fixo/30*GD$4,IF(DJ41+DJ42+DJ43+DJ44+DL41+DL42+DL43+DL44&gt;2,Fixo/30*GD$4+(DJ41+DJ42+DJ43+DJ44+DL41+DL42+DL43+DL44-2)*Cadeirante/30*GD$4)))+(DI41+DI42+DI43+DK41+DK42+DK43)*Percapita/30*GD$4+(DI44+DK44)*Crechee/30*GD$4,IF(C41=1,IF(DI41+DI42+DI43+DJ41+DJ42+DJ43+DK41+DK42+DK43+DL41+DL42+DL43&lt;=15,(DI41+DI42+DI43+DK41+DK42+DK43)*Percapita/30*GD$4,IF(DI41+DI42+DI43+DJ41+DJ42+DJ43+DK41+DK42+DK43+DL41+DL42+DL43&gt;=16,Fixo/30*GD$4+(DI41+DI42+DI43+DJ41+DJ42+DJ43+DK41+DK42+DK43+DL41+DL42-16)*Percapita/30*GD$4))))))</f>
        <v>0</v>
      </c>
      <c r="GE41" s="177">
        <f>IF(C41=4,SUM(DM41+DM42+DM43+DO41+DO42+DO43)*Percapita/30*GE$4+(DN41+DN42+DN43+DP41+DP42+DP43)*Cadeirante/30*GE$4,IF(C41=3,IF(DM44+DO44=10,Fixo/30*GE$4+(DM41+DM42+DM43+DO41+DO42+DO43)*Percapita/30*GE$4+(DN44+DP44)*Cadeirante/30*GE$4,IF(DM44+DO44&lt;=9,(DM44+DO44)*Crechee/30*GE$4)+(DN44+DP44)*Cadeirante/30*GE$4+(DM41+DM42+DM43+DO41+DO42+DO43)*Percapita/30*GE$4)+IF(DM44+DO44&gt;=11,Fixo/30*GE$4+(DM44+DO44-10)*Crechee/30*GE$4,0),IF(C41=2,IF(DN41+DN42+DN43+DN44+DP41+DP42+DP43+DP44=1,Cadeirante/30*GE$4,IF(DN41+DN42+DN43+DN44+DP41+DP42+DP43+DP44=2,Fixo/30*GE$4,IF(DN41+DN42+DN43+DN44+DP41+DP42+DP43+DP44&gt;2,Fixo/30*GE$4+(DN41+DN42+DN43+DN44+DP41+DP42+DP43+DP44-2)*Cadeirante/30*GE$4)))+(DM41+DM42+DM43+DO41+DO42+DO43)*Percapita/30*GE$4+(DM44+DO44)*Crechee/30*GE$4,IF(C41=1,IF(DM41+DM42+DM43+DN41+DN42+DN43+DO41+DO42+DO43+DP41+DP42+DP43&lt;=15,(DM41+DM42+DM43+DO41+DO42+DO43)*Percapita/30*GE$4,IF(DM41+DM42+DM43+DN41+DN42+DN43+DO41+DO42+DO43+DP41+DP42+DP43&gt;=16,Fixo/30*GE$4+(DM41+DM42+DM43+DN41+DN42+DN43+DO41+DO42+DO43+DP41+DP42-16)*Percapita/30*GE$4))))))</f>
        <v>0</v>
      </c>
      <c r="GF41" s="177">
        <f>IF(C41=4,SUM(DQ41+DQ42+DQ43+DS41+DS42+DS43)*Percapita/30*GF$4+(DR41+DR42+DR43+DT41+DT42+DT43)*Cadeirante/30*GF$4,IF(C41=3,IF(DQ44+DS44=10,Fixo/30*GF$4+(DQ41+DQ42+DQ43+DS41+DS42+DS43)*Percapita/30*GF$4+(DR44+DT44)*Cadeirante/30*GF$4,IF(DQ44+DS44&lt;=9,(DQ44+DS44)*Crechee/30*GF$4)+(DR44+DT44)*Cadeirante/30*GF$4+(DQ41+DQ42+DQ43+DS41+DS42+DS43)*Percapita/30*GF$4)+IF(DQ44+DS44&gt;=11,Fixo/30*GF$4+(DQ44+DS44-10)*Crechee/30*GF$4,0),IF(C41=2,IF(DR41+DR42+DR43+DR44+DT41+DT42+DT43+DT44=1,Cadeirante/30*GF$4,IF(DR41+DR42+DR43+DR44+DT41+DT42+DT43+DT44=2,Fixo/30*GF$4,IF(DR41+DR42+DR43+DR44+DT41+DT42+DT43+DT44&gt;2,Fixo/30*GF$4+(DR41+DR42+DR43+DR44+DT41+DT42+DT43+DT44-2)*Cadeirante/30*GF$4)))+(DQ41+DQ42+DQ43+DS41+DS42+DS43)*Percapita/30*GF$4+(DQ44+DS44)*Crechee/30*GF$4,IF(C41=1,IF(DQ41+DQ42+DQ43+DR41+DR42+DR43+DS41+DS42+DS43+DT41+DT42+DT43&lt;=15,(DQ41+DQ42+DQ43+DS41+DS42+DS43)*Percapita/30*GF$4,IF(DQ41+DQ42+DQ43+DR41+DR42+DR43+DS41+DS42+DS43+DT41+DT42+DT43&gt;=16,Fixo/30*GF$4+(DQ41+DQ42+DQ43+DR41+DR42+DR43+DS41+DS42+DS43+DT41+DT42-16)*Percapita/30*GF$4))))))</f>
        <v>-51.364000000000004</v>
      </c>
      <c r="GG41" s="177">
        <f>IF(C41=4,SUM(DU41+DU42+DU43+DW41+DW42+DW43)*Percapita/30*GG$4+(DV41+DV42+DV43+DX41+DX42+DX43)*Cadeirante/30*GG$4,IF(C41=3,IF(DU44+DW44=10,Fixo/30*GG$4+(DU41+DU42+DU43+DW41+DW42+DW43)*Percapita/30*GG$4+(DV44+DX44)*Cadeirante/30*GG$4,IF(DU44+DW44&lt;=9,(DU44+DW44)*Crechee/30*GG$4)+(DV44+DX44)*Cadeirante/30*GG$4+(DU41+DU42+DU43+DW41+DW42+DW43)*Percapita/30*GG$4)+IF(DU44+DW44&gt;=11,Fixo/30*GG$4+(DU44+DW44-10)*Crechee/30*GG$4,0),IF(C41=2,IF(DV41+DV42+DV43+DV44+DX41+DX42+DX43+DX44=1,Cadeirante/30*GG$4,IF(DV41+DV42+DV43+DV44+DX41+DX42+DX43+DX44=2,Fixo/30*GG$4,IF(DV41+DV42+DV43+DV44+DX41+DX42+DX43+DX44&gt;2,Fixo/30*GG$4+(DV41+DV42+DV43+DV44+DX41+DX42+DX43+DX44-2)*Cadeirante/30*GG$4)))+(DU41+DU42+DU43+DW41+DW42+DW43)*Percapita/30*GG$4+(DU44+DW44)*Crechee/30*GG$4,IF(C41=1,IF(DU41+DU42+DU43+DV41+DV42+DV43+DW41+DW42+DW43+DX41+DX42+DX43&lt;=15,(DU41+DU42+DU43+DW41+DW42+DW43)*Percapita/30*GG$4,IF(DU41+DU42+DU43+DV41+DV42+DV43+DW41+DW42+DW43+DX41+DX42+DX43&gt;=16,Fixo/30*GG$4+(DU41+DU42+DU43+DV41+DV42+DV43+DW41+DW42+DW43+DX41+DX42-16)*Percapita/30*GG$4))))))</f>
        <v>0</v>
      </c>
      <c r="GH41" s="177">
        <f>IF(C41=4,SUM(DY41+DY42+DY43+EA41+EA42+EA43)*Percapita/30*GH$4+(DZ41+DZ42+DZ43+EB41+EB42+EB43)*Cadeirante/30*GH$4,IF(C41=3,IF(DY44+EA44=10,Fixo/30*GH$4+(DY41+DY42+DY43+EA41+EA42+EA43)*Percapita/30*GH$4+(DZ44+EB44)*Cadeirante/30*GH$4,IF(DY44+EA44&lt;=9,(DY44+EA44)*Crechee/30*GH$4)+(DZ44+EB44)*Cadeirante/30*GH$4+(DY41+DY42+DY43+EA41+EA42+EA43)*Percapita/30*GH$4)+IF(DY44+EA44&gt;=11,Fixo/30*GH$4+(DY44+EA44-10)*Crechee/30*GH$4,0),IF(C41=2,IF(DZ41+DZ42+DZ43+DZ44+EB41+EB42+EB43+EB44=1,Cadeirante/30*GH$4,IF(DZ41+DZ42+DZ43+DZ44+EB41+EB42+EB43+EB44=2,Fixo/30*GH$4,IF(DZ41+DZ42+DZ43+DZ44+EB41+EB42+EB43+EB44&gt;2,Fixo/30*GH$4+(DZ41+DZ42+DZ43+DZ44+EB41+EB42+EB43+EB44-2)*Cadeirante/30*GH$4)))+(DY41+DY42+DY43+EA41+EA42+EA43)*Percapita/30*GH$4+(DY44+EA44)*Crechee/30*GH$4,IF(C41=1,IF(DY41+DY42+DY43+DZ41+DZ42+DZ43+EA41+EA42+EA43+EB41+EB42+EB43&lt;=15,(DY41+DY42+DY43+EA41+EA42+EA43)*Percapita/30*GH$4,IF(DY41+DY42+DY43+DZ41+DZ42+DZ43+EA41+EA42+EA43+EB41+EB42+EB43&gt;=16,Fixo/30*GH$4+(DY41+DY42+DY43+DZ41+DZ42+DZ43+EA41+EA42+EA43+EB41+EB42-16)*Percapita/30*GH$4))))))</f>
        <v>0</v>
      </c>
      <c r="GI41" s="177">
        <f>IF(C41=4,SUM(EC41+EC42+EC43+EE41+EE42+EE43)*Percapita/30*GI$4+(ED41+ED42+ED43+EF41+EF42+EF43)*Cadeirante/30*GI$4,IF(C41=3,IF(EC44+EE44=10,Fixo/30*GI$4+(EC41+EC42+EC43+EE41+EE42+EE43)*Percapita/30*GI$4+(ED44+EF44)*Cadeirante/30*GI$4,IF(EC44+EE44&lt;=9,(EC44+EE44)*Crechee/30*GI$4)+(ED44+EF44)*Cadeirante/30*GI$4+(EC41+EC42+EC43+EE41+EE42+EE43)*Percapita/30*GI$4)+IF(EC44+EE44&gt;=11,Fixo/30*GI$4+(EC44+EE44-10)*Crechee/30*GI$4,0),IF(C41=2,IF(ED41+ED42+ED43+ED44+EF41+EF42+EF43+EF44=1,Cadeirante/30*GI$4,IF(ED41+ED42+ED43+ED44+EF41+EF42+EF43+EF44=2,Fixo/30*GI$4,IF(ED41+ED42+ED43+ED44+EF41+EF42+EF43+EF44&gt;2,Fixo/30*GI$4+(ED41+ED42+ED43+ED44+EF41+EF42+EF43+EF44-2)*Cadeirante/30*GI$4)))+(EC41+EC42+EC43+EE41+EE42+EE43)*Percapita/30*GI$4+(EC44+EE44)*Crechee/30*GI$4,IF(C41=1,IF(EC41+EC42+EC43+ED41+ED42+ED43+EE41+EE42+EE43+EF41+EF42+EF43&lt;=15,(EC41+EC42+EC43+EE41+EE42+EE43)*Percapita/30*GI$4,IF(EC41+EC42+EC43+ED41+ED42+ED43+EE41+EE42+EE43+EF41+EF42+EF43&gt;=16,Fixo/30*GI$4+(EC41+EC42+EC43+ED41+ED42+ED43+EE41+EE42+EE43+EF41+EF42-16)*Percapita/30*GI$4))))))</f>
        <v>0</v>
      </c>
      <c r="GJ41" s="177">
        <f>IF(C41=4,SUM(EG41+EG42+EG43+EI41+EI42+EI43)*Percapita/30*GJ$4+(EH41+EH42+EH43+EJ41+EJ42+EJ43)*Cadeirante/30*GJ$4,IF(C41=3,IF(EG44+EI44=10,Fixo/30*GJ$4+(EG41+EG42+EG43+EI41+EI42+EI43)*Percapita/30*GJ$4+(EH44+EJ44)*Cadeirante/30*GJ$4,IF(EG44+EI44&lt;=9,(EG44+EI44)*Crechee/30*GJ$4)+(EH44+EJ44)*Cadeirante/30*GJ$4+(EG41+EG42+EG43+EI41+EI42+EI43)*Percapita/30*GJ$4)+IF(EG44+EI44&gt;=11,Fixo/30*GJ$4+(EG44+EI44-10)*Crechee/30*GJ$4,0),IF(C41=2,IF(EH41+EH42+EH43+EH44+EJ41+EJ42+EJ43+EJ44=1,Cadeirante/30*GJ$4,IF(EH41+EH42+EH43+EH44+EJ41+EJ42+EJ43+EJ44=2,Fixo/30*GJ$4,IF(EH41+EH42+EH43+EH44+EJ41+EJ42+EJ43+EJ44&gt;2,Fixo/30*GJ$4+(EH41+EH42+EH43+EH44+EJ41+EJ42+EJ43+EJ44-2)*Cadeirante/30*GJ$4)))+(EG41+EG42+EG43+EI41+EI42+EI43)*Percapita/30*GJ$4+(EG44+EI44)*Crechee/30*GJ$4,IF(C41=1,IF(EG41+EG42+EG43+EH41+EH42+EH43+EI41+EI42+EI43+EJ41+EJ42+EJ43&lt;=15,(EG41+EG42+EG43+EI41+EI42+EI43)*Percapita/30*GJ$4,IF(EG41+EG42+EG43+EH41+EH42+EH43+EI41+EI42+EI43+EJ41+EJ42+EJ43&gt;=16,Fixo/30*GJ$4+(EG41+EG42+EG43+EH41+EH42+EH43+EI41+EI42+EI43+EJ41+EJ42-16)*Percapita/30*GJ$4))))))</f>
        <v>0</v>
      </c>
      <c r="GK41" s="178"/>
      <c r="GL41" s="103">
        <f t="shared" si="30"/>
        <v>0</v>
      </c>
      <c r="GM41" s="124"/>
      <c r="GN41" s="104">
        <f>SUMIF(V41:V44,"&lt;0")*Cadeirante/30*GN$4+SUMIF(X41:X44,"&lt;0")*Cadeirante/30*GN$4</f>
        <v>0</v>
      </c>
      <c r="GO41" s="104">
        <f>SUMIF(Z41:Z44,"&lt;0")*Cadeirante/30*GO$4+SUMIF(AB41:AB44,"&lt;0")*Cadeirante/30*GO$4</f>
        <v>0</v>
      </c>
      <c r="GP41" s="104">
        <f>SUMIF(AD41:AD44,"&lt;0")*Cadeirante/30*GP$4+SUMIF(AF41:AF44,"&lt;0")*Cadeirante/30*GP$4</f>
        <v>0</v>
      </c>
      <c r="GQ41" s="104">
        <f>SUMIF(AH41:AH44,"&lt;0")*Cadeirante/30*GQ$4+SUMIF(AJ41:AJ44,"&lt;0")*Cadeirante/30*GQ$4</f>
        <v>0</v>
      </c>
      <c r="GR41" s="104">
        <f>SUMIF(AL41:AL44,"&lt;0")*Cadeirante/30*GR$4+SUMIF(AN41:AN44,"&lt;0")*Cadeirante/30*GR$4</f>
        <v>0</v>
      </c>
      <c r="GS41" s="104">
        <f>SUMIF(AP41:AP44,"&lt;0")*Cadeirante/30*GS$4+SUMIF(AR41:AR44,"&lt;0")*Cadeirante/30*GS$4</f>
        <v>0</v>
      </c>
      <c r="GT41" s="104">
        <f>SUMIF(AT41:AT44,"&lt;0")*Cadeirante/30*GT$4+SUMIF(AV41:AV44,"&lt;0")*Cadeirante/30*GT$4</f>
        <v>0</v>
      </c>
      <c r="GU41" s="104">
        <f>SUMIF(AX41:AX44,"&lt;0")*Cadeirante/30*GU$4+SUMIF(AZ41:AZ44,"&lt;0")*Cadeirante/30*GU$4</f>
        <v>0</v>
      </c>
      <c r="GV41" s="104">
        <f>SUMIF(BB41:BB44,"&lt;0")*Cadeirante/30*GV$4+SUMIF(BD41:BD44,"&lt;0")*Cadeirante/30*GV$4</f>
        <v>0</v>
      </c>
      <c r="GW41" s="104">
        <f>SUMIF(BF41:BF44,"&lt;0")*Cadeirante/30*GW$4+SUMIF(BH41:BH44,"&lt;0")*Cadeirante/30*GW$4</f>
        <v>0</v>
      </c>
      <c r="GX41" s="104">
        <f>SUMIF(BJ41:BJ44,"&lt;0")*Cadeirante/30*GX$4+SUMIF(BL41:BL44,"&lt;0")*Cadeirante/30*GX$4</f>
        <v>0</v>
      </c>
      <c r="GY41" s="104">
        <f>SUMIF(BN41:BN44,"&lt;0")*Cadeirante/30*GY$4+SUMIF(BP41:BP44,"&lt;0")*Cadeirante/30*GY$4</f>
        <v>0</v>
      </c>
      <c r="GZ41" s="104">
        <f>SUMIF(BR41:BR44,"&lt;0")*Cadeirante/30*GZ$4+SUMIF(BT41:BT44,"&lt;0")*Cadeirante/30*GZ$4</f>
        <v>0</v>
      </c>
      <c r="HA41" s="104">
        <f>SUMIF(BV41:BV44,"&lt;0")*Cadeirante/30*HA$4+SUMIF(BX41:BX44,"&lt;0")*Cadeirante/30*HA$4</f>
        <v>0</v>
      </c>
      <c r="HB41" s="104">
        <f>SUMIF(BZ41:BZ44,"&lt;0")*Cadeirante/30*HB$4+SUMIF(CB41:CB44,"&lt;0")*Cadeirante/30*HB$4</f>
        <v>0</v>
      </c>
      <c r="HC41" s="104">
        <f>SUMIF(CD41:CD44,"&lt;0")*Cadeirante/30*HC$4+SUMIF(CF41:CF44,"&lt;0")*Cadeirante/30*HC$4</f>
        <v>0</v>
      </c>
      <c r="HD41" s="104">
        <f>SUMIF(CH41:CH44,"&lt;0")*Cadeirante/30*HD$4+SUMIF(CJ41:CJ44,"&lt;0")*Cadeirante/30*HD$4</f>
        <v>0</v>
      </c>
      <c r="HE41" s="104">
        <f>SUMIF(CL41:CL44,"&lt;0")*Cadeirante/30*HE$4+SUMIF(CN41:CN44,"&lt;0")*Cadeirante/30*HE$4</f>
        <v>0</v>
      </c>
      <c r="HF41" s="104">
        <f>SUMIF(CP41:CP44,"&lt;0")*Cadeirante/30*HF$4+SUMIF(CR41:CR44,"&lt;0")*Cadeirante/30*HF$4</f>
        <v>0</v>
      </c>
      <c r="HG41" s="104">
        <f>SUMIF(CT41:CT44,"&lt;0")*Cadeirante/30*HG$4+SUMIF(CV41:CV44,"&lt;0")*Cadeirante/30*HG$4</f>
        <v>0</v>
      </c>
      <c r="HH41" s="104">
        <f>SUMIF(CX41:CX44,"&lt;0")*Cadeirante/30*HH$4+SUMIF(CZ41:CZ44,"&lt;0")*Cadeirante/30*HH$4</f>
        <v>0</v>
      </c>
      <c r="HI41" s="104">
        <f>SUMIF(DB41:DB44,"&lt;0")*Cadeirante/30*HI$4+SUMIF(DD41:DD44,"&lt;0")*Cadeirante/30*HI$4</f>
        <v>0</v>
      </c>
      <c r="HJ41" s="104">
        <f>SUMIF(DF41:DF44,"&lt;0")*Cadeirante/30*HJ$4+SUMIF(DH41:DH44,"&lt;0")*Cadeirante/30*HJ$4</f>
        <v>0</v>
      </c>
      <c r="HK41" s="104">
        <f>SUMIF(DJ41:DJ44,"&lt;0")*Cadeirante/30*HK$4+SUMIF(DL41:DL44,"&lt;0")*Cadeirante/30*HK$4</f>
        <v>0</v>
      </c>
      <c r="HL41" s="104">
        <f>SUMIF(DN41:DN44,"&lt;0")*Cadeirante/30*HL$4+SUMIF(DP41:DP44,"&lt;0")*Cadeirante/30*HL$4</f>
        <v>0</v>
      </c>
      <c r="HM41" s="104">
        <f>SUMIF(DR41:DR44,"&lt;0")*Cadeirante/30*HM$4+SUMIF(DT41:DT44,"&lt;0")*Cadeirante/30*HM$4</f>
        <v>0</v>
      </c>
      <c r="HN41" s="104">
        <f>SUMIF(DV41:DV44,"&lt;0")*Cadeirante/30*HN$4+SUMIF(DX41:DX44,"&lt;0")*Cadeirante/30*HN$4</f>
        <v>0</v>
      </c>
      <c r="HO41" s="104">
        <f>SUMIF(DZ41:DZ44,"&lt;0")*Cadeirante/30*HO$4+SUMIF(EB41:EB44,"&lt;0")*Cadeirante/30*HO$4</f>
        <v>0</v>
      </c>
      <c r="HP41" s="104">
        <f>SUMIF(ED41:ED44,"&lt;0")*Cadeirante/30*HP$4+SUMIF(EF41:EF44,"&lt;0")*Cadeirante/30*HP$4</f>
        <v>0</v>
      </c>
      <c r="HQ41" s="64"/>
      <c r="HR41" s="64"/>
      <c r="HS41" s="64"/>
      <c r="HT41" s="64"/>
      <c r="HU41" s="64"/>
      <c r="HV41" s="64"/>
      <c r="HW41" s="176">
        <v>17629.309999999998</v>
      </c>
      <c r="HX41" s="64"/>
      <c r="HY41" s="280">
        <f>IF(ISTEXT(EM41), VALUE(EM41), EM41)</f>
        <v>0</v>
      </c>
      <c r="HZ41" s="280">
        <f>IF(ISTEXT(EN41), VALUE(EN41), EN41)</f>
        <v>0</v>
      </c>
      <c r="IA41" s="280">
        <f>IF(ISTEXT(EO41), VALUE(EO41), EO41)</f>
        <v>0</v>
      </c>
      <c r="IB41" s="64" t="b">
        <f>HW41=FE41</f>
        <v>0</v>
      </c>
      <c r="IC41" s="64"/>
    </row>
    <row r="42" spans="1:237" s="106" customFormat="1" ht="22.5" customHeight="1" x14ac:dyDescent="0.25">
      <c r="A42" s="368" t="s">
        <v>3218</v>
      </c>
      <c r="B42" s="369" t="s">
        <v>3219</v>
      </c>
      <c r="C42" s="370" t="s">
        <v>3186</v>
      </c>
      <c r="D42" s="371" t="s">
        <v>3220</v>
      </c>
      <c r="E42" s="371" t="s">
        <v>3221</v>
      </c>
      <c r="F42" s="372" t="s">
        <v>3182</v>
      </c>
      <c r="G42" s="372" t="s">
        <v>3183</v>
      </c>
      <c r="H42" s="373" t="s">
        <v>344</v>
      </c>
      <c r="I42" s="374" t="s">
        <v>344</v>
      </c>
      <c r="J42" s="421" t="s">
        <v>3184</v>
      </c>
      <c r="K42" s="421" t="s">
        <v>3187</v>
      </c>
      <c r="L42" s="329">
        <f>CONTINUA!BV42</f>
        <v>0</v>
      </c>
      <c r="M42" s="329">
        <f>CONTINUA!BW42</f>
        <v>0</v>
      </c>
      <c r="N42" s="895"/>
      <c r="O42" s="896" t="s">
        <v>3281</v>
      </c>
      <c r="P42" s="897">
        <v>0</v>
      </c>
      <c r="Q42" s="400"/>
      <c r="R42" s="401"/>
      <c r="S42" s="400"/>
      <c r="T42" s="401"/>
      <c r="U42" s="400"/>
      <c r="V42" s="401"/>
      <c r="W42" s="400"/>
      <c r="X42" s="401"/>
      <c r="Y42" s="400"/>
      <c r="Z42" s="401"/>
      <c r="AA42" s="400"/>
      <c r="AB42" s="401"/>
      <c r="AC42" s="400"/>
      <c r="AD42" s="401"/>
      <c r="AE42" s="400"/>
      <c r="AF42" s="401"/>
      <c r="AG42" s="400"/>
      <c r="AH42" s="401"/>
      <c r="AI42" s="400"/>
      <c r="AJ42" s="401"/>
      <c r="AK42" s="400"/>
      <c r="AL42" s="401"/>
      <c r="AM42" s="400"/>
      <c r="AN42" s="401"/>
      <c r="AO42" s="400"/>
      <c r="AP42" s="401"/>
      <c r="AQ42" s="400"/>
      <c r="AR42" s="401"/>
      <c r="AS42" s="400"/>
      <c r="AT42" s="401"/>
      <c r="AU42" s="400"/>
      <c r="AV42" s="401"/>
      <c r="AW42" s="400"/>
      <c r="AX42" s="401"/>
      <c r="AY42" s="400"/>
      <c r="AZ42" s="401"/>
      <c r="BA42" s="400"/>
      <c r="BB42" s="401"/>
      <c r="BC42" s="400"/>
      <c r="BD42" s="401"/>
      <c r="BE42" s="400"/>
      <c r="BF42" s="401"/>
      <c r="BG42" s="400"/>
      <c r="BH42" s="401"/>
      <c r="BI42" s="400"/>
      <c r="BJ42" s="401"/>
      <c r="BK42" s="400"/>
      <c r="BL42" s="401"/>
      <c r="BM42" s="400"/>
      <c r="BN42" s="401"/>
      <c r="BO42" s="400"/>
      <c r="BP42" s="401"/>
      <c r="BQ42" s="400"/>
      <c r="BR42" s="401"/>
      <c r="BS42" s="400"/>
      <c r="BT42" s="401"/>
      <c r="BU42" s="400"/>
      <c r="BV42" s="401"/>
      <c r="BW42" s="400"/>
      <c r="BX42" s="401"/>
      <c r="BY42" s="400"/>
      <c r="BZ42" s="401"/>
      <c r="CA42" s="400"/>
      <c r="CB42" s="401"/>
      <c r="CC42" s="400"/>
      <c r="CD42" s="401"/>
      <c r="CE42" s="400"/>
      <c r="CF42" s="401"/>
      <c r="CG42" s="400"/>
      <c r="CH42" s="401"/>
      <c r="CI42" s="400"/>
      <c r="CJ42" s="401"/>
      <c r="CK42" s="400"/>
      <c r="CL42" s="401"/>
      <c r="CM42" s="400"/>
      <c r="CN42" s="401"/>
      <c r="CO42" s="400"/>
      <c r="CP42" s="401"/>
      <c r="CQ42" s="400"/>
      <c r="CR42" s="401"/>
      <c r="CS42" s="400"/>
      <c r="CT42" s="401"/>
      <c r="CU42" s="400"/>
      <c r="CV42" s="401"/>
      <c r="CW42" s="400"/>
      <c r="CX42" s="401"/>
      <c r="CY42" s="400"/>
      <c r="CZ42" s="401"/>
      <c r="DA42" s="400"/>
      <c r="DB42" s="401"/>
      <c r="DC42" s="400"/>
      <c r="DD42" s="401"/>
      <c r="DE42" s="400"/>
      <c r="DF42" s="401"/>
      <c r="DG42" s="400"/>
      <c r="DH42" s="401"/>
      <c r="DI42" s="400"/>
      <c r="DJ42" s="401"/>
      <c r="DK42" s="400"/>
      <c r="DL42" s="401"/>
      <c r="DM42" s="400"/>
      <c r="DN42" s="401"/>
      <c r="DO42" s="400"/>
      <c r="DP42" s="401"/>
      <c r="DQ42" s="400"/>
      <c r="DR42" s="401"/>
      <c r="DS42" s="400"/>
      <c r="DT42" s="401"/>
      <c r="DU42" s="400"/>
      <c r="DV42" s="401"/>
      <c r="DW42" s="400"/>
      <c r="DX42" s="401"/>
      <c r="DY42" s="400"/>
      <c r="DZ42" s="401"/>
      <c r="EA42" s="400"/>
      <c r="EB42" s="401"/>
      <c r="EC42" s="400"/>
      <c r="ED42" s="401"/>
      <c r="EE42" s="400"/>
      <c r="EF42" s="401"/>
      <c r="EG42" s="400"/>
      <c r="EH42" s="401"/>
      <c r="EI42" s="400"/>
      <c r="EJ42" s="447"/>
      <c r="EK42" s="511"/>
      <c r="EL42" s="514"/>
      <c r="EM42" s="448"/>
      <c r="EN42" s="344"/>
      <c r="EO42" s="345"/>
      <c r="EP42" s="171">
        <f t="shared" si="22"/>
        <v>0</v>
      </c>
      <c r="EQ42" s="171">
        <f t="shared" si="23"/>
        <v>0</v>
      </c>
      <c r="ER42" s="171">
        <f t="shared" si="24"/>
        <v>0</v>
      </c>
      <c r="ES42" s="171">
        <f t="shared" si="25"/>
        <v>0</v>
      </c>
      <c r="ET42" s="171">
        <f t="shared" si="26"/>
        <v>0</v>
      </c>
      <c r="EU42" s="171">
        <f t="shared" si="27"/>
        <v>0</v>
      </c>
      <c r="EV42" s="172">
        <f t="shared" si="28"/>
        <v>0</v>
      </c>
      <c r="EW42" s="173"/>
      <c r="EX42" s="248">
        <f t="shared" si="60"/>
        <v>0</v>
      </c>
      <c r="EY42" s="174">
        <f>(L42*regular)+(M42*Cadeirantee)</f>
        <v>0</v>
      </c>
      <c r="EZ42" s="249">
        <f>SUMIF(FG42:GJ42,"&gt;0")</f>
        <v>0</v>
      </c>
      <c r="FA42" s="249">
        <f>SUMIF(FG42:GJ42,"&lt;0")+SUMIF(GN42:HP42,"&lt;0")</f>
        <v>0</v>
      </c>
      <c r="FB42" s="174">
        <v>0</v>
      </c>
      <c r="FC42" s="126">
        <f>N42*km*'VALORES TABELA'!$B$13</f>
        <v>0</v>
      </c>
      <c r="FD42" s="250">
        <f t="shared" ref="FD42:FD45" si="61">GL42</f>
        <v>0</v>
      </c>
      <c r="FE42" s="105"/>
      <c r="FF42" s="119"/>
      <c r="FG42" s="119"/>
      <c r="FH42" s="119"/>
      <c r="FI42" s="119"/>
      <c r="FJ42" s="119"/>
      <c r="FK42" s="119"/>
      <c r="FL42" s="119"/>
      <c r="FM42" s="119"/>
      <c r="FN42" s="119"/>
      <c r="FO42" s="119"/>
      <c r="FP42" s="119"/>
      <c r="FQ42" s="119"/>
      <c r="FR42" s="119"/>
      <c r="FS42" s="119"/>
      <c r="FT42" s="119"/>
      <c r="FU42" s="119"/>
      <c r="FV42" s="119"/>
      <c r="FW42" s="119"/>
      <c r="FX42" s="119"/>
      <c r="FY42" s="119"/>
      <c r="FZ42" s="119"/>
      <c r="GA42" s="119"/>
      <c r="GB42" s="119"/>
      <c r="GC42" s="119"/>
      <c r="GD42" s="119"/>
      <c r="GE42" s="119"/>
      <c r="GF42" s="119"/>
      <c r="GG42" s="119"/>
      <c r="GH42" s="119"/>
      <c r="GI42" s="119"/>
      <c r="GJ42" s="119"/>
      <c r="GK42" s="251"/>
      <c r="GL42" s="103">
        <f t="shared" si="30"/>
        <v>0</v>
      </c>
      <c r="GM42" s="124"/>
      <c r="GN42" s="104"/>
      <c r="GO42" s="104"/>
      <c r="GP42" s="104"/>
      <c r="GQ42" s="104"/>
      <c r="GR42" s="104"/>
      <c r="GS42" s="104"/>
      <c r="GT42" s="104"/>
      <c r="GU42" s="104"/>
      <c r="GV42" s="104"/>
      <c r="GW42" s="104"/>
      <c r="GX42" s="104"/>
      <c r="GY42" s="104"/>
      <c r="GZ42" s="104"/>
      <c r="HA42" s="104"/>
      <c r="HB42" s="104"/>
      <c r="HC42" s="104"/>
      <c r="HD42" s="104"/>
      <c r="HE42" s="104"/>
      <c r="HF42" s="104"/>
      <c r="HG42" s="104"/>
      <c r="HH42" s="104"/>
      <c r="HI42" s="104"/>
      <c r="HJ42" s="104"/>
      <c r="HK42" s="104"/>
      <c r="HL42" s="104"/>
      <c r="HM42" s="104"/>
      <c r="HN42" s="104"/>
      <c r="HO42" s="104"/>
      <c r="HP42" s="104"/>
      <c r="HQ42" s="64"/>
      <c r="HR42" s="64"/>
      <c r="HS42" s="64"/>
      <c r="HT42" s="64"/>
      <c r="HU42" s="64"/>
      <c r="HV42" s="64"/>
      <c r="HW42" s="105"/>
      <c r="HX42" s="64"/>
      <c r="HY42" s="280">
        <f t="shared" ref="HY42:HY45" si="62">IF(ISTEXT(EM42), VALUE(EM42), EM42)</f>
        <v>0</v>
      </c>
      <c r="HZ42" s="280">
        <f t="shared" ref="HZ42:HZ45" si="63">IF(ISTEXT(EN42), VALUE(EN42), EN42)</f>
        <v>0</v>
      </c>
      <c r="IA42" s="280">
        <f t="shared" ref="IA42:IA45" si="64">IF(ISTEXT(EO42), VALUE(EO42), EO42)</f>
        <v>0</v>
      </c>
      <c r="IB42" s="64"/>
      <c r="IC42" s="64"/>
    </row>
    <row r="43" spans="1:237" s="106" customFormat="1" ht="22.5" customHeight="1" x14ac:dyDescent="0.25">
      <c r="A43" s="368" t="s">
        <v>3218</v>
      </c>
      <c r="B43" s="369" t="s">
        <v>3219</v>
      </c>
      <c r="C43" s="375" t="s">
        <v>3186</v>
      </c>
      <c r="D43" s="371" t="s">
        <v>3220</v>
      </c>
      <c r="E43" s="371" t="s">
        <v>3221</v>
      </c>
      <c r="F43" s="376" t="s">
        <v>3182</v>
      </c>
      <c r="G43" s="376" t="s">
        <v>3183</v>
      </c>
      <c r="H43" s="373" t="s">
        <v>344</v>
      </c>
      <c r="I43" s="374" t="s">
        <v>344</v>
      </c>
      <c r="J43" s="421" t="s">
        <v>3184</v>
      </c>
      <c r="K43" s="422" t="s">
        <v>3188</v>
      </c>
      <c r="L43" s="329">
        <f>CONTINUA!BV43</f>
        <v>0</v>
      </c>
      <c r="M43" s="329">
        <f>CONTINUA!BW43</f>
        <v>0</v>
      </c>
      <c r="N43" s="895"/>
      <c r="O43" s="896" t="s">
        <v>3281</v>
      </c>
      <c r="P43" s="897">
        <v>0</v>
      </c>
      <c r="Q43" s="400"/>
      <c r="R43" s="401"/>
      <c r="S43" s="400"/>
      <c r="T43" s="401"/>
      <c r="U43" s="400"/>
      <c r="V43" s="401"/>
      <c r="W43" s="400"/>
      <c r="X43" s="401"/>
      <c r="Y43" s="400"/>
      <c r="Z43" s="401"/>
      <c r="AA43" s="400"/>
      <c r="AB43" s="401"/>
      <c r="AC43" s="400"/>
      <c r="AD43" s="401"/>
      <c r="AE43" s="400"/>
      <c r="AF43" s="401"/>
      <c r="AG43" s="400"/>
      <c r="AH43" s="401"/>
      <c r="AI43" s="400"/>
      <c r="AJ43" s="401"/>
      <c r="AK43" s="400"/>
      <c r="AL43" s="401"/>
      <c r="AM43" s="400"/>
      <c r="AN43" s="401"/>
      <c r="AO43" s="400"/>
      <c r="AP43" s="401"/>
      <c r="AQ43" s="400"/>
      <c r="AR43" s="401"/>
      <c r="AS43" s="400"/>
      <c r="AT43" s="401"/>
      <c r="AU43" s="400"/>
      <c r="AV43" s="401"/>
      <c r="AW43" s="400"/>
      <c r="AX43" s="401"/>
      <c r="AY43" s="400"/>
      <c r="AZ43" s="401"/>
      <c r="BA43" s="400"/>
      <c r="BB43" s="401"/>
      <c r="BC43" s="400"/>
      <c r="BD43" s="401"/>
      <c r="BE43" s="400"/>
      <c r="BF43" s="401"/>
      <c r="BG43" s="400"/>
      <c r="BH43" s="401"/>
      <c r="BI43" s="400"/>
      <c r="BJ43" s="401"/>
      <c r="BK43" s="400"/>
      <c r="BL43" s="401"/>
      <c r="BM43" s="400"/>
      <c r="BN43" s="401"/>
      <c r="BO43" s="400"/>
      <c r="BP43" s="401"/>
      <c r="BQ43" s="400"/>
      <c r="BR43" s="401"/>
      <c r="BS43" s="400"/>
      <c r="BT43" s="401"/>
      <c r="BU43" s="400"/>
      <c r="BV43" s="401"/>
      <c r="BW43" s="400"/>
      <c r="BX43" s="401"/>
      <c r="BY43" s="400"/>
      <c r="BZ43" s="401"/>
      <c r="CA43" s="400"/>
      <c r="CB43" s="401"/>
      <c r="CC43" s="400"/>
      <c r="CD43" s="401"/>
      <c r="CE43" s="400"/>
      <c r="CF43" s="401"/>
      <c r="CG43" s="400"/>
      <c r="CH43" s="401"/>
      <c r="CI43" s="400"/>
      <c r="CJ43" s="401"/>
      <c r="CK43" s="400"/>
      <c r="CL43" s="401"/>
      <c r="CM43" s="400"/>
      <c r="CN43" s="401"/>
      <c r="CO43" s="400"/>
      <c r="CP43" s="401"/>
      <c r="CQ43" s="400"/>
      <c r="CR43" s="401"/>
      <c r="CS43" s="400"/>
      <c r="CT43" s="401"/>
      <c r="CU43" s="400"/>
      <c r="CV43" s="401"/>
      <c r="CW43" s="400"/>
      <c r="CX43" s="401"/>
      <c r="CY43" s="400"/>
      <c r="CZ43" s="401"/>
      <c r="DA43" s="400"/>
      <c r="DB43" s="401"/>
      <c r="DC43" s="400"/>
      <c r="DD43" s="401"/>
      <c r="DE43" s="400"/>
      <c r="DF43" s="401"/>
      <c r="DG43" s="400"/>
      <c r="DH43" s="401"/>
      <c r="DI43" s="400"/>
      <c r="DJ43" s="401"/>
      <c r="DK43" s="400"/>
      <c r="DL43" s="401"/>
      <c r="DM43" s="400"/>
      <c r="DN43" s="401"/>
      <c r="DO43" s="400"/>
      <c r="DP43" s="401"/>
      <c r="DQ43" s="400"/>
      <c r="DR43" s="401"/>
      <c r="DS43" s="400"/>
      <c r="DT43" s="401"/>
      <c r="DU43" s="400"/>
      <c r="DV43" s="401"/>
      <c r="DW43" s="400"/>
      <c r="DX43" s="401"/>
      <c r="DY43" s="400"/>
      <c r="DZ43" s="401"/>
      <c r="EA43" s="400"/>
      <c r="EB43" s="401"/>
      <c r="EC43" s="400"/>
      <c r="ED43" s="401"/>
      <c r="EE43" s="400"/>
      <c r="EF43" s="401"/>
      <c r="EG43" s="400"/>
      <c r="EH43" s="401"/>
      <c r="EI43" s="400"/>
      <c r="EJ43" s="447"/>
      <c r="EK43" s="511"/>
      <c r="EL43" s="514"/>
      <c r="EM43" s="448"/>
      <c r="EN43" s="344"/>
      <c r="EO43" s="345"/>
      <c r="EP43" s="171">
        <f t="shared" si="22"/>
        <v>0</v>
      </c>
      <c r="EQ43" s="171">
        <f t="shared" si="23"/>
        <v>0</v>
      </c>
      <c r="ER43" s="171">
        <f t="shared" si="24"/>
        <v>0</v>
      </c>
      <c r="ES43" s="171">
        <f t="shared" si="25"/>
        <v>0</v>
      </c>
      <c r="ET43" s="171">
        <f t="shared" si="26"/>
        <v>0</v>
      </c>
      <c r="EU43" s="171">
        <f t="shared" si="27"/>
        <v>0</v>
      </c>
      <c r="EV43" s="172">
        <f t="shared" si="28"/>
        <v>0</v>
      </c>
      <c r="EW43" s="125"/>
      <c r="EX43" s="248">
        <f t="shared" si="60"/>
        <v>0</v>
      </c>
      <c r="EY43" s="174">
        <f>(L43*regular)+(M43*Cadeirantee)</f>
        <v>0</v>
      </c>
      <c r="EZ43" s="249">
        <f>SUMIF(FG43:GJ43,"&gt;0")</f>
        <v>0</v>
      </c>
      <c r="FA43" s="249">
        <f>SUMIF(FG43:GJ43,"&lt;0")+SUMIF(GN43:HP43,"&lt;0")</f>
        <v>0</v>
      </c>
      <c r="FB43" s="174">
        <v>0</v>
      </c>
      <c r="FC43" s="126">
        <f>N43*km*'VALORES TABELA'!$B$13</f>
        <v>0</v>
      </c>
      <c r="FD43" s="250">
        <f t="shared" si="61"/>
        <v>0</v>
      </c>
      <c r="FE43" s="105"/>
      <c r="FF43" s="108"/>
      <c r="FG43" s="108"/>
      <c r="FH43" s="108"/>
      <c r="FI43" s="108"/>
      <c r="FJ43" s="108"/>
      <c r="FK43" s="108"/>
      <c r="FL43" s="108"/>
      <c r="FM43" s="108"/>
      <c r="FN43" s="108"/>
      <c r="FO43" s="108"/>
      <c r="FP43" s="108"/>
      <c r="FQ43" s="108"/>
      <c r="FR43" s="108"/>
      <c r="FS43" s="108"/>
      <c r="FT43" s="108"/>
      <c r="FU43" s="108"/>
      <c r="FV43" s="108"/>
      <c r="FW43" s="108"/>
      <c r="FX43" s="108"/>
      <c r="FY43" s="108"/>
      <c r="FZ43" s="108"/>
      <c r="GA43" s="108"/>
      <c r="GB43" s="108"/>
      <c r="GC43" s="108"/>
      <c r="GD43" s="108"/>
      <c r="GE43" s="108"/>
      <c r="GF43" s="108"/>
      <c r="GG43" s="108"/>
      <c r="GH43" s="108"/>
      <c r="GI43" s="108"/>
      <c r="GJ43" s="108"/>
      <c r="GK43" s="251"/>
      <c r="GL43" s="103">
        <f t="shared" si="30"/>
        <v>0</v>
      </c>
      <c r="GM43" s="124"/>
      <c r="GN43" s="104"/>
      <c r="GO43" s="104"/>
      <c r="GP43" s="104"/>
      <c r="GQ43" s="104"/>
      <c r="GR43" s="104"/>
      <c r="GS43" s="104"/>
      <c r="GT43" s="104"/>
      <c r="GU43" s="104"/>
      <c r="GV43" s="104"/>
      <c r="GW43" s="104"/>
      <c r="GX43" s="104"/>
      <c r="GY43" s="104"/>
      <c r="GZ43" s="104"/>
      <c r="HA43" s="104"/>
      <c r="HB43" s="104"/>
      <c r="HC43" s="104"/>
      <c r="HD43" s="104"/>
      <c r="HE43" s="104"/>
      <c r="HF43" s="104"/>
      <c r="HG43" s="104"/>
      <c r="HH43" s="104"/>
      <c r="HI43" s="104"/>
      <c r="HJ43" s="104"/>
      <c r="HK43" s="104"/>
      <c r="HL43" s="104"/>
      <c r="HM43" s="104"/>
      <c r="HN43" s="104"/>
      <c r="HO43" s="104"/>
      <c r="HP43" s="104"/>
      <c r="HQ43" s="64"/>
      <c r="HR43" s="64"/>
      <c r="HS43" s="64"/>
      <c r="HT43" s="64"/>
      <c r="HU43" s="64"/>
      <c r="HV43" s="64"/>
      <c r="HW43" s="105"/>
      <c r="HX43" s="64"/>
      <c r="HY43" s="280">
        <f t="shared" si="62"/>
        <v>0</v>
      </c>
      <c r="HZ43" s="280">
        <f t="shared" si="63"/>
        <v>0</v>
      </c>
      <c r="IA43" s="280">
        <f t="shared" si="64"/>
        <v>0</v>
      </c>
      <c r="IB43" s="64"/>
      <c r="IC43" s="64"/>
    </row>
    <row r="44" spans="1:237" s="106" customFormat="1" ht="22.5" customHeight="1" x14ac:dyDescent="0.25">
      <c r="A44" s="368" t="s">
        <v>3218</v>
      </c>
      <c r="B44" s="369" t="s">
        <v>3219</v>
      </c>
      <c r="C44" s="375" t="s">
        <v>3186</v>
      </c>
      <c r="D44" s="371" t="s">
        <v>3220</v>
      </c>
      <c r="E44" s="371" t="s">
        <v>3221</v>
      </c>
      <c r="F44" s="376" t="s">
        <v>3182</v>
      </c>
      <c r="G44" s="376" t="s">
        <v>3183</v>
      </c>
      <c r="H44" s="373" t="s">
        <v>344</v>
      </c>
      <c r="I44" s="374" t="s">
        <v>344</v>
      </c>
      <c r="J44" s="421" t="s">
        <v>3184</v>
      </c>
      <c r="K44" s="423" t="s">
        <v>3189</v>
      </c>
      <c r="L44" s="329">
        <f>CONTINUA!BV44</f>
        <v>0</v>
      </c>
      <c r="M44" s="329">
        <f>CONTINUA!BW44</f>
        <v>0</v>
      </c>
      <c r="N44" s="895"/>
      <c r="O44" s="896" t="s">
        <v>3281</v>
      </c>
      <c r="P44" s="897">
        <v>0</v>
      </c>
      <c r="Q44" s="400"/>
      <c r="R44" s="401"/>
      <c r="S44" s="400"/>
      <c r="T44" s="401"/>
      <c r="U44" s="400"/>
      <c r="V44" s="401"/>
      <c r="W44" s="400"/>
      <c r="X44" s="401"/>
      <c r="Y44" s="400"/>
      <c r="Z44" s="401"/>
      <c r="AA44" s="400"/>
      <c r="AB44" s="401"/>
      <c r="AC44" s="400"/>
      <c r="AD44" s="401"/>
      <c r="AE44" s="400"/>
      <c r="AF44" s="401"/>
      <c r="AG44" s="400"/>
      <c r="AH44" s="401"/>
      <c r="AI44" s="400"/>
      <c r="AJ44" s="401"/>
      <c r="AK44" s="400"/>
      <c r="AL44" s="401"/>
      <c r="AM44" s="400"/>
      <c r="AN44" s="401"/>
      <c r="AO44" s="400"/>
      <c r="AP44" s="401"/>
      <c r="AQ44" s="400"/>
      <c r="AR44" s="401"/>
      <c r="AS44" s="400"/>
      <c r="AT44" s="401"/>
      <c r="AU44" s="400"/>
      <c r="AV44" s="401"/>
      <c r="AW44" s="400"/>
      <c r="AX44" s="401"/>
      <c r="AY44" s="400"/>
      <c r="AZ44" s="401"/>
      <c r="BA44" s="400"/>
      <c r="BB44" s="401"/>
      <c r="BC44" s="400"/>
      <c r="BD44" s="401"/>
      <c r="BE44" s="400"/>
      <c r="BF44" s="401"/>
      <c r="BG44" s="400"/>
      <c r="BH44" s="401"/>
      <c r="BI44" s="400"/>
      <c r="BJ44" s="401"/>
      <c r="BK44" s="400"/>
      <c r="BL44" s="401"/>
      <c r="BM44" s="400"/>
      <c r="BN44" s="401"/>
      <c r="BO44" s="400"/>
      <c r="BP44" s="401"/>
      <c r="BQ44" s="400"/>
      <c r="BR44" s="401"/>
      <c r="BS44" s="400"/>
      <c r="BT44" s="401"/>
      <c r="BU44" s="400"/>
      <c r="BV44" s="401"/>
      <c r="BW44" s="400"/>
      <c r="BX44" s="401"/>
      <c r="BY44" s="400"/>
      <c r="BZ44" s="401"/>
      <c r="CA44" s="400"/>
      <c r="CB44" s="401"/>
      <c r="CC44" s="400"/>
      <c r="CD44" s="401"/>
      <c r="CE44" s="400"/>
      <c r="CF44" s="401"/>
      <c r="CG44" s="400"/>
      <c r="CH44" s="401"/>
      <c r="CI44" s="400"/>
      <c r="CJ44" s="401"/>
      <c r="CK44" s="400"/>
      <c r="CL44" s="401"/>
      <c r="CM44" s="400"/>
      <c r="CN44" s="401"/>
      <c r="CO44" s="400"/>
      <c r="CP44" s="401"/>
      <c r="CQ44" s="400"/>
      <c r="CR44" s="401"/>
      <c r="CS44" s="400"/>
      <c r="CT44" s="401"/>
      <c r="CU44" s="400"/>
      <c r="CV44" s="401"/>
      <c r="CW44" s="400"/>
      <c r="CX44" s="401"/>
      <c r="CY44" s="400"/>
      <c r="CZ44" s="401"/>
      <c r="DA44" s="400"/>
      <c r="DB44" s="401"/>
      <c r="DC44" s="400"/>
      <c r="DD44" s="401"/>
      <c r="DE44" s="400"/>
      <c r="DF44" s="401"/>
      <c r="DG44" s="400"/>
      <c r="DH44" s="401"/>
      <c r="DI44" s="400"/>
      <c r="DJ44" s="401"/>
      <c r="DK44" s="400"/>
      <c r="DL44" s="401"/>
      <c r="DM44" s="400"/>
      <c r="DN44" s="401"/>
      <c r="DO44" s="400"/>
      <c r="DP44" s="401"/>
      <c r="DQ44" s="400"/>
      <c r="DR44" s="401"/>
      <c r="DS44" s="400"/>
      <c r="DT44" s="401"/>
      <c r="DU44" s="400"/>
      <c r="DV44" s="401"/>
      <c r="DW44" s="400"/>
      <c r="DX44" s="401"/>
      <c r="DY44" s="400"/>
      <c r="DZ44" s="401"/>
      <c r="EA44" s="400"/>
      <c r="EB44" s="401"/>
      <c r="EC44" s="400"/>
      <c r="ED44" s="401"/>
      <c r="EE44" s="400"/>
      <c r="EF44" s="401"/>
      <c r="EG44" s="400"/>
      <c r="EH44" s="401"/>
      <c r="EI44" s="400"/>
      <c r="EJ44" s="447"/>
      <c r="EK44" s="511"/>
      <c r="EL44" s="514"/>
      <c r="EM44" s="448"/>
      <c r="EN44" s="344"/>
      <c r="EO44" s="345"/>
      <c r="EP44" s="171">
        <f t="shared" si="22"/>
        <v>0</v>
      </c>
      <c r="EQ44" s="171">
        <f t="shared" si="23"/>
        <v>0</v>
      </c>
      <c r="ER44" s="171">
        <f t="shared" si="24"/>
        <v>0</v>
      </c>
      <c r="ES44" s="171">
        <f t="shared" si="25"/>
        <v>0</v>
      </c>
      <c r="ET44" s="171">
        <f t="shared" si="26"/>
        <v>0</v>
      </c>
      <c r="EU44" s="171">
        <f t="shared" si="27"/>
        <v>0</v>
      </c>
      <c r="EV44" s="172">
        <f t="shared" si="28"/>
        <v>0</v>
      </c>
      <c r="EW44" s="127"/>
      <c r="EX44" s="248">
        <f t="shared" si="60"/>
        <v>0</v>
      </c>
      <c r="EY44" s="174">
        <f>(L44*regular)+(M44*Cadeirantee)</f>
        <v>0</v>
      </c>
      <c r="EZ44" s="249">
        <f>SUMIF(FG44:GJ44,"&gt;0")</f>
        <v>0</v>
      </c>
      <c r="FA44" s="249">
        <f>SUMIF(FG44:GJ44,"&lt;0")+SUMIF(GN44:HP44,"&lt;0")</f>
        <v>0</v>
      </c>
      <c r="FB44" s="174">
        <v>0</v>
      </c>
      <c r="FC44" s="126">
        <f>N44*km*'VALORES TABELA'!$B$13</f>
        <v>0</v>
      </c>
      <c r="FD44" s="250">
        <f t="shared" si="61"/>
        <v>0</v>
      </c>
      <c r="FE44" s="105"/>
      <c r="FF44" s="118"/>
      <c r="FG44" s="118"/>
      <c r="FH44" s="118"/>
      <c r="FI44" s="118"/>
      <c r="FJ44" s="118"/>
      <c r="FK44" s="118"/>
      <c r="FL44" s="118"/>
      <c r="FM44" s="118"/>
      <c r="FN44" s="118"/>
      <c r="FO44" s="118"/>
      <c r="FP44" s="118"/>
      <c r="FQ44" s="118"/>
      <c r="FR44" s="118"/>
      <c r="FS44" s="118"/>
      <c r="FT44" s="118"/>
      <c r="FU44" s="118"/>
      <c r="FV44" s="118"/>
      <c r="FW44" s="118"/>
      <c r="FX44" s="118"/>
      <c r="FY44" s="118"/>
      <c r="FZ44" s="118"/>
      <c r="GA44" s="118"/>
      <c r="GB44" s="118"/>
      <c r="GC44" s="118"/>
      <c r="GD44" s="118"/>
      <c r="GE44" s="118"/>
      <c r="GF44" s="118"/>
      <c r="GG44" s="118"/>
      <c r="GH44" s="118"/>
      <c r="GI44" s="118"/>
      <c r="GJ44" s="118"/>
      <c r="GK44" s="252"/>
      <c r="GL44" s="103">
        <f t="shared" si="30"/>
        <v>0</v>
      </c>
      <c r="GM44" s="124"/>
      <c r="GN44" s="104"/>
      <c r="GO44" s="104"/>
      <c r="GP44" s="104"/>
      <c r="GQ44" s="104"/>
      <c r="GR44" s="104"/>
      <c r="GS44" s="104"/>
      <c r="GT44" s="104"/>
      <c r="GU44" s="104"/>
      <c r="GV44" s="104"/>
      <c r="GW44" s="104"/>
      <c r="GX44" s="104"/>
      <c r="GY44" s="104"/>
      <c r="GZ44" s="104"/>
      <c r="HA44" s="104"/>
      <c r="HB44" s="104"/>
      <c r="HC44" s="104"/>
      <c r="HD44" s="104"/>
      <c r="HE44" s="104"/>
      <c r="HF44" s="104"/>
      <c r="HG44" s="104"/>
      <c r="HH44" s="104"/>
      <c r="HI44" s="104"/>
      <c r="HJ44" s="104"/>
      <c r="HK44" s="104"/>
      <c r="HL44" s="104"/>
      <c r="HM44" s="104"/>
      <c r="HN44" s="104"/>
      <c r="HO44" s="104"/>
      <c r="HP44" s="104"/>
      <c r="HQ44" s="64"/>
      <c r="HR44" s="65"/>
      <c r="HS44" s="65"/>
      <c r="HT44" s="65"/>
      <c r="HU44" s="65"/>
      <c r="HV44" s="65"/>
      <c r="HW44" s="105"/>
      <c r="HX44" s="65"/>
      <c r="HY44" s="280">
        <f t="shared" si="62"/>
        <v>0</v>
      </c>
      <c r="HZ44" s="280">
        <f t="shared" si="63"/>
        <v>0</v>
      </c>
      <c r="IA44" s="280">
        <f t="shared" si="64"/>
        <v>0</v>
      </c>
      <c r="IB44" s="65"/>
      <c r="IC44" s="65"/>
    </row>
    <row r="45" spans="1:237" s="106" customFormat="1" ht="22.5" customHeight="1" thickBot="1" x14ac:dyDescent="0.3">
      <c r="A45" s="377" t="s">
        <v>3218</v>
      </c>
      <c r="B45" s="378" t="s">
        <v>3219</v>
      </c>
      <c r="C45" s="379" t="s">
        <v>3186</v>
      </c>
      <c r="D45" s="380" t="s">
        <v>3220</v>
      </c>
      <c r="E45" s="380" t="s">
        <v>3221</v>
      </c>
      <c r="F45" s="381" t="s">
        <v>3182</v>
      </c>
      <c r="G45" s="381" t="s">
        <v>3183</v>
      </c>
      <c r="H45" s="382" t="s">
        <v>344</v>
      </c>
      <c r="I45" s="383" t="s">
        <v>344</v>
      </c>
      <c r="J45" s="421" t="s">
        <v>3184</v>
      </c>
      <c r="K45" s="424" t="s">
        <v>60</v>
      </c>
      <c r="L45" s="329">
        <f>CONTINUA!BV45</f>
        <v>0</v>
      </c>
      <c r="M45" s="329">
        <f>CONTINUA!BW45</f>
        <v>0</v>
      </c>
      <c r="N45" s="895"/>
      <c r="O45" s="896" t="s">
        <v>3281</v>
      </c>
      <c r="P45" s="897">
        <v>0</v>
      </c>
      <c r="Q45" s="400"/>
      <c r="R45" s="401"/>
      <c r="S45" s="400"/>
      <c r="T45" s="401"/>
      <c r="U45" s="400"/>
      <c r="V45" s="401"/>
      <c r="W45" s="400"/>
      <c r="X45" s="401"/>
      <c r="Y45" s="400"/>
      <c r="Z45" s="401"/>
      <c r="AA45" s="400"/>
      <c r="AB45" s="401"/>
      <c r="AC45" s="400"/>
      <c r="AD45" s="401"/>
      <c r="AE45" s="400"/>
      <c r="AF45" s="401"/>
      <c r="AG45" s="400"/>
      <c r="AH45" s="401"/>
      <c r="AI45" s="400"/>
      <c r="AJ45" s="401"/>
      <c r="AK45" s="400"/>
      <c r="AL45" s="401"/>
      <c r="AM45" s="400"/>
      <c r="AN45" s="401"/>
      <c r="AO45" s="400"/>
      <c r="AP45" s="401"/>
      <c r="AQ45" s="400"/>
      <c r="AR45" s="401"/>
      <c r="AS45" s="400"/>
      <c r="AT45" s="401"/>
      <c r="AU45" s="400"/>
      <c r="AV45" s="401"/>
      <c r="AW45" s="400"/>
      <c r="AX45" s="401"/>
      <c r="AY45" s="400"/>
      <c r="AZ45" s="401"/>
      <c r="BA45" s="400"/>
      <c r="BB45" s="401"/>
      <c r="BC45" s="400"/>
      <c r="BD45" s="401"/>
      <c r="BE45" s="400"/>
      <c r="BF45" s="401"/>
      <c r="BG45" s="400"/>
      <c r="BH45" s="401"/>
      <c r="BI45" s="400"/>
      <c r="BJ45" s="401"/>
      <c r="BK45" s="400"/>
      <c r="BL45" s="401"/>
      <c r="BM45" s="400"/>
      <c r="BN45" s="401"/>
      <c r="BO45" s="400"/>
      <c r="BP45" s="401"/>
      <c r="BQ45" s="400"/>
      <c r="BR45" s="401"/>
      <c r="BS45" s="400"/>
      <c r="BT45" s="401"/>
      <c r="BU45" s="400"/>
      <c r="BV45" s="401"/>
      <c r="BW45" s="400"/>
      <c r="BX45" s="401"/>
      <c r="BY45" s="400"/>
      <c r="BZ45" s="401"/>
      <c r="CA45" s="400"/>
      <c r="CB45" s="401"/>
      <c r="CC45" s="400"/>
      <c r="CD45" s="401"/>
      <c r="CE45" s="400"/>
      <c r="CF45" s="401"/>
      <c r="CG45" s="400"/>
      <c r="CH45" s="401"/>
      <c r="CI45" s="400"/>
      <c r="CJ45" s="401"/>
      <c r="CK45" s="400"/>
      <c r="CL45" s="401"/>
      <c r="CM45" s="400"/>
      <c r="CN45" s="401"/>
      <c r="CO45" s="400"/>
      <c r="CP45" s="401"/>
      <c r="CQ45" s="400"/>
      <c r="CR45" s="401"/>
      <c r="CS45" s="400"/>
      <c r="CT45" s="401"/>
      <c r="CU45" s="400"/>
      <c r="CV45" s="401"/>
      <c r="CW45" s="400"/>
      <c r="CX45" s="401"/>
      <c r="CY45" s="400"/>
      <c r="CZ45" s="401"/>
      <c r="DA45" s="400"/>
      <c r="DB45" s="401"/>
      <c r="DC45" s="400"/>
      <c r="DD45" s="401"/>
      <c r="DE45" s="400"/>
      <c r="DF45" s="401"/>
      <c r="DG45" s="400"/>
      <c r="DH45" s="401"/>
      <c r="DI45" s="400"/>
      <c r="DJ45" s="401"/>
      <c r="DK45" s="400"/>
      <c r="DL45" s="401"/>
      <c r="DM45" s="400"/>
      <c r="DN45" s="401"/>
      <c r="DO45" s="400"/>
      <c r="DP45" s="401"/>
      <c r="DQ45" s="400"/>
      <c r="DR45" s="401"/>
      <c r="DS45" s="400"/>
      <c r="DT45" s="401"/>
      <c r="DU45" s="400"/>
      <c r="DV45" s="401"/>
      <c r="DW45" s="400"/>
      <c r="DX45" s="401"/>
      <c r="DY45" s="400"/>
      <c r="DZ45" s="401"/>
      <c r="EA45" s="400"/>
      <c r="EB45" s="401"/>
      <c r="EC45" s="400"/>
      <c r="ED45" s="401"/>
      <c r="EE45" s="400"/>
      <c r="EF45" s="401"/>
      <c r="EG45" s="400"/>
      <c r="EH45" s="401"/>
      <c r="EI45" s="400"/>
      <c r="EJ45" s="447"/>
      <c r="EK45" s="512"/>
      <c r="EL45" s="515"/>
      <c r="EM45" s="450"/>
      <c r="EN45" s="348"/>
      <c r="EO45" s="348"/>
      <c r="EP45" s="179">
        <f t="shared" si="22"/>
        <v>0</v>
      </c>
      <c r="EQ45" s="179">
        <f t="shared" si="23"/>
        <v>0</v>
      </c>
      <c r="ER45" s="179">
        <f t="shared" si="24"/>
        <v>0</v>
      </c>
      <c r="ES45" s="179">
        <f t="shared" si="25"/>
        <v>0</v>
      </c>
      <c r="ET45" s="179">
        <f t="shared" si="26"/>
        <v>0</v>
      </c>
      <c r="EU45" s="179">
        <f t="shared" si="27"/>
        <v>0</v>
      </c>
      <c r="EV45" s="172">
        <f t="shared" si="28"/>
        <v>0</v>
      </c>
      <c r="EW45" s="253"/>
      <c r="EX45" s="254">
        <v>0</v>
      </c>
      <c r="EY45" s="180">
        <v>0</v>
      </c>
      <c r="EZ45" s="255">
        <v>0</v>
      </c>
      <c r="FA45" s="255">
        <v>0</v>
      </c>
      <c r="FB45" s="180">
        <f>SUM(FF45:GI45)/2</f>
        <v>0</v>
      </c>
      <c r="FC45" s="256">
        <f>N45*km*'VALORES TABELA'!$B$13</f>
        <v>0</v>
      </c>
      <c r="FD45" s="250">
        <f t="shared" si="61"/>
        <v>0</v>
      </c>
      <c r="FE45" s="257"/>
      <c r="FF45" s="181">
        <f>((Q45+S45)*Percapita)+((R45+T45)*Cadeirante)</f>
        <v>0</v>
      </c>
      <c r="FG45" s="181">
        <f>((U45+W45)*Percapita/30*FG$4)+((V45+X45)*Cadeirante/30*FG$4)</f>
        <v>0</v>
      </c>
      <c r="FH45" s="181">
        <f>((Y45+AA45)*Percapita/30*FH$4)+((Z45+AB45)*Cadeirante/30*FH$4)</f>
        <v>0</v>
      </c>
      <c r="FI45" s="181">
        <f>((AC45+AE45)*Percapita/30*FI$4)+((AD45+AF45)*Cadeirante/30*FI$4)</f>
        <v>0</v>
      </c>
      <c r="FJ45" s="181">
        <f>((AG45+AI45)*Percapita/30*FJ$4)+((AH45+AJ45)*Cadeirante/30*FJ$4)</f>
        <v>0</v>
      </c>
      <c r="FK45" s="181">
        <f>((AK45+AM45)*Percapita/30*FK$4)+((AL45+AN45)*Cadeirante/30*FK$4)</f>
        <v>0</v>
      </c>
      <c r="FL45" s="181">
        <f>((AO45+AQ45)*Percapita/30*FL$4)+((AP45+AR45)*Cadeirante/30*FL$4)</f>
        <v>0</v>
      </c>
      <c r="FM45" s="181">
        <f>((AS45+AU45)*Percapita/30*FM$4)+((AT45+AV45)*Cadeirante/30*FM$4)</f>
        <v>0</v>
      </c>
      <c r="FN45" s="181">
        <f>((AW45+AY45)*Percapita/30*FN$4)+((AX45+AZ45)*Cadeirante/30*FN$4)</f>
        <v>0</v>
      </c>
      <c r="FO45" s="181">
        <f>((BA45+BC45)*Percapita/30*FO$4)+((BB45+BD45)*Cadeirante/30*FO$4)</f>
        <v>0</v>
      </c>
      <c r="FP45" s="181">
        <f>((BE45+BG45)*Percapita/30*FP$4)+((BF45+BH45)*Cadeirante/30*FP$4)</f>
        <v>0</v>
      </c>
      <c r="FQ45" s="181">
        <f>((BI45+BK45)*Percapita/30*FQ$4)+((BJ45+BL45)*Cadeirante/30*FQ$4)</f>
        <v>0</v>
      </c>
      <c r="FR45" s="181">
        <f>((BM45+BO45)*Percapita/30*FR$4)+((BN45+BP45)*Cadeirante/30*FR$4)</f>
        <v>0</v>
      </c>
      <c r="FS45" s="181">
        <f>((BQ45+BS45)*Percapita/30*FS$4)+((BR45+BT45)*Cadeirante/30*FS$4)</f>
        <v>0</v>
      </c>
      <c r="FT45" s="181">
        <f>((BU45+BW45)*Percapita/30*FT$4)+((BV45+BX45)*Cadeirante/30*FT$4)</f>
        <v>0</v>
      </c>
      <c r="FU45" s="181">
        <f>((BY45+CA45)*Percapita/30*FU$4)+((BZ45+CB45)*Cadeirante/30*FU$4)</f>
        <v>0</v>
      </c>
      <c r="FV45" s="181">
        <f>((CC45+CE45)*Percapita/30*FV$4)+((CD45+CF45)*Cadeirante/30*FV$4)</f>
        <v>0</v>
      </c>
      <c r="FW45" s="181">
        <f>((CG45+CI45)*Percapita/30*FW$4)+((CI45+CK45)*Cadeirante/30*FW$4)</f>
        <v>0</v>
      </c>
      <c r="FX45" s="181">
        <f>((CK45+CM45)*Percapita/30*FX$4)+((CL45+CN45)*Cadeirante/30*FX$4)</f>
        <v>0</v>
      </c>
      <c r="FY45" s="181">
        <f>((CO45+CQ45)*Percapita/30*FY$4)+((CP45+CR45)*Cadeirante/30*FY$4)</f>
        <v>0</v>
      </c>
      <c r="FZ45" s="181">
        <f>((CS45+CU45)*Percapita/30*FZ$4)+((CT45+CV45)*Cadeirante/30*FZ$4)</f>
        <v>0</v>
      </c>
      <c r="GA45" s="181">
        <f>((CW45+CY45)*Percapita/30*GA$4)+((CX45+CZ45)*Cadeirante/30*GA$4)</f>
        <v>0</v>
      </c>
      <c r="GB45" s="181">
        <f>((DA45+DC45)*Percapita/30*GB$4)+((DB45+DD45)*Cadeirante/30*GB$4)</f>
        <v>0</v>
      </c>
      <c r="GC45" s="181">
        <f>((DE45+DG45)*Percapita/30*GC$4)+((DF45+DH45)*Cadeirante/30*GC$4)</f>
        <v>0</v>
      </c>
      <c r="GD45" s="181">
        <f>((DI45+DK45)*Percapita/30*GD$4)+((DJ45+DL45)*Cadeirante/30*GD$4)</f>
        <v>0</v>
      </c>
      <c r="GE45" s="181">
        <f>((DM45+DO45)*Percapita/30*GE$4)+((DN45+DP45)*Cadeirante/30*GE$4)</f>
        <v>0</v>
      </c>
      <c r="GF45" s="181">
        <f>((DQ45+DS45)*Percapita/30*GF$4)+((DR45+DT45)*Cadeirante/30*GF$4)</f>
        <v>0</v>
      </c>
      <c r="GG45" s="181">
        <f>((DU45+DW45)*Percapita/30*GG$4)+((DV45+DX45)*Cadeirante/30*GG$4)</f>
        <v>0</v>
      </c>
      <c r="GH45" s="181">
        <f>((DY45+EA45)*Percapita/30*GH$4)+((DZ45+EB45)*Cadeirante/30*GH$4)</f>
        <v>0</v>
      </c>
      <c r="GI45" s="181">
        <f>((EC45+EE45)*Percapita/30*GI$4)+((ED45+EF45)*Cadeirante/30*GI$4)</f>
        <v>0</v>
      </c>
      <c r="GJ45" s="181">
        <f>((EG45+EI45)*Percapita)+((EH45+EJ45)*Cadeirante)</f>
        <v>0</v>
      </c>
      <c r="GK45" s="258"/>
      <c r="GL45" s="103">
        <f t="shared" si="30"/>
        <v>0</v>
      </c>
      <c r="GM45" s="124"/>
      <c r="GN45" s="182"/>
      <c r="GO45" s="182"/>
      <c r="GP45" s="182"/>
      <c r="GQ45" s="182"/>
      <c r="GR45" s="182"/>
      <c r="GS45" s="182"/>
      <c r="GT45" s="182"/>
      <c r="GU45" s="182"/>
      <c r="GV45" s="182"/>
      <c r="GW45" s="182"/>
      <c r="GX45" s="182"/>
      <c r="GY45" s="182"/>
      <c r="GZ45" s="182"/>
      <c r="HA45" s="182"/>
      <c r="HB45" s="182"/>
      <c r="HC45" s="182"/>
      <c r="HD45" s="182"/>
      <c r="HE45" s="182"/>
      <c r="HF45" s="182"/>
      <c r="HG45" s="182"/>
      <c r="HH45" s="182"/>
      <c r="HI45" s="182"/>
      <c r="HJ45" s="182"/>
      <c r="HK45" s="182"/>
      <c r="HL45" s="182"/>
      <c r="HM45" s="182"/>
      <c r="HN45" s="182"/>
      <c r="HO45" s="182"/>
      <c r="HP45" s="259"/>
      <c r="HQ45" s="64"/>
      <c r="HW45" s="257"/>
      <c r="HY45" s="280">
        <f t="shared" si="62"/>
        <v>0</v>
      </c>
      <c r="HZ45" s="280">
        <f t="shared" si="63"/>
        <v>0</v>
      </c>
      <c r="IA45" s="280">
        <f t="shared" si="64"/>
        <v>0</v>
      </c>
    </row>
    <row r="46" spans="1:237" s="106" customFormat="1" ht="22.5" customHeight="1" x14ac:dyDescent="0.25">
      <c r="A46" t="s">
        <v>3222</v>
      </c>
      <c r="B46" s="522" t="s">
        <v>3223</v>
      </c>
      <c r="C46" s="523">
        <v>1</v>
      </c>
      <c r="D46" s="524" t="s">
        <v>3224</v>
      </c>
      <c r="E46" s="524" t="s">
        <v>3225</v>
      </c>
      <c r="F46" s="525" t="s">
        <v>3182</v>
      </c>
      <c r="G46" s="525" t="s">
        <v>3183</v>
      </c>
      <c r="H46" s="350" t="s">
        <v>345</v>
      </c>
      <c r="I46" s="351" t="s">
        <v>345</v>
      </c>
      <c r="J46" s="409" t="s">
        <v>3184</v>
      </c>
      <c r="K46" s="410" t="s">
        <v>3185</v>
      </c>
      <c r="L46" s="329">
        <f>CONTINUA!BV46</f>
        <v>0</v>
      </c>
      <c r="M46" s="329">
        <f>CONTINUA!BW46</f>
        <v>0</v>
      </c>
      <c r="N46" s="895"/>
      <c r="O46" s="896" t="s">
        <v>3282</v>
      </c>
      <c r="P46" s="897">
        <v>0</v>
      </c>
      <c r="Q46" s="400"/>
      <c r="R46" s="401"/>
      <c r="S46" s="400"/>
      <c r="T46" s="401"/>
      <c r="U46" s="400"/>
      <c r="V46" s="401"/>
      <c r="W46" s="400"/>
      <c r="X46" s="401"/>
      <c r="Y46" s="400"/>
      <c r="Z46" s="401"/>
      <c r="AA46" s="400"/>
      <c r="AB46" s="401"/>
      <c r="AC46" s="400"/>
      <c r="AD46" s="401"/>
      <c r="AE46" s="400"/>
      <c r="AF46" s="401"/>
      <c r="AG46" s="400"/>
      <c r="AH46" s="401"/>
      <c r="AI46" s="400"/>
      <c r="AJ46" s="401"/>
      <c r="AK46" s="400"/>
      <c r="AL46" s="401"/>
      <c r="AM46" s="400"/>
      <c r="AN46" s="401"/>
      <c r="AO46" s="400"/>
      <c r="AP46" s="401"/>
      <c r="AQ46" s="400"/>
      <c r="AR46" s="401"/>
      <c r="AS46" s="400"/>
      <c r="AT46" s="401"/>
      <c r="AU46" s="400"/>
      <c r="AV46" s="401"/>
      <c r="AW46" s="400"/>
      <c r="AX46" s="401"/>
      <c r="AY46" s="400"/>
      <c r="AZ46" s="401"/>
      <c r="BA46" s="400"/>
      <c r="BB46" s="401"/>
      <c r="BC46" s="400"/>
      <c r="BD46" s="401"/>
      <c r="BE46" s="400"/>
      <c r="BF46" s="401"/>
      <c r="BG46" s="400"/>
      <c r="BH46" s="401"/>
      <c r="BI46" s="400"/>
      <c r="BJ46" s="401"/>
      <c r="BK46" s="400"/>
      <c r="BL46" s="401"/>
      <c r="BM46" s="400"/>
      <c r="BN46" s="401"/>
      <c r="BO46" s="400"/>
      <c r="BP46" s="401"/>
      <c r="BQ46" s="400"/>
      <c r="BR46" s="401"/>
      <c r="BS46" s="400"/>
      <c r="BT46" s="401"/>
      <c r="BU46" s="400"/>
      <c r="BV46" s="401"/>
      <c r="BW46" s="400"/>
      <c r="BX46" s="401"/>
      <c r="BY46" s="400"/>
      <c r="BZ46" s="401"/>
      <c r="CA46" s="400"/>
      <c r="CB46" s="401"/>
      <c r="CC46" s="400"/>
      <c r="CD46" s="401"/>
      <c r="CE46" s="400"/>
      <c r="CF46" s="401"/>
      <c r="CG46" s="400"/>
      <c r="CH46" s="401"/>
      <c r="CI46" s="400"/>
      <c r="CJ46" s="401"/>
      <c r="CK46" s="400"/>
      <c r="CL46" s="401"/>
      <c r="CM46" s="400"/>
      <c r="CN46" s="401"/>
      <c r="CO46" s="400"/>
      <c r="CP46" s="401"/>
      <c r="CQ46" s="400"/>
      <c r="CR46" s="401"/>
      <c r="CS46" s="400"/>
      <c r="CT46" s="401"/>
      <c r="CU46" s="400"/>
      <c r="CV46" s="401"/>
      <c r="CW46" s="400"/>
      <c r="CX46" s="401"/>
      <c r="CY46" s="400"/>
      <c r="CZ46" s="401"/>
      <c r="DA46" s="400"/>
      <c r="DB46" s="401"/>
      <c r="DC46" s="400"/>
      <c r="DD46" s="401"/>
      <c r="DE46" s="400"/>
      <c r="DF46" s="401"/>
      <c r="DG46" s="400"/>
      <c r="DH46" s="401"/>
      <c r="DI46" s="400"/>
      <c r="DJ46" s="401"/>
      <c r="DK46" s="400"/>
      <c r="DL46" s="401"/>
      <c r="DM46" s="400"/>
      <c r="DN46" s="401"/>
      <c r="DO46" s="400"/>
      <c r="DP46" s="401"/>
      <c r="DQ46" s="400"/>
      <c r="DR46" s="401"/>
      <c r="DS46" s="400"/>
      <c r="DT46" s="401"/>
      <c r="DU46" s="400"/>
      <c r="DV46" s="401"/>
      <c r="DW46" s="400"/>
      <c r="DX46" s="401"/>
      <c r="DY46" s="400"/>
      <c r="DZ46" s="401"/>
      <c r="EA46" s="400"/>
      <c r="EB46" s="401"/>
      <c r="EC46" s="400"/>
      <c r="ED46" s="401"/>
      <c r="EE46" s="400"/>
      <c r="EF46" s="401"/>
      <c r="EG46" s="400"/>
      <c r="EH46" s="401"/>
      <c r="EI46" s="400"/>
      <c r="EJ46" s="447"/>
      <c r="EK46" s="510"/>
      <c r="EL46" s="513"/>
      <c r="EM46" s="520"/>
      <c r="EN46" s="520"/>
      <c r="EO46" s="520"/>
      <c r="EP46" s="171">
        <f t="shared" si="22"/>
        <v>0</v>
      </c>
      <c r="EQ46" s="171">
        <f t="shared" si="23"/>
        <v>0</v>
      </c>
      <c r="ER46" s="171">
        <f t="shared" si="24"/>
        <v>0</v>
      </c>
      <c r="ES46" s="171">
        <f t="shared" si="25"/>
        <v>0</v>
      </c>
      <c r="ET46" s="171">
        <f t="shared" si="26"/>
        <v>0</v>
      </c>
      <c r="EU46" s="171">
        <f t="shared" si="27"/>
        <v>0</v>
      </c>
      <c r="EV46" s="172">
        <f t="shared" si="28"/>
        <v>0</v>
      </c>
      <c r="EW46" s="367">
        <f>IF(C46=4,IF(MAX(Q46:EJ48)&gt;0,(Especiall/30*(IF(($G46-$F46)=($G$5-$F$5),30,IF(DAY($G46)=31,($G46-$F46),($G46-$F46)+1)))),0),0)</f>
        <v>0</v>
      </c>
      <c r="EX46" s="248">
        <f t="shared" ref="EX46:EX49" si="65">FF46</f>
        <v>15582.35</v>
      </c>
      <c r="EY46" s="174">
        <f>(L46*regular)+(M46*Cadeirantee)</f>
        <v>0</v>
      </c>
      <c r="EZ46" s="249">
        <f>SUMIF(FG46:GJ46,"&gt;0")</f>
        <v>179.774</v>
      </c>
      <c r="FA46" s="249">
        <f>SUMIF(FG46:GJ46,"&lt;0")+SUMIF(GN46:HP46,"&lt;0")</f>
        <v>0</v>
      </c>
      <c r="FB46" s="174">
        <v>0</v>
      </c>
      <c r="FC46" s="175">
        <f>N46*km*'VALORES TABELA'!$B$13</f>
        <v>0</v>
      </c>
      <c r="FD46" s="250">
        <f>GL46</f>
        <v>0</v>
      </c>
      <c r="FE46" s="176">
        <f>(EW46+EW47+EW48+EW49+EX46+EX47+EX48+EX49+EY46+EY47+EY48+EY49+EY50+EZ46+EZ47+EZ48+EZ49+FA46+FA47+FA48+FA49+FC46+FC47+FC48+FC49+HY46-HZ46-IA46+FD46+FD47+FD48+FD49+FB50)</f>
        <v>16032.044</v>
      </c>
      <c r="FF46" s="177">
        <f>IF(C46=4,SUM(Q46+Q47+Q48+S46+S47+S48)*Percapita/30*FF$4+(R46+R47+R48+T46+T47+T48)*Cadeirante/30*FF$4,IF(C46=3,IF(Q49+S49=10,Fixo/30*FF$4+(Q46+Q47+Q48+S46+S47+S48)*Percapita/30*FF$4+(R49+T49)*Cadeirante/30*FF$4,IF(Q49+S49&lt;=9,(Q49+S49)*Crechee/30*FF$4)+(R49+T49)*Cadeirante/30*FF$4+(Q46+Q47+Q48+S46+S47+S48)*Percapita/30*FF$4)+IF(Q49+S49&gt;=11,Fixo/30*FF$4+(Q49+S49-10)*Crechee/30*FF$4,0),IF(C46=2,IF(R46+R47+R48+R49+T46+T47+T48+T49=1,Cadeirante/30*FF$4,IF(R46+R47+R48+R49+T46+T47+T48+T49=2,Fixo/30*FF$4,IF(R46+R47+R48+R49+T46+T47+T48+T49&gt;2,Fixo/30*FF$4+(R46+R47+R48+R49+T46+T47+T48+T49-2)*Cadeirante/30*FF$4)))+(Q46+Q47+Q48+S46+S47+S48)*Percapita/30*FF$4+(Q49+S49)*Crechee/30*FF$4,IF(C46=1,IF(Q46+Q47+Q48+R46+R47+R48+S46+S47+S48+T46+T47+T48&lt;=15,(Q46+Q47+Q48+S46+S47+S48)*Percapita/30*FF$4,IF(Q46+Q47+Q48+R46+R47+R48+S46+S47+S48+T46+T47+T48&gt;=16,Fixo/30*FF$4+(Q46+Q47+Q48+R46+R47+R48+S46+S47+S48+T46+T47-16)*Percapita/30*FF$4))))))</f>
        <v>15582.35</v>
      </c>
      <c r="FG46" s="177">
        <f>IF(C46=4,SUM(U46+U47+U48+W46+W47+W48)*Percapita/30*FG$4+(V46+V47+V48+X46+X47+X48)*Cadeirante/30*FG$4,IF(C46=3,IF(U49+W49=10,Fixo/30*FG$4+(U46+U47+U48+W46+W47+W48)*Percapita/30*FG$4+(V49+X49)*Cadeirante/30*FG$4,IF(U49+W49&lt;=9,(U49+W49)*Crechee/30*FG$4)+(V49+X49)*Cadeirante/30*FG$4+(U46+U47+U48+W46+W47+W48)*Percapita/30*FG$4)+IF(U49+W49&gt;=11,Fixo/30*FG$4+(U49+W49-10)*Crechee/30*FG$4,0),IF(C46=2,IF(V46+V47+V48+V49+X46+X47+X48+X49=1,Cadeirante/30*FG$4,IF(V46+V47+V48+V49+X46+X47+X48+X49=2,Fixo/30*FG$4,IF(V46+V47+V48+V49+X46+X47+X48+X49&gt;2,Fixo/30*FG$4+(V46+V47+V48+V49+X46+X47+X48+X49-2)*Cadeirante/30*FG$4)))+(U46+U47+U48+W46+W47+W48)*Percapita/30*FG$4+(U49+W49)*Crechee/30*FG$4,IF(C46=1,IF(U46+U47+U48+V46+V47+V48+W46+W47+W48+X46+X47+X48&lt;=15,(U46+U47+U48+W46+W47+W48)*Percapita/30*FG$4,IF(U46+U47+U48+V46+V47+V48+W46+W47+W48+X46+X47+X48&gt;=16,Fixo/30*FG$4+(U46+U47+U48+V46+V47+V48+W46+W47+W48+X46+X47-16)*Percapita/30*FG$4))))))</f>
        <v>0</v>
      </c>
      <c r="FH46" s="177">
        <f>IF(C46=4,SUM(Y46+Y47+Y48+AA46+AA47+AA48)*Percapita/30*FH$4+(Z46+Z47+Z48+AB46+AB47+AB48)*Cadeirante/30*FH$4,IF(C46=3,IF(Y49+AA49=10,Fixo/30*FH$4+(Y46+Y47+Y48+AA46+AA47+AA48)*Percapita/30*FH$4+(Z49+AB49)*Cadeirante/30*FH$4,IF(Y49+AA49&lt;=9,(Y49+AA49)*Crechee/30*FH$4)+(Z49+AB49)*Cadeirante/30*FH$4+(Y46+Y47+Y48+AA46+AA47+AA48)*Percapita/30*FH$4)+IF(Y49+AA49&gt;=11,Fixo/30*FH$4+(Y49+AA49-10)*Crechee/30*FH$4,0),IF(C46=2,IF(Z46+Z47+Z48+Z49+AB46+AB47+AB48+AB49=1,Cadeirante/30*FH$4,IF(Z46+Z47+Z48+Z49+AB46+AB47+AB48+AB49=2,Fixo/30*FH$4,IF(Z46+Z47+Z48+Z49+AB46+AB47+AB48+AB49&gt;2,Fixo/30*FH$4+(Z46+Z47+Z48+Z49+AB46+AB47+AB48+AB49-2)*Cadeirante/30*FH$4)))+(Y46+Y47+Y48+AA46+AA47+AA48)*Percapita/30*FH$4+(Y49+AA49)*Crechee/30*FH$4,IF(C46=1,IF(Y46+Y47+Y48+Z46+Z47+Z48+AA46+AA47+AA48+AB46+AB47+AB48&lt;=15,(Y46+Y47+Y48+AA46+AA47+AA48)*Percapita/30*FH$4,IF(Y46+Y47+Y48+Z46+Z47+Z48+AA46+AA47+AA48+AB46+AB47+AB48&gt;=16,Fixo/30*FH$4+(Y46+Y47+Y48+Z46+Z47+Z48+AA46+AA47+AA48+AB46+AB47-16)*Percapita/30*FH$4))))))</f>
        <v>0</v>
      </c>
      <c r="FI46" s="177">
        <f>IF(C46=4,SUM(AC46+AC47+AC48+AE46+AE47+AE48)*Percapita/30*FI$4+(AD46+AD47+AD48+AF46+AF47+AF48)*Cadeirante/30*FI$4,IF(C46=3,IF(AC49+AE49=10,Fixo/30*FI$4+(AC46+AC47+AC48+AE46+AE47+AE48)*Percapita/30*FI$4+(AD49+AF49)*Cadeirante/30*FI$4,IF(AC49+AE49&lt;=9,(AC49+AE49)*Crechee/30*FI$4)+(AD49+AF49)*Cadeirante/30*FI$4+(AC46+AC47+AC48+AE46+AE47+AE48)*Percapita/30*FI$4)+IF(AC49+AE49&gt;=11,Fixo/30*FI$4+(AC49+AE49-10)*Crechee/30*FI$4,0),IF(C46=2,IF(AD46+AD47+AD48+AD49+AF46+AF47+AF48+AF49=1,Cadeirante/30*FI$4,IF(AD46+AD47+AD48+AD49+AF46+AF47+AF48+AF49=2,Fixo/30*FI$4,IF(AD46+AD47+AD48+AD49+AF46+AF47+AF48+AF49&gt;2,Fixo/30*FI$4+(AD46+AD47+AD48+AD49+AF46+AF47+AF48+AF49-2)*Cadeirante/30*FI$4)))+(AC46+AC47+AC48+AE46+AE47+AE48)*Percapita/30*FI$4+(AC49+AE49)*Crechee/30*FI$4,IF(C46=1,IF(AC46+AC47+AC48+AD46+AD47+AD48+AE46+AE47+AE48+AF46+AF47+AF48&lt;=15,(AC46+AC47+AC48+AE46+AE47+AE48)*Percapita/30*FI$4,IF(AC46+AC47+AC48+AD46+AD47+AD48+AE46+AE47+AE48+AF46+AF47+AF48&gt;=16,Fixo/30*FI$4+(AC46+AC47+AC48+AD46+AD47+AD48+AE46+AE47+AE48+AF46+AF47-16)*Percapita/30*FI$4))))))</f>
        <v>0</v>
      </c>
      <c r="FJ46" s="177">
        <f>IF(C46=4,SUM(AG46+AG47+AG48+AI46+AI47+AI48)*Percapita/30*FJ$4+(AH46+AH47+AH48+AJ46+AJ47+AJ48)*Cadeirante/30*FJ$4,IF(C46=3,IF(AG49+AI49=10,Fixo/30*FJ$4+(AG46+AG47+AG48+AI46+AI47+AI48)*Percapita/30*FJ$4+(AH49+AJ49)*Cadeirante/30*FJ$4,IF(AG49+AI49&lt;=9,(AG49+AI49)*Crechee/30*FJ$4)+(AH49+AJ49)*Cadeirante/30*FJ$4+(AG46+AG47+AG48+AI46+AI47+AI48)*Percapita/30*FJ$4)+IF(AG49+AI49&gt;=11,Fixo/30*FJ$4+(AG49+AI49-10)*Crechee/30*FJ$4,0),IF(C46=2,IF(AH46+AH47+AH48+AH49+AJ46+AJ47+AJ48+AJ49=1,Cadeirante/30*FJ$4,IF(AH46+AH47+AH48+AH49+AJ46+AJ47+AJ48+AJ49=2,Fixo/30*FJ$4,IF(AH46+AH47+AH48+AH49+AJ46+AJ47+AJ48+AJ49&gt;2,Fixo/30*FJ$4+(AH46+AH47+AH48+AH49+AJ46+AJ47+AJ48+AJ49-2)*Cadeirante/30*FJ$4)))+(AG46+AG47+AG48+AI46+AI47+AI48)*Percapita/30*FJ$4+(AG49+AI49)*Crechee/30*FJ$4,IF(C46=1,IF(AG46+AG47+AG48+AH46+AH47+AH48+AI46+AI47+AI48+AJ46+AJ47+AJ48&lt;=15,(AG46+AG47+AG48+AI46+AI47+AI48)*Percapita/30*FJ$4,IF(AG46+AG47+AG48+AH46+AH47+AH48+AI46+AI47+AI48+AJ46+AJ47+AJ48&gt;=16,Fixo/30*FJ$4+(AG46+AG47+AG48+AH46+AH47+AH48+AI46+AI47+AI48+AJ46+AJ47-16)*Percapita/30*FJ$4))))))</f>
        <v>0</v>
      </c>
      <c r="FK46" s="177">
        <f>IF(C46=4,SUM(AK46+AK47+AK48+AM46+AM47+AM48)*Percapita/30*FK$4+(AL46+AL47+AL48+AN46+AN47+AN48)*Cadeirante/30*FK$4,IF(C46=3,IF(AK49+AM49=10,Fixo/30*FK$4+(AK46+AK47+AK48+AM46+AM47+AM48)*Percapita/30*FK$4+(AL49+AN49)*Cadeirante/30*FK$4,IF(AK49+AM49&lt;=9,(AK49+AM49)*Crechee/30*FK$4)+(AL49+AN49)*Cadeirante/30*FK$4+(AK46+AK47+AK48+AM46+AM47+AM48)*Percapita/30*FK$4)+IF(AK49+AM49&gt;=11,Fixo/30*FK$4+(AK49+AM49-10)*Crechee/30*FK$4,0),IF(C46=2,IF(AL46+AL47+AL48+AL49+AN46+AN47+AN48+AN49=1,Cadeirante/30*FK$4,IF(AL46+AL47+AL48+AL49+AN46+AN47+AN48+AN49=2,Fixo/30*FK$4,IF(AL46+AL47+AL48+AL49+AN46+AN47+AN48+AN49&gt;2,Fixo/30*FK$4+(AL46+AL47+AL48+AL49+AN46+AN47+AN48+AN49-2)*Cadeirante/30*FK$4)))+(AK46+AK47+AK48+AM46+AM47+AM48)*Percapita/30*FK$4+(AK49+AM49)*Crechee/30*FK$4,IF(C46=1,IF(AK46+AK47+AK48+AL46+AL47+AL48+AM46+AM47+AM48+AN46+AN47+AN48&lt;=15,(AK46+AK47+AK48+AM46+AM47+AM48)*Percapita/30*FK$4,IF(AK46+AK47+AK48+AL46+AL47+AL48+AM46+AM47+AM48+AN46+AN47+AN48&gt;=16,Fixo/30*FK$4+(AK46+AK47+AK48+AL46+AL47+AL48+AM46+AM47+AM48+AN46+AN47-16)*Percapita/30*FK$4))))))</f>
        <v>0</v>
      </c>
      <c r="FL46" s="177">
        <f>IF(C46=4,SUM(AO46+AO47+AO48+AQ46+AQ47+AQ48)*Percapita/30*FL$4+(AP46+AP47+AP48+AR46+AR47+AR48)*Cadeirante/30*FL$4,IF(C46=3,IF(AO49+AQ49=10,Fixo/30*FL$4+(AO46+AO47+AO48+AQ46+AQ47+AQ48)*Percapita/30*FL$4+(AP49+AR49)*Cadeirante/30*FL$4,IF(AO49+AQ49&lt;=9,(AO49+AQ49)*Crechee/30*FL$4)+(AP49+AR49)*Cadeirante/30*FL$4+(AO46+AO47+AO48+AQ46+AQ47+AQ48)*Percapita/30*FL$4)+IF(AO49+AQ49&gt;=11,Fixo/30*FL$4+(AO49+AQ49-10)*Crechee/30*FL$4,0),IF(C46=2,IF(AP46+AP47+AP48+AP49+AR46+AR47+AR48+AR49=1,Cadeirante/30*FL$4,IF(AP46+AP47+AP48+AP49+AR46+AR47+AR48+AR49=2,Fixo/30*FL$4,IF(AP46+AP47+AP48+AP49+AR46+AR47+AR48+AR49&gt;2,Fixo/30*FL$4+(AP46+AP47+AP48+AP49+AR46+AR47+AR48+AR49-2)*Cadeirante/30*FL$4)))+(AO46+AO47+AO48+AQ46+AQ47+AQ48)*Percapita/30*FL$4+(AO49+AQ49)*Crechee/30*FL$4,IF(C46=1,IF(AO46+AO47+AO48+AP46+AP47+AP48+AQ46+AQ47+AQ48+AR46+AR47+AR48&lt;=15,(AO46+AO47+AO48+AQ46+AQ47+AQ48)*Percapita/30*FL$4,IF(AO46+AO47+AO48+AP46+AP47+AP48+AQ46+AQ47+AQ48+AR46+AR47+AR48&gt;=16,Fixo/30*FL$4+(AO46+AO47+AO48+AP46+AP47+AP48+AQ46+AQ47+AQ48+AR46+AR47-16)*Percapita/30*FL$4))))))</f>
        <v>0</v>
      </c>
      <c r="FM46" s="177">
        <f>IF(C46=4,SUM(AS46+AS47+AS48+AU46+AU47+AU48)*Percapita/30*FM$4+(AT46+AT47+AT48+AV46+AV47+AV48)*Cadeirante/30*FM$4,IF(C46=3,IF(AS49+AU49=10,Fixo/30*FM$4+(AS46+AS47+AS48+AU46+AU47+AU48)*Percapita/30*FM$4+(AT49+AV49)*Cadeirante/30*FM$4,IF(AS49+AU49&lt;=9,(AS49+AU49)*Crechee/30*FM$4)+(AT49+AV49)*Cadeirante/30*FM$4+(AS46+AS47+AS48+AU46+AU47+AU48)*Percapita/30*FM$4)+IF(AS49+AU49&gt;=11,Fixo/30*FM$4+(AS49+AU49-10)*Crechee/30*FM$4,0),IF(C46=2,IF(AT46+AT47+AT48+AT49+AV46+AV47+AV48+AV49=1,Cadeirante/30*FM$4,IF(AT46+AT47+AT48+AT49+AV46+AV47+AV48+AV49=2,Fixo/30*FM$4,IF(AT46+AT47+AT48+AT49+AV46+AV47+AV48+AV49&gt;2,Fixo/30*FM$4+(AT46+AT47+AT48+AT49+AV46+AV47+AV48+AV49-2)*Cadeirante/30*FM$4)))+(AS46+AS47+AS48+AU46+AU47+AU48)*Percapita/30*FM$4+(AS49+AU49)*Crechee/30*FM$4,IF(C46=1,IF(AS46+AS47+AS48+AT46+AT47+AT48+AU46+AU47+AU48+AV46+AV47+AV48&lt;=15,(AS46+AS47+AS48+AU46+AU47+AU48)*Percapita/30*FM$4,IF(AS46+AS47+AS48+AT46+AT47+AT48+AU46+AU47+AU48+AV46+AV47+AV48&gt;=16,Fixo/30*FM$4+(AS46+AS47+AS48+AT46+AT47+AT48+AU46+AU47+AU48+AV46+AV47-16)*Percapita/30*FM$4))))))</f>
        <v>0</v>
      </c>
      <c r="FN46" s="177">
        <f>IF(C46=4,SUM(AW46+AW47+AW48+AY46+AY47+AY48)*Percapita/30*FN$4+(AX46+AX47+AX48+AZ46+AZ47+AZ48)*Cadeirante/30*FN$4,IF(C46=3,IF(AW49+AY49=10,Fixo/30*FN$4+(AW46+AW47+AW48+AY46+AY47+AY48)*Percapita/30*FN$4+(AX49+AZ49)*Cadeirante/30*FN$4,IF(AW49+AY49&lt;=9,(AW49+AY49)*Crechee/30*FN$4)+(AX49+AZ49)*Cadeirante/30*FN$4+(AW46+AW47+AW48+AY46+AY47+AY48)*Percapita/30*FN$4)+IF(AW49+AY49&gt;=11,Fixo/30*FN$4+(AW49+AY49-10)*Crechee/30*FN$4,0),IF(C46=2,IF(AX46+AX47+AX48+AX49+AZ46+AZ47+AZ48+AZ49=1,Cadeirante/30*FN$4,IF(AX46+AX47+AX48+AX49+AZ46+AZ47+AZ48+AZ49=2,Fixo/30*FN$4,IF(AX46+AX47+AX48+AX49+AZ46+AZ47+AZ48+AZ49&gt;2,Fixo/30*FN$4+(AX46+AX47+AX48+AX49+AZ46+AZ47+AZ48+AZ49-2)*Cadeirante/30*FN$4)))+(AW46+AW47+AW48+AY46+AY47+AY48)*Percapita/30*FN$4+(AW49+AY49)*Crechee/30*FN$4,IF(C46=1,IF(AW46+AW47+AW48+AX46+AX47+AX48+AY46+AY47+AY48+AZ46+AZ47+AZ48&lt;=15,(AW46+AW47+AW48+AY46+AY47+AY48)*Percapita/30*FN$4,IF(AW46+AW47+AW48+AX46+AX47+AX48+AY46+AY47+AY48+AZ46+AZ47+AZ48&gt;=16,Fixo/30*FN$4+(AW46+AW47+AW48+AX46+AX47+AX48+AY46+AY47+AY48+AZ46+AZ47-16)*Percapita/30*FN$4))))))</f>
        <v>0</v>
      </c>
      <c r="FO46" s="177">
        <f>IF(C46=4,SUM(BA46+BA47+BA48+BC46+BC47+BC48)*Percapita/30*FO$4+(BB46+BB47+BB48+BD46+BD47+BD48)*Cadeirante/30*FO$4,IF(C46=3,IF(BA49+BC49=10,Fixo/30*FO$4+(BA46+BA47+BA48+BC46+BC47+BC48)*Percapita/30*FO$4+(BB49+BD49)*Cadeirante/30*FO$4,IF(BA49+BC49&lt;=9,(BA49+BC49)*Crechee/30*FO$4)+(BB49+BD49)*Cadeirante/30*FO$4+(BA46+BA47+BA48+BC46+BC47+BC48)*Percapita/30*FO$4)+IF(BA49+BC49&gt;=11,Fixo/30*FO$4+(BA49+BC49-10)*Crechee/30*FO$4,0),IF(C46=2,IF(BB46+BB47+BB48+BB49+BD46+BD47+BD48+BD49=1,Cadeirante/30*FO$4,IF(BB46+BB47+BB48+BB49+BD46+BD47+BD48+BD49=2,Fixo/30*FO$4,IF(BB46+BB47+BB48+BB49+BD46+BD47+BD48+BD49&gt;2,Fixo/30*FO$4+(BB46+BB47+BB48+BB49+BD46+BD47+BD48+BD49-2)*Cadeirante/30*FO$4)))+(BA46+BA47+BA48+BC46+BC47+BC48)*Percapita/30*FO$4+(BA49+BC49)*Crechee/30*FO$4,IF(C46=1,IF(BA46+BA47+BA48+BB46+BB47+BB48+BC46+BC47+BC48+BD46+BD47+BD48&lt;=15,(BA46+BA47+BA48+BC46+BC47+BC48)*Percapita/30*FO$4,IF(BA46+BA47+BA48+BB46+BB47+BB48+BC46+BC47+BC48+BD46+BD47+BD48&gt;=16,Fixo/30*FO$4+(BA46+BA47+BA48+BB46+BB47+BB48+BC46+BC47+BC48+BD46+BD47-16)*Percapita/30*FO$4))))))</f>
        <v>0</v>
      </c>
      <c r="FP46" s="177">
        <f>IF(C46=4,SUM(BE46+BE47+BE48+BG46+BG47+BG48)*Percapita/30*FP$4+(BF46+BF47+BF48+BH46+BH47+BH48)*Cadeirante/30*FP$4,IF(C46=3,IF(BE49+BG49=10,Fixo/30*FP$4+(BE46+BE47+BE48+BG46+BG47+BG48)*Percapita/30*FP$4+(BF49+BH49)*Cadeirante/30*FP$4,IF(BE49+BG49&lt;=9,(BE49+BG49)*Crechee/30*FP$4)+(BF49+BH49)*Cadeirante/30*FP$4+(BE46+BE47+BE48+BG46+BG47+BG48)*Percapita/30*FP$4)+IF(BE49+BG49&gt;=11,Fixo/30*FP$4+(BE49+BG49-10)*Crechee/30*FP$4,0),IF(C46=2,IF(BF46+BF47+BF48+BF49+BH46+BH47+BH48+BH49=1,Cadeirante/30*FP$4,IF(BF46+BF47+BF48+BF49+BH46+BH47+BH48+BH49=2,Fixo/30*FP$4,IF(BF46+BF47+BF48+BF49+BH46+BH47+BH48+BH49&gt;2,Fixo/30*FP$4+(BF46+BF47+BF48+BF49+BH46+BH47+BH48+BH49-2)*Cadeirante/30*FP$4)))+(BE46+BE47+BE48+BG46+BG47+BG48)*Percapita/30*FP$4+(BE49+BG49)*Crechee/30*FP$4,IF(C46=1,IF(BE46+BE47+BE48+BF46+BF47+BF48+BG46+BG47+BG48+BH46+BH47+BH48&lt;=15,(BE46+BE47+BE48+BG46+BG47+BG48)*Percapita/30*FP$4,IF(BE46+BE47+BE48+BF46+BF47+BF48+BG46+BG47+BG48+BH46+BH47+BH48&gt;=16,Fixo/30*FP$4+(BE46+BE47+BE48+BF46+BF47+BF48+BG46+BG47+BG48+BH46+BH47-16)*Percapita/30*FP$4))))))</f>
        <v>0</v>
      </c>
      <c r="FQ46" s="177">
        <f>IF(C46=4,SUM(BI46+BI47+BI48+BK46+BK47+BK48)*Percapita/30*FQ$4+(BJ46+BJ47+BJ48+BL46+BL47+BL48)*Cadeirante/30*FQ$4,IF(C46=3,IF(BI49+BK49=10,Fixo/30*FQ$4+(BI46+BI47+BI48+BK46+BK47+BK48)*Percapita/30*FQ$4+(BJ49+BL49)*Cadeirante/30*FQ$4,IF(BI49+BK49&lt;=9,(BI49+BK49)*Crechee/30*FQ$4)+(BJ49+BL49)*Cadeirante/30*FQ$4+(BI46+BI47+BI48+BK46+BK47+BK48)*Percapita/30*FQ$4)+IF(BI49+BK49&gt;=11,Fixo/30*FQ$4+(BI49+BK49-10)*Crechee/30*FQ$4,0),IF(C46=2,IF(BJ46+BJ47+BJ48+BJ49+BL46+BL47+BL48+BL49=1,Cadeirante/30*FQ$4,IF(BJ46+BJ47+BJ48+BJ49+BL46+BL47+BL48+BL49=2,Fixo/30*FQ$4,IF(BJ46+BJ47+BJ48+BJ49+BL46+BL47+BL48+BL49&gt;2,Fixo/30*FQ$4+(BJ46+BJ47+BJ48+BJ49+BL46+BL47+BL48+BL49-2)*Cadeirante/30*FQ$4)))+(BI46+BI47+BI48+BK46+BK47+BK48)*Percapita/30*FQ$4+(BI49+BK49)*Crechee/30*FQ$4,IF(C46=1,IF(BI46+BI47+BI48+BJ46+BJ47+BJ48+BK46+BK47+BK48+BL46+BL47+BL48&lt;=15,(BI46+BI47+BI48+BK46+BK47+BK48)*Percapita/30*FQ$4,IF(BI46+BI47+BI48+BJ46+BJ47+BJ48+BK46+BK47+BK48+BL46+BL47+BL48&gt;=16,Fixo/30*FQ$4+(BI46+BI47+BI48+BJ46+BJ47+BJ48+BK46+BK47+BK48+BL46+BL47-16)*Percapita/30*FQ$4))))))</f>
        <v>0</v>
      </c>
      <c r="FR46" s="177">
        <f>IF(C46=4,SUM(BM46+BM47+BM48+BO46+BO47+BO48)*Percapita/30*FR$4+(BN46+BN47+BN48+BP46+BP47+BP48)*Cadeirante/30*FR$4,IF(C46=3,IF(BM49+BO49=10,Fixo/30*FR$4+(BM46+BM47+BM48+BO46+BO47+BO48)*Percapita/30*FR$4+(BN49+BP49)*Cadeirante/30*FR$4,IF(BM49+BO49&lt;=9,(BM49+BO49)*Crechee/30*FR$4)+(BN49+BP49)*Cadeirante/30*FR$4+(BM46+BM47+BM48+BO46+BO47+BO48)*Percapita/30*FR$4)+IF(BM49+BO49&gt;=11,Fixo/30*FR$4+(BM49+BO49-10)*Crechee/30*FR$4,0),IF(C46=2,IF(BN46+BN47+BN48+BN49+BP46+BP47+BP48+BP49=1,Cadeirante/30*FR$4,IF(BN46+BN47+BN48+BN49+BP46+BP47+BP48+BP49=2,Fixo/30*FR$4,IF(BN46+BN47+BN48+BN49+BP46+BP47+BP48+BP49&gt;2,Fixo/30*FR$4+(BN46+BN47+BN48+BN49+BP46+BP47+BP48+BP49-2)*Cadeirante/30*FR$4)))+(BM46+BM47+BM48+BO46+BO47+BO48)*Percapita/30*FR$4+(BM49+BO49)*Crechee/30*FR$4,IF(C46=1,IF(BM46+BM47+BM48+BN46+BN47+BN48+BO46+BO47+BO48+BP46+BP47+BP48&lt;=15,(BM46+BM47+BM48+BO46+BO47+BO48)*Percapita/30*FR$4,IF(BM46+BM47+BM48+BN46+BN47+BN48+BO46+BO47+BO48+BP46+BP47+BP48&gt;=16,Fixo/30*FR$4+(BM46+BM47+BM48+BN46+BN47+BN48+BO46+BO47+BO48+BP46+BP47-16)*Percapita/30*FR$4))))))</f>
        <v>0</v>
      </c>
      <c r="FS46" s="177">
        <f>IF(C46=4,SUM(BQ46+BQ47+BQ48+BS46+BS47+BS48)*Percapita/30*FS$4+(BR46+BR47+BR48+BT46+BT47+BT48)*Cadeirante/30*FS$4,IF(C46=3,IF(BQ49+BS49=10,Fixo/30*FS$4+(BQ46+BQ47+BQ48+BS46+BS47+BS48)*Percapita/30*FS$4+(BR49+BT49)*Cadeirante/30*FS$4,IF(BQ49+BS49&lt;=9,(BQ49+BS49)*Crechee/30*FS$4)+(BR49+BT49)*Cadeirante/30*FS$4+(BQ46+BQ47+BQ48+BS46+BS47+BS48)*Percapita/30*FS$4)+IF(BQ49+BS49&gt;=11,Fixo/30*FS$4+(BQ49+BS49-10)*Crechee/30*FS$4,0),IF(C46=2,IF(BR46+BR47+BR48+BR49+BT46+BT47+BT48+BT49=1,Cadeirante/30*FS$4,IF(BR46+BR47+BR48+BR49+BT46+BT47+BT48+BT49=2,Fixo/30*FS$4,IF(BR46+BR47+BR48+BR49+BT46+BT47+BT48+BT49&gt;2,Fixo/30*FS$4+(BR46+BR47+BR48+BR49+BT46+BT47+BT48+BT49-2)*Cadeirante/30*FS$4)))+(BQ46+BQ47+BQ48+BS46+BS47+BS48)*Percapita/30*FS$4+(BQ49+BS49)*Crechee/30*FS$4,IF(C46=1,IF(BQ46+BQ47+BQ48+BR46+BR47+BR48+BS46+BS47+BS48+BT46+BT47+BT48&lt;=15,(BQ46+BQ47+BQ48+BS46+BS47+BS48)*Percapita/30*FS$4,IF(BQ46+BQ47+BQ48+BR46+BR47+BR48+BS46+BS47+BS48+BT46+BT47+BT48&gt;=16,Fixo/30*FS$4+(BQ46+BQ47+BQ48+BR46+BR47+BR48+BS46+BS47+BS48+BT46+BT47-16)*Percapita/30*FS$4))))))</f>
        <v>0</v>
      </c>
      <c r="FT46" s="177">
        <f>IF(C46=4,SUM(BU46+BU47+BU48+BW46+BW47+BW48)*Percapita/30*FT$4+(BV46+BV47+BV48+BX46+BX47+BX48)*Cadeirante/30*FT$4,IF(C46=3,IF(BU49+BW49=10,Fixo/30*FT$4+(BU46+BU47+BU48+BW46+BW47+BW48)*Percapita/30*FT$4+(BV49+BX49)*Cadeirante/30*FT$4,IF(BU49+BW49&lt;=9,(BU49+BW49)*Crechee/30*FT$4)+(BV49+BX49)*Cadeirante/30*FT$4+(BU46+BU47+BU48+BW46+BW47+BW48)*Percapita/30*FT$4)+IF(BU49+BW49&gt;=11,Fixo/30*FT$4+(BU49+BW49-10)*Crechee/30*FT$4,0),IF(C46=2,IF(BV46+BV47+BV48+BV49+BX46+BX47+BX48+BX49=1,Cadeirante/30*FT$4,IF(BV46+BV47+BV48+BV49+BX46+BX47+BX48+BX49=2,Fixo/30*FT$4,IF(BV46+BV47+BV48+BV49+BX46+BX47+BX48+BX49&gt;2,Fixo/30*FT$4+(BV46+BV47+BV48+BV49+BX46+BX47+BX48+BX49-2)*Cadeirante/30*FT$4)))+(BU46+BU47+BU48+BW46+BW47+BW48)*Percapita/30*FT$4+(BU49+BW49)*Crechee/30*FT$4,IF(C46=1,IF(BU46+BU47+BU48+BV46+BV47+BV48+BW46+BW47+BW48+BX46+BX47+BX48&lt;=15,(BU46+BU47+BU48+BW46+BW47+BW48)*Percapita/30*FT$4,IF(BU46+BU47+BU48+BV46+BV47+BV48+BW46+BW47+BW48+BX46+BX47+BX48&gt;=16,Fixo/30*FT$4+(BU46+BU47+BU48+BV46+BV47+BV48+BW46+BW47+BW48+BX46+BX47-16)*Percapita/30*FT$4))))))</f>
        <v>0</v>
      </c>
      <c r="FU46" s="177">
        <f>IF(C46=4,SUM(BY46+BY47+BY48+CA46+CA47+CA48)*Percapita/30*FU$4+(BZ46+BZ47+BZ48+CB46+CB47+CB48)*Cadeirante/30*FU$4,IF(C46=3,IF(BY49+CA49=10,Fixo/30*FU$4+(BY46+BY47+BY48+CA46+CA47+CA48)*Percapita/30*FU$4+(BZ49+CB49)*Cadeirante/30*FU$4,IF(BY49+CA49&lt;=9,(BY49+CA49)*Crechee/30*FU$4)+(BZ49+CB49)*Cadeirante/30*FU$4+(BY46+BY47+BY48+CA46+CA47+CA48)*Percapita/30*FU$4)+IF(BY49+CA49&gt;=11,Fixo/30*FU$4+(BY49+CA49-10)*Crechee/30*FU$4,0),IF(C46=2,IF(BZ46+BZ47+BZ48+BZ49+CB46+CB47+CB48+CB49=1,Cadeirante/30*FU$4,IF(BZ46+BZ47+BZ48+BZ49+CB46+CB47+CB48+CB49=2,Fixo/30*FU$4,IF(BZ46+BZ47+BZ48+BZ49+CB46+CB47+CB48+CB49&gt;2,Fixo/30*FU$4+(BZ46+BZ47+BZ48+BZ49+CB46+CB47+CB48+CB49-2)*Cadeirante/30*FU$4)))+(BY46+BY47+BY48+CA46+CA47+CA48)*Percapita/30*FU$4+(BY49+CA49)*Crechee/30*FU$4,IF(C46=1,IF(BY46+BY47+BY48+BZ46+BZ47+BZ48+CA46+CA47+CA48+CB46+CB47+CB48&lt;=15,(BY46+BY47+BY48+CA46+CA47+CA48)*Percapita/30*FU$4,IF(BY46+BY47+BY48+BZ46+BZ47+BZ48+CA46+CA47+CA48+CB46+CB47+CB48&gt;=16,Fixo/30*FU$4+(BY46+BY47+BY48+BZ46+BZ47+BZ48+CA46+CA47+CA48+CB46+CB47-16)*Percapita/30*FU$4))))))</f>
        <v>0</v>
      </c>
      <c r="FV46" s="177">
        <f>IF(C46=4,SUM(CC46+CC47+CC48+CE46+CE47+CE48)*Percapita/30*FV$4+(CD46+CD47+CD48+CF46+CF47+CF48)*Cadeirante/30*FV$4,IF(C46=3,IF(CC49+CE49=10,Fixo/30*FV$4+(CC46+CC47+CC48+CE46+CE47+CE48)*Percapita/30*FV$4+(CD49+CF49)*Cadeirante/30*FV$4,IF(CC49+CE49&lt;=9,(CC49+CE49)*Crechee/30*FV$4)+(CD49+CF49)*Cadeirante/30*FV$4+(CC46+CC47+CC48+CE46+CE47+CE48)*Percapita/30*FV$4)+IF(CC49+CE49&gt;=11,Fixo/30*FV$4+(CC49+CE49-10)*Crechee/30*FV$4,0),IF(C46=2,IF(CD46+CD47+CD48+CD49+CF46+CF47+CF48+CF49=1,Cadeirante/30*FV$4,IF(CD46+CD47+CD48+CD49+CF46+CF47+CF48+CF49=2,Fixo/30*FV$4,IF(CD46+CD47+CD48+CD49+CF46+CF47+CF48+CF49&gt;2,Fixo/30*FV$4+(CD46+CD47+CD48+CD49+CF46+CF47+CF48+CF49-2)*Cadeirante/30*FV$4)))+(CC46+CC47+CC48+CE46+CE47+CE48)*Percapita/30*FV$4+(CC49+CE49)*Crechee/30*FV$4,IF(C46=1,IF(CC46+CC47+CC48+CD46+CD47+CD48+CE46+CE47+CE48+CF46+CF47+CF48&lt;=15,(CC46+CC47+CC48+CE46+CE47+CE48)*Percapita/30*FV$4,IF(CC46+CC47+CC48+CD46+CD47+CD48+CE46+CE47+CE48+CF46+CF47+CF48&gt;=16,Fixo/30*FV$4+(CC46+CC47+CC48+CD46+CD47+CD48+CE46+CE47+CE48+CF46+CF47-16)*Percapita/30*FV$4))))))</f>
        <v>179.774</v>
      </c>
      <c r="FW46" s="177">
        <f>IF(C46=4,SUM(CG46+CG47+CG48+CI46+CI47+CI48)*Percapita/30*FW$4+(CH46+CH47+CH48+CJ46+CJ47+CJ48)*Cadeirante/30*FW$4,IF(C46=3,IF(CG49+CI49=10,Fixo/30*FW$4+(CG46+CG47+CG48+CI46+CI47+CI48)*Percapita/30*FW$4+(CH49+CJ49)*Cadeirante/30*FW$4,IF(CG49+CI49&lt;=9,(CG49+CI49)*Crechee/30*FW$4)+(CH49+CJ49)*Cadeirante/30*FW$4+(CG46+CG47+CG48+CI46+CI47+CI48)*Percapita/30*FW$4)+IF(CG49+CI49&gt;=11,Fixo/30*FW$4+(CG49+CI49-10)*Crechee/30*FW$4,0),IF(C46=2,IF(CH46+CH47+CH48+CH49+CJ46+CJ47+CJ48+CJ49=1,Cadeirante/30*FW$4,IF(CH46+CH47+CH48+CH49+CJ46+CJ47+CJ48+CJ49=2,Fixo/30*FW$4,IF(CH46+CH47+CH48+CH49+CJ46+CJ47+CJ48+CJ49&gt;2,Fixo/30*FW$4+(CH46+CH47+CH48+CH49+CJ46+CJ47+CJ48+CJ49-2)*Cadeirante/30*FW$4)))+(CG46+CG47+CG48+CI46+CI47+CI48)*Percapita/30*FW$4+(CG49+CI49)*Crechee/30*FW$4,IF(C46=1,IF(CG46+CG47+CG48+CH46+CH47+CH48+CI46+CI47+CI48+CJ46+CJ47+CJ48&lt;=15,(CG46+CG47+CG48+CI46+CI47+CI48)*Percapita/30*FW$4,IF(CG46+CG47+CG48+CH46+CH47+CH48+CI46+CI47+CI48+CJ46+CJ47+CJ48&gt;=16,Fixo/30*FW$4+(CG46+CG47+CG48+CH46+CH47+CH48+CI46+CI47+CI48+CJ46+CJ47-16)*Percapita/30*FW$4))))))</f>
        <v>0</v>
      </c>
      <c r="FX46" s="177">
        <f>IF(C46=4,SUM(CK46+CK47+CK48+CM46+CM47+CM48)*Percapita/30*FX$4+(CL46+CL47+CL48+CN46+CN47+CN48)*Cadeirante/30*FX$4,IF(C46=3,IF(CK49+CM49=10,Fixo/30*FX$4+(CK46+CK47+CK48+CM46+CM47+CM48)*Percapita/30*FX$4+(CL49+CN49)*Cadeirante/30*FX$4,IF(CK49+CM49&lt;=9,(CK49+CM49)*Crechee/30*FX$4)+(CL49+CN49)*Cadeirante/30*FX$4+(CK46+CK47+CK48+CM46+CM47+CM48)*Percapita/30*FX$4)+IF(CK49+CM49&gt;=11,Fixo/30*FX$4+(CK49+CM49-10)*Crechee/30*FX$4,0),IF(C46=2,IF(CL46+CL47+CL48+CL49+CN46+CN47+CN48+CN49=1,Cadeirante/30*FX$4,IF(CL46+CL47+CL48+CL49+CN46+CN47+CN48+CN49=2,Fixo/30*FX$4,IF(CL46+CL47+CL48+CL49+CN46+CN47+CN48+CN49&gt;2,Fixo/30*FX$4+(CL46+CL47+CL48+CL49+CN46+CN47+CN48+CN49-2)*Cadeirante/30*FX$4)))+(CK46+CK47+CK48+CM46+CM47+CM48)*Percapita/30*FX$4+(CK49+CM49)*Crechee/30*FX$4,IF(C46=1,IF(CK46+CK47+CK48+CL46+CL47+CL48+CM46+CM47+CM48+CN46+CN47+CN48&lt;=15,(CK46+CK47+CK48+CM46+CM47+CM48)*Percapita/30*FX$4,IF(CK46+CK47+CK48+CL46+CL47+CL48+CM46+CM47+CM48+CN46+CN47+CN48&gt;=16,Fixo/30*FX$4+(CK46+CK47+CK48+CL46+CL47+CL48+CM46+CM47+CM48+CN46+CN47-16)*Percapita/30*FX$4))))))</f>
        <v>0</v>
      </c>
      <c r="FY46" s="177">
        <f>IF(C46=4,SUM(CO46+CO47+CO48+CQ46+CQ47+CQ48)*Percapita/30*FY$4+(CP46+CP47+CP48+CR46+CR47+CR48)*Cadeirante/30*FY$4,IF(C46=3,IF(CO49+CQ49=10,Fixo/30*FY$4+(CO46+CO47+CO48+CQ46+CQ47+CQ48)*Percapita/30*FY$4+(CP49+CR49)*Cadeirante/30*FY$4,IF(CO49+CQ49&lt;=9,(CO49+CQ49)*Crechee/30*FY$4)+(CP49+CR49)*Cadeirante/30*FY$4+(CO46+CO47+CO48+CQ46+CQ47+CQ48)*Percapita/30*FY$4)+IF(CO49+CQ49&gt;=11,Fixo/30*FY$4+(CO49+CQ49-10)*Crechee/30*FY$4,0),IF(C46=2,IF(CP46+CP47+CP48+CP49+CR46+CR47+CR48+CR49=1,Cadeirante/30*FY$4,IF(CP46+CP47+CP48+CP49+CR46+CR47+CR48+CR49=2,Fixo/30*FY$4,IF(CP46+CP47+CP48+CP49+CR46+CR47+CR48+CR49&gt;2,Fixo/30*FY$4+(CP46+CP47+CP48+CP49+CR46+CR47+CR48+CR49-2)*Cadeirante/30*FY$4)))+(CO46+CO47+CO48+CQ46+CQ47+CQ48)*Percapita/30*FY$4+(CO49+CQ49)*Crechee/30*FY$4,IF(C46=1,IF(CO46+CO47+CO48+CP46+CP47+CP48+CQ46+CQ47+CQ48+CR46+CR47+CR48&lt;=15,(CO46+CO47+CO48+CQ46+CQ47+CQ48)*Percapita/30*FY$4,IF(CO46+CO47+CO48+CP46+CP47+CP48+CQ46+CQ47+CQ48+CR46+CR47+CR48&gt;=16,Fixo/30*FY$4+(CO46+CO47+CO48+CP46+CP47+CP48+CQ46+CQ47+CQ48+CR46+CR47-16)*Percapita/30*FY$4))))))</f>
        <v>0</v>
      </c>
      <c r="FZ46" s="177">
        <f>IF(C46=4,SUM(CS46+CS47+CS48+CU46+CU47+CU48)*Percapita/30*FZ$4+(CT46+CT47+CT48+CV46+CV47+CV48)*Cadeirante/30*FZ$4,IF(C46=3,IF(CS49+CU49=10,Fixo/30*FZ$4+(CS46+CS47+CS48+CU46+CU47+CU48)*Percapita/30*FZ$4+(CT49+CV49)*Cadeirante/30*FZ$4,IF(CS49+CU49&lt;=9,(CS49+CU49)*Crechee/30*FZ$4)+(CT49+CV49)*Cadeirante/30*FZ$4+(CS46+CS47+CS48+CU46+CU47+CU48)*Percapita/30*FZ$4)+IF(CS49+CU49&gt;=11,Fixo/30*FZ$4+(CS49+CU49-10)*Crechee/30*FZ$4,0),IF(C46=2,IF(CT46+CT47+CT48+CT49+CV46+CV47+CV48+CV49=1,Cadeirante/30*FZ$4,IF(CT46+CT47+CT48+CT49+CV46+CV47+CV48+CV49=2,Fixo/30*FZ$4,IF(CT46+CT47+CT48+CT49+CV46+CV47+CV48+CV49&gt;2,Fixo/30*FZ$4+(CT46+CT47+CT48+CT49+CV46+CV47+CV48+CV49-2)*Cadeirante/30*FZ$4)))+(CS46+CS47+CS48+CU46+CU47+CU48)*Percapita/30*FZ$4+(CS49+CU49)*Crechee/30*FZ$4,IF(C46=1,IF(CS46+CS47+CS48+CT46+CT47+CT48+CU46+CU47+CU48+CV46+CV47+CV48&lt;=15,(CS46+CS47+CS48+CU46+CU47+CU48)*Percapita/30*FZ$4,IF(CS46+CS47+CS48+CT46+CT47+CT48+CU46+CU47+CU48+CV46+CV47+CV48&gt;=16,Fixo/30*FZ$4+(CS46+CS47+CS48+CT46+CT47+CT48+CU46+CU47+CU48+CV46+CV47-16)*Percapita/30*FZ$4))))))</f>
        <v>0</v>
      </c>
      <c r="GA46" s="177">
        <f>IF(C46=4,SUM(CW46+CW47+CW48+CY46+CY47+CY48)*Percapita/30*GA$4+(CX46+CX47+CX48+CZ46+CZ47+CZ48)*Cadeirante/30*GA$4,IF(C46=3,IF(CW49+CY49=10,Fixo/30*GA$4+(CW46+CW47+CW48+CY46+CY47+CY48)*Percapita/30*GA$4+(CX49+CZ49)*Cadeirante/30*GA$4,IF(CW49+CY49&lt;=9,(CW49+CY49)*Crechee/30*GA$4)+(CX49+CZ49)*Cadeirante/30*GA$4+(CW46+CW47+CW48+CY46+CY47+CY48)*Percapita/30*GA$4)+IF(CW49+CY49&gt;=11,Fixo/30*GA$4+(CW49+CY49-10)*Crechee/30*GA$4,0),IF(C46=2,IF(CX46+CX47+CX48+CX49+CZ46+CZ47+CZ48+CZ49=1,Cadeirante/30*GA$4,IF(CX46+CX47+CX48+CX49+CZ46+CZ47+CZ48+CZ49=2,Fixo/30*GA$4,IF(CX46+CX47+CX48+CX49+CZ46+CZ47+CZ48+CZ49&gt;2,Fixo/30*GA$4+(CX46+CX47+CX48+CX49+CZ46+CZ47+CZ48+CZ49-2)*Cadeirante/30*GA$4)))+(CW46+CW47+CW48+CY46+CY47+CY48)*Percapita/30*GA$4+(CW49+CY49)*Crechee/30*GA$4,IF(C46=1,IF(CW46+CW47+CW48+CX46+CX47+CX48+CY46+CY47+CY48+CZ46+CZ47+CZ48&lt;=15,(CW46+CW47+CW48+CY46+CY47+CY48)*Percapita/30*GA$4,IF(CW46+CW47+CW48+CX46+CX47+CX48+CY46+CY47+CY48+CZ46+CZ47+CZ48&gt;=16,Fixo/30*GA$4+(CW46+CW47+CW48+CX46+CX47+CX48+CY46+CY47+CY48+CZ46+CZ47-16)*Percapita/30*GA$4))))))</f>
        <v>0</v>
      </c>
      <c r="GB46" s="177">
        <f>IF(C46=4,SUM(DA46+DA47+DA48+DC46+DC47+DC48)*Percapita/30*GB$4+(DB46+DB47+DB48+DD46+DD47+DD48)*Cadeirante/30*GB$4,IF(C46=3,IF(DA49+DC49=10,Fixo/30*GB$4+(DA46+DA47+DA48+DC46+DC47+DC48)*Percapita/30*GB$4+(DB49+DD49)*Cadeirante/30*GB$4,IF(DA49+DC49&lt;=9,(DA49+DC49)*Crechee/30*GB$4)+(DB49+DD49)*Cadeirante/30*GB$4+(DA46+DA47+DA48+DC46+DC47+DC48)*Percapita/30*GB$4)+IF(DA49+DC49&gt;=11,Fixo/30*GB$4+(DA49+DC49-10)*Crechee/30*GB$4,0),IF(C46=2,IF(DB46+DB47+DB48+DB49+DD46+DD47+DD48+DD49=1,Cadeirante/30*GB$4,IF(DB46+DB47+DB48+DB49+DD46+DD47+DD48+DD49=2,Fixo/30*GB$4,IF(DB46+DB47+DB48+DB49+DD46+DD47+DD48+DD49&gt;2,Fixo/30*GB$4+(DB46+DB47+DB48+DB49+DD46+DD47+DD48+DD49-2)*Cadeirante/30*GB$4)))+(DA46+DA47+DA48+DC46+DC47+DC48)*Percapita/30*GB$4+(DA49+DC49)*Crechee/30*GB$4,IF(C46=1,IF(DA46+DA47+DA48+DB46+DB47+DB48+DC46+DC47+DC48+DD46+DD47+DD48&lt;=15,(DA46+DA47+DA48+DC46+DC47+DC48)*Percapita/30*GB$4,IF(DA46+DA47+DA48+DB46+DB47+DB48+DC46+DC47+DC48+DD46+DD47+DD48&gt;=16,Fixo/30*GB$4+(DA46+DA47+DA48+DB46+DB47+DB48+DC46+DC47+DC48+DD46+DD47-16)*Percapita/30*GB$4))))))</f>
        <v>0</v>
      </c>
      <c r="GC46" s="177">
        <f>IF(C46=4,SUM(DE46+DE47+DE48+DG46+DG47+DG48)*Percapita/30*GC$4+(DF46+DF47+DF48+DH46+DH47+DH48)*Cadeirante/30*GC$4,IF(C46=3,IF(DE49+DG49=10,Fixo/30*GC$4+(DE46+DE47+DE48+DG46+DG47+DG48)*Percapita/30*GC$4+(DF49+DH49)*Cadeirante/30*GC$4,IF(DE49+DG49&lt;=9,(DE49+DG49)*Crechee/30*GC$4)+(DF49+DH49)*Cadeirante/30*GC$4+(DE46+DE47+DE48+DG46+DG47+DG48)*Percapita/30*GC$4)+IF(DE49+DG49&gt;=11,Fixo/30*GC$4+(DE49+DG49-10)*Crechee/30*GC$4,0),IF(C46=2,IF(DF46+DF47+DF48+DF49+DH46+DH47+DH48+DH49=1,Cadeirante/30*GC$4,IF(DF46+DF47+DF48+DF49+DH46+DH47+DH48+DH49=2,Fixo/30*GC$4,IF(DF46+DF47+DF48+DF49+DH46+DH47+DH48+DH49&gt;2,Fixo/30*GC$4+(DF46+DF47+DF48+DF49+DH46+DH47+DH48+DH49-2)*Cadeirante/30*GC$4)))+(DE46+DE47+DE48+DG46+DG47+DG48)*Percapita/30*GC$4+(DE49+DG49)*Crechee/30*GC$4,IF(C46=1,IF(DE46+DE47+DE48+DF46+DF47+DF48+DG46+DG47+DG48+DH46+DH47+DH48&lt;=15,(DE46+DE47+DE48+DG46+DG47+DG48)*Percapita/30*GC$4,IF(DE46+DE47+DE48+DF46+DF47+DF48+DG46+DG47+DG48+DH46+DH47+DH48&gt;=16,Fixo/30*GC$4+(DE46+DE47+DE48+DF46+DF47+DF48+DG46+DG47+DG48+DH46+DH47-16)*Percapita/30*GC$4))))))</f>
        <v>0</v>
      </c>
      <c r="GD46" s="177">
        <f>IF(C46=4,SUM(DI46+DI47+DI48+DK46+DK47+DK48)*Percapita/30*GD$4+(DJ46+DJ47+DJ48+DL46+DL47+DL48)*Cadeirante/30*GD$4,IF(C46=3,IF(DI49+DK49=10,Fixo/30*GD$4+(DI46+DI47+DI48+DK46+DK47+DK48)*Percapita/30*GD$4+(DJ49+DL49)*Cadeirante/30*GD$4,IF(DI49+DK49&lt;=9,(DI49+DK49)*Crechee/30*GD$4)+(DJ49+DL49)*Cadeirante/30*GD$4+(DI46+DI47+DI48+DK46+DK47+DK48)*Percapita/30*GD$4)+IF(DI49+DK49&gt;=11,Fixo/30*GD$4+(DI49+DK49-10)*Crechee/30*GD$4,0),IF(C46=2,IF(DJ46+DJ47+DJ48+DJ49+DL46+DL47+DL48+DL49=1,Cadeirante/30*GD$4,IF(DJ46+DJ47+DJ48+DJ49+DL46+DL47+DL48+DL49=2,Fixo/30*GD$4,IF(DJ46+DJ47+DJ48+DJ49+DL46+DL47+DL48+DL49&gt;2,Fixo/30*GD$4+(DJ46+DJ47+DJ48+DJ49+DL46+DL47+DL48+DL49-2)*Cadeirante/30*GD$4)))+(DI46+DI47+DI48+DK46+DK47+DK48)*Percapita/30*GD$4+(DI49+DK49)*Crechee/30*GD$4,IF(C46=1,IF(DI46+DI47+DI48+DJ46+DJ47+DJ48+DK46+DK47+DK48+DL46+DL47+DL48&lt;=15,(DI46+DI47+DI48+DK46+DK47+DK48)*Percapita/30*GD$4,IF(DI46+DI47+DI48+DJ46+DJ47+DJ48+DK46+DK47+DK48+DL46+DL47+DL48&gt;=16,Fixo/30*GD$4+(DI46+DI47+DI48+DJ46+DJ47+DJ48+DK46+DK47+DK48+DL46+DL47-16)*Percapita/30*GD$4))))))</f>
        <v>0</v>
      </c>
      <c r="GE46" s="177">
        <f>IF(C46=4,SUM(DM46+DM47+DM48+DO46+DO47+DO48)*Percapita/30*GE$4+(DN46+DN47+DN48+DP46+DP47+DP48)*Cadeirante/30*GE$4,IF(C46=3,IF(DM49+DO49=10,Fixo/30*GE$4+(DM46+DM47+DM48+DO46+DO47+DO48)*Percapita/30*GE$4+(DN49+DP49)*Cadeirante/30*GE$4,IF(DM49+DO49&lt;=9,(DM49+DO49)*Crechee/30*GE$4)+(DN49+DP49)*Cadeirante/30*GE$4+(DM46+DM47+DM48+DO46+DO47+DO48)*Percapita/30*GE$4)+IF(DM49+DO49&gt;=11,Fixo/30*GE$4+(DM49+DO49-10)*Crechee/30*GE$4,0),IF(C46=2,IF(DN46+DN47+DN48+DN49+DP46+DP47+DP48+DP49=1,Cadeirante/30*GE$4,IF(DN46+DN47+DN48+DN49+DP46+DP47+DP48+DP49=2,Fixo/30*GE$4,IF(DN46+DN47+DN48+DN49+DP46+DP47+DP48+DP49&gt;2,Fixo/30*GE$4+(DN46+DN47+DN48+DN49+DP46+DP47+DP48+DP49-2)*Cadeirante/30*GE$4)))+(DM46+DM47+DM48+DO46+DO47+DO48)*Percapita/30*GE$4+(DM49+DO49)*Crechee/30*GE$4,IF(C46=1,IF(DM46+DM47+DM48+DN46+DN47+DN48+DO46+DO47+DO48+DP46+DP47+DP48&lt;=15,(DM46+DM47+DM48+DO46+DO47+DO48)*Percapita/30*GE$4,IF(DM46+DM47+DM48+DN46+DN47+DN48+DO46+DO47+DO48+DP46+DP47+DP48&gt;=16,Fixo/30*GE$4+(DM46+DM47+DM48+DN46+DN47+DN48+DO46+DO47+DO48+DP46+DP47-16)*Percapita/30*GE$4))))))</f>
        <v>0</v>
      </c>
      <c r="GF46" s="177">
        <f>IF(C46=4,SUM(DQ46+DQ47+DQ48+DS46+DS47+DS48)*Percapita/30*GF$4+(DR46+DR47+DR48+DT46+DT47+DT48)*Cadeirante/30*GF$4,IF(C46=3,IF(DQ49+DS49=10,Fixo/30*GF$4+(DQ46+DQ47+DQ48+DS46+DS47+DS48)*Percapita/30*GF$4+(DR49+DT49)*Cadeirante/30*GF$4,IF(DQ49+DS49&lt;=9,(DQ49+DS49)*Crechee/30*GF$4)+(DR49+DT49)*Cadeirante/30*GF$4+(DQ46+DQ47+DQ48+DS46+DS47+DS48)*Percapita/30*GF$4)+IF(DQ49+DS49&gt;=11,Fixo/30*GF$4+(DQ49+DS49-10)*Crechee/30*GF$4,0),IF(C46=2,IF(DR46+DR47+DR48+DR49+DT46+DT47+DT48+DT49=1,Cadeirante/30*GF$4,IF(DR46+DR47+DR48+DR49+DT46+DT47+DT48+DT49=2,Fixo/30*GF$4,IF(DR46+DR47+DR48+DR49+DT46+DT47+DT48+DT49&gt;2,Fixo/30*GF$4+(DR46+DR47+DR48+DR49+DT46+DT47+DT48+DT49-2)*Cadeirante/30*GF$4)))+(DQ46+DQ47+DQ48+DS46+DS47+DS48)*Percapita/30*GF$4+(DQ49+DS49)*Crechee/30*GF$4,IF(C46=1,IF(DQ46+DQ47+DQ48+DR46+DR47+DR48+DS46+DS47+DS48+DT46+DT47+DT48&lt;=15,(DQ46+DQ47+DQ48+DS46+DS47+DS48)*Percapita/30*GF$4,IF(DQ46+DQ47+DQ48+DR46+DR47+DR48+DS46+DS47+DS48+DT46+DT47+DT48&gt;=16,Fixo/30*GF$4+(DQ46+DQ47+DQ48+DR46+DR47+DR48+DS46+DS47+DS48+DT46+DT47-16)*Percapita/30*GF$4))))))</f>
        <v>0</v>
      </c>
      <c r="GG46" s="177">
        <f>IF(C46=4,SUM(DU46+DU47+DU48+DW46+DW47+DW48)*Percapita/30*GG$4+(DV46+DV47+DV48+DX46+DX47+DX48)*Cadeirante/30*GG$4,IF(C46=3,IF(DU49+DW49=10,Fixo/30*GG$4+(DU46+DU47+DU48+DW46+DW47+DW48)*Percapita/30*GG$4+(DV49+DX49)*Cadeirante/30*GG$4,IF(DU49+DW49&lt;=9,(DU49+DW49)*Crechee/30*GG$4)+(DV49+DX49)*Cadeirante/30*GG$4+(DU46+DU47+DU48+DW46+DW47+DW48)*Percapita/30*GG$4)+IF(DU49+DW49&gt;=11,Fixo/30*GG$4+(DU49+DW49-10)*Crechee/30*GG$4,0),IF(C46=2,IF(DV46+DV47+DV48+DV49+DX46+DX47+DX48+DX49=1,Cadeirante/30*GG$4,IF(DV46+DV47+DV48+DV49+DX46+DX47+DX48+DX49=2,Fixo/30*GG$4,IF(DV46+DV47+DV48+DV49+DX46+DX47+DX48+DX49&gt;2,Fixo/30*GG$4+(DV46+DV47+DV48+DV49+DX46+DX47+DX48+DX49-2)*Cadeirante/30*GG$4)))+(DU46+DU47+DU48+DW46+DW47+DW48)*Percapita/30*GG$4+(DU49+DW49)*Crechee/30*GG$4,IF(C46=1,IF(DU46+DU47+DU48+DV46+DV47+DV48+DW46+DW47+DW48+DX46+DX47+DX48&lt;=15,(DU46+DU47+DU48+DW46+DW47+DW48)*Percapita/30*GG$4,IF(DU46+DU47+DU48+DV46+DV47+DV48+DW46+DW47+DW48+DX46+DX47+DX48&gt;=16,Fixo/30*GG$4+(DU46+DU47+DU48+DV46+DV47+DV48+DW46+DW47+DW48+DX46+DX47-16)*Percapita/30*GG$4))))))</f>
        <v>0</v>
      </c>
      <c r="GH46" s="177">
        <f>IF(C46=4,SUM(DY46+DY47+DY48+EA46+EA47+EA48)*Percapita/30*GH$4+(DZ46+DZ47+DZ48+EB46+EB47+EB48)*Cadeirante/30*GH$4,IF(C46=3,IF(DY49+EA49=10,Fixo/30*GH$4+(DY46+DY47+DY48+EA46+EA47+EA48)*Percapita/30*GH$4+(DZ49+EB49)*Cadeirante/30*GH$4,IF(DY49+EA49&lt;=9,(DY49+EA49)*Crechee/30*GH$4)+(DZ49+EB49)*Cadeirante/30*GH$4+(DY46+DY47+DY48+EA46+EA47+EA48)*Percapita/30*GH$4)+IF(DY49+EA49&gt;=11,Fixo/30*GH$4+(DY49+EA49-10)*Crechee/30*GH$4,0),IF(C46=2,IF(DZ46+DZ47+DZ48+DZ49+EB46+EB47+EB48+EB49=1,Cadeirante/30*GH$4,IF(DZ46+DZ47+DZ48+DZ49+EB46+EB47+EB48+EB49=2,Fixo/30*GH$4,IF(DZ46+DZ47+DZ48+DZ49+EB46+EB47+EB48+EB49&gt;2,Fixo/30*GH$4+(DZ46+DZ47+DZ48+DZ49+EB46+EB47+EB48+EB49-2)*Cadeirante/30*GH$4)))+(DY46+DY47+DY48+EA46+EA47+EA48)*Percapita/30*GH$4+(DY49+EA49)*Crechee/30*GH$4,IF(C46=1,IF(DY46+DY47+DY48+DZ46+DZ47+DZ48+EA46+EA47+EA48+EB46+EB47+EB48&lt;=15,(DY46+DY47+DY48+EA46+EA47+EA48)*Percapita/30*GH$4,IF(DY46+DY47+DY48+DZ46+DZ47+DZ48+EA46+EA47+EA48+EB46+EB47+EB48&gt;=16,Fixo/30*GH$4+(DY46+DY47+DY48+DZ46+DZ47+DZ48+EA46+EA47+EA48+EB46+EB47-16)*Percapita/30*GH$4))))))</f>
        <v>0</v>
      </c>
      <c r="GI46" s="177">
        <f>IF(C46=4,SUM(EC46+EC47+EC48+EE46+EE47+EE48)*Percapita/30*GI$4+(ED46+ED47+ED48+EF46+EF47+EF48)*Cadeirante/30*GI$4,IF(C46=3,IF(EC49+EE49=10,Fixo/30*GI$4+(EC46+EC47+EC48+EE46+EE47+EE48)*Percapita/30*GI$4+(ED49+EF49)*Cadeirante/30*GI$4,IF(EC49+EE49&lt;=9,(EC49+EE49)*Crechee/30*GI$4)+(ED49+EF49)*Cadeirante/30*GI$4+(EC46+EC47+EC48+EE46+EE47+EE48)*Percapita/30*GI$4)+IF(EC49+EE49&gt;=11,Fixo/30*GI$4+(EC49+EE49-10)*Crechee/30*GI$4,0),IF(C46=2,IF(ED46+ED47+ED48+ED49+EF46+EF47+EF48+EF49=1,Cadeirante/30*GI$4,IF(ED46+ED47+ED48+ED49+EF46+EF47+EF48+EF49=2,Fixo/30*GI$4,IF(ED46+ED47+ED48+ED49+EF46+EF47+EF48+EF49&gt;2,Fixo/30*GI$4+(ED46+ED47+ED48+ED49+EF46+EF47+EF48+EF49-2)*Cadeirante/30*GI$4)))+(EC46+EC47+EC48+EE46+EE47+EE48)*Percapita/30*GI$4+(EC49+EE49)*Crechee/30*GI$4,IF(C46=1,IF(EC46+EC47+EC48+ED46+ED47+ED48+EE46+EE47+EE48+EF46+EF47+EF48&lt;=15,(EC46+EC47+EC48+EE46+EE47+EE48)*Percapita/30*GI$4,IF(EC46+EC47+EC48+ED46+ED47+ED48+EE46+EE47+EE48+EF46+EF47+EF48&gt;=16,Fixo/30*GI$4+(EC46+EC47+EC48+ED46+ED47+ED48+EE46+EE47+EE48+EF46+EF47-16)*Percapita/30*GI$4))))))</f>
        <v>0</v>
      </c>
      <c r="GJ46" s="177">
        <f>IF(C46=4,SUM(EG46+EG47+EG48+EI46+EI47+EI48)*Percapita/30*GJ$4+(EH46+EH47+EH48+EJ46+EJ47+EJ48)*Cadeirante/30*GJ$4,IF(C46=3,IF(EG49+EI49=10,Fixo/30*GJ$4+(EG46+EG47+EG48+EI46+EI47+EI48)*Percapita/30*GJ$4+(EH49+EJ49)*Cadeirante/30*GJ$4,IF(EG49+EI49&lt;=9,(EG49+EI49)*Crechee/30*GJ$4)+(EH49+EJ49)*Cadeirante/30*GJ$4+(EG46+EG47+EG48+EI46+EI47+EI48)*Percapita/30*GJ$4)+IF(EG49+EI49&gt;=11,Fixo/30*GJ$4+(EG49+EI49-10)*Crechee/30*GJ$4,0),IF(C46=2,IF(EH46+EH47+EH48+EH49+EJ46+EJ47+EJ48+EJ49=1,Cadeirante/30*GJ$4,IF(EH46+EH47+EH48+EH49+EJ46+EJ47+EJ48+EJ49=2,Fixo/30*GJ$4,IF(EH46+EH47+EH48+EH49+EJ46+EJ47+EJ48+EJ49&gt;2,Fixo/30*GJ$4+(EH46+EH47+EH48+EH49+EJ46+EJ47+EJ48+EJ49-2)*Cadeirante/30*GJ$4)))+(EG46+EG47+EG48+EI46+EI47+EI48)*Percapita/30*GJ$4+(EG49+EI49)*Crechee/30*GJ$4,IF(C46=1,IF(EG46+EG47+EG48+EH46+EH47+EH48+EI46+EI47+EI48+EJ46+EJ47+EJ48&lt;=15,(EG46+EG47+EG48+EI46+EI47+EI48)*Percapita/30*GJ$4,IF(EG46+EG47+EG48+EH46+EH47+EH48+EI46+EI47+EI48+EJ46+EJ47+EJ48&gt;=16,Fixo/30*GJ$4+(EG46+EG47+EG48+EH46+EH47+EH48+EI46+EI47+EI48+EJ46+EJ47-16)*Percapita/30*GJ$4))))))</f>
        <v>0</v>
      </c>
      <c r="GK46" s="178"/>
      <c r="GL46" s="103">
        <f t="shared" si="30"/>
        <v>0</v>
      </c>
      <c r="GM46" s="124"/>
      <c r="GN46" s="104">
        <f>SUMIF(V46:V49,"&lt;0")*Cadeirante/30*GN$4+SUMIF(X46:X49,"&lt;0")*Cadeirante/30*GN$4</f>
        <v>0</v>
      </c>
      <c r="GO46" s="104">
        <f>SUMIF(Z46:Z49,"&lt;0")*Cadeirante/30*GO$4+SUMIF(AB46:AB49,"&lt;0")*Cadeirante/30*GO$4</f>
        <v>0</v>
      </c>
      <c r="GP46" s="104">
        <f>SUMIF(AD46:AD49,"&lt;0")*Cadeirante/30*GP$4+SUMIF(AF46:AF49,"&lt;0")*Cadeirante/30*GP$4</f>
        <v>0</v>
      </c>
      <c r="GQ46" s="104">
        <f>SUMIF(AH46:AH49,"&lt;0")*Cadeirante/30*GQ$4+SUMIF(AJ46:AJ49,"&lt;0")*Cadeirante/30*GQ$4</f>
        <v>0</v>
      </c>
      <c r="GR46" s="104">
        <f>SUMIF(AL46:AL49,"&lt;0")*Cadeirante/30*GR$4+SUMIF(AN46:AN49,"&lt;0")*Cadeirante/30*GR$4</f>
        <v>0</v>
      </c>
      <c r="GS46" s="104">
        <f>SUMIF(AP46:AP49,"&lt;0")*Cadeirante/30*GS$4+SUMIF(AR46:AR49,"&lt;0")*Cadeirante/30*GS$4</f>
        <v>0</v>
      </c>
      <c r="GT46" s="104">
        <f>SUMIF(AT46:AT49,"&lt;0")*Cadeirante/30*GT$4+SUMIF(AV46:AV49,"&lt;0")*Cadeirante/30*GT$4</f>
        <v>0</v>
      </c>
      <c r="GU46" s="104">
        <f>SUMIF(AX46:AX49,"&lt;0")*Cadeirante/30*GU$4+SUMIF(AZ46:AZ49,"&lt;0")*Cadeirante/30*GU$4</f>
        <v>0</v>
      </c>
      <c r="GV46" s="104">
        <f>SUMIF(BB46:BB49,"&lt;0")*Cadeirante/30*GV$4+SUMIF(BD46:BD49,"&lt;0")*Cadeirante/30*GV$4</f>
        <v>0</v>
      </c>
      <c r="GW46" s="104">
        <f>SUMIF(BF46:BF49,"&lt;0")*Cadeirante/30*GW$4+SUMIF(BH46:BH49,"&lt;0")*Cadeirante/30*GW$4</f>
        <v>0</v>
      </c>
      <c r="GX46" s="104">
        <f>SUMIF(BJ46:BJ49,"&lt;0")*Cadeirante/30*GX$4+SUMIF(BL46:BL49,"&lt;0")*Cadeirante/30*GX$4</f>
        <v>0</v>
      </c>
      <c r="GY46" s="104">
        <f>SUMIF(BN46:BN49,"&lt;0")*Cadeirante/30*GY$4+SUMIF(BP46:BP49,"&lt;0")*Cadeirante/30*GY$4</f>
        <v>0</v>
      </c>
      <c r="GZ46" s="104">
        <f>SUMIF(BR46:BR49,"&lt;0")*Cadeirante/30*GZ$4+SUMIF(BT46:BT49,"&lt;0")*Cadeirante/30*GZ$4</f>
        <v>0</v>
      </c>
      <c r="HA46" s="104">
        <f>SUMIF(BV46:BV49,"&lt;0")*Cadeirante/30*HA$4+SUMIF(BX46:BX49,"&lt;0")*Cadeirante/30*HA$4</f>
        <v>0</v>
      </c>
      <c r="HB46" s="104">
        <f>SUMIF(BZ46:BZ49,"&lt;0")*Cadeirante/30*HB$4+SUMIF(CB46:CB49,"&lt;0")*Cadeirante/30*HB$4</f>
        <v>0</v>
      </c>
      <c r="HC46" s="104">
        <f>SUMIF(CD46:CD49,"&lt;0")*Cadeirante/30*HC$4+SUMIF(CF46:CF49,"&lt;0")*Cadeirante/30*HC$4</f>
        <v>0</v>
      </c>
      <c r="HD46" s="104">
        <f>SUMIF(CH46:CH49,"&lt;0")*Cadeirante/30*HD$4+SUMIF(CJ46:CJ49,"&lt;0")*Cadeirante/30*HD$4</f>
        <v>0</v>
      </c>
      <c r="HE46" s="104">
        <f>SUMIF(CL46:CL49,"&lt;0")*Cadeirante/30*HE$4+SUMIF(CN46:CN49,"&lt;0")*Cadeirante/30*HE$4</f>
        <v>0</v>
      </c>
      <c r="HF46" s="104">
        <f>SUMIF(CP46:CP49,"&lt;0")*Cadeirante/30*HF$4+SUMIF(CR46:CR49,"&lt;0")*Cadeirante/30*HF$4</f>
        <v>0</v>
      </c>
      <c r="HG46" s="104">
        <f>SUMIF(CT46:CT49,"&lt;0")*Cadeirante/30*HG$4+SUMIF(CV46:CV49,"&lt;0")*Cadeirante/30*HG$4</f>
        <v>0</v>
      </c>
      <c r="HH46" s="104">
        <f>SUMIF(CX46:CX49,"&lt;0")*Cadeirante/30*HH$4+SUMIF(CZ46:CZ49,"&lt;0")*Cadeirante/30*HH$4</f>
        <v>0</v>
      </c>
      <c r="HI46" s="104">
        <f>SUMIF(DB46:DB49,"&lt;0")*Cadeirante/30*HI$4+SUMIF(DD46:DD49,"&lt;0")*Cadeirante/30*HI$4</f>
        <v>0</v>
      </c>
      <c r="HJ46" s="104">
        <f>SUMIF(DF46:DF49,"&lt;0")*Cadeirante/30*HJ$4+SUMIF(DH46:DH49,"&lt;0")*Cadeirante/30*HJ$4</f>
        <v>0</v>
      </c>
      <c r="HK46" s="104">
        <f>SUMIF(DJ46:DJ49,"&lt;0")*Cadeirante/30*HK$4+SUMIF(DL46:DL49,"&lt;0")*Cadeirante/30*HK$4</f>
        <v>0</v>
      </c>
      <c r="HL46" s="104">
        <f>SUMIF(DN46:DN49,"&lt;0")*Cadeirante/30*HL$4+SUMIF(DP46:DP49,"&lt;0")*Cadeirante/30*HL$4</f>
        <v>0</v>
      </c>
      <c r="HM46" s="104">
        <f>SUMIF(DR46:DR49,"&lt;0")*Cadeirante/30*HM$4+SUMIF(DT46:DT49,"&lt;0")*Cadeirante/30*HM$4</f>
        <v>0</v>
      </c>
      <c r="HN46" s="104">
        <f>SUMIF(DV46:DV49,"&lt;0")*Cadeirante/30*HN$4+SUMIF(DX46:DX49,"&lt;0")*Cadeirante/30*HN$4</f>
        <v>0</v>
      </c>
      <c r="HO46" s="104">
        <f>SUMIF(DZ46:DZ49,"&lt;0")*Cadeirante/30*HO$4+SUMIF(EB46:EB49,"&lt;0")*Cadeirante/30*HO$4</f>
        <v>0</v>
      </c>
      <c r="HP46" s="104">
        <f>SUMIF(ED46:ED49,"&lt;0")*Cadeirante/30*HP$4+SUMIF(EF46:EF49,"&lt;0")*Cadeirante/30*HP$4</f>
        <v>0</v>
      </c>
      <c r="HQ46" s="64"/>
      <c r="HR46" s="64"/>
      <c r="HS46" s="64"/>
      <c r="HT46" s="64"/>
      <c r="HU46" s="64"/>
      <c r="HV46" s="64"/>
      <c r="HW46" s="176">
        <v>17629.309999999998</v>
      </c>
      <c r="HX46" s="64"/>
      <c r="HY46" s="280">
        <f>IF(ISTEXT(EM46), VALUE(EM46), EM46)</f>
        <v>0</v>
      </c>
      <c r="HZ46" s="280">
        <f>IF(ISTEXT(EN46), VALUE(EN46), EN46)</f>
        <v>0</v>
      </c>
      <c r="IA46" s="280">
        <f>IF(ISTEXT(EO46), VALUE(EO46), EO46)</f>
        <v>0</v>
      </c>
      <c r="IB46" s="64" t="b">
        <f>HW46=FE46</f>
        <v>0</v>
      </c>
      <c r="IC46" s="64"/>
    </row>
    <row r="47" spans="1:237" s="106" customFormat="1" ht="22.5" customHeight="1" x14ac:dyDescent="0.25">
      <c r="A47" s="368" t="s">
        <v>3222</v>
      </c>
      <c r="B47" s="369" t="s">
        <v>3223</v>
      </c>
      <c r="C47" s="370" t="s">
        <v>3186</v>
      </c>
      <c r="D47" s="371" t="s">
        <v>3224</v>
      </c>
      <c r="E47" s="371" t="s">
        <v>3225</v>
      </c>
      <c r="F47" s="372" t="s">
        <v>3182</v>
      </c>
      <c r="G47" s="372" t="s">
        <v>3183</v>
      </c>
      <c r="H47" s="373" t="s">
        <v>345</v>
      </c>
      <c r="I47" s="374" t="s">
        <v>345</v>
      </c>
      <c r="J47" s="421" t="s">
        <v>3184</v>
      </c>
      <c r="K47" s="421" t="s">
        <v>3187</v>
      </c>
      <c r="L47" s="329">
        <f>CONTINUA!BV47</f>
        <v>28</v>
      </c>
      <c r="M47" s="329">
        <f>CONTINUA!BW47</f>
        <v>0</v>
      </c>
      <c r="N47" s="895"/>
      <c r="O47" s="896" t="s">
        <v>3282</v>
      </c>
      <c r="P47" s="897">
        <v>0</v>
      </c>
      <c r="Q47" s="400">
        <v>37</v>
      </c>
      <c r="R47" s="401"/>
      <c r="S47" s="400"/>
      <c r="T47" s="401"/>
      <c r="U47" s="400"/>
      <c r="V47" s="401"/>
      <c r="W47" s="400"/>
      <c r="X47" s="401"/>
      <c r="Y47" s="400"/>
      <c r="Z47" s="401"/>
      <c r="AA47" s="400"/>
      <c r="AB47" s="401"/>
      <c r="AC47" s="400"/>
      <c r="AD47" s="401"/>
      <c r="AE47" s="400"/>
      <c r="AF47" s="401"/>
      <c r="AG47" s="400"/>
      <c r="AH47" s="401"/>
      <c r="AI47" s="400"/>
      <c r="AJ47" s="401"/>
      <c r="AK47" s="400"/>
      <c r="AL47" s="401"/>
      <c r="AM47" s="400"/>
      <c r="AN47" s="401"/>
      <c r="AO47" s="400"/>
      <c r="AP47" s="401"/>
      <c r="AQ47" s="400"/>
      <c r="AR47" s="401"/>
      <c r="AS47" s="400"/>
      <c r="AT47" s="401"/>
      <c r="AU47" s="400"/>
      <c r="AV47" s="401"/>
      <c r="AW47" s="400"/>
      <c r="AX47" s="401"/>
      <c r="AY47" s="400"/>
      <c r="AZ47" s="401"/>
      <c r="BA47" s="400"/>
      <c r="BB47" s="401"/>
      <c r="BC47" s="400"/>
      <c r="BD47" s="401"/>
      <c r="BE47" s="400"/>
      <c r="BF47" s="401"/>
      <c r="BG47" s="400"/>
      <c r="BH47" s="401"/>
      <c r="BI47" s="400"/>
      <c r="BJ47" s="401"/>
      <c r="BK47" s="400"/>
      <c r="BL47" s="401"/>
      <c r="BM47" s="400"/>
      <c r="BN47" s="401"/>
      <c r="BO47" s="400"/>
      <c r="BP47" s="401"/>
      <c r="BQ47" s="400"/>
      <c r="BR47" s="401"/>
      <c r="BS47" s="400"/>
      <c r="BT47" s="401"/>
      <c r="BU47" s="400"/>
      <c r="BV47" s="401"/>
      <c r="BW47" s="400"/>
      <c r="BX47" s="401"/>
      <c r="BY47" s="400"/>
      <c r="BZ47" s="401"/>
      <c r="CA47" s="400"/>
      <c r="CB47" s="401"/>
      <c r="CC47" s="400"/>
      <c r="CD47" s="401"/>
      <c r="CE47" s="400">
        <v>1</v>
      </c>
      <c r="CF47" s="401"/>
      <c r="CG47" s="400"/>
      <c r="CH47" s="401"/>
      <c r="CI47" s="400"/>
      <c r="CJ47" s="401"/>
      <c r="CK47" s="400"/>
      <c r="CL47" s="401"/>
      <c r="CM47" s="400"/>
      <c r="CN47" s="401"/>
      <c r="CO47" s="400"/>
      <c r="CP47" s="401"/>
      <c r="CQ47" s="400"/>
      <c r="CR47" s="401"/>
      <c r="CS47" s="400"/>
      <c r="CT47" s="401"/>
      <c r="CU47" s="400"/>
      <c r="CV47" s="401"/>
      <c r="CW47" s="400"/>
      <c r="CX47" s="401"/>
      <c r="CY47" s="400"/>
      <c r="CZ47" s="401"/>
      <c r="DA47" s="400"/>
      <c r="DB47" s="401"/>
      <c r="DC47" s="400"/>
      <c r="DD47" s="401"/>
      <c r="DE47" s="400"/>
      <c r="DF47" s="401"/>
      <c r="DG47" s="400"/>
      <c r="DH47" s="401"/>
      <c r="DI47" s="400"/>
      <c r="DJ47" s="401"/>
      <c r="DK47" s="400"/>
      <c r="DL47" s="401"/>
      <c r="DM47" s="400"/>
      <c r="DN47" s="401"/>
      <c r="DO47" s="400"/>
      <c r="DP47" s="401"/>
      <c r="DQ47" s="400"/>
      <c r="DR47" s="401"/>
      <c r="DS47" s="400"/>
      <c r="DT47" s="401"/>
      <c r="DU47" s="400"/>
      <c r="DV47" s="401"/>
      <c r="DW47" s="400"/>
      <c r="DX47" s="401"/>
      <c r="DY47" s="400"/>
      <c r="DZ47" s="401"/>
      <c r="EA47" s="400"/>
      <c r="EB47" s="401"/>
      <c r="EC47" s="400"/>
      <c r="ED47" s="401"/>
      <c r="EE47" s="400"/>
      <c r="EF47" s="401"/>
      <c r="EG47" s="400"/>
      <c r="EH47" s="401"/>
      <c r="EI47" s="400"/>
      <c r="EJ47" s="447"/>
      <c r="EK47" s="511"/>
      <c r="EL47" s="514"/>
      <c r="EM47" s="448"/>
      <c r="EN47" s="344"/>
      <c r="EO47" s="345"/>
      <c r="EP47" s="171">
        <f t="shared" si="22"/>
        <v>37</v>
      </c>
      <c r="EQ47" s="171">
        <f t="shared" si="23"/>
        <v>0</v>
      </c>
      <c r="ER47" s="171">
        <f t="shared" si="24"/>
        <v>1</v>
      </c>
      <c r="ES47" s="171">
        <f t="shared" si="25"/>
        <v>0</v>
      </c>
      <c r="ET47" s="171">
        <f t="shared" si="26"/>
        <v>0</v>
      </c>
      <c r="EU47" s="171">
        <f t="shared" si="27"/>
        <v>0</v>
      </c>
      <c r="EV47" s="172">
        <f t="shared" si="28"/>
        <v>38</v>
      </c>
      <c r="EW47" s="173"/>
      <c r="EX47" s="248">
        <f t="shared" si="65"/>
        <v>0</v>
      </c>
      <c r="EY47" s="174">
        <f>(L47*regular)+(M47*Cadeirantee)</f>
        <v>269.92</v>
      </c>
      <c r="EZ47" s="249">
        <f>SUMIF(FG47:GJ47,"&gt;0")</f>
        <v>0</v>
      </c>
      <c r="FA47" s="249">
        <f>SUMIF(FG47:GJ47,"&lt;0")+SUMIF(GN47:HP47,"&lt;0")</f>
        <v>0</v>
      </c>
      <c r="FB47" s="174">
        <v>0</v>
      </c>
      <c r="FC47" s="126">
        <f>N47*km*'VALORES TABELA'!$B$13</f>
        <v>0</v>
      </c>
      <c r="FD47" s="250">
        <f t="shared" ref="FD47:FD50" si="66">GL47</f>
        <v>0</v>
      </c>
      <c r="FE47" s="105"/>
      <c r="FF47" s="119"/>
      <c r="FG47" s="119"/>
      <c r="FH47" s="119"/>
      <c r="FI47" s="119"/>
      <c r="FJ47" s="119"/>
      <c r="FK47" s="119"/>
      <c r="FL47" s="119"/>
      <c r="FM47" s="119"/>
      <c r="FN47" s="119"/>
      <c r="FO47" s="119"/>
      <c r="FP47" s="119"/>
      <c r="FQ47" s="119"/>
      <c r="FR47" s="119"/>
      <c r="FS47" s="119"/>
      <c r="FT47" s="119"/>
      <c r="FU47" s="119"/>
      <c r="FV47" s="119"/>
      <c r="FW47" s="119"/>
      <c r="FX47" s="119"/>
      <c r="FY47" s="119"/>
      <c r="FZ47" s="119"/>
      <c r="GA47" s="119"/>
      <c r="GB47" s="119"/>
      <c r="GC47" s="119"/>
      <c r="GD47" s="119"/>
      <c r="GE47" s="119"/>
      <c r="GF47" s="119"/>
      <c r="GG47" s="119"/>
      <c r="GH47" s="119"/>
      <c r="GI47" s="119"/>
      <c r="GJ47" s="119"/>
      <c r="GK47" s="251"/>
      <c r="GL47" s="103">
        <f t="shared" si="30"/>
        <v>0</v>
      </c>
      <c r="GM47" s="124"/>
      <c r="GN47" s="104"/>
      <c r="GO47" s="104"/>
      <c r="GP47" s="104"/>
      <c r="GQ47" s="104"/>
      <c r="GR47" s="104"/>
      <c r="GS47" s="104"/>
      <c r="GT47" s="104"/>
      <c r="GU47" s="104"/>
      <c r="GV47" s="104"/>
      <c r="GW47" s="104"/>
      <c r="GX47" s="104"/>
      <c r="GY47" s="104"/>
      <c r="GZ47" s="104"/>
      <c r="HA47" s="104"/>
      <c r="HB47" s="104"/>
      <c r="HC47" s="104"/>
      <c r="HD47" s="104"/>
      <c r="HE47" s="104"/>
      <c r="HF47" s="104"/>
      <c r="HG47" s="104"/>
      <c r="HH47" s="104"/>
      <c r="HI47" s="104"/>
      <c r="HJ47" s="104"/>
      <c r="HK47" s="104"/>
      <c r="HL47" s="104"/>
      <c r="HM47" s="104"/>
      <c r="HN47" s="104"/>
      <c r="HO47" s="104"/>
      <c r="HP47" s="104"/>
      <c r="HQ47" s="64"/>
      <c r="HR47" s="64"/>
      <c r="HS47" s="64"/>
      <c r="HT47" s="64"/>
      <c r="HU47" s="64"/>
      <c r="HV47" s="64"/>
      <c r="HW47" s="105"/>
      <c r="HX47" s="64"/>
      <c r="HY47" s="280">
        <f t="shared" ref="HY47:HY50" si="67">IF(ISTEXT(EM47), VALUE(EM47), EM47)</f>
        <v>0</v>
      </c>
      <c r="HZ47" s="280">
        <f t="shared" ref="HZ47:HZ50" si="68">IF(ISTEXT(EN47), VALUE(EN47), EN47)</f>
        <v>0</v>
      </c>
      <c r="IA47" s="280">
        <f t="shared" ref="IA47:IA50" si="69">IF(ISTEXT(EO47), VALUE(EO47), EO47)</f>
        <v>0</v>
      </c>
      <c r="IB47" s="64"/>
      <c r="IC47" s="64"/>
    </row>
    <row r="48" spans="1:237" s="106" customFormat="1" ht="22.5" customHeight="1" x14ac:dyDescent="0.25">
      <c r="A48" s="368" t="s">
        <v>3222</v>
      </c>
      <c r="B48" s="369" t="s">
        <v>3223</v>
      </c>
      <c r="C48" s="375" t="s">
        <v>3186</v>
      </c>
      <c r="D48" s="371" t="s">
        <v>3224</v>
      </c>
      <c r="E48" s="371" t="s">
        <v>3225</v>
      </c>
      <c r="F48" s="376" t="s">
        <v>3182</v>
      </c>
      <c r="G48" s="376" t="s">
        <v>3183</v>
      </c>
      <c r="H48" s="373" t="s">
        <v>345</v>
      </c>
      <c r="I48" s="374" t="s">
        <v>345</v>
      </c>
      <c r="J48" s="421" t="s">
        <v>3184</v>
      </c>
      <c r="K48" s="422" t="s">
        <v>3188</v>
      </c>
      <c r="L48" s="329">
        <f>CONTINUA!BV48</f>
        <v>0</v>
      </c>
      <c r="M48" s="329">
        <f>CONTINUA!BW48</f>
        <v>0</v>
      </c>
      <c r="N48" s="895"/>
      <c r="O48" s="896" t="s">
        <v>3282</v>
      </c>
      <c r="P48" s="897">
        <v>0</v>
      </c>
      <c r="Q48" s="400"/>
      <c r="R48" s="401"/>
      <c r="S48" s="400"/>
      <c r="T48" s="401"/>
      <c r="U48" s="400"/>
      <c r="V48" s="401"/>
      <c r="W48" s="400"/>
      <c r="X48" s="401"/>
      <c r="Y48" s="400"/>
      <c r="Z48" s="401"/>
      <c r="AA48" s="400"/>
      <c r="AB48" s="401"/>
      <c r="AC48" s="400"/>
      <c r="AD48" s="401"/>
      <c r="AE48" s="400"/>
      <c r="AF48" s="401"/>
      <c r="AG48" s="400"/>
      <c r="AH48" s="401"/>
      <c r="AI48" s="400"/>
      <c r="AJ48" s="401"/>
      <c r="AK48" s="400"/>
      <c r="AL48" s="401"/>
      <c r="AM48" s="400"/>
      <c r="AN48" s="401"/>
      <c r="AO48" s="400"/>
      <c r="AP48" s="401"/>
      <c r="AQ48" s="400"/>
      <c r="AR48" s="401"/>
      <c r="AS48" s="400"/>
      <c r="AT48" s="401"/>
      <c r="AU48" s="400"/>
      <c r="AV48" s="401"/>
      <c r="AW48" s="400"/>
      <c r="AX48" s="401"/>
      <c r="AY48" s="400"/>
      <c r="AZ48" s="401"/>
      <c r="BA48" s="400"/>
      <c r="BB48" s="401"/>
      <c r="BC48" s="400"/>
      <c r="BD48" s="401"/>
      <c r="BE48" s="400"/>
      <c r="BF48" s="401"/>
      <c r="BG48" s="400"/>
      <c r="BH48" s="401"/>
      <c r="BI48" s="400"/>
      <c r="BJ48" s="401"/>
      <c r="BK48" s="400"/>
      <c r="BL48" s="401"/>
      <c r="BM48" s="400"/>
      <c r="BN48" s="401"/>
      <c r="BO48" s="400"/>
      <c r="BP48" s="401"/>
      <c r="BQ48" s="400"/>
      <c r="BR48" s="401"/>
      <c r="BS48" s="400"/>
      <c r="BT48" s="401"/>
      <c r="BU48" s="400"/>
      <c r="BV48" s="401"/>
      <c r="BW48" s="400"/>
      <c r="BX48" s="401"/>
      <c r="BY48" s="400"/>
      <c r="BZ48" s="401"/>
      <c r="CA48" s="400"/>
      <c r="CB48" s="401"/>
      <c r="CC48" s="400"/>
      <c r="CD48" s="401"/>
      <c r="CE48" s="400"/>
      <c r="CF48" s="401"/>
      <c r="CG48" s="400"/>
      <c r="CH48" s="401"/>
      <c r="CI48" s="400"/>
      <c r="CJ48" s="401"/>
      <c r="CK48" s="400"/>
      <c r="CL48" s="401"/>
      <c r="CM48" s="400"/>
      <c r="CN48" s="401"/>
      <c r="CO48" s="400"/>
      <c r="CP48" s="401"/>
      <c r="CQ48" s="400"/>
      <c r="CR48" s="401"/>
      <c r="CS48" s="400"/>
      <c r="CT48" s="401"/>
      <c r="CU48" s="400"/>
      <c r="CV48" s="401"/>
      <c r="CW48" s="400"/>
      <c r="CX48" s="401"/>
      <c r="CY48" s="400"/>
      <c r="CZ48" s="401"/>
      <c r="DA48" s="400"/>
      <c r="DB48" s="401"/>
      <c r="DC48" s="400"/>
      <c r="DD48" s="401"/>
      <c r="DE48" s="400"/>
      <c r="DF48" s="401"/>
      <c r="DG48" s="400"/>
      <c r="DH48" s="401"/>
      <c r="DI48" s="400"/>
      <c r="DJ48" s="401"/>
      <c r="DK48" s="400"/>
      <c r="DL48" s="401"/>
      <c r="DM48" s="400"/>
      <c r="DN48" s="401"/>
      <c r="DO48" s="400"/>
      <c r="DP48" s="401"/>
      <c r="DQ48" s="400"/>
      <c r="DR48" s="401"/>
      <c r="DS48" s="400"/>
      <c r="DT48" s="401"/>
      <c r="DU48" s="400"/>
      <c r="DV48" s="401"/>
      <c r="DW48" s="400"/>
      <c r="DX48" s="401"/>
      <c r="DY48" s="400"/>
      <c r="DZ48" s="401"/>
      <c r="EA48" s="400"/>
      <c r="EB48" s="401"/>
      <c r="EC48" s="400"/>
      <c r="ED48" s="401"/>
      <c r="EE48" s="400"/>
      <c r="EF48" s="401"/>
      <c r="EG48" s="400"/>
      <c r="EH48" s="401"/>
      <c r="EI48" s="400"/>
      <c r="EJ48" s="447"/>
      <c r="EK48" s="511"/>
      <c r="EL48" s="514"/>
      <c r="EM48" s="448"/>
      <c r="EN48" s="344"/>
      <c r="EO48" s="345"/>
      <c r="EP48" s="171">
        <f t="shared" si="22"/>
        <v>0</v>
      </c>
      <c r="EQ48" s="171">
        <f t="shared" si="23"/>
        <v>0</v>
      </c>
      <c r="ER48" s="171">
        <f t="shared" si="24"/>
        <v>0</v>
      </c>
      <c r="ES48" s="171">
        <f t="shared" si="25"/>
        <v>0</v>
      </c>
      <c r="ET48" s="171">
        <f t="shared" si="26"/>
        <v>0</v>
      </c>
      <c r="EU48" s="171">
        <f t="shared" si="27"/>
        <v>0</v>
      </c>
      <c r="EV48" s="172">
        <f t="shared" si="28"/>
        <v>0</v>
      </c>
      <c r="EW48" s="125"/>
      <c r="EX48" s="248">
        <f t="shared" si="65"/>
        <v>0</v>
      </c>
      <c r="EY48" s="174">
        <f>(L48*regular)+(M48*Cadeirantee)</f>
        <v>0</v>
      </c>
      <c r="EZ48" s="249">
        <f>SUMIF(FG48:GJ48,"&gt;0")</f>
        <v>0</v>
      </c>
      <c r="FA48" s="249">
        <f>SUMIF(FG48:GJ48,"&lt;0")+SUMIF(GN48:HP48,"&lt;0")</f>
        <v>0</v>
      </c>
      <c r="FB48" s="174">
        <v>0</v>
      </c>
      <c r="FC48" s="126">
        <f>N48*km*'VALORES TABELA'!$B$13</f>
        <v>0</v>
      </c>
      <c r="FD48" s="250">
        <f t="shared" si="66"/>
        <v>0</v>
      </c>
      <c r="FE48" s="105"/>
      <c r="FF48" s="108"/>
      <c r="FG48" s="108"/>
      <c r="FH48" s="108"/>
      <c r="FI48" s="108"/>
      <c r="FJ48" s="108"/>
      <c r="FK48" s="108"/>
      <c r="FL48" s="108"/>
      <c r="FM48" s="108"/>
      <c r="FN48" s="108"/>
      <c r="FO48" s="108"/>
      <c r="FP48" s="108"/>
      <c r="FQ48" s="108"/>
      <c r="FR48" s="108"/>
      <c r="FS48" s="108"/>
      <c r="FT48" s="108"/>
      <c r="FU48" s="108"/>
      <c r="FV48" s="108"/>
      <c r="FW48" s="108"/>
      <c r="FX48" s="108"/>
      <c r="FY48" s="108"/>
      <c r="FZ48" s="108"/>
      <c r="GA48" s="108"/>
      <c r="GB48" s="108"/>
      <c r="GC48" s="108"/>
      <c r="GD48" s="108"/>
      <c r="GE48" s="108"/>
      <c r="GF48" s="108"/>
      <c r="GG48" s="108"/>
      <c r="GH48" s="108"/>
      <c r="GI48" s="108"/>
      <c r="GJ48" s="108"/>
      <c r="GK48" s="251"/>
      <c r="GL48" s="103">
        <f t="shared" si="30"/>
        <v>0</v>
      </c>
      <c r="GM48" s="124"/>
      <c r="GN48" s="104"/>
      <c r="GO48" s="104"/>
      <c r="GP48" s="104"/>
      <c r="GQ48" s="104"/>
      <c r="GR48" s="104"/>
      <c r="GS48" s="104"/>
      <c r="GT48" s="104"/>
      <c r="GU48" s="104"/>
      <c r="GV48" s="104"/>
      <c r="GW48" s="104"/>
      <c r="GX48" s="104"/>
      <c r="GY48" s="104"/>
      <c r="GZ48" s="104"/>
      <c r="HA48" s="104"/>
      <c r="HB48" s="104"/>
      <c r="HC48" s="104"/>
      <c r="HD48" s="104"/>
      <c r="HE48" s="104"/>
      <c r="HF48" s="104"/>
      <c r="HG48" s="104"/>
      <c r="HH48" s="104"/>
      <c r="HI48" s="104"/>
      <c r="HJ48" s="104"/>
      <c r="HK48" s="104"/>
      <c r="HL48" s="104"/>
      <c r="HM48" s="104"/>
      <c r="HN48" s="104"/>
      <c r="HO48" s="104"/>
      <c r="HP48" s="104"/>
      <c r="HQ48" s="64"/>
      <c r="HR48" s="64"/>
      <c r="HS48" s="64"/>
      <c r="HT48" s="64"/>
      <c r="HU48" s="64"/>
      <c r="HV48" s="64"/>
      <c r="HW48" s="105"/>
      <c r="HX48" s="64"/>
      <c r="HY48" s="280">
        <f t="shared" si="67"/>
        <v>0</v>
      </c>
      <c r="HZ48" s="280">
        <f t="shared" si="68"/>
        <v>0</v>
      </c>
      <c r="IA48" s="280">
        <f t="shared" si="69"/>
        <v>0</v>
      </c>
      <c r="IB48" s="64"/>
      <c r="IC48" s="64"/>
    </row>
    <row r="49" spans="1:237" s="106" customFormat="1" ht="22.5" customHeight="1" x14ac:dyDescent="0.25">
      <c r="A49" s="368" t="s">
        <v>3222</v>
      </c>
      <c r="B49" s="369" t="s">
        <v>3223</v>
      </c>
      <c r="C49" s="375" t="s">
        <v>3186</v>
      </c>
      <c r="D49" s="371" t="s">
        <v>3224</v>
      </c>
      <c r="E49" s="371" t="s">
        <v>3225</v>
      </c>
      <c r="F49" s="376" t="s">
        <v>3182</v>
      </c>
      <c r="G49" s="376" t="s">
        <v>3183</v>
      </c>
      <c r="H49" s="373" t="s">
        <v>345</v>
      </c>
      <c r="I49" s="374" t="s">
        <v>345</v>
      </c>
      <c r="J49" s="421" t="s">
        <v>3184</v>
      </c>
      <c r="K49" s="423" t="s">
        <v>3189</v>
      </c>
      <c r="L49" s="329">
        <f>CONTINUA!BV49</f>
        <v>0</v>
      </c>
      <c r="M49" s="329">
        <f>CONTINUA!BW49</f>
        <v>0</v>
      </c>
      <c r="N49" s="895"/>
      <c r="O49" s="896" t="s">
        <v>3282</v>
      </c>
      <c r="P49" s="897">
        <v>0</v>
      </c>
      <c r="Q49" s="400"/>
      <c r="R49" s="401"/>
      <c r="S49" s="400"/>
      <c r="T49" s="401"/>
      <c r="U49" s="400"/>
      <c r="V49" s="401"/>
      <c r="W49" s="400"/>
      <c r="X49" s="401"/>
      <c r="Y49" s="400"/>
      <c r="Z49" s="401"/>
      <c r="AA49" s="400"/>
      <c r="AB49" s="401"/>
      <c r="AC49" s="400"/>
      <c r="AD49" s="401"/>
      <c r="AE49" s="400"/>
      <c r="AF49" s="401"/>
      <c r="AG49" s="400"/>
      <c r="AH49" s="401"/>
      <c r="AI49" s="400"/>
      <c r="AJ49" s="401"/>
      <c r="AK49" s="400"/>
      <c r="AL49" s="401"/>
      <c r="AM49" s="400"/>
      <c r="AN49" s="401"/>
      <c r="AO49" s="400"/>
      <c r="AP49" s="401"/>
      <c r="AQ49" s="400"/>
      <c r="AR49" s="401"/>
      <c r="AS49" s="400"/>
      <c r="AT49" s="401"/>
      <c r="AU49" s="400"/>
      <c r="AV49" s="401"/>
      <c r="AW49" s="400"/>
      <c r="AX49" s="401"/>
      <c r="AY49" s="400"/>
      <c r="AZ49" s="401"/>
      <c r="BA49" s="400"/>
      <c r="BB49" s="401"/>
      <c r="BC49" s="400"/>
      <c r="BD49" s="401"/>
      <c r="BE49" s="400"/>
      <c r="BF49" s="401"/>
      <c r="BG49" s="400"/>
      <c r="BH49" s="401"/>
      <c r="BI49" s="400"/>
      <c r="BJ49" s="401"/>
      <c r="BK49" s="400"/>
      <c r="BL49" s="401"/>
      <c r="BM49" s="400"/>
      <c r="BN49" s="401"/>
      <c r="BO49" s="400"/>
      <c r="BP49" s="401"/>
      <c r="BQ49" s="400"/>
      <c r="BR49" s="401"/>
      <c r="BS49" s="400"/>
      <c r="BT49" s="401"/>
      <c r="BU49" s="400"/>
      <c r="BV49" s="401"/>
      <c r="BW49" s="400"/>
      <c r="BX49" s="401"/>
      <c r="BY49" s="400"/>
      <c r="BZ49" s="401"/>
      <c r="CA49" s="400"/>
      <c r="CB49" s="401"/>
      <c r="CC49" s="400"/>
      <c r="CD49" s="401"/>
      <c r="CE49" s="400"/>
      <c r="CF49" s="401"/>
      <c r="CG49" s="400"/>
      <c r="CH49" s="401"/>
      <c r="CI49" s="400"/>
      <c r="CJ49" s="401"/>
      <c r="CK49" s="400"/>
      <c r="CL49" s="401"/>
      <c r="CM49" s="400"/>
      <c r="CN49" s="401"/>
      <c r="CO49" s="400"/>
      <c r="CP49" s="401"/>
      <c r="CQ49" s="400"/>
      <c r="CR49" s="401"/>
      <c r="CS49" s="400"/>
      <c r="CT49" s="401"/>
      <c r="CU49" s="400"/>
      <c r="CV49" s="401"/>
      <c r="CW49" s="400"/>
      <c r="CX49" s="401"/>
      <c r="CY49" s="400"/>
      <c r="CZ49" s="401"/>
      <c r="DA49" s="400"/>
      <c r="DB49" s="401"/>
      <c r="DC49" s="400"/>
      <c r="DD49" s="401"/>
      <c r="DE49" s="400"/>
      <c r="DF49" s="401"/>
      <c r="DG49" s="400"/>
      <c r="DH49" s="401"/>
      <c r="DI49" s="400"/>
      <c r="DJ49" s="401"/>
      <c r="DK49" s="400"/>
      <c r="DL49" s="401"/>
      <c r="DM49" s="400"/>
      <c r="DN49" s="401"/>
      <c r="DO49" s="400"/>
      <c r="DP49" s="401"/>
      <c r="DQ49" s="400"/>
      <c r="DR49" s="401"/>
      <c r="DS49" s="400"/>
      <c r="DT49" s="401"/>
      <c r="DU49" s="400"/>
      <c r="DV49" s="401"/>
      <c r="DW49" s="400"/>
      <c r="DX49" s="401"/>
      <c r="DY49" s="400"/>
      <c r="DZ49" s="401"/>
      <c r="EA49" s="400"/>
      <c r="EB49" s="401"/>
      <c r="EC49" s="400"/>
      <c r="ED49" s="401"/>
      <c r="EE49" s="400"/>
      <c r="EF49" s="401"/>
      <c r="EG49" s="400"/>
      <c r="EH49" s="401"/>
      <c r="EI49" s="400"/>
      <c r="EJ49" s="447"/>
      <c r="EK49" s="511"/>
      <c r="EL49" s="514"/>
      <c r="EM49" s="448"/>
      <c r="EN49" s="344"/>
      <c r="EO49" s="345"/>
      <c r="EP49" s="171">
        <f t="shared" si="22"/>
        <v>0</v>
      </c>
      <c r="EQ49" s="171">
        <f t="shared" si="23"/>
        <v>0</v>
      </c>
      <c r="ER49" s="171">
        <f t="shared" si="24"/>
        <v>0</v>
      </c>
      <c r="ES49" s="171">
        <f t="shared" si="25"/>
        <v>0</v>
      </c>
      <c r="ET49" s="171">
        <f t="shared" si="26"/>
        <v>0</v>
      </c>
      <c r="EU49" s="171">
        <f t="shared" si="27"/>
        <v>0</v>
      </c>
      <c r="EV49" s="172">
        <f t="shared" si="28"/>
        <v>0</v>
      </c>
      <c r="EW49" s="127"/>
      <c r="EX49" s="248">
        <f t="shared" si="65"/>
        <v>0</v>
      </c>
      <c r="EY49" s="174">
        <f>(L49*regular)+(M49*Cadeirantee)</f>
        <v>0</v>
      </c>
      <c r="EZ49" s="249">
        <f>SUMIF(FG49:GJ49,"&gt;0")</f>
        <v>0</v>
      </c>
      <c r="FA49" s="249">
        <f>SUMIF(FG49:GJ49,"&lt;0")+SUMIF(GN49:HP49,"&lt;0")</f>
        <v>0</v>
      </c>
      <c r="FB49" s="174">
        <v>0</v>
      </c>
      <c r="FC49" s="126">
        <f>N49*km*'VALORES TABELA'!$B$13</f>
        <v>0</v>
      </c>
      <c r="FD49" s="250">
        <f t="shared" si="66"/>
        <v>0</v>
      </c>
      <c r="FE49" s="105"/>
      <c r="FF49" s="118"/>
      <c r="FG49" s="118"/>
      <c r="FH49" s="118"/>
      <c r="FI49" s="118"/>
      <c r="FJ49" s="118"/>
      <c r="FK49" s="118"/>
      <c r="FL49" s="118"/>
      <c r="FM49" s="118"/>
      <c r="FN49" s="118"/>
      <c r="FO49" s="118"/>
      <c r="FP49" s="118"/>
      <c r="FQ49" s="118"/>
      <c r="FR49" s="118"/>
      <c r="FS49" s="118"/>
      <c r="FT49" s="118"/>
      <c r="FU49" s="118"/>
      <c r="FV49" s="118"/>
      <c r="FW49" s="118"/>
      <c r="FX49" s="118"/>
      <c r="FY49" s="118"/>
      <c r="FZ49" s="118"/>
      <c r="GA49" s="118"/>
      <c r="GB49" s="118"/>
      <c r="GC49" s="118"/>
      <c r="GD49" s="118"/>
      <c r="GE49" s="118"/>
      <c r="GF49" s="118"/>
      <c r="GG49" s="118"/>
      <c r="GH49" s="118"/>
      <c r="GI49" s="118"/>
      <c r="GJ49" s="118"/>
      <c r="GK49" s="252"/>
      <c r="GL49" s="103">
        <f t="shared" si="30"/>
        <v>0</v>
      </c>
      <c r="GM49" s="124"/>
      <c r="GN49" s="104"/>
      <c r="GO49" s="104"/>
      <c r="GP49" s="104"/>
      <c r="GQ49" s="104"/>
      <c r="GR49" s="104"/>
      <c r="GS49" s="104"/>
      <c r="GT49" s="104"/>
      <c r="GU49" s="104"/>
      <c r="GV49" s="104"/>
      <c r="GW49" s="104"/>
      <c r="GX49" s="104"/>
      <c r="GY49" s="104"/>
      <c r="GZ49" s="104"/>
      <c r="HA49" s="104"/>
      <c r="HB49" s="104"/>
      <c r="HC49" s="104"/>
      <c r="HD49" s="104"/>
      <c r="HE49" s="104"/>
      <c r="HF49" s="104"/>
      <c r="HG49" s="104"/>
      <c r="HH49" s="104"/>
      <c r="HI49" s="104"/>
      <c r="HJ49" s="104"/>
      <c r="HK49" s="104"/>
      <c r="HL49" s="104"/>
      <c r="HM49" s="104"/>
      <c r="HN49" s="104"/>
      <c r="HO49" s="104"/>
      <c r="HP49" s="104"/>
      <c r="HQ49" s="64"/>
      <c r="HR49" s="65"/>
      <c r="HS49" s="65"/>
      <c r="HT49" s="65"/>
      <c r="HU49" s="65"/>
      <c r="HV49" s="65"/>
      <c r="HW49" s="105"/>
      <c r="HX49" s="65"/>
      <c r="HY49" s="280">
        <f t="shared" si="67"/>
        <v>0</v>
      </c>
      <c r="HZ49" s="280">
        <f t="shared" si="68"/>
        <v>0</v>
      </c>
      <c r="IA49" s="280">
        <f t="shared" si="69"/>
        <v>0</v>
      </c>
      <c r="IB49" s="65"/>
      <c r="IC49" s="65"/>
    </row>
    <row r="50" spans="1:237" s="106" customFormat="1" ht="22.5" customHeight="1" thickBot="1" x14ac:dyDescent="0.3">
      <c r="A50" s="377" t="s">
        <v>3222</v>
      </c>
      <c r="B50" s="378" t="s">
        <v>3223</v>
      </c>
      <c r="C50" s="379" t="s">
        <v>3186</v>
      </c>
      <c r="D50" s="380" t="s">
        <v>3224</v>
      </c>
      <c r="E50" s="380" t="s">
        <v>3225</v>
      </c>
      <c r="F50" s="381" t="s">
        <v>3182</v>
      </c>
      <c r="G50" s="381" t="s">
        <v>3183</v>
      </c>
      <c r="H50" s="382" t="s">
        <v>345</v>
      </c>
      <c r="I50" s="383" t="s">
        <v>345</v>
      </c>
      <c r="J50" s="421" t="s">
        <v>3184</v>
      </c>
      <c r="K50" s="424" t="s">
        <v>60</v>
      </c>
      <c r="L50" s="329">
        <f>CONTINUA!BV50</f>
        <v>0</v>
      </c>
      <c r="M50" s="329">
        <f>CONTINUA!BW50</f>
        <v>0</v>
      </c>
      <c r="N50" s="895"/>
      <c r="O50" s="896" t="s">
        <v>3282</v>
      </c>
      <c r="P50" s="897">
        <v>0</v>
      </c>
      <c r="Q50" s="400"/>
      <c r="R50" s="401"/>
      <c r="S50" s="400"/>
      <c r="T50" s="401"/>
      <c r="U50" s="400"/>
      <c r="V50" s="401"/>
      <c r="W50" s="400"/>
      <c r="X50" s="401"/>
      <c r="Y50" s="400"/>
      <c r="Z50" s="401"/>
      <c r="AA50" s="400"/>
      <c r="AB50" s="401"/>
      <c r="AC50" s="400"/>
      <c r="AD50" s="401"/>
      <c r="AE50" s="400"/>
      <c r="AF50" s="401"/>
      <c r="AG50" s="400"/>
      <c r="AH50" s="401"/>
      <c r="AI50" s="400"/>
      <c r="AJ50" s="401"/>
      <c r="AK50" s="400"/>
      <c r="AL50" s="401"/>
      <c r="AM50" s="400"/>
      <c r="AN50" s="401"/>
      <c r="AO50" s="400"/>
      <c r="AP50" s="401"/>
      <c r="AQ50" s="400"/>
      <c r="AR50" s="401"/>
      <c r="AS50" s="400"/>
      <c r="AT50" s="401"/>
      <c r="AU50" s="400"/>
      <c r="AV50" s="401"/>
      <c r="AW50" s="400"/>
      <c r="AX50" s="401"/>
      <c r="AY50" s="400"/>
      <c r="AZ50" s="401"/>
      <c r="BA50" s="400"/>
      <c r="BB50" s="401"/>
      <c r="BC50" s="400"/>
      <c r="BD50" s="401"/>
      <c r="BE50" s="400"/>
      <c r="BF50" s="401"/>
      <c r="BG50" s="400"/>
      <c r="BH50" s="401"/>
      <c r="BI50" s="400"/>
      <c r="BJ50" s="401"/>
      <c r="BK50" s="400"/>
      <c r="BL50" s="401"/>
      <c r="BM50" s="400"/>
      <c r="BN50" s="401"/>
      <c r="BO50" s="400"/>
      <c r="BP50" s="401"/>
      <c r="BQ50" s="400"/>
      <c r="BR50" s="401"/>
      <c r="BS50" s="400"/>
      <c r="BT50" s="401"/>
      <c r="BU50" s="400"/>
      <c r="BV50" s="401"/>
      <c r="BW50" s="400"/>
      <c r="BX50" s="401"/>
      <c r="BY50" s="400"/>
      <c r="BZ50" s="401"/>
      <c r="CA50" s="400"/>
      <c r="CB50" s="401"/>
      <c r="CC50" s="400"/>
      <c r="CD50" s="401"/>
      <c r="CE50" s="400"/>
      <c r="CF50" s="401"/>
      <c r="CG50" s="400"/>
      <c r="CH50" s="401"/>
      <c r="CI50" s="400"/>
      <c r="CJ50" s="401"/>
      <c r="CK50" s="400"/>
      <c r="CL50" s="401"/>
      <c r="CM50" s="400"/>
      <c r="CN50" s="401"/>
      <c r="CO50" s="400"/>
      <c r="CP50" s="401"/>
      <c r="CQ50" s="400"/>
      <c r="CR50" s="401"/>
      <c r="CS50" s="400"/>
      <c r="CT50" s="401"/>
      <c r="CU50" s="400"/>
      <c r="CV50" s="401"/>
      <c r="CW50" s="400"/>
      <c r="CX50" s="401"/>
      <c r="CY50" s="400"/>
      <c r="CZ50" s="401"/>
      <c r="DA50" s="400"/>
      <c r="DB50" s="401"/>
      <c r="DC50" s="400"/>
      <c r="DD50" s="401"/>
      <c r="DE50" s="400"/>
      <c r="DF50" s="401"/>
      <c r="DG50" s="400"/>
      <c r="DH50" s="401"/>
      <c r="DI50" s="400"/>
      <c r="DJ50" s="401"/>
      <c r="DK50" s="400"/>
      <c r="DL50" s="401"/>
      <c r="DM50" s="400"/>
      <c r="DN50" s="401"/>
      <c r="DO50" s="400"/>
      <c r="DP50" s="401"/>
      <c r="DQ50" s="400"/>
      <c r="DR50" s="401"/>
      <c r="DS50" s="400"/>
      <c r="DT50" s="401"/>
      <c r="DU50" s="400"/>
      <c r="DV50" s="401"/>
      <c r="DW50" s="400"/>
      <c r="DX50" s="401"/>
      <c r="DY50" s="400"/>
      <c r="DZ50" s="401"/>
      <c r="EA50" s="400"/>
      <c r="EB50" s="401"/>
      <c r="EC50" s="400"/>
      <c r="ED50" s="401"/>
      <c r="EE50" s="400"/>
      <c r="EF50" s="401"/>
      <c r="EG50" s="400"/>
      <c r="EH50" s="401"/>
      <c r="EI50" s="400"/>
      <c r="EJ50" s="447"/>
      <c r="EK50" s="512"/>
      <c r="EL50" s="515"/>
      <c r="EM50" s="450"/>
      <c r="EN50" s="348"/>
      <c r="EO50" s="348"/>
      <c r="EP50" s="179">
        <f t="shared" si="22"/>
        <v>0</v>
      </c>
      <c r="EQ50" s="179">
        <f t="shared" si="23"/>
        <v>0</v>
      </c>
      <c r="ER50" s="179">
        <f t="shared" si="24"/>
        <v>0</v>
      </c>
      <c r="ES50" s="179">
        <f t="shared" si="25"/>
        <v>0</v>
      </c>
      <c r="ET50" s="179">
        <f t="shared" si="26"/>
        <v>0</v>
      </c>
      <c r="EU50" s="179">
        <f t="shared" si="27"/>
        <v>0</v>
      </c>
      <c r="EV50" s="172">
        <f t="shared" si="28"/>
        <v>0</v>
      </c>
      <c r="EW50" s="253"/>
      <c r="EX50" s="254">
        <v>0</v>
      </c>
      <c r="EY50" s="180">
        <v>0</v>
      </c>
      <c r="EZ50" s="255">
        <v>0</v>
      </c>
      <c r="FA50" s="255">
        <v>0</v>
      </c>
      <c r="FB50" s="180">
        <f>SUM(FF50:GI50)/2</f>
        <v>0</v>
      </c>
      <c r="FC50" s="256">
        <f>N50*km*'VALORES TABELA'!$B$13</f>
        <v>0</v>
      </c>
      <c r="FD50" s="250">
        <f t="shared" si="66"/>
        <v>0</v>
      </c>
      <c r="FE50" s="257"/>
      <c r="FF50" s="181">
        <f>((Q50+S50)*Percapita)+((R50+T50)*Cadeirante)</f>
        <v>0</v>
      </c>
      <c r="FG50" s="181">
        <f>((U50+W50)*Percapita/30*FG$4)+((V50+X50)*Cadeirante/30*FG$4)</f>
        <v>0</v>
      </c>
      <c r="FH50" s="181">
        <f>((Y50+AA50)*Percapita/30*FH$4)+((Z50+AB50)*Cadeirante/30*FH$4)</f>
        <v>0</v>
      </c>
      <c r="FI50" s="181">
        <f>((AC50+AE50)*Percapita/30*FI$4)+((AD50+AF50)*Cadeirante/30*FI$4)</f>
        <v>0</v>
      </c>
      <c r="FJ50" s="181">
        <f>((AG50+AI50)*Percapita/30*FJ$4)+((AH50+AJ50)*Cadeirante/30*FJ$4)</f>
        <v>0</v>
      </c>
      <c r="FK50" s="181">
        <f>((AK50+AM50)*Percapita/30*FK$4)+((AL50+AN50)*Cadeirante/30*FK$4)</f>
        <v>0</v>
      </c>
      <c r="FL50" s="181">
        <f>((AO50+AQ50)*Percapita/30*FL$4)+((AP50+AR50)*Cadeirante/30*FL$4)</f>
        <v>0</v>
      </c>
      <c r="FM50" s="181">
        <f>((AS50+AU50)*Percapita/30*FM$4)+((AT50+AV50)*Cadeirante/30*FM$4)</f>
        <v>0</v>
      </c>
      <c r="FN50" s="181">
        <f>((AW50+AY50)*Percapita/30*FN$4)+((AX50+AZ50)*Cadeirante/30*FN$4)</f>
        <v>0</v>
      </c>
      <c r="FO50" s="181">
        <f>((BA50+BC50)*Percapita/30*FO$4)+((BB50+BD50)*Cadeirante/30*FO$4)</f>
        <v>0</v>
      </c>
      <c r="FP50" s="181">
        <f>((BE50+BG50)*Percapita/30*FP$4)+((BF50+BH50)*Cadeirante/30*FP$4)</f>
        <v>0</v>
      </c>
      <c r="FQ50" s="181">
        <f>((BI50+BK50)*Percapita/30*FQ$4)+((BJ50+BL50)*Cadeirante/30*FQ$4)</f>
        <v>0</v>
      </c>
      <c r="FR50" s="181">
        <f>((BM50+BO50)*Percapita/30*FR$4)+((BN50+BP50)*Cadeirante/30*FR$4)</f>
        <v>0</v>
      </c>
      <c r="FS50" s="181">
        <f>((BQ50+BS50)*Percapita/30*FS$4)+((BR50+BT50)*Cadeirante/30*FS$4)</f>
        <v>0</v>
      </c>
      <c r="FT50" s="181">
        <f>((BU50+BW50)*Percapita/30*FT$4)+((BV50+BX50)*Cadeirante/30*FT$4)</f>
        <v>0</v>
      </c>
      <c r="FU50" s="181">
        <f>((BY50+CA50)*Percapita/30*FU$4)+((BZ50+CB50)*Cadeirante/30*FU$4)</f>
        <v>0</v>
      </c>
      <c r="FV50" s="181">
        <f>((CC50+CE50)*Percapita/30*FV$4)+((CD50+CF50)*Cadeirante/30*FV$4)</f>
        <v>0</v>
      </c>
      <c r="FW50" s="181">
        <f>((CG50+CI50)*Percapita/30*FW$4)+((CI50+CK50)*Cadeirante/30*FW$4)</f>
        <v>0</v>
      </c>
      <c r="FX50" s="181">
        <f>((CK50+CM50)*Percapita/30*FX$4)+((CL50+CN50)*Cadeirante/30*FX$4)</f>
        <v>0</v>
      </c>
      <c r="FY50" s="181">
        <f>((CO50+CQ50)*Percapita/30*FY$4)+((CP50+CR50)*Cadeirante/30*FY$4)</f>
        <v>0</v>
      </c>
      <c r="FZ50" s="181">
        <f>((CS50+CU50)*Percapita/30*FZ$4)+((CT50+CV50)*Cadeirante/30*FZ$4)</f>
        <v>0</v>
      </c>
      <c r="GA50" s="181">
        <f>((CW50+CY50)*Percapita/30*GA$4)+((CX50+CZ50)*Cadeirante/30*GA$4)</f>
        <v>0</v>
      </c>
      <c r="GB50" s="181">
        <f>((DA50+DC50)*Percapita/30*GB$4)+((DB50+DD50)*Cadeirante/30*GB$4)</f>
        <v>0</v>
      </c>
      <c r="GC50" s="181">
        <f>((DE50+DG50)*Percapita/30*GC$4)+((DF50+DH50)*Cadeirante/30*GC$4)</f>
        <v>0</v>
      </c>
      <c r="GD50" s="181">
        <f>((DI50+DK50)*Percapita/30*GD$4)+((DJ50+DL50)*Cadeirante/30*GD$4)</f>
        <v>0</v>
      </c>
      <c r="GE50" s="181">
        <f>((DM50+DO50)*Percapita/30*GE$4)+((DN50+DP50)*Cadeirante/30*GE$4)</f>
        <v>0</v>
      </c>
      <c r="GF50" s="181">
        <f>((DQ50+DS50)*Percapita/30*GF$4)+((DR50+DT50)*Cadeirante/30*GF$4)</f>
        <v>0</v>
      </c>
      <c r="GG50" s="181">
        <f>((DU50+DW50)*Percapita/30*GG$4)+((DV50+DX50)*Cadeirante/30*GG$4)</f>
        <v>0</v>
      </c>
      <c r="GH50" s="181">
        <f>((DY50+EA50)*Percapita/30*GH$4)+((DZ50+EB50)*Cadeirante/30*GH$4)</f>
        <v>0</v>
      </c>
      <c r="GI50" s="181">
        <f>((EC50+EE50)*Percapita/30*GI$4)+((ED50+EF50)*Cadeirante/30*GI$4)</f>
        <v>0</v>
      </c>
      <c r="GJ50" s="181">
        <f>((EG50+EI50)*Percapita)+((EH50+EJ50)*Cadeirante)</f>
        <v>0</v>
      </c>
      <c r="GK50" s="258"/>
      <c r="GL50" s="103">
        <f t="shared" si="30"/>
        <v>0</v>
      </c>
      <c r="GM50" s="124"/>
      <c r="GN50" s="182"/>
      <c r="GO50" s="182"/>
      <c r="GP50" s="182"/>
      <c r="GQ50" s="182"/>
      <c r="GR50" s="182"/>
      <c r="GS50" s="182"/>
      <c r="GT50" s="182"/>
      <c r="GU50" s="182"/>
      <c r="GV50" s="182"/>
      <c r="GW50" s="182"/>
      <c r="GX50" s="182"/>
      <c r="GY50" s="182"/>
      <c r="GZ50" s="182"/>
      <c r="HA50" s="182"/>
      <c r="HB50" s="182"/>
      <c r="HC50" s="182"/>
      <c r="HD50" s="182"/>
      <c r="HE50" s="182"/>
      <c r="HF50" s="182"/>
      <c r="HG50" s="182"/>
      <c r="HH50" s="182"/>
      <c r="HI50" s="182"/>
      <c r="HJ50" s="182"/>
      <c r="HK50" s="182"/>
      <c r="HL50" s="182"/>
      <c r="HM50" s="182"/>
      <c r="HN50" s="182"/>
      <c r="HO50" s="182"/>
      <c r="HP50" s="259"/>
      <c r="HQ50" s="64"/>
      <c r="HW50" s="257"/>
      <c r="HY50" s="280">
        <f t="shared" si="67"/>
        <v>0</v>
      </c>
      <c r="HZ50" s="280">
        <f t="shared" si="68"/>
        <v>0</v>
      </c>
      <c r="IA50" s="280">
        <f t="shared" si="69"/>
        <v>0</v>
      </c>
    </row>
    <row r="51" spans="1:237" s="106" customFormat="1" ht="22.5" customHeight="1" x14ac:dyDescent="0.25">
      <c r="A51" t="s">
        <v>3226</v>
      </c>
      <c r="B51" s="522" t="s">
        <v>3227</v>
      </c>
      <c r="C51" s="523">
        <v>1</v>
      </c>
      <c r="D51" s="524" t="s">
        <v>3228</v>
      </c>
      <c r="E51" s="524" t="s">
        <v>3229</v>
      </c>
      <c r="F51" s="525" t="s">
        <v>3182</v>
      </c>
      <c r="G51" s="525" t="s">
        <v>3183</v>
      </c>
      <c r="H51" s="350" t="s">
        <v>346</v>
      </c>
      <c r="I51" s="351" t="s">
        <v>346</v>
      </c>
      <c r="J51" s="409" t="s">
        <v>3184</v>
      </c>
      <c r="K51" s="410" t="s">
        <v>3185</v>
      </c>
      <c r="L51" s="329">
        <f>CONTINUA!BV51</f>
        <v>0</v>
      </c>
      <c r="M51" s="329">
        <f>CONTINUA!BW51</f>
        <v>0</v>
      </c>
      <c r="N51" s="895"/>
      <c r="O51" s="896" t="s">
        <v>3283</v>
      </c>
      <c r="P51" s="897">
        <v>0</v>
      </c>
      <c r="Q51" s="400"/>
      <c r="R51" s="401"/>
      <c r="S51" s="400"/>
      <c r="T51" s="401"/>
      <c r="U51" s="400"/>
      <c r="V51" s="401"/>
      <c r="W51" s="400"/>
      <c r="X51" s="401"/>
      <c r="Y51" s="400"/>
      <c r="Z51" s="401"/>
      <c r="AA51" s="400"/>
      <c r="AB51" s="401"/>
      <c r="AC51" s="400"/>
      <c r="AD51" s="401"/>
      <c r="AE51" s="400"/>
      <c r="AF51" s="401"/>
      <c r="AG51" s="400"/>
      <c r="AH51" s="401"/>
      <c r="AI51" s="400"/>
      <c r="AJ51" s="401"/>
      <c r="AK51" s="400"/>
      <c r="AL51" s="401"/>
      <c r="AM51" s="400"/>
      <c r="AN51" s="401"/>
      <c r="AO51" s="400"/>
      <c r="AP51" s="401"/>
      <c r="AQ51" s="400"/>
      <c r="AR51" s="401"/>
      <c r="AS51" s="400"/>
      <c r="AT51" s="401"/>
      <c r="AU51" s="400"/>
      <c r="AV51" s="401"/>
      <c r="AW51" s="400"/>
      <c r="AX51" s="401"/>
      <c r="AY51" s="400"/>
      <c r="AZ51" s="401"/>
      <c r="BA51" s="400"/>
      <c r="BB51" s="401"/>
      <c r="BC51" s="400"/>
      <c r="BD51" s="401"/>
      <c r="BE51" s="400"/>
      <c r="BF51" s="401"/>
      <c r="BG51" s="400"/>
      <c r="BH51" s="401"/>
      <c r="BI51" s="400"/>
      <c r="BJ51" s="401"/>
      <c r="BK51" s="400"/>
      <c r="BL51" s="401"/>
      <c r="BM51" s="400"/>
      <c r="BN51" s="401"/>
      <c r="BO51" s="400"/>
      <c r="BP51" s="401"/>
      <c r="BQ51" s="400"/>
      <c r="BR51" s="401"/>
      <c r="BS51" s="400"/>
      <c r="BT51" s="401"/>
      <c r="BU51" s="400"/>
      <c r="BV51" s="401"/>
      <c r="BW51" s="400"/>
      <c r="BX51" s="401"/>
      <c r="BY51" s="400"/>
      <c r="BZ51" s="401"/>
      <c r="CA51" s="400"/>
      <c r="CB51" s="401"/>
      <c r="CC51" s="400"/>
      <c r="CD51" s="401"/>
      <c r="CE51" s="400"/>
      <c r="CF51" s="401"/>
      <c r="CG51" s="400"/>
      <c r="CH51" s="401"/>
      <c r="CI51" s="400"/>
      <c r="CJ51" s="401"/>
      <c r="CK51" s="400"/>
      <c r="CL51" s="401"/>
      <c r="CM51" s="400"/>
      <c r="CN51" s="401"/>
      <c r="CO51" s="400"/>
      <c r="CP51" s="401"/>
      <c r="CQ51" s="400"/>
      <c r="CR51" s="401"/>
      <c r="CS51" s="400"/>
      <c r="CT51" s="401"/>
      <c r="CU51" s="400"/>
      <c r="CV51" s="401"/>
      <c r="CW51" s="400"/>
      <c r="CX51" s="401"/>
      <c r="CY51" s="400"/>
      <c r="CZ51" s="401"/>
      <c r="DA51" s="400"/>
      <c r="DB51" s="401"/>
      <c r="DC51" s="400"/>
      <c r="DD51" s="401"/>
      <c r="DE51" s="400"/>
      <c r="DF51" s="401"/>
      <c r="DG51" s="400"/>
      <c r="DH51" s="401"/>
      <c r="DI51" s="400"/>
      <c r="DJ51" s="401"/>
      <c r="DK51" s="400"/>
      <c r="DL51" s="401"/>
      <c r="DM51" s="400"/>
      <c r="DN51" s="401"/>
      <c r="DO51" s="400"/>
      <c r="DP51" s="401"/>
      <c r="DQ51" s="400"/>
      <c r="DR51" s="401"/>
      <c r="DS51" s="400"/>
      <c r="DT51" s="401"/>
      <c r="DU51" s="400"/>
      <c r="DV51" s="401"/>
      <c r="DW51" s="400"/>
      <c r="DX51" s="401"/>
      <c r="DY51" s="400"/>
      <c r="DZ51" s="401"/>
      <c r="EA51" s="400"/>
      <c r="EB51" s="401"/>
      <c r="EC51" s="400"/>
      <c r="ED51" s="401"/>
      <c r="EE51" s="400"/>
      <c r="EF51" s="401"/>
      <c r="EG51" s="400"/>
      <c r="EH51" s="401"/>
      <c r="EI51" s="400"/>
      <c r="EJ51" s="447"/>
      <c r="EK51" s="510"/>
      <c r="EL51" s="513"/>
      <c r="EM51" s="520"/>
      <c r="EN51" s="520"/>
      <c r="EO51" s="520"/>
      <c r="EP51" s="171">
        <f t="shared" si="22"/>
        <v>0</v>
      </c>
      <c r="EQ51" s="171">
        <f t="shared" si="23"/>
        <v>0</v>
      </c>
      <c r="ER51" s="171">
        <f t="shared" si="24"/>
        <v>0</v>
      </c>
      <c r="ES51" s="171">
        <f t="shared" si="25"/>
        <v>0</v>
      </c>
      <c r="ET51" s="171">
        <f t="shared" si="26"/>
        <v>0</v>
      </c>
      <c r="EU51" s="171">
        <f t="shared" si="27"/>
        <v>0</v>
      </c>
      <c r="EV51" s="172">
        <f t="shared" si="28"/>
        <v>0</v>
      </c>
      <c r="EW51" s="367">
        <f>IF(C51=4,IF(MAX(Q51:EJ53)&gt;0,(Especiall/30*(IF(($G51-$F51)=($G$5-$F$5),30,IF(DAY($G51)=31,($G51-$F51),($G51-$F51)+1)))),0),0)</f>
        <v>0</v>
      </c>
      <c r="EX51" s="248">
        <f t="shared" ref="EX51:EX54" si="70">FF51</f>
        <v>13270.970000000001</v>
      </c>
      <c r="EY51" s="174">
        <f>(L51*regular)+(M51*Cadeirantee)</f>
        <v>0</v>
      </c>
      <c r="EZ51" s="249">
        <f>SUMIF(FG51:GJ51,"&gt;0")</f>
        <v>0</v>
      </c>
      <c r="FA51" s="249">
        <f>SUMIF(FG51:GJ51,"&lt;0")+SUMIF(GN51:HP51,"&lt;0")</f>
        <v>0</v>
      </c>
      <c r="FB51" s="174">
        <v>0</v>
      </c>
      <c r="FC51" s="175">
        <f>N51*km*'VALORES TABELA'!$B$13</f>
        <v>0</v>
      </c>
      <c r="FD51" s="250">
        <f>GL51</f>
        <v>0</v>
      </c>
      <c r="FE51" s="176">
        <f>(EW51+EW52+EW53+EW54+EX51+EX52+EX53+EX54+EY51+EY52+EY53+EY54+EY55+EZ51+EZ52+EZ53+EZ54+FA51+FA52+FA53+FA54+FC51+FC52+FC53+FC54+HY51-HZ51-IA51+FD51+FD52+FD53+FD54+FB55)</f>
        <v>13646.93</v>
      </c>
      <c r="FF51" s="177">
        <f>IF(C51=4,SUM(Q51+Q52+Q53+S51+S52+S53)*Percapita/30*FF$4+(R51+R52+R53+T51+T52+T53)*Cadeirante/30*FF$4,IF(C51=3,IF(Q54+S54=10,Fixo/30*FF$4+(Q51+Q52+Q53+S51+S52+S53)*Percapita/30*FF$4+(R54+T54)*Cadeirante/30*FF$4,IF(Q54+S54&lt;=9,(Q54+S54)*Crechee/30*FF$4)+(R54+T54)*Cadeirante/30*FF$4+(Q51+Q52+Q53+S51+S52+S53)*Percapita/30*FF$4)+IF(Q54+S54&gt;=11,Fixo/30*FF$4+(Q54+S54-10)*Crechee/30*FF$4,0),IF(C51=2,IF(R51+R52+R53+R54+T51+T52+T53+T54=1,Cadeirante/30*FF$4,IF(R51+R52+R53+R54+T51+T52+T53+T54=2,Fixo/30*FF$4,IF(R51+R52+R53+R54+T51+T52+T53+T54&gt;2,Fixo/30*FF$4+(R51+R52+R53+R54+T51+T52+T53+T54-2)*Cadeirante/30*FF$4)))+(Q51+Q52+Q53+S51+S52+S53)*Percapita/30*FF$4+(Q54+S54)*Crechee/30*FF$4,IF(C51=1,IF(Q51+Q52+Q53+R51+R52+R53+S51+S52+S53+T51+T52+T53&lt;=15,(Q51+Q52+Q53+S51+S52+S53)*Percapita/30*FF$4,IF(Q51+Q52+Q53+R51+R52+R53+S51+S52+S53+T51+T52+T53&gt;=16,Fixo/30*FF$4+(Q51+Q52+Q53+R51+R52+R53+S51+S52+S53+T51+T52-16)*Percapita/30*FF$4))))))</f>
        <v>13270.970000000001</v>
      </c>
      <c r="FG51" s="177">
        <f>IF(C51=4,SUM(U51+U52+U53+W51+W52+W53)*Percapita/30*FG$4+(V51+V52+V53+X51+X52+X53)*Cadeirante/30*FG$4,IF(C51=3,IF(U54+W54=10,Fixo/30*FG$4+(U51+U52+U53+W51+W52+W53)*Percapita/30*FG$4+(V54+X54)*Cadeirante/30*FG$4,IF(U54+W54&lt;=9,(U54+W54)*Crechee/30*FG$4)+(V54+X54)*Cadeirante/30*FG$4+(U51+U52+U53+W51+W52+W53)*Percapita/30*FG$4)+IF(U54+W54&gt;=11,Fixo/30*FG$4+(U54+W54-10)*Crechee/30*FG$4,0),IF(C51=2,IF(V51+V52+V53+V54+X51+X52+X53+X54=1,Cadeirante/30*FG$4,IF(V51+V52+V53+V54+X51+X52+X53+X54=2,Fixo/30*FG$4,IF(V51+V52+V53+V54+X51+X52+X53+X54&gt;2,Fixo/30*FG$4+(V51+V52+V53+V54+X51+X52+X53+X54-2)*Cadeirante/30*FG$4)))+(U51+U52+U53+W51+W52+W53)*Percapita/30*FG$4+(U54+W54)*Crechee/30*FG$4,IF(C51=1,IF(U51+U52+U53+V51+V52+V53+W51+W52+W53+X51+X52+X53&lt;=15,(U51+U52+U53+W51+W52+W53)*Percapita/30*FG$4,IF(U51+U52+U53+V51+V52+V53+W51+W52+W53+X51+X52+X53&gt;=16,Fixo/30*FG$4+(U51+U52+U53+V51+V52+V53+W51+W52+W53+X51+X52-16)*Percapita/30*FG$4))))))</f>
        <v>0</v>
      </c>
      <c r="FH51" s="177">
        <f>IF(C51=4,SUM(Y51+Y52+Y53+AA51+AA52+AA53)*Percapita/30*FH$4+(Z51+Z52+Z53+AB51+AB52+AB53)*Cadeirante/30*FH$4,IF(C51=3,IF(Y54+AA54=10,Fixo/30*FH$4+(Y51+Y52+Y53+AA51+AA52+AA53)*Percapita/30*FH$4+(Z54+AB54)*Cadeirante/30*FH$4,IF(Y54+AA54&lt;=9,(Y54+AA54)*Crechee/30*FH$4)+(Z54+AB54)*Cadeirante/30*FH$4+(Y51+Y52+Y53+AA51+AA52+AA53)*Percapita/30*FH$4)+IF(Y54+AA54&gt;=11,Fixo/30*FH$4+(Y54+AA54-10)*Crechee/30*FH$4,0),IF(C51=2,IF(Z51+Z52+Z53+Z54+AB51+AB52+AB53+AB54=1,Cadeirante/30*FH$4,IF(Z51+Z52+Z53+Z54+AB51+AB52+AB53+AB54=2,Fixo/30*FH$4,IF(Z51+Z52+Z53+Z54+AB51+AB52+AB53+AB54&gt;2,Fixo/30*FH$4+(Z51+Z52+Z53+Z54+AB51+AB52+AB53+AB54-2)*Cadeirante/30*FH$4)))+(Y51+Y52+Y53+AA51+AA52+AA53)*Percapita/30*FH$4+(Y54+AA54)*Crechee/30*FH$4,IF(C51=1,IF(Y51+Y52+Y53+Z51+Z52+Z53+AA51+AA52+AA53+AB51+AB52+AB53&lt;=15,(Y51+Y52+Y53+AA51+AA52+AA53)*Percapita/30*FH$4,IF(Y51+Y52+Y53+Z51+Z52+Z53+AA51+AA52+AA53+AB51+AB52+AB53&gt;=16,Fixo/30*FH$4+(Y51+Y52+Y53+Z51+Z52+Z53+AA51+AA52+AA53+AB51+AB52-16)*Percapita/30*FH$4))))))</f>
        <v>0</v>
      </c>
      <c r="FI51" s="177">
        <f>IF(C51=4,SUM(AC51+AC52+AC53+AE51+AE52+AE53)*Percapita/30*FI$4+(AD51+AD52+AD53+AF51+AF52+AF53)*Cadeirante/30*FI$4,IF(C51=3,IF(AC54+AE54=10,Fixo/30*FI$4+(AC51+AC52+AC53+AE51+AE52+AE53)*Percapita/30*FI$4+(AD54+AF54)*Cadeirante/30*FI$4,IF(AC54+AE54&lt;=9,(AC54+AE54)*Crechee/30*FI$4)+(AD54+AF54)*Cadeirante/30*FI$4+(AC51+AC52+AC53+AE51+AE52+AE53)*Percapita/30*FI$4)+IF(AC54+AE54&gt;=11,Fixo/30*FI$4+(AC54+AE54-10)*Crechee/30*FI$4,0),IF(C51=2,IF(AD51+AD52+AD53+AD54+AF51+AF52+AF53+AF54=1,Cadeirante/30*FI$4,IF(AD51+AD52+AD53+AD54+AF51+AF52+AF53+AF54=2,Fixo/30*FI$4,IF(AD51+AD52+AD53+AD54+AF51+AF52+AF53+AF54&gt;2,Fixo/30*FI$4+(AD51+AD52+AD53+AD54+AF51+AF52+AF53+AF54-2)*Cadeirante/30*FI$4)))+(AC51+AC52+AC53+AE51+AE52+AE53)*Percapita/30*FI$4+(AC54+AE54)*Crechee/30*FI$4,IF(C51=1,IF(AC51+AC52+AC53+AD51+AD52+AD53+AE51+AE52+AE53+AF51+AF52+AF53&lt;=15,(AC51+AC52+AC53+AE51+AE52+AE53)*Percapita/30*FI$4,IF(AC51+AC52+AC53+AD51+AD52+AD53+AE51+AE52+AE53+AF51+AF52+AF53&gt;=16,Fixo/30*FI$4+(AC51+AC52+AC53+AD51+AD52+AD53+AE51+AE52+AE53+AF51+AF52-16)*Percapita/30*FI$4))))))</f>
        <v>0</v>
      </c>
      <c r="FJ51" s="177">
        <f>IF(C51=4,SUM(AG51+AG52+AG53+AI51+AI52+AI53)*Percapita/30*FJ$4+(AH51+AH52+AH53+AJ51+AJ52+AJ53)*Cadeirante/30*FJ$4,IF(C51=3,IF(AG54+AI54=10,Fixo/30*FJ$4+(AG51+AG52+AG53+AI51+AI52+AI53)*Percapita/30*FJ$4+(AH54+AJ54)*Cadeirante/30*FJ$4,IF(AG54+AI54&lt;=9,(AG54+AI54)*Crechee/30*FJ$4)+(AH54+AJ54)*Cadeirante/30*FJ$4+(AG51+AG52+AG53+AI51+AI52+AI53)*Percapita/30*FJ$4)+IF(AG54+AI54&gt;=11,Fixo/30*FJ$4+(AG54+AI54-10)*Crechee/30*FJ$4,0),IF(C51=2,IF(AH51+AH52+AH53+AH54+AJ51+AJ52+AJ53+AJ54=1,Cadeirante/30*FJ$4,IF(AH51+AH52+AH53+AH54+AJ51+AJ52+AJ53+AJ54=2,Fixo/30*FJ$4,IF(AH51+AH52+AH53+AH54+AJ51+AJ52+AJ53+AJ54&gt;2,Fixo/30*FJ$4+(AH51+AH52+AH53+AH54+AJ51+AJ52+AJ53+AJ54-2)*Cadeirante/30*FJ$4)))+(AG51+AG52+AG53+AI51+AI52+AI53)*Percapita/30*FJ$4+(AG54+AI54)*Crechee/30*FJ$4,IF(C51=1,IF(AG51+AG52+AG53+AH51+AH52+AH53+AI51+AI52+AI53+AJ51+AJ52+AJ53&lt;=15,(AG51+AG52+AG53+AI51+AI52+AI53)*Percapita/30*FJ$4,IF(AG51+AG52+AG53+AH51+AH52+AH53+AI51+AI52+AI53+AJ51+AJ52+AJ53&gt;=16,Fixo/30*FJ$4+(AG51+AG52+AG53+AH51+AH52+AH53+AI51+AI52+AI53+AJ51+AJ52-16)*Percapita/30*FJ$4))))))</f>
        <v>0</v>
      </c>
      <c r="FK51" s="177">
        <f>IF(C51=4,SUM(AK51+AK52+AK53+AM51+AM52+AM53)*Percapita/30*FK$4+(AL51+AL52+AL53+AN51+AN52+AN53)*Cadeirante/30*FK$4,IF(C51=3,IF(AK54+AM54=10,Fixo/30*FK$4+(AK51+AK52+AK53+AM51+AM52+AM53)*Percapita/30*FK$4+(AL54+AN54)*Cadeirante/30*FK$4,IF(AK54+AM54&lt;=9,(AK54+AM54)*Crechee/30*FK$4)+(AL54+AN54)*Cadeirante/30*FK$4+(AK51+AK52+AK53+AM51+AM52+AM53)*Percapita/30*FK$4)+IF(AK54+AM54&gt;=11,Fixo/30*FK$4+(AK54+AM54-10)*Crechee/30*FK$4,0),IF(C51=2,IF(AL51+AL52+AL53+AL54+AN51+AN52+AN53+AN54=1,Cadeirante/30*FK$4,IF(AL51+AL52+AL53+AL54+AN51+AN52+AN53+AN54=2,Fixo/30*FK$4,IF(AL51+AL52+AL53+AL54+AN51+AN52+AN53+AN54&gt;2,Fixo/30*FK$4+(AL51+AL52+AL53+AL54+AN51+AN52+AN53+AN54-2)*Cadeirante/30*FK$4)))+(AK51+AK52+AK53+AM51+AM52+AM53)*Percapita/30*FK$4+(AK54+AM54)*Crechee/30*FK$4,IF(C51=1,IF(AK51+AK52+AK53+AL51+AL52+AL53+AM51+AM52+AM53+AN51+AN52+AN53&lt;=15,(AK51+AK52+AK53+AM51+AM52+AM53)*Percapita/30*FK$4,IF(AK51+AK52+AK53+AL51+AL52+AL53+AM51+AM52+AM53+AN51+AN52+AN53&gt;=16,Fixo/30*FK$4+(AK51+AK52+AK53+AL51+AL52+AL53+AM51+AM52+AM53+AN51+AN52-16)*Percapita/30*FK$4))))))</f>
        <v>0</v>
      </c>
      <c r="FL51" s="177">
        <f>IF(C51=4,SUM(AO51+AO52+AO53+AQ51+AQ52+AQ53)*Percapita/30*FL$4+(AP51+AP52+AP53+AR51+AR52+AR53)*Cadeirante/30*FL$4,IF(C51=3,IF(AO54+AQ54=10,Fixo/30*FL$4+(AO51+AO52+AO53+AQ51+AQ52+AQ53)*Percapita/30*FL$4+(AP54+AR54)*Cadeirante/30*FL$4,IF(AO54+AQ54&lt;=9,(AO54+AQ54)*Crechee/30*FL$4)+(AP54+AR54)*Cadeirante/30*FL$4+(AO51+AO52+AO53+AQ51+AQ52+AQ53)*Percapita/30*FL$4)+IF(AO54+AQ54&gt;=11,Fixo/30*FL$4+(AO54+AQ54-10)*Crechee/30*FL$4,0),IF(C51=2,IF(AP51+AP52+AP53+AP54+AR51+AR52+AR53+AR54=1,Cadeirante/30*FL$4,IF(AP51+AP52+AP53+AP54+AR51+AR52+AR53+AR54=2,Fixo/30*FL$4,IF(AP51+AP52+AP53+AP54+AR51+AR52+AR53+AR54&gt;2,Fixo/30*FL$4+(AP51+AP52+AP53+AP54+AR51+AR52+AR53+AR54-2)*Cadeirante/30*FL$4)))+(AO51+AO52+AO53+AQ51+AQ52+AQ53)*Percapita/30*FL$4+(AO54+AQ54)*Crechee/30*FL$4,IF(C51=1,IF(AO51+AO52+AO53+AP51+AP52+AP53+AQ51+AQ52+AQ53+AR51+AR52+AR53&lt;=15,(AO51+AO52+AO53+AQ51+AQ52+AQ53)*Percapita/30*FL$4,IF(AO51+AO52+AO53+AP51+AP52+AP53+AQ51+AQ52+AQ53+AR51+AR52+AR53&gt;=16,Fixo/30*FL$4+(AO51+AO52+AO53+AP51+AP52+AP53+AQ51+AQ52+AQ53+AR51+AR52-16)*Percapita/30*FL$4))))))</f>
        <v>0</v>
      </c>
      <c r="FM51" s="177">
        <f>IF(C51=4,SUM(AS51+AS52+AS53+AU51+AU52+AU53)*Percapita/30*FM$4+(AT51+AT52+AT53+AV51+AV52+AV53)*Cadeirante/30*FM$4,IF(C51=3,IF(AS54+AU54=10,Fixo/30*FM$4+(AS51+AS52+AS53+AU51+AU52+AU53)*Percapita/30*FM$4+(AT54+AV54)*Cadeirante/30*FM$4,IF(AS54+AU54&lt;=9,(AS54+AU54)*Crechee/30*FM$4)+(AT54+AV54)*Cadeirante/30*FM$4+(AS51+AS52+AS53+AU51+AU52+AU53)*Percapita/30*FM$4)+IF(AS54+AU54&gt;=11,Fixo/30*FM$4+(AS54+AU54-10)*Crechee/30*FM$4,0),IF(C51=2,IF(AT51+AT52+AT53+AT54+AV51+AV52+AV53+AV54=1,Cadeirante/30*FM$4,IF(AT51+AT52+AT53+AT54+AV51+AV52+AV53+AV54=2,Fixo/30*FM$4,IF(AT51+AT52+AT53+AT54+AV51+AV52+AV53+AV54&gt;2,Fixo/30*FM$4+(AT51+AT52+AT53+AT54+AV51+AV52+AV53+AV54-2)*Cadeirante/30*FM$4)))+(AS51+AS52+AS53+AU51+AU52+AU53)*Percapita/30*FM$4+(AS54+AU54)*Crechee/30*FM$4,IF(C51=1,IF(AS51+AS52+AS53+AT51+AT52+AT53+AU51+AU52+AU53+AV51+AV52+AV53&lt;=15,(AS51+AS52+AS53+AU51+AU52+AU53)*Percapita/30*FM$4,IF(AS51+AS52+AS53+AT51+AT52+AT53+AU51+AU52+AU53+AV51+AV52+AV53&gt;=16,Fixo/30*FM$4+(AS51+AS52+AS53+AT51+AT52+AT53+AU51+AU52+AU53+AV51+AV52-16)*Percapita/30*FM$4))))))</f>
        <v>0</v>
      </c>
      <c r="FN51" s="177">
        <f>IF(C51=4,SUM(AW51+AW52+AW53+AY51+AY52+AY53)*Percapita/30*FN$4+(AX51+AX52+AX53+AZ51+AZ52+AZ53)*Cadeirante/30*FN$4,IF(C51=3,IF(AW54+AY54=10,Fixo/30*FN$4+(AW51+AW52+AW53+AY51+AY52+AY53)*Percapita/30*FN$4+(AX54+AZ54)*Cadeirante/30*FN$4,IF(AW54+AY54&lt;=9,(AW54+AY54)*Crechee/30*FN$4)+(AX54+AZ54)*Cadeirante/30*FN$4+(AW51+AW52+AW53+AY51+AY52+AY53)*Percapita/30*FN$4)+IF(AW54+AY54&gt;=11,Fixo/30*FN$4+(AW54+AY54-10)*Crechee/30*FN$4,0),IF(C51=2,IF(AX51+AX52+AX53+AX54+AZ51+AZ52+AZ53+AZ54=1,Cadeirante/30*FN$4,IF(AX51+AX52+AX53+AX54+AZ51+AZ52+AZ53+AZ54=2,Fixo/30*FN$4,IF(AX51+AX52+AX53+AX54+AZ51+AZ52+AZ53+AZ54&gt;2,Fixo/30*FN$4+(AX51+AX52+AX53+AX54+AZ51+AZ52+AZ53+AZ54-2)*Cadeirante/30*FN$4)))+(AW51+AW52+AW53+AY51+AY52+AY53)*Percapita/30*FN$4+(AW54+AY54)*Crechee/30*FN$4,IF(C51=1,IF(AW51+AW52+AW53+AX51+AX52+AX53+AY51+AY52+AY53+AZ51+AZ52+AZ53&lt;=15,(AW51+AW52+AW53+AY51+AY52+AY53)*Percapita/30*FN$4,IF(AW51+AW52+AW53+AX51+AX52+AX53+AY51+AY52+AY53+AZ51+AZ52+AZ53&gt;=16,Fixo/30*FN$4+(AW51+AW52+AW53+AX51+AX52+AX53+AY51+AY52+AY53+AZ51+AZ52-16)*Percapita/30*FN$4))))))</f>
        <v>0</v>
      </c>
      <c r="FO51" s="177">
        <f>IF(C51=4,SUM(BA51+BA52+BA53+BC51+BC52+BC53)*Percapita/30*FO$4+(BB51+BB52+BB53+BD51+BD52+BD53)*Cadeirante/30*FO$4,IF(C51=3,IF(BA54+BC54=10,Fixo/30*FO$4+(BA51+BA52+BA53+BC51+BC52+BC53)*Percapita/30*FO$4+(BB54+BD54)*Cadeirante/30*FO$4,IF(BA54+BC54&lt;=9,(BA54+BC54)*Crechee/30*FO$4)+(BB54+BD54)*Cadeirante/30*FO$4+(BA51+BA52+BA53+BC51+BC52+BC53)*Percapita/30*FO$4)+IF(BA54+BC54&gt;=11,Fixo/30*FO$4+(BA54+BC54-10)*Crechee/30*FO$4,0),IF(C51=2,IF(BB51+BB52+BB53+BB54+BD51+BD52+BD53+BD54=1,Cadeirante/30*FO$4,IF(BB51+BB52+BB53+BB54+BD51+BD52+BD53+BD54=2,Fixo/30*FO$4,IF(BB51+BB52+BB53+BB54+BD51+BD52+BD53+BD54&gt;2,Fixo/30*FO$4+(BB51+BB52+BB53+BB54+BD51+BD52+BD53+BD54-2)*Cadeirante/30*FO$4)))+(BA51+BA52+BA53+BC51+BC52+BC53)*Percapita/30*FO$4+(BA54+BC54)*Crechee/30*FO$4,IF(C51=1,IF(BA51+BA52+BA53+BB51+BB52+BB53+BC51+BC52+BC53+BD51+BD52+BD53&lt;=15,(BA51+BA52+BA53+BC51+BC52+BC53)*Percapita/30*FO$4,IF(BA51+BA52+BA53+BB51+BB52+BB53+BC51+BC52+BC53+BD51+BD52+BD53&gt;=16,Fixo/30*FO$4+(BA51+BA52+BA53+BB51+BB52+BB53+BC51+BC52+BC53+BD51+BD52-16)*Percapita/30*FO$4))))))</f>
        <v>0</v>
      </c>
      <c r="FP51" s="177">
        <f>IF(C51=4,SUM(BE51+BE52+BE53+BG51+BG52+BG53)*Percapita/30*FP$4+(BF51+BF52+BF53+BH51+BH52+BH53)*Cadeirante/30*FP$4,IF(C51=3,IF(BE54+BG54=10,Fixo/30*FP$4+(BE51+BE52+BE53+BG51+BG52+BG53)*Percapita/30*FP$4+(BF54+BH54)*Cadeirante/30*FP$4,IF(BE54+BG54&lt;=9,(BE54+BG54)*Crechee/30*FP$4)+(BF54+BH54)*Cadeirante/30*FP$4+(BE51+BE52+BE53+BG51+BG52+BG53)*Percapita/30*FP$4)+IF(BE54+BG54&gt;=11,Fixo/30*FP$4+(BE54+BG54-10)*Crechee/30*FP$4,0),IF(C51=2,IF(BF51+BF52+BF53+BF54+BH51+BH52+BH53+BH54=1,Cadeirante/30*FP$4,IF(BF51+BF52+BF53+BF54+BH51+BH52+BH53+BH54=2,Fixo/30*FP$4,IF(BF51+BF52+BF53+BF54+BH51+BH52+BH53+BH54&gt;2,Fixo/30*FP$4+(BF51+BF52+BF53+BF54+BH51+BH52+BH53+BH54-2)*Cadeirante/30*FP$4)))+(BE51+BE52+BE53+BG51+BG52+BG53)*Percapita/30*FP$4+(BE54+BG54)*Crechee/30*FP$4,IF(C51=1,IF(BE51+BE52+BE53+BF51+BF52+BF53+BG51+BG52+BG53+BH51+BH52+BH53&lt;=15,(BE51+BE52+BE53+BG51+BG52+BG53)*Percapita/30*FP$4,IF(BE51+BE52+BE53+BF51+BF52+BF53+BG51+BG52+BG53+BH51+BH52+BH53&gt;=16,Fixo/30*FP$4+(BE51+BE52+BE53+BF51+BF52+BF53+BG51+BG52+BG53+BH51+BH52-16)*Percapita/30*FP$4))))))</f>
        <v>0</v>
      </c>
      <c r="FQ51" s="177">
        <f>IF(C51=4,SUM(BI51+BI52+BI53+BK51+BK52+BK53)*Percapita/30*FQ$4+(BJ51+BJ52+BJ53+BL51+BL52+BL53)*Cadeirante/30*FQ$4,IF(C51=3,IF(BI54+BK54=10,Fixo/30*FQ$4+(BI51+BI52+BI53+BK51+BK52+BK53)*Percapita/30*FQ$4+(BJ54+BL54)*Cadeirante/30*FQ$4,IF(BI54+BK54&lt;=9,(BI54+BK54)*Crechee/30*FQ$4)+(BJ54+BL54)*Cadeirante/30*FQ$4+(BI51+BI52+BI53+BK51+BK52+BK53)*Percapita/30*FQ$4)+IF(BI54+BK54&gt;=11,Fixo/30*FQ$4+(BI54+BK54-10)*Crechee/30*FQ$4,0),IF(C51=2,IF(BJ51+BJ52+BJ53+BJ54+BL51+BL52+BL53+BL54=1,Cadeirante/30*FQ$4,IF(BJ51+BJ52+BJ53+BJ54+BL51+BL52+BL53+BL54=2,Fixo/30*FQ$4,IF(BJ51+BJ52+BJ53+BJ54+BL51+BL52+BL53+BL54&gt;2,Fixo/30*FQ$4+(BJ51+BJ52+BJ53+BJ54+BL51+BL52+BL53+BL54-2)*Cadeirante/30*FQ$4)))+(BI51+BI52+BI53+BK51+BK52+BK53)*Percapita/30*FQ$4+(BI54+BK54)*Crechee/30*FQ$4,IF(C51=1,IF(BI51+BI52+BI53+BJ51+BJ52+BJ53+BK51+BK52+BK53+BL51+BL52+BL53&lt;=15,(BI51+BI52+BI53+BK51+BK52+BK53)*Percapita/30*FQ$4,IF(BI51+BI52+BI53+BJ51+BJ52+BJ53+BK51+BK52+BK53+BL51+BL52+BL53&gt;=16,Fixo/30*FQ$4+(BI51+BI52+BI53+BJ51+BJ52+BJ53+BK51+BK52+BK53+BL51+BL52-16)*Percapita/30*FQ$4))))))</f>
        <v>0</v>
      </c>
      <c r="FR51" s="177">
        <f>IF(C51=4,SUM(BM51+BM52+BM53+BO51+BO52+BO53)*Percapita/30*FR$4+(BN51+BN52+BN53+BP51+BP52+BP53)*Cadeirante/30*FR$4,IF(C51=3,IF(BM54+BO54=10,Fixo/30*FR$4+(BM51+BM52+BM53+BO51+BO52+BO53)*Percapita/30*FR$4+(BN54+BP54)*Cadeirante/30*FR$4,IF(BM54+BO54&lt;=9,(BM54+BO54)*Crechee/30*FR$4)+(BN54+BP54)*Cadeirante/30*FR$4+(BM51+BM52+BM53+BO51+BO52+BO53)*Percapita/30*FR$4)+IF(BM54+BO54&gt;=11,Fixo/30*FR$4+(BM54+BO54-10)*Crechee/30*FR$4,0),IF(C51=2,IF(BN51+BN52+BN53+BN54+BP51+BP52+BP53+BP54=1,Cadeirante/30*FR$4,IF(BN51+BN52+BN53+BN54+BP51+BP52+BP53+BP54=2,Fixo/30*FR$4,IF(BN51+BN52+BN53+BN54+BP51+BP52+BP53+BP54&gt;2,Fixo/30*FR$4+(BN51+BN52+BN53+BN54+BP51+BP52+BP53+BP54-2)*Cadeirante/30*FR$4)))+(BM51+BM52+BM53+BO51+BO52+BO53)*Percapita/30*FR$4+(BM54+BO54)*Crechee/30*FR$4,IF(C51=1,IF(BM51+BM52+BM53+BN51+BN52+BN53+BO51+BO52+BO53+BP51+BP52+BP53&lt;=15,(BM51+BM52+BM53+BO51+BO52+BO53)*Percapita/30*FR$4,IF(BM51+BM52+BM53+BN51+BN52+BN53+BO51+BO52+BO53+BP51+BP52+BP53&gt;=16,Fixo/30*FR$4+(BM51+BM52+BM53+BN51+BN52+BN53+BO51+BO52+BO53+BP51+BP52-16)*Percapita/30*FR$4))))))</f>
        <v>0</v>
      </c>
      <c r="FS51" s="177">
        <f>IF(C51=4,SUM(BQ51+BQ52+BQ53+BS51+BS52+BS53)*Percapita/30*FS$4+(BR51+BR52+BR53+BT51+BT52+BT53)*Cadeirante/30*FS$4,IF(C51=3,IF(BQ54+BS54=10,Fixo/30*FS$4+(BQ51+BQ52+BQ53+BS51+BS52+BS53)*Percapita/30*FS$4+(BR54+BT54)*Cadeirante/30*FS$4,IF(BQ54+BS54&lt;=9,(BQ54+BS54)*Crechee/30*FS$4)+(BR54+BT54)*Cadeirante/30*FS$4+(BQ51+BQ52+BQ53+BS51+BS52+BS53)*Percapita/30*FS$4)+IF(BQ54+BS54&gt;=11,Fixo/30*FS$4+(BQ54+BS54-10)*Crechee/30*FS$4,0),IF(C51=2,IF(BR51+BR52+BR53+BR54+BT51+BT52+BT53+BT54=1,Cadeirante/30*FS$4,IF(BR51+BR52+BR53+BR54+BT51+BT52+BT53+BT54=2,Fixo/30*FS$4,IF(BR51+BR52+BR53+BR54+BT51+BT52+BT53+BT54&gt;2,Fixo/30*FS$4+(BR51+BR52+BR53+BR54+BT51+BT52+BT53+BT54-2)*Cadeirante/30*FS$4)))+(BQ51+BQ52+BQ53+BS51+BS52+BS53)*Percapita/30*FS$4+(BQ54+BS54)*Crechee/30*FS$4,IF(C51=1,IF(BQ51+BQ52+BQ53+BR51+BR52+BR53+BS51+BS52+BS53+BT51+BT52+BT53&lt;=15,(BQ51+BQ52+BQ53+BS51+BS52+BS53)*Percapita/30*FS$4,IF(BQ51+BQ52+BQ53+BR51+BR52+BR53+BS51+BS52+BS53+BT51+BT52+BT53&gt;=16,Fixo/30*FS$4+(BQ51+BQ52+BQ53+BR51+BR52+BR53+BS51+BS52+BS53+BT51+BT52-16)*Percapita/30*FS$4))))))</f>
        <v>0</v>
      </c>
      <c r="FT51" s="177">
        <f>IF(C51=4,SUM(BU51+BU52+BU53+BW51+BW52+BW53)*Percapita/30*FT$4+(BV51+BV52+BV53+BX51+BX52+BX53)*Cadeirante/30*FT$4,IF(C51=3,IF(BU54+BW54=10,Fixo/30*FT$4+(BU51+BU52+BU53+BW51+BW52+BW53)*Percapita/30*FT$4+(BV54+BX54)*Cadeirante/30*FT$4,IF(BU54+BW54&lt;=9,(BU54+BW54)*Crechee/30*FT$4)+(BV54+BX54)*Cadeirante/30*FT$4+(BU51+BU52+BU53+BW51+BW52+BW53)*Percapita/30*FT$4)+IF(BU54+BW54&gt;=11,Fixo/30*FT$4+(BU54+BW54-10)*Crechee/30*FT$4,0),IF(C51=2,IF(BV51+BV52+BV53+BV54+BX51+BX52+BX53+BX54=1,Cadeirante/30*FT$4,IF(BV51+BV52+BV53+BV54+BX51+BX52+BX53+BX54=2,Fixo/30*FT$4,IF(BV51+BV52+BV53+BV54+BX51+BX52+BX53+BX54&gt;2,Fixo/30*FT$4+(BV51+BV52+BV53+BV54+BX51+BX52+BX53+BX54-2)*Cadeirante/30*FT$4)))+(BU51+BU52+BU53+BW51+BW52+BW53)*Percapita/30*FT$4+(BU54+BW54)*Crechee/30*FT$4,IF(C51=1,IF(BU51+BU52+BU53+BV51+BV52+BV53+BW51+BW52+BW53+BX51+BX52+BX53&lt;=15,(BU51+BU52+BU53+BW51+BW52+BW53)*Percapita/30*FT$4,IF(BU51+BU52+BU53+BV51+BV52+BV53+BW51+BW52+BW53+BX51+BX52+BX53&gt;=16,Fixo/30*FT$4+(BU51+BU52+BU53+BV51+BV52+BV53+BW51+BW52+BW53+BX51+BX52-16)*Percapita/30*FT$4))))))</f>
        <v>0</v>
      </c>
      <c r="FU51" s="177">
        <f>IF(C51=4,SUM(BY51+BY52+BY53+CA51+CA52+CA53)*Percapita/30*FU$4+(BZ51+BZ52+BZ53+CB51+CB52+CB53)*Cadeirante/30*FU$4,IF(C51=3,IF(BY54+CA54=10,Fixo/30*FU$4+(BY51+BY52+BY53+CA51+CA52+CA53)*Percapita/30*FU$4+(BZ54+CB54)*Cadeirante/30*FU$4,IF(BY54+CA54&lt;=9,(BY54+CA54)*Crechee/30*FU$4)+(BZ54+CB54)*Cadeirante/30*FU$4+(BY51+BY52+BY53+CA51+CA52+CA53)*Percapita/30*FU$4)+IF(BY54+CA54&gt;=11,Fixo/30*FU$4+(BY54+CA54-10)*Crechee/30*FU$4,0),IF(C51=2,IF(BZ51+BZ52+BZ53+BZ54+CB51+CB52+CB53+CB54=1,Cadeirante/30*FU$4,IF(BZ51+BZ52+BZ53+BZ54+CB51+CB52+CB53+CB54=2,Fixo/30*FU$4,IF(BZ51+BZ52+BZ53+BZ54+CB51+CB52+CB53+CB54&gt;2,Fixo/30*FU$4+(BZ51+BZ52+BZ53+BZ54+CB51+CB52+CB53+CB54-2)*Cadeirante/30*FU$4)))+(BY51+BY52+BY53+CA51+CA52+CA53)*Percapita/30*FU$4+(BY54+CA54)*Crechee/30*FU$4,IF(C51=1,IF(BY51+BY52+BY53+BZ51+BZ52+BZ53+CA51+CA52+CA53+CB51+CB52+CB53&lt;=15,(BY51+BY52+BY53+CA51+CA52+CA53)*Percapita/30*FU$4,IF(BY51+BY52+BY53+BZ51+BZ52+BZ53+CA51+CA52+CA53+CB51+CB52+CB53&gt;=16,Fixo/30*FU$4+(BY51+BY52+BY53+BZ51+BZ52+BZ53+CA51+CA52+CA53+CB51+CB52-16)*Percapita/30*FU$4))))))</f>
        <v>0</v>
      </c>
      <c r="FV51" s="177">
        <f>IF(C51=4,SUM(CC51+CC52+CC53+CE51+CE52+CE53)*Percapita/30*FV$4+(CD51+CD52+CD53+CF51+CF52+CF53)*Cadeirante/30*FV$4,IF(C51=3,IF(CC54+CE54=10,Fixo/30*FV$4+(CC51+CC52+CC53+CE51+CE52+CE53)*Percapita/30*FV$4+(CD54+CF54)*Cadeirante/30*FV$4,IF(CC54+CE54&lt;=9,(CC54+CE54)*Crechee/30*FV$4)+(CD54+CF54)*Cadeirante/30*FV$4+(CC51+CC52+CC53+CE51+CE52+CE53)*Percapita/30*FV$4)+IF(CC54+CE54&gt;=11,Fixo/30*FV$4+(CC54+CE54-10)*Crechee/30*FV$4,0),IF(C51=2,IF(CD51+CD52+CD53+CD54+CF51+CF52+CF53+CF54=1,Cadeirante/30*FV$4,IF(CD51+CD52+CD53+CD54+CF51+CF52+CF53+CF54=2,Fixo/30*FV$4,IF(CD51+CD52+CD53+CD54+CF51+CF52+CF53+CF54&gt;2,Fixo/30*FV$4+(CD51+CD52+CD53+CD54+CF51+CF52+CF53+CF54-2)*Cadeirante/30*FV$4)))+(CC51+CC52+CC53+CE51+CE52+CE53)*Percapita/30*FV$4+(CC54+CE54)*Crechee/30*FV$4,IF(C51=1,IF(CC51+CC52+CC53+CD51+CD52+CD53+CE51+CE52+CE53+CF51+CF52+CF53&lt;=15,(CC51+CC52+CC53+CE51+CE52+CE53)*Percapita/30*FV$4,IF(CC51+CC52+CC53+CD51+CD52+CD53+CE51+CE52+CE53+CF51+CF52+CF53&gt;=16,Fixo/30*FV$4+(CC51+CC52+CC53+CD51+CD52+CD53+CE51+CE52+CE53+CF51+CF52-16)*Percapita/30*FV$4))))))</f>
        <v>0</v>
      </c>
      <c r="FW51" s="177">
        <f>IF(C51=4,SUM(CG51+CG52+CG53+CI51+CI52+CI53)*Percapita/30*FW$4+(CH51+CH52+CH53+CJ51+CJ52+CJ53)*Cadeirante/30*FW$4,IF(C51=3,IF(CG54+CI54=10,Fixo/30*FW$4+(CG51+CG52+CG53+CI51+CI52+CI53)*Percapita/30*FW$4+(CH54+CJ54)*Cadeirante/30*FW$4,IF(CG54+CI54&lt;=9,(CG54+CI54)*Crechee/30*FW$4)+(CH54+CJ54)*Cadeirante/30*FW$4+(CG51+CG52+CG53+CI51+CI52+CI53)*Percapita/30*FW$4)+IF(CG54+CI54&gt;=11,Fixo/30*FW$4+(CG54+CI54-10)*Crechee/30*FW$4,0),IF(C51=2,IF(CH51+CH52+CH53+CH54+CJ51+CJ52+CJ53+CJ54=1,Cadeirante/30*FW$4,IF(CH51+CH52+CH53+CH54+CJ51+CJ52+CJ53+CJ54=2,Fixo/30*FW$4,IF(CH51+CH52+CH53+CH54+CJ51+CJ52+CJ53+CJ54&gt;2,Fixo/30*FW$4+(CH51+CH52+CH53+CH54+CJ51+CJ52+CJ53+CJ54-2)*Cadeirante/30*FW$4)))+(CG51+CG52+CG53+CI51+CI52+CI53)*Percapita/30*FW$4+(CG54+CI54)*Crechee/30*FW$4,IF(C51=1,IF(CG51+CG52+CG53+CH51+CH52+CH53+CI51+CI52+CI53+CJ51+CJ52+CJ53&lt;=15,(CG51+CG52+CG53+CI51+CI52+CI53)*Percapita/30*FW$4,IF(CG51+CG52+CG53+CH51+CH52+CH53+CI51+CI52+CI53+CJ51+CJ52+CJ53&gt;=16,Fixo/30*FW$4+(CG51+CG52+CG53+CH51+CH52+CH53+CI51+CI52+CI53+CJ51+CJ52-16)*Percapita/30*FW$4))))))</f>
        <v>0</v>
      </c>
      <c r="FX51" s="177">
        <f>IF(C51=4,SUM(CK51+CK52+CK53+CM51+CM52+CM53)*Percapita/30*FX$4+(CL51+CL52+CL53+CN51+CN52+CN53)*Cadeirante/30*FX$4,IF(C51=3,IF(CK54+CM54=10,Fixo/30*FX$4+(CK51+CK52+CK53+CM51+CM52+CM53)*Percapita/30*FX$4+(CL54+CN54)*Cadeirante/30*FX$4,IF(CK54+CM54&lt;=9,(CK54+CM54)*Crechee/30*FX$4)+(CL54+CN54)*Cadeirante/30*FX$4+(CK51+CK52+CK53+CM51+CM52+CM53)*Percapita/30*FX$4)+IF(CK54+CM54&gt;=11,Fixo/30*FX$4+(CK54+CM54-10)*Crechee/30*FX$4,0),IF(C51=2,IF(CL51+CL52+CL53+CL54+CN51+CN52+CN53+CN54=1,Cadeirante/30*FX$4,IF(CL51+CL52+CL53+CL54+CN51+CN52+CN53+CN54=2,Fixo/30*FX$4,IF(CL51+CL52+CL53+CL54+CN51+CN52+CN53+CN54&gt;2,Fixo/30*FX$4+(CL51+CL52+CL53+CL54+CN51+CN52+CN53+CN54-2)*Cadeirante/30*FX$4)))+(CK51+CK52+CK53+CM51+CM52+CM53)*Percapita/30*FX$4+(CK54+CM54)*Crechee/30*FX$4,IF(C51=1,IF(CK51+CK52+CK53+CL51+CL52+CL53+CM51+CM52+CM53+CN51+CN52+CN53&lt;=15,(CK51+CK52+CK53+CM51+CM52+CM53)*Percapita/30*FX$4,IF(CK51+CK52+CK53+CL51+CL52+CL53+CM51+CM52+CM53+CN51+CN52+CN53&gt;=16,Fixo/30*FX$4+(CK51+CK52+CK53+CL51+CL52+CL53+CM51+CM52+CM53+CN51+CN52-16)*Percapita/30*FX$4))))))</f>
        <v>0</v>
      </c>
      <c r="FY51" s="177">
        <f>IF(C51=4,SUM(CO51+CO52+CO53+CQ51+CQ52+CQ53)*Percapita/30*FY$4+(CP51+CP52+CP53+CR51+CR52+CR53)*Cadeirante/30*FY$4,IF(C51=3,IF(CO54+CQ54=10,Fixo/30*FY$4+(CO51+CO52+CO53+CQ51+CQ52+CQ53)*Percapita/30*FY$4+(CP54+CR54)*Cadeirante/30*FY$4,IF(CO54+CQ54&lt;=9,(CO54+CQ54)*Crechee/30*FY$4)+(CP54+CR54)*Cadeirante/30*FY$4+(CO51+CO52+CO53+CQ51+CQ52+CQ53)*Percapita/30*FY$4)+IF(CO54+CQ54&gt;=11,Fixo/30*FY$4+(CO54+CQ54-10)*Crechee/30*FY$4,0),IF(C51=2,IF(CP51+CP52+CP53+CP54+CR51+CR52+CR53+CR54=1,Cadeirante/30*FY$4,IF(CP51+CP52+CP53+CP54+CR51+CR52+CR53+CR54=2,Fixo/30*FY$4,IF(CP51+CP52+CP53+CP54+CR51+CR52+CR53+CR54&gt;2,Fixo/30*FY$4+(CP51+CP52+CP53+CP54+CR51+CR52+CR53+CR54-2)*Cadeirante/30*FY$4)))+(CO51+CO52+CO53+CQ51+CQ52+CQ53)*Percapita/30*FY$4+(CO54+CQ54)*Crechee/30*FY$4,IF(C51=1,IF(CO51+CO52+CO53+CP51+CP52+CP53+CQ51+CQ52+CQ53+CR51+CR52+CR53&lt;=15,(CO51+CO52+CO53+CQ51+CQ52+CQ53)*Percapita/30*FY$4,IF(CO51+CO52+CO53+CP51+CP52+CP53+CQ51+CQ52+CQ53+CR51+CR52+CR53&gt;=16,Fixo/30*FY$4+(CO51+CO52+CO53+CP51+CP52+CP53+CQ51+CQ52+CQ53+CR51+CR52-16)*Percapita/30*FY$4))))))</f>
        <v>0</v>
      </c>
      <c r="FZ51" s="177">
        <f>IF(C51=4,SUM(CS51+CS52+CS53+CU51+CU52+CU53)*Percapita/30*FZ$4+(CT51+CT52+CT53+CV51+CV52+CV53)*Cadeirante/30*FZ$4,IF(C51=3,IF(CS54+CU54=10,Fixo/30*FZ$4+(CS51+CS52+CS53+CU51+CU52+CU53)*Percapita/30*FZ$4+(CT54+CV54)*Cadeirante/30*FZ$4,IF(CS54+CU54&lt;=9,(CS54+CU54)*Crechee/30*FZ$4)+(CT54+CV54)*Cadeirante/30*FZ$4+(CS51+CS52+CS53+CU51+CU52+CU53)*Percapita/30*FZ$4)+IF(CS54+CU54&gt;=11,Fixo/30*FZ$4+(CS54+CU54-10)*Crechee/30*FZ$4,0),IF(C51=2,IF(CT51+CT52+CT53+CT54+CV51+CV52+CV53+CV54=1,Cadeirante/30*FZ$4,IF(CT51+CT52+CT53+CT54+CV51+CV52+CV53+CV54=2,Fixo/30*FZ$4,IF(CT51+CT52+CT53+CT54+CV51+CV52+CV53+CV54&gt;2,Fixo/30*FZ$4+(CT51+CT52+CT53+CT54+CV51+CV52+CV53+CV54-2)*Cadeirante/30*FZ$4)))+(CS51+CS52+CS53+CU51+CU52+CU53)*Percapita/30*FZ$4+(CS54+CU54)*Crechee/30*FZ$4,IF(C51=1,IF(CS51+CS52+CS53+CT51+CT52+CT53+CU51+CU52+CU53+CV51+CV52+CV53&lt;=15,(CS51+CS52+CS53+CU51+CU52+CU53)*Percapita/30*FZ$4,IF(CS51+CS52+CS53+CT51+CT52+CT53+CU51+CU52+CU53+CV51+CV52+CV53&gt;=16,Fixo/30*FZ$4+(CS51+CS52+CS53+CT51+CT52+CT53+CU51+CU52+CU53+CV51+CV52-16)*Percapita/30*FZ$4))))))</f>
        <v>0</v>
      </c>
      <c r="GA51" s="177">
        <f>IF(C51=4,SUM(CW51+CW52+CW53+CY51+CY52+CY53)*Percapita/30*GA$4+(CX51+CX52+CX53+CZ51+CZ52+CZ53)*Cadeirante/30*GA$4,IF(C51=3,IF(CW54+CY54=10,Fixo/30*GA$4+(CW51+CW52+CW53+CY51+CY52+CY53)*Percapita/30*GA$4+(CX54+CZ54)*Cadeirante/30*GA$4,IF(CW54+CY54&lt;=9,(CW54+CY54)*Crechee/30*GA$4)+(CX54+CZ54)*Cadeirante/30*GA$4+(CW51+CW52+CW53+CY51+CY52+CY53)*Percapita/30*GA$4)+IF(CW54+CY54&gt;=11,Fixo/30*GA$4+(CW54+CY54-10)*Crechee/30*GA$4,0),IF(C51=2,IF(CX51+CX52+CX53+CX54+CZ51+CZ52+CZ53+CZ54=1,Cadeirante/30*GA$4,IF(CX51+CX52+CX53+CX54+CZ51+CZ52+CZ53+CZ54=2,Fixo/30*GA$4,IF(CX51+CX52+CX53+CX54+CZ51+CZ52+CZ53+CZ54&gt;2,Fixo/30*GA$4+(CX51+CX52+CX53+CX54+CZ51+CZ52+CZ53+CZ54-2)*Cadeirante/30*GA$4)))+(CW51+CW52+CW53+CY51+CY52+CY53)*Percapita/30*GA$4+(CW54+CY54)*Crechee/30*GA$4,IF(C51=1,IF(CW51+CW52+CW53+CX51+CX52+CX53+CY51+CY52+CY53+CZ51+CZ52+CZ53&lt;=15,(CW51+CW52+CW53+CY51+CY52+CY53)*Percapita/30*GA$4,IF(CW51+CW52+CW53+CX51+CX52+CX53+CY51+CY52+CY53+CZ51+CZ52+CZ53&gt;=16,Fixo/30*GA$4+(CW51+CW52+CW53+CX51+CX52+CX53+CY51+CY52+CY53+CZ51+CZ52-16)*Percapita/30*GA$4))))))</f>
        <v>0</v>
      </c>
      <c r="GB51" s="177">
        <f>IF(C51=4,SUM(DA51+DA52+DA53+DC51+DC52+DC53)*Percapita/30*GB$4+(DB51+DB52+DB53+DD51+DD52+DD53)*Cadeirante/30*GB$4,IF(C51=3,IF(DA54+DC54=10,Fixo/30*GB$4+(DA51+DA52+DA53+DC51+DC52+DC53)*Percapita/30*GB$4+(DB54+DD54)*Cadeirante/30*GB$4,IF(DA54+DC54&lt;=9,(DA54+DC54)*Crechee/30*GB$4)+(DB54+DD54)*Cadeirante/30*GB$4+(DA51+DA52+DA53+DC51+DC52+DC53)*Percapita/30*GB$4)+IF(DA54+DC54&gt;=11,Fixo/30*GB$4+(DA54+DC54-10)*Crechee/30*GB$4,0),IF(C51=2,IF(DB51+DB52+DB53+DB54+DD51+DD52+DD53+DD54=1,Cadeirante/30*GB$4,IF(DB51+DB52+DB53+DB54+DD51+DD52+DD53+DD54=2,Fixo/30*GB$4,IF(DB51+DB52+DB53+DB54+DD51+DD52+DD53+DD54&gt;2,Fixo/30*GB$4+(DB51+DB52+DB53+DB54+DD51+DD52+DD53+DD54-2)*Cadeirante/30*GB$4)))+(DA51+DA52+DA53+DC51+DC52+DC53)*Percapita/30*GB$4+(DA54+DC54)*Crechee/30*GB$4,IF(C51=1,IF(DA51+DA52+DA53+DB51+DB52+DB53+DC51+DC52+DC53+DD51+DD52+DD53&lt;=15,(DA51+DA52+DA53+DC51+DC52+DC53)*Percapita/30*GB$4,IF(DA51+DA52+DA53+DB51+DB52+DB53+DC51+DC52+DC53+DD51+DD52+DD53&gt;=16,Fixo/30*GB$4+(DA51+DA52+DA53+DB51+DB52+DB53+DC51+DC52+DC53+DD51+DD52-16)*Percapita/30*GB$4))))))</f>
        <v>0</v>
      </c>
      <c r="GC51" s="177">
        <f>IF(C51=4,SUM(DE51+DE52+DE53+DG51+DG52+DG53)*Percapita/30*GC$4+(DF51+DF52+DF53+DH51+DH52+DH53)*Cadeirante/30*GC$4,IF(C51=3,IF(DE54+DG54=10,Fixo/30*GC$4+(DE51+DE52+DE53+DG51+DG52+DG53)*Percapita/30*GC$4+(DF54+DH54)*Cadeirante/30*GC$4,IF(DE54+DG54&lt;=9,(DE54+DG54)*Crechee/30*GC$4)+(DF54+DH54)*Cadeirante/30*GC$4+(DE51+DE52+DE53+DG51+DG52+DG53)*Percapita/30*GC$4)+IF(DE54+DG54&gt;=11,Fixo/30*GC$4+(DE54+DG54-10)*Crechee/30*GC$4,0),IF(C51=2,IF(DF51+DF52+DF53+DF54+DH51+DH52+DH53+DH54=1,Cadeirante/30*GC$4,IF(DF51+DF52+DF53+DF54+DH51+DH52+DH53+DH54=2,Fixo/30*GC$4,IF(DF51+DF52+DF53+DF54+DH51+DH52+DH53+DH54&gt;2,Fixo/30*GC$4+(DF51+DF52+DF53+DF54+DH51+DH52+DH53+DH54-2)*Cadeirante/30*GC$4)))+(DE51+DE52+DE53+DG51+DG52+DG53)*Percapita/30*GC$4+(DE54+DG54)*Crechee/30*GC$4,IF(C51=1,IF(DE51+DE52+DE53+DF51+DF52+DF53+DG51+DG52+DG53+DH51+DH52+DH53&lt;=15,(DE51+DE52+DE53+DG51+DG52+DG53)*Percapita/30*GC$4,IF(DE51+DE52+DE53+DF51+DF52+DF53+DG51+DG52+DG53+DH51+DH52+DH53&gt;=16,Fixo/30*GC$4+(DE51+DE52+DE53+DF51+DF52+DF53+DG51+DG52+DG53+DH51+DH52-16)*Percapita/30*GC$4))))))</f>
        <v>0</v>
      </c>
      <c r="GD51" s="177">
        <f>IF(C51=4,SUM(DI51+DI52+DI53+DK51+DK52+DK53)*Percapita/30*GD$4+(DJ51+DJ52+DJ53+DL51+DL52+DL53)*Cadeirante/30*GD$4,IF(C51=3,IF(DI54+DK54=10,Fixo/30*GD$4+(DI51+DI52+DI53+DK51+DK52+DK53)*Percapita/30*GD$4+(DJ54+DL54)*Cadeirante/30*GD$4,IF(DI54+DK54&lt;=9,(DI54+DK54)*Crechee/30*GD$4)+(DJ54+DL54)*Cadeirante/30*GD$4+(DI51+DI52+DI53+DK51+DK52+DK53)*Percapita/30*GD$4)+IF(DI54+DK54&gt;=11,Fixo/30*GD$4+(DI54+DK54-10)*Crechee/30*GD$4,0),IF(C51=2,IF(DJ51+DJ52+DJ53+DJ54+DL51+DL52+DL53+DL54=1,Cadeirante/30*GD$4,IF(DJ51+DJ52+DJ53+DJ54+DL51+DL52+DL53+DL54=2,Fixo/30*GD$4,IF(DJ51+DJ52+DJ53+DJ54+DL51+DL52+DL53+DL54&gt;2,Fixo/30*GD$4+(DJ51+DJ52+DJ53+DJ54+DL51+DL52+DL53+DL54-2)*Cadeirante/30*GD$4)))+(DI51+DI52+DI53+DK51+DK52+DK53)*Percapita/30*GD$4+(DI54+DK54)*Crechee/30*GD$4,IF(C51=1,IF(DI51+DI52+DI53+DJ51+DJ52+DJ53+DK51+DK52+DK53+DL51+DL52+DL53&lt;=15,(DI51+DI52+DI53+DK51+DK52+DK53)*Percapita/30*GD$4,IF(DI51+DI52+DI53+DJ51+DJ52+DJ53+DK51+DK52+DK53+DL51+DL52+DL53&gt;=16,Fixo/30*GD$4+(DI51+DI52+DI53+DJ51+DJ52+DJ53+DK51+DK52+DK53+DL51+DL52-16)*Percapita/30*GD$4))))))</f>
        <v>0</v>
      </c>
      <c r="GE51" s="177">
        <f>IF(C51=4,SUM(DM51+DM52+DM53+DO51+DO52+DO53)*Percapita/30*GE$4+(DN51+DN52+DN53+DP51+DP52+DP53)*Cadeirante/30*GE$4,IF(C51=3,IF(DM54+DO54=10,Fixo/30*GE$4+(DM51+DM52+DM53+DO51+DO52+DO53)*Percapita/30*GE$4+(DN54+DP54)*Cadeirante/30*GE$4,IF(DM54+DO54&lt;=9,(DM54+DO54)*Crechee/30*GE$4)+(DN54+DP54)*Cadeirante/30*GE$4+(DM51+DM52+DM53+DO51+DO52+DO53)*Percapita/30*GE$4)+IF(DM54+DO54&gt;=11,Fixo/30*GE$4+(DM54+DO54-10)*Crechee/30*GE$4,0),IF(C51=2,IF(DN51+DN52+DN53+DN54+DP51+DP52+DP53+DP54=1,Cadeirante/30*GE$4,IF(DN51+DN52+DN53+DN54+DP51+DP52+DP53+DP54=2,Fixo/30*GE$4,IF(DN51+DN52+DN53+DN54+DP51+DP52+DP53+DP54&gt;2,Fixo/30*GE$4+(DN51+DN52+DN53+DN54+DP51+DP52+DP53+DP54-2)*Cadeirante/30*GE$4)))+(DM51+DM52+DM53+DO51+DO52+DO53)*Percapita/30*GE$4+(DM54+DO54)*Crechee/30*GE$4,IF(C51=1,IF(DM51+DM52+DM53+DN51+DN52+DN53+DO51+DO52+DO53+DP51+DP52+DP53&lt;=15,(DM51+DM52+DM53+DO51+DO52+DO53)*Percapita/30*GE$4,IF(DM51+DM52+DM53+DN51+DN52+DN53+DO51+DO52+DO53+DP51+DP52+DP53&gt;=16,Fixo/30*GE$4+(DM51+DM52+DM53+DN51+DN52+DN53+DO51+DO52+DO53+DP51+DP52-16)*Percapita/30*GE$4))))))</f>
        <v>0</v>
      </c>
      <c r="GF51" s="177">
        <f>IF(C51=4,SUM(DQ51+DQ52+DQ53+DS51+DS52+DS53)*Percapita/30*GF$4+(DR51+DR52+DR53+DT51+DT52+DT53)*Cadeirante/30*GF$4,IF(C51=3,IF(DQ54+DS54=10,Fixo/30*GF$4+(DQ51+DQ52+DQ53+DS51+DS52+DS53)*Percapita/30*GF$4+(DR54+DT54)*Cadeirante/30*GF$4,IF(DQ54+DS54&lt;=9,(DQ54+DS54)*Crechee/30*GF$4)+(DR54+DT54)*Cadeirante/30*GF$4+(DQ51+DQ52+DQ53+DS51+DS52+DS53)*Percapita/30*GF$4)+IF(DQ54+DS54&gt;=11,Fixo/30*GF$4+(DQ54+DS54-10)*Crechee/30*GF$4,0),IF(C51=2,IF(DR51+DR52+DR53+DR54+DT51+DT52+DT53+DT54=1,Cadeirante/30*GF$4,IF(DR51+DR52+DR53+DR54+DT51+DT52+DT53+DT54=2,Fixo/30*GF$4,IF(DR51+DR52+DR53+DR54+DT51+DT52+DT53+DT54&gt;2,Fixo/30*GF$4+(DR51+DR52+DR53+DR54+DT51+DT52+DT53+DT54-2)*Cadeirante/30*GF$4)))+(DQ51+DQ52+DQ53+DS51+DS52+DS53)*Percapita/30*GF$4+(DQ54+DS54)*Crechee/30*GF$4,IF(C51=1,IF(DQ51+DQ52+DQ53+DR51+DR52+DR53+DS51+DS52+DS53+DT51+DT52+DT53&lt;=15,(DQ51+DQ52+DQ53+DS51+DS52+DS53)*Percapita/30*GF$4,IF(DQ51+DQ52+DQ53+DR51+DR52+DR53+DS51+DS52+DS53+DT51+DT52+DT53&gt;=16,Fixo/30*GF$4+(DQ51+DQ52+DQ53+DR51+DR52+DR53+DS51+DS52+DS53+DT51+DT52-16)*Percapita/30*GF$4))))))</f>
        <v>0</v>
      </c>
      <c r="GG51" s="177">
        <f>IF(C51=4,SUM(DU51+DU52+DU53+DW51+DW52+DW53)*Percapita/30*GG$4+(DV51+DV52+DV53+DX51+DX52+DX53)*Cadeirante/30*GG$4,IF(C51=3,IF(DU54+DW54=10,Fixo/30*GG$4+(DU51+DU52+DU53+DW51+DW52+DW53)*Percapita/30*GG$4+(DV54+DX54)*Cadeirante/30*GG$4,IF(DU54+DW54&lt;=9,(DU54+DW54)*Crechee/30*GG$4)+(DV54+DX54)*Cadeirante/30*GG$4+(DU51+DU52+DU53+DW51+DW52+DW53)*Percapita/30*GG$4)+IF(DU54+DW54&gt;=11,Fixo/30*GG$4+(DU54+DW54-10)*Crechee/30*GG$4,0),IF(C51=2,IF(DV51+DV52+DV53+DV54+DX51+DX52+DX53+DX54=1,Cadeirante/30*GG$4,IF(DV51+DV52+DV53+DV54+DX51+DX52+DX53+DX54=2,Fixo/30*GG$4,IF(DV51+DV52+DV53+DV54+DX51+DX52+DX53+DX54&gt;2,Fixo/30*GG$4+(DV51+DV52+DV53+DV54+DX51+DX52+DX53+DX54-2)*Cadeirante/30*GG$4)))+(DU51+DU52+DU53+DW51+DW52+DW53)*Percapita/30*GG$4+(DU54+DW54)*Crechee/30*GG$4,IF(C51=1,IF(DU51+DU52+DU53+DV51+DV52+DV53+DW51+DW52+DW53+DX51+DX52+DX53&lt;=15,(DU51+DU52+DU53+DW51+DW52+DW53)*Percapita/30*GG$4,IF(DU51+DU52+DU53+DV51+DV52+DV53+DW51+DW52+DW53+DX51+DX52+DX53&gt;=16,Fixo/30*GG$4+(DU51+DU52+DU53+DV51+DV52+DV53+DW51+DW52+DW53+DX51+DX52-16)*Percapita/30*GG$4))))))</f>
        <v>0</v>
      </c>
      <c r="GH51" s="177">
        <f>IF(C51=4,SUM(DY51+DY52+DY53+EA51+EA52+EA53)*Percapita/30*GH$4+(DZ51+DZ52+DZ53+EB51+EB52+EB53)*Cadeirante/30*GH$4,IF(C51=3,IF(DY54+EA54=10,Fixo/30*GH$4+(DY51+DY52+DY53+EA51+EA52+EA53)*Percapita/30*GH$4+(DZ54+EB54)*Cadeirante/30*GH$4,IF(DY54+EA54&lt;=9,(DY54+EA54)*Crechee/30*GH$4)+(DZ54+EB54)*Cadeirante/30*GH$4+(DY51+DY52+DY53+EA51+EA52+EA53)*Percapita/30*GH$4)+IF(DY54+EA54&gt;=11,Fixo/30*GH$4+(DY54+EA54-10)*Crechee/30*GH$4,0),IF(C51=2,IF(DZ51+DZ52+DZ53+DZ54+EB51+EB52+EB53+EB54=1,Cadeirante/30*GH$4,IF(DZ51+DZ52+DZ53+DZ54+EB51+EB52+EB53+EB54=2,Fixo/30*GH$4,IF(DZ51+DZ52+DZ53+DZ54+EB51+EB52+EB53+EB54&gt;2,Fixo/30*GH$4+(DZ51+DZ52+DZ53+DZ54+EB51+EB52+EB53+EB54-2)*Cadeirante/30*GH$4)))+(DY51+DY52+DY53+EA51+EA52+EA53)*Percapita/30*GH$4+(DY54+EA54)*Crechee/30*GH$4,IF(C51=1,IF(DY51+DY52+DY53+DZ51+DZ52+DZ53+EA51+EA52+EA53+EB51+EB52+EB53&lt;=15,(DY51+DY52+DY53+EA51+EA52+EA53)*Percapita/30*GH$4,IF(DY51+DY52+DY53+DZ51+DZ52+DZ53+EA51+EA52+EA53+EB51+EB52+EB53&gt;=16,Fixo/30*GH$4+(DY51+DY52+DY53+DZ51+DZ52+DZ53+EA51+EA52+EA53+EB51+EB52-16)*Percapita/30*GH$4))))))</f>
        <v>0</v>
      </c>
      <c r="GI51" s="177">
        <f>IF(C51=4,SUM(EC51+EC52+EC53+EE51+EE52+EE53)*Percapita/30*GI$4+(ED51+ED52+ED53+EF51+EF52+EF53)*Cadeirante/30*GI$4,IF(C51=3,IF(EC54+EE54=10,Fixo/30*GI$4+(EC51+EC52+EC53+EE51+EE52+EE53)*Percapita/30*GI$4+(ED54+EF54)*Cadeirante/30*GI$4,IF(EC54+EE54&lt;=9,(EC54+EE54)*Crechee/30*GI$4)+(ED54+EF54)*Cadeirante/30*GI$4+(EC51+EC52+EC53+EE51+EE52+EE53)*Percapita/30*GI$4)+IF(EC54+EE54&gt;=11,Fixo/30*GI$4+(EC54+EE54-10)*Crechee/30*GI$4,0),IF(C51=2,IF(ED51+ED52+ED53+ED54+EF51+EF52+EF53+EF54=1,Cadeirante/30*GI$4,IF(ED51+ED52+ED53+ED54+EF51+EF52+EF53+EF54=2,Fixo/30*GI$4,IF(ED51+ED52+ED53+ED54+EF51+EF52+EF53+EF54&gt;2,Fixo/30*GI$4+(ED51+ED52+ED53+ED54+EF51+EF52+EF53+EF54-2)*Cadeirante/30*GI$4)))+(EC51+EC52+EC53+EE51+EE52+EE53)*Percapita/30*GI$4+(EC54+EE54)*Crechee/30*GI$4,IF(C51=1,IF(EC51+EC52+EC53+ED51+ED52+ED53+EE51+EE52+EE53+EF51+EF52+EF53&lt;=15,(EC51+EC52+EC53+EE51+EE52+EE53)*Percapita/30*GI$4,IF(EC51+EC52+EC53+ED51+ED52+ED53+EE51+EE52+EE53+EF51+EF52+EF53&gt;=16,Fixo/30*GI$4+(EC51+EC52+EC53+ED51+ED52+ED53+EE51+EE52+EE53+EF51+EF52-16)*Percapita/30*GI$4))))))</f>
        <v>0</v>
      </c>
      <c r="GJ51" s="177">
        <f>IF(C51=4,SUM(EG51+EG52+EG53+EI51+EI52+EI53)*Percapita/30*GJ$4+(EH51+EH52+EH53+EJ51+EJ52+EJ53)*Cadeirante/30*GJ$4,IF(C51=3,IF(EG54+EI54=10,Fixo/30*GJ$4+(EG51+EG52+EG53+EI51+EI52+EI53)*Percapita/30*GJ$4+(EH54+EJ54)*Cadeirante/30*GJ$4,IF(EG54+EI54&lt;=9,(EG54+EI54)*Crechee/30*GJ$4)+(EH54+EJ54)*Cadeirante/30*GJ$4+(EG51+EG52+EG53+EI51+EI52+EI53)*Percapita/30*GJ$4)+IF(EG54+EI54&gt;=11,Fixo/30*GJ$4+(EG54+EI54-10)*Crechee/30*GJ$4,0),IF(C51=2,IF(EH51+EH52+EH53+EH54+EJ51+EJ52+EJ53+EJ54=1,Cadeirante/30*GJ$4,IF(EH51+EH52+EH53+EH54+EJ51+EJ52+EJ53+EJ54=2,Fixo/30*GJ$4,IF(EH51+EH52+EH53+EH54+EJ51+EJ52+EJ53+EJ54&gt;2,Fixo/30*GJ$4+(EH51+EH52+EH53+EH54+EJ51+EJ52+EJ53+EJ54-2)*Cadeirante/30*GJ$4)))+(EG51+EG52+EG53+EI51+EI52+EI53)*Percapita/30*GJ$4+(EG54+EI54)*Crechee/30*GJ$4,IF(C51=1,IF(EG51+EG52+EG53+EH51+EH52+EH53+EI51+EI52+EI53+EJ51+EJ52+EJ53&lt;=15,(EG51+EG52+EG53+EI51+EI52+EI53)*Percapita/30*GJ$4,IF(EG51+EG52+EG53+EH51+EH52+EH53+EI51+EI52+EI53+EJ51+EJ52+EJ53&gt;=16,Fixo/30*GJ$4+(EG51+EG52+EG53+EH51+EH52+EH53+EI51+EI52+EI53+EJ51+EJ52-16)*Percapita/30*GJ$4))))))</f>
        <v>0</v>
      </c>
      <c r="GK51" s="178"/>
      <c r="GL51" s="103">
        <f t="shared" si="30"/>
        <v>0</v>
      </c>
      <c r="GM51" s="124"/>
      <c r="GN51" s="104">
        <f>SUMIF(V51:V54,"&lt;0")*Cadeirante/30*GN$4+SUMIF(X51:X54,"&lt;0")*Cadeirante/30*GN$4</f>
        <v>0</v>
      </c>
      <c r="GO51" s="104">
        <f>SUMIF(Z51:Z54,"&lt;0")*Cadeirante/30*GO$4+SUMIF(AB51:AB54,"&lt;0")*Cadeirante/30*GO$4</f>
        <v>0</v>
      </c>
      <c r="GP51" s="104">
        <f>SUMIF(AD51:AD54,"&lt;0")*Cadeirante/30*GP$4+SUMIF(AF51:AF54,"&lt;0")*Cadeirante/30*GP$4</f>
        <v>0</v>
      </c>
      <c r="GQ51" s="104">
        <f>SUMIF(AH51:AH54,"&lt;0")*Cadeirante/30*GQ$4+SUMIF(AJ51:AJ54,"&lt;0")*Cadeirante/30*GQ$4</f>
        <v>0</v>
      </c>
      <c r="GR51" s="104">
        <f>SUMIF(AL51:AL54,"&lt;0")*Cadeirante/30*GR$4+SUMIF(AN51:AN54,"&lt;0")*Cadeirante/30*GR$4</f>
        <v>0</v>
      </c>
      <c r="GS51" s="104">
        <f>SUMIF(AP51:AP54,"&lt;0")*Cadeirante/30*GS$4+SUMIF(AR51:AR54,"&lt;0")*Cadeirante/30*GS$4</f>
        <v>0</v>
      </c>
      <c r="GT51" s="104">
        <f>SUMIF(AT51:AT54,"&lt;0")*Cadeirante/30*GT$4+SUMIF(AV51:AV54,"&lt;0")*Cadeirante/30*GT$4</f>
        <v>0</v>
      </c>
      <c r="GU51" s="104">
        <f>SUMIF(AX51:AX54,"&lt;0")*Cadeirante/30*GU$4+SUMIF(AZ51:AZ54,"&lt;0")*Cadeirante/30*GU$4</f>
        <v>0</v>
      </c>
      <c r="GV51" s="104">
        <f>SUMIF(BB51:BB54,"&lt;0")*Cadeirante/30*GV$4+SUMIF(BD51:BD54,"&lt;0")*Cadeirante/30*GV$4</f>
        <v>0</v>
      </c>
      <c r="GW51" s="104">
        <f>SUMIF(BF51:BF54,"&lt;0")*Cadeirante/30*GW$4+SUMIF(BH51:BH54,"&lt;0")*Cadeirante/30*GW$4</f>
        <v>0</v>
      </c>
      <c r="GX51" s="104">
        <f>SUMIF(BJ51:BJ54,"&lt;0")*Cadeirante/30*GX$4+SUMIF(BL51:BL54,"&lt;0")*Cadeirante/30*GX$4</f>
        <v>0</v>
      </c>
      <c r="GY51" s="104">
        <f>SUMIF(BN51:BN54,"&lt;0")*Cadeirante/30*GY$4+SUMIF(BP51:BP54,"&lt;0")*Cadeirante/30*GY$4</f>
        <v>0</v>
      </c>
      <c r="GZ51" s="104">
        <f>SUMIF(BR51:BR54,"&lt;0")*Cadeirante/30*GZ$4+SUMIF(BT51:BT54,"&lt;0")*Cadeirante/30*GZ$4</f>
        <v>0</v>
      </c>
      <c r="HA51" s="104">
        <f>SUMIF(BV51:BV54,"&lt;0")*Cadeirante/30*HA$4+SUMIF(BX51:BX54,"&lt;0")*Cadeirante/30*HA$4</f>
        <v>0</v>
      </c>
      <c r="HB51" s="104">
        <f>SUMIF(BZ51:BZ54,"&lt;0")*Cadeirante/30*HB$4+SUMIF(CB51:CB54,"&lt;0")*Cadeirante/30*HB$4</f>
        <v>0</v>
      </c>
      <c r="HC51" s="104">
        <f>SUMIF(CD51:CD54,"&lt;0")*Cadeirante/30*HC$4+SUMIF(CF51:CF54,"&lt;0")*Cadeirante/30*HC$4</f>
        <v>0</v>
      </c>
      <c r="HD51" s="104">
        <f>SUMIF(CH51:CH54,"&lt;0")*Cadeirante/30*HD$4+SUMIF(CJ51:CJ54,"&lt;0")*Cadeirante/30*HD$4</f>
        <v>0</v>
      </c>
      <c r="HE51" s="104">
        <f>SUMIF(CL51:CL54,"&lt;0")*Cadeirante/30*HE$4+SUMIF(CN51:CN54,"&lt;0")*Cadeirante/30*HE$4</f>
        <v>0</v>
      </c>
      <c r="HF51" s="104">
        <f>SUMIF(CP51:CP54,"&lt;0")*Cadeirante/30*HF$4+SUMIF(CR51:CR54,"&lt;0")*Cadeirante/30*HF$4</f>
        <v>0</v>
      </c>
      <c r="HG51" s="104">
        <f>SUMIF(CT51:CT54,"&lt;0")*Cadeirante/30*HG$4+SUMIF(CV51:CV54,"&lt;0")*Cadeirante/30*HG$4</f>
        <v>0</v>
      </c>
      <c r="HH51" s="104">
        <f>SUMIF(CX51:CX54,"&lt;0")*Cadeirante/30*HH$4+SUMIF(CZ51:CZ54,"&lt;0")*Cadeirante/30*HH$4</f>
        <v>0</v>
      </c>
      <c r="HI51" s="104">
        <f>SUMIF(DB51:DB54,"&lt;0")*Cadeirante/30*HI$4+SUMIF(DD51:DD54,"&lt;0")*Cadeirante/30*HI$4</f>
        <v>0</v>
      </c>
      <c r="HJ51" s="104">
        <f>SUMIF(DF51:DF54,"&lt;0")*Cadeirante/30*HJ$4+SUMIF(DH51:DH54,"&lt;0")*Cadeirante/30*HJ$4</f>
        <v>0</v>
      </c>
      <c r="HK51" s="104">
        <f>SUMIF(DJ51:DJ54,"&lt;0")*Cadeirante/30*HK$4+SUMIF(DL51:DL54,"&lt;0")*Cadeirante/30*HK$4</f>
        <v>0</v>
      </c>
      <c r="HL51" s="104">
        <f>SUMIF(DN51:DN54,"&lt;0")*Cadeirante/30*HL$4+SUMIF(DP51:DP54,"&lt;0")*Cadeirante/30*HL$4</f>
        <v>0</v>
      </c>
      <c r="HM51" s="104">
        <f>SUMIF(DR51:DR54,"&lt;0")*Cadeirante/30*HM$4+SUMIF(DT51:DT54,"&lt;0")*Cadeirante/30*HM$4</f>
        <v>0</v>
      </c>
      <c r="HN51" s="104">
        <f>SUMIF(DV51:DV54,"&lt;0")*Cadeirante/30*HN$4+SUMIF(DX51:DX54,"&lt;0")*Cadeirante/30*HN$4</f>
        <v>0</v>
      </c>
      <c r="HO51" s="104">
        <f>SUMIF(DZ51:DZ54,"&lt;0")*Cadeirante/30*HO$4+SUMIF(EB51:EB54,"&lt;0")*Cadeirante/30*HO$4</f>
        <v>0</v>
      </c>
      <c r="HP51" s="104">
        <f>SUMIF(ED51:ED54,"&lt;0")*Cadeirante/30*HP$4+SUMIF(EF51:EF54,"&lt;0")*Cadeirante/30*HP$4</f>
        <v>0</v>
      </c>
      <c r="HQ51" s="64"/>
      <c r="HR51" s="64"/>
      <c r="HS51" s="64"/>
      <c r="HT51" s="64"/>
      <c r="HU51" s="64"/>
      <c r="HV51" s="64"/>
      <c r="HW51" s="176">
        <v>17629.309999999998</v>
      </c>
      <c r="HX51" s="64"/>
      <c r="HY51" s="280">
        <f>IF(ISTEXT(EM51), VALUE(EM51), EM51)</f>
        <v>0</v>
      </c>
      <c r="HZ51" s="280">
        <f>IF(ISTEXT(EN51), VALUE(EN51), EN51)</f>
        <v>0</v>
      </c>
      <c r="IA51" s="280">
        <f>IF(ISTEXT(EO51), VALUE(EO51), EO51)</f>
        <v>0</v>
      </c>
      <c r="IB51" s="64" t="b">
        <f>HW51=FE51</f>
        <v>0</v>
      </c>
      <c r="IC51" s="64"/>
    </row>
    <row r="52" spans="1:237" s="106" customFormat="1" ht="22.5" customHeight="1" x14ac:dyDescent="0.25">
      <c r="A52" s="368" t="s">
        <v>3226</v>
      </c>
      <c r="B52" s="369" t="s">
        <v>3227</v>
      </c>
      <c r="C52" s="370" t="s">
        <v>3186</v>
      </c>
      <c r="D52" s="371" t="s">
        <v>3228</v>
      </c>
      <c r="E52" s="371" t="s">
        <v>3229</v>
      </c>
      <c r="F52" s="372" t="s">
        <v>3182</v>
      </c>
      <c r="G52" s="372" t="s">
        <v>3183</v>
      </c>
      <c r="H52" s="373" t="s">
        <v>346</v>
      </c>
      <c r="I52" s="374" t="s">
        <v>346</v>
      </c>
      <c r="J52" s="421" t="s">
        <v>3184</v>
      </c>
      <c r="K52" s="421" t="s">
        <v>3187</v>
      </c>
      <c r="L52" s="329">
        <f>CONTINUA!BV52</f>
        <v>39</v>
      </c>
      <c r="M52" s="329">
        <f>CONTINUA!BW52</f>
        <v>0</v>
      </c>
      <c r="N52" s="895"/>
      <c r="O52" s="896" t="s">
        <v>3283</v>
      </c>
      <c r="P52" s="897">
        <v>0</v>
      </c>
      <c r="Q52" s="400">
        <v>31</v>
      </c>
      <c r="R52" s="401"/>
      <c r="S52" s="400"/>
      <c r="T52" s="401"/>
      <c r="U52" s="400"/>
      <c r="V52" s="401"/>
      <c r="W52" s="400"/>
      <c r="X52" s="401"/>
      <c r="Y52" s="400"/>
      <c r="Z52" s="401"/>
      <c r="AA52" s="400"/>
      <c r="AB52" s="401"/>
      <c r="AC52" s="400"/>
      <c r="AD52" s="401"/>
      <c r="AE52" s="400"/>
      <c r="AF52" s="401"/>
      <c r="AG52" s="400"/>
      <c r="AH52" s="401"/>
      <c r="AI52" s="400"/>
      <c r="AJ52" s="401"/>
      <c r="AK52" s="400"/>
      <c r="AL52" s="401"/>
      <c r="AM52" s="400"/>
      <c r="AN52" s="401"/>
      <c r="AO52" s="400"/>
      <c r="AP52" s="401"/>
      <c r="AQ52" s="400"/>
      <c r="AR52" s="401"/>
      <c r="AS52" s="400"/>
      <c r="AT52" s="401"/>
      <c r="AU52" s="400"/>
      <c r="AV52" s="401"/>
      <c r="AW52" s="400"/>
      <c r="AX52" s="401"/>
      <c r="AY52" s="400"/>
      <c r="AZ52" s="401"/>
      <c r="BA52" s="400"/>
      <c r="BB52" s="401"/>
      <c r="BC52" s="400"/>
      <c r="BD52" s="401"/>
      <c r="BE52" s="400"/>
      <c r="BF52" s="401"/>
      <c r="BG52" s="400"/>
      <c r="BH52" s="401"/>
      <c r="BI52" s="400"/>
      <c r="BJ52" s="401"/>
      <c r="BK52" s="400"/>
      <c r="BL52" s="401"/>
      <c r="BM52" s="400"/>
      <c r="BN52" s="401"/>
      <c r="BO52" s="400"/>
      <c r="BP52" s="401"/>
      <c r="BQ52" s="400"/>
      <c r="BR52" s="401"/>
      <c r="BS52" s="400"/>
      <c r="BT52" s="401"/>
      <c r="BU52" s="400"/>
      <c r="BV52" s="401"/>
      <c r="BW52" s="400"/>
      <c r="BX52" s="401"/>
      <c r="BY52" s="400"/>
      <c r="BZ52" s="401"/>
      <c r="CA52" s="400"/>
      <c r="CB52" s="401"/>
      <c r="CC52" s="400"/>
      <c r="CD52" s="401"/>
      <c r="CE52" s="400"/>
      <c r="CF52" s="401"/>
      <c r="CG52" s="400"/>
      <c r="CH52" s="401"/>
      <c r="CI52" s="400"/>
      <c r="CJ52" s="401"/>
      <c r="CK52" s="400"/>
      <c r="CL52" s="401"/>
      <c r="CM52" s="400"/>
      <c r="CN52" s="401"/>
      <c r="CO52" s="400"/>
      <c r="CP52" s="401"/>
      <c r="CQ52" s="400"/>
      <c r="CR52" s="401"/>
      <c r="CS52" s="400"/>
      <c r="CT52" s="401"/>
      <c r="CU52" s="400"/>
      <c r="CV52" s="401"/>
      <c r="CW52" s="400"/>
      <c r="CX52" s="401"/>
      <c r="CY52" s="400"/>
      <c r="CZ52" s="401"/>
      <c r="DA52" s="400"/>
      <c r="DB52" s="401"/>
      <c r="DC52" s="400"/>
      <c r="DD52" s="401"/>
      <c r="DE52" s="400"/>
      <c r="DF52" s="401"/>
      <c r="DG52" s="400"/>
      <c r="DH52" s="401"/>
      <c r="DI52" s="400"/>
      <c r="DJ52" s="401"/>
      <c r="DK52" s="400"/>
      <c r="DL52" s="401"/>
      <c r="DM52" s="400"/>
      <c r="DN52" s="401"/>
      <c r="DO52" s="400"/>
      <c r="DP52" s="401"/>
      <c r="DQ52" s="400"/>
      <c r="DR52" s="401"/>
      <c r="DS52" s="400"/>
      <c r="DT52" s="401"/>
      <c r="DU52" s="400"/>
      <c r="DV52" s="401"/>
      <c r="DW52" s="400"/>
      <c r="DX52" s="401"/>
      <c r="DY52" s="400"/>
      <c r="DZ52" s="401"/>
      <c r="EA52" s="400"/>
      <c r="EB52" s="401"/>
      <c r="EC52" s="400"/>
      <c r="ED52" s="401"/>
      <c r="EE52" s="400"/>
      <c r="EF52" s="401"/>
      <c r="EG52" s="400"/>
      <c r="EH52" s="401"/>
      <c r="EI52" s="400"/>
      <c r="EJ52" s="447"/>
      <c r="EK52" s="511"/>
      <c r="EL52" s="514"/>
      <c r="EM52" s="448"/>
      <c r="EN52" s="344"/>
      <c r="EO52" s="345"/>
      <c r="EP52" s="171">
        <f t="shared" si="22"/>
        <v>31</v>
      </c>
      <c r="EQ52" s="171">
        <f t="shared" si="23"/>
        <v>0</v>
      </c>
      <c r="ER52" s="171">
        <f t="shared" si="24"/>
        <v>0</v>
      </c>
      <c r="ES52" s="171">
        <f t="shared" si="25"/>
        <v>0</v>
      </c>
      <c r="ET52" s="171">
        <f t="shared" si="26"/>
        <v>0</v>
      </c>
      <c r="EU52" s="171">
        <f t="shared" si="27"/>
        <v>0</v>
      </c>
      <c r="EV52" s="172">
        <f t="shared" si="28"/>
        <v>31</v>
      </c>
      <c r="EW52" s="173"/>
      <c r="EX52" s="248">
        <f t="shared" si="70"/>
        <v>0</v>
      </c>
      <c r="EY52" s="174">
        <f>(L52*regular)+(M52*Cadeirantee)</f>
        <v>375.96000000000004</v>
      </c>
      <c r="EZ52" s="249">
        <f>SUMIF(FG52:GJ52,"&gt;0")</f>
        <v>0</v>
      </c>
      <c r="FA52" s="249">
        <f>SUMIF(FG52:GJ52,"&lt;0")+SUMIF(GN52:HP52,"&lt;0")</f>
        <v>0</v>
      </c>
      <c r="FB52" s="174">
        <v>0</v>
      </c>
      <c r="FC52" s="126">
        <f>N52*km*'VALORES TABELA'!$B$13</f>
        <v>0</v>
      </c>
      <c r="FD52" s="250">
        <f t="shared" ref="FD52:FD55" si="71">GL52</f>
        <v>0</v>
      </c>
      <c r="FE52" s="105"/>
      <c r="FF52" s="119"/>
      <c r="FG52" s="119"/>
      <c r="FH52" s="119"/>
      <c r="FI52" s="119"/>
      <c r="FJ52" s="119"/>
      <c r="FK52" s="119"/>
      <c r="FL52" s="119"/>
      <c r="FM52" s="119"/>
      <c r="FN52" s="119"/>
      <c r="FO52" s="119"/>
      <c r="FP52" s="119"/>
      <c r="FQ52" s="119"/>
      <c r="FR52" s="119"/>
      <c r="FS52" s="119"/>
      <c r="FT52" s="119"/>
      <c r="FU52" s="119"/>
      <c r="FV52" s="119"/>
      <c r="FW52" s="119"/>
      <c r="FX52" s="119"/>
      <c r="FY52" s="119"/>
      <c r="FZ52" s="119"/>
      <c r="GA52" s="119"/>
      <c r="GB52" s="119"/>
      <c r="GC52" s="119"/>
      <c r="GD52" s="119"/>
      <c r="GE52" s="119"/>
      <c r="GF52" s="119"/>
      <c r="GG52" s="119"/>
      <c r="GH52" s="119"/>
      <c r="GI52" s="119"/>
      <c r="GJ52" s="119"/>
      <c r="GK52" s="251"/>
      <c r="GL52" s="103">
        <f t="shared" si="30"/>
        <v>0</v>
      </c>
      <c r="GM52" s="124"/>
      <c r="GN52" s="104"/>
      <c r="GO52" s="104"/>
      <c r="GP52" s="104"/>
      <c r="GQ52" s="104"/>
      <c r="GR52" s="104"/>
      <c r="GS52" s="104"/>
      <c r="GT52" s="104"/>
      <c r="GU52" s="104"/>
      <c r="GV52" s="104"/>
      <c r="GW52" s="104"/>
      <c r="GX52" s="104"/>
      <c r="GY52" s="104"/>
      <c r="GZ52" s="104"/>
      <c r="HA52" s="104"/>
      <c r="HB52" s="104"/>
      <c r="HC52" s="104"/>
      <c r="HD52" s="104"/>
      <c r="HE52" s="104"/>
      <c r="HF52" s="104"/>
      <c r="HG52" s="104"/>
      <c r="HH52" s="104"/>
      <c r="HI52" s="104"/>
      <c r="HJ52" s="104"/>
      <c r="HK52" s="104"/>
      <c r="HL52" s="104"/>
      <c r="HM52" s="104"/>
      <c r="HN52" s="104"/>
      <c r="HO52" s="104"/>
      <c r="HP52" s="104"/>
      <c r="HQ52" s="64"/>
      <c r="HR52" s="64"/>
      <c r="HS52" s="64"/>
      <c r="HT52" s="64"/>
      <c r="HU52" s="64"/>
      <c r="HV52" s="64"/>
      <c r="HW52" s="105"/>
      <c r="HX52" s="64"/>
      <c r="HY52" s="280">
        <f t="shared" ref="HY52:HY55" si="72">IF(ISTEXT(EM52), VALUE(EM52), EM52)</f>
        <v>0</v>
      </c>
      <c r="HZ52" s="280">
        <f t="shared" ref="HZ52:HZ55" si="73">IF(ISTEXT(EN52), VALUE(EN52), EN52)</f>
        <v>0</v>
      </c>
      <c r="IA52" s="280">
        <f t="shared" ref="IA52:IA55" si="74">IF(ISTEXT(EO52), VALUE(EO52), EO52)</f>
        <v>0</v>
      </c>
      <c r="IB52" s="64"/>
      <c r="IC52" s="64"/>
    </row>
    <row r="53" spans="1:237" s="106" customFormat="1" ht="22.5" customHeight="1" x14ac:dyDescent="0.25">
      <c r="A53" s="368" t="s">
        <v>3226</v>
      </c>
      <c r="B53" s="369" t="s">
        <v>3227</v>
      </c>
      <c r="C53" s="375" t="s">
        <v>3186</v>
      </c>
      <c r="D53" s="371" t="s">
        <v>3228</v>
      </c>
      <c r="E53" s="371" t="s">
        <v>3229</v>
      </c>
      <c r="F53" s="376" t="s">
        <v>3182</v>
      </c>
      <c r="G53" s="376" t="s">
        <v>3183</v>
      </c>
      <c r="H53" s="373" t="s">
        <v>346</v>
      </c>
      <c r="I53" s="374" t="s">
        <v>346</v>
      </c>
      <c r="J53" s="421" t="s">
        <v>3184</v>
      </c>
      <c r="K53" s="422" t="s">
        <v>3188</v>
      </c>
      <c r="L53" s="329">
        <f>CONTINUA!BV53</f>
        <v>0</v>
      </c>
      <c r="M53" s="329">
        <f>CONTINUA!BW53</f>
        <v>0</v>
      </c>
      <c r="N53" s="895"/>
      <c r="O53" s="896" t="s">
        <v>3283</v>
      </c>
      <c r="P53" s="897">
        <v>0</v>
      </c>
      <c r="Q53" s="400"/>
      <c r="R53" s="401"/>
      <c r="S53" s="400"/>
      <c r="T53" s="401"/>
      <c r="U53" s="400"/>
      <c r="V53" s="401"/>
      <c r="W53" s="400"/>
      <c r="X53" s="401"/>
      <c r="Y53" s="400"/>
      <c r="Z53" s="401"/>
      <c r="AA53" s="400"/>
      <c r="AB53" s="401"/>
      <c r="AC53" s="400"/>
      <c r="AD53" s="401"/>
      <c r="AE53" s="400"/>
      <c r="AF53" s="401"/>
      <c r="AG53" s="400"/>
      <c r="AH53" s="401"/>
      <c r="AI53" s="400"/>
      <c r="AJ53" s="401"/>
      <c r="AK53" s="400"/>
      <c r="AL53" s="401"/>
      <c r="AM53" s="400"/>
      <c r="AN53" s="401"/>
      <c r="AO53" s="400"/>
      <c r="AP53" s="401"/>
      <c r="AQ53" s="400"/>
      <c r="AR53" s="401"/>
      <c r="AS53" s="400"/>
      <c r="AT53" s="401"/>
      <c r="AU53" s="400"/>
      <c r="AV53" s="401"/>
      <c r="AW53" s="400"/>
      <c r="AX53" s="401"/>
      <c r="AY53" s="400"/>
      <c r="AZ53" s="401"/>
      <c r="BA53" s="400"/>
      <c r="BB53" s="401"/>
      <c r="BC53" s="400"/>
      <c r="BD53" s="401"/>
      <c r="BE53" s="400"/>
      <c r="BF53" s="401"/>
      <c r="BG53" s="400"/>
      <c r="BH53" s="401"/>
      <c r="BI53" s="400"/>
      <c r="BJ53" s="401"/>
      <c r="BK53" s="400"/>
      <c r="BL53" s="401"/>
      <c r="BM53" s="400"/>
      <c r="BN53" s="401"/>
      <c r="BO53" s="400"/>
      <c r="BP53" s="401"/>
      <c r="BQ53" s="400"/>
      <c r="BR53" s="401"/>
      <c r="BS53" s="400"/>
      <c r="BT53" s="401"/>
      <c r="BU53" s="400"/>
      <c r="BV53" s="401"/>
      <c r="BW53" s="400"/>
      <c r="BX53" s="401"/>
      <c r="BY53" s="400"/>
      <c r="BZ53" s="401"/>
      <c r="CA53" s="400"/>
      <c r="CB53" s="401"/>
      <c r="CC53" s="400"/>
      <c r="CD53" s="401"/>
      <c r="CE53" s="400"/>
      <c r="CF53" s="401"/>
      <c r="CG53" s="400"/>
      <c r="CH53" s="401"/>
      <c r="CI53" s="400"/>
      <c r="CJ53" s="401"/>
      <c r="CK53" s="400"/>
      <c r="CL53" s="401"/>
      <c r="CM53" s="400"/>
      <c r="CN53" s="401"/>
      <c r="CO53" s="400"/>
      <c r="CP53" s="401"/>
      <c r="CQ53" s="400"/>
      <c r="CR53" s="401"/>
      <c r="CS53" s="400"/>
      <c r="CT53" s="401"/>
      <c r="CU53" s="400"/>
      <c r="CV53" s="401"/>
      <c r="CW53" s="400"/>
      <c r="CX53" s="401"/>
      <c r="CY53" s="400"/>
      <c r="CZ53" s="401"/>
      <c r="DA53" s="400"/>
      <c r="DB53" s="401"/>
      <c r="DC53" s="400"/>
      <c r="DD53" s="401"/>
      <c r="DE53" s="400"/>
      <c r="DF53" s="401"/>
      <c r="DG53" s="400"/>
      <c r="DH53" s="401"/>
      <c r="DI53" s="400"/>
      <c r="DJ53" s="401"/>
      <c r="DK53" s="400"/>
      <c r="DL53" s="401"/>
      <c r="DM53" s="400"/>
      <c r="DN53" s="401"/>
      <c r="DO53" s="400"/>
      <c r="DP53" s="401"/>
      <c r="DQ53" s="400"/>
      <c r="DR53" s="401"/>
      <c r="DS53" s="400"/>
      <c r="DT53" s="401"/>
      <c r="DU53" s="400"/>
      <c r="DV53" s="401"/>
      <c r="DW53" s="400"/>
      <c r="DX53" s="401"/>
      <c r="DY53" s="400"/>
      <c r="DZ53" s="401"/>
      <c r="EA53" s="400"/>
      <c r="EB53" s="401"/>
      <c r="EC53" s="400"/>
      <c r="ED53" s="401"/>
      <c r="EE53" s="400"/>
      <c r="EF53" s="401"/>
      <c r="EG53" s="400"/>
      <c r="EH53" s="401"/>
      <c r="EI53" s="400"/>
      <c r="EJ53" s="447"/>
      <c r="EK53" s="511"/>
      <c r="EL53" s="514"/>
      <c r="EM53" s="448"/>
      <c r="EN53" s="344"/>
      <c r="EO53" s="345"/>
      <c r="EP53" s="171">
        <f t="shared" si="22"/>
        <v>0</v>
      </c>
      <c r="EQ53" s="171">
        <f t="shared" si="23"/>
        <v>0</v>
      </c>
      <c r="ER53" s="171">
        <f t="shared" si="24"/>
        <v>0</v>
      </c>
      <c r="ES53" s="171">
        <f t="shared" si="25"/>
        <v>0</v>
      </c>
      <c r="ET53" s="171">
        <f t="shared" si="26"/>
        <v>0</v>
      </c>
      <c r="EU53" s="171">
        <f t="shared" si="27"/>
        <v>0</v>
      </c>
      <c r="EV53" s="172">
        <f t="shared" si="28"/>
        <v>0</v>
      </c>
      <c r="EW53" s="125"/>
      <c r="EX53" s="248">
        <f t="shared" si="70"/>
        <v>0</v>
      </c>
      <c r="EY53" s="174">
        <f>(L53*regular)+(M53*Cadeirantee)</f>
        <v>0</v>
      </c>
      <c r="EZ53" s="249">
        <f>SUMIF(FG53:GJ53,"&gt;0")</f>
        <v>0</v>
      </c>
      <c r="FA53" s="249">
        <f>SUMIF(FG53:GJ53,"&lt;0")+SUMIF(GN53:HP53,"&lt;0")</f>
        <v>0</v>
      </c>
      <c r="FB53" s="174">
        <v>0</v>
      </c>
      <c r="FC53" s="126">
        <f>N53*km*'VALORES TABELA'!$B$13</f>
        <v>0</v>
      </c>
      <c r="FD53" s="250">
        <f t="shared" si="71"/>
        <v>0</v>
      </c>
      <c r="FE53" s="105"/>
      <c r="FF53" s="108"/>
      <c r="FG53" s="108"/>
      <c r="FH53" s="108"/>
      <c r="FI53" s="108"/>
      <c r="FJ53" s="108"/>
      <c r="FK53" s="108"/>
      <c r="FL53" s="108"/>
      <c r="FM53" s="108"/>
      <c r="FN53" s="108"/>
      <c r="FO53" s="108"/>
      <c r="FP53" s="108"/>
      <c r="FQ53" s="108"/>
      <c r="FR53" s="108"/>
      <c r="FS53" s="108"/>
      <c r="FT53" s="108"/>
      <c r="FU53" s="108"/>
      <c r="FV53" s="108"/>
      <c r="FW53" s="108"/>
      <c r="FX53" s="108"/>
      <c r="FY53" s="108"/>
      <c r="FZ53" s="108"/>
      <c r="GA53" s="108"/>
      <c r="GB53" s="108"/>
      <c r="GC53" s="108"/>
      <c r="GD53" s="108"/>
      <c r="GE53" s="108"/>
      <c r="GF53" s="108"/>
      <c r="GG53" s="108"/>
      <c r="GH53" s="108"/>
      <c r="GI53" s="108"/>
      <c r="GJ53" s="108"/>
      <c r="GK53" s="251"/>
      <c r="GL53" s="103">
        <f t="shared" si="30"/>
        <v>0</v>
      </c>
      <c r="GM53" s="124"/>
      <c r="GN53" s="104"/>
      <c r="GO53" s="104"/>
      <c r="GP53" s="104"/>
      <c r="GQ53" s="104"/>
      <c r="GR53" s="104"/>
      <c r="GS53" s="104"/>
      <c r="GT53" s="104"/>
      <c r="GU53" s="104"/>
      <c r="GV53" s="104"/>
      <c r="GW53" s="104"/>
      <c r="GX53" s="104"/>
      <c r="GY53" s="104"/>
      <c r="GZ53" s="104"/>
      <c r="HA53" s="104"/>
      <c r="HB53" s="104"/>
      <c r="HC53" s="104"/>
      <c r="HD53" s="104"/>
      <c r="HE53" s="104"/>
      <c r="HF53" s="104"/>
      <c r="HG53" s="104"/>
      <c r="HH53" s="104"/>
      <c r="HI53" s="104"/>
      <c r="HJ53" s="104"/>
      <c r="HK53" s="104"/>
      <c r="HL53" s="104"/>
      <c r="HM53" s="104"/>
      <c r="HN53" s="104"/>
      <c r="HO53" s="104"/>
      <c r="HP53" s="104"/>
      <c r="HQ53" s="64"/>
      <c r="HR53" s="64"/>
      <c r="HS53" s="64"/>
      <c r="HT53" s="64"/>
      <c r="HU53" s="64"/>
      <c r="HV53" s="64"/>
      <c r="HW53" s="105"/>
      <c r="HX53" s="64"/>
      <c r="HY53" s="280">
        <f t="shared" si="72"/>
        <v>0</v>
      </c>
      <c r="HZ53" s="280">
        <f t="shared" si="73"/>
        <v>0</v>
      </c>
      <c r="IA53" s="280">
        <f t="shared" si="74"/>
        <v>0</v>
      </c>
      <c r="IB53" s="64"/>
      <c r="IC53" s="64"/>
    </row>
    <row r="54" spans="1:237" s="106" customFormat="1" ht="22.5" customHeight="1" x14ac:dyDescent="0.25">
      <c r="A54" s="368" t="s">
        <v>3226</v>
      </c>
      <c r="B54" s="369" t="s">
        <v>3227</v>
      </c>
      <c r="C54" s="375" t="s">
        <v>3186</v>
      </c>
      <c r="D54" s="371" t="s">
        <v>3228</v>
      </c>
      <c r="E54" s="371" t="s">
        <v>3229</v>
      </c>
      <c r="F54" s="376" t="s">
        <v>3182</v>
      </c>
      <c r="G54" s="376" t="s">
        <v>3183</v>
      </c>
      <c r="H54" s="373" t="s">
        <v>346</v>
      </c>
      <c r="I54" s="374" t="s">
        <v>346</v>
      </c>
      <c r="J54" s="421" t="s">
        <v>3184</v>
      </c>
      <c r="K54" s="423" t="s">
        <v>3189</v>
      </c>
      <c r="L54" s="329">
        <f>CONTINUA!BV54</f>
        <v>0</v>
      </c>
      <c r="M54" s="329">
        <f>CONTINUA!BW54</f>
        <v>0</v>
      </c>
      <c r="N54" s="895"/>
      <c r="O54" s="896" t="s">
        <v>3283</v>
      </c>
      <c r="P54" s="897">
        <v>0</v>
      </c>
      <c r="Q54" s="400"/>
      <c r="R54" s="401"/>
      <c r="S54" s="400"/>
      <c r="T54" s="401"/>
      <c r="U54" s="400"/>
      <c r="V54" s="401"/>
      <c r="W54" s="400"/>
      <c r="X54" s="401"/>
      <c r="Y54" s="400"/>
      <c r="Z54" s="401"/>
      <c r="AA54" s="400"/>
      <c r="AB54" s="401"/>
      <c r="AC54" s="400"/>
      <c r="AD54" s="401"/>
      <c r="AE54" s="400"/>
      <c r="AF54" s="401"/>
      <c r="AG54" s="400"/>
      <c r="AH54" s="401"/>
      <c r="AI54" s="400"/>
      <c r="AJ54" s="401"/>
      <c r="AK54" s="400"/>
      <c r="AL54" s="401"/>
      <c r="AM54" s="400"/>
      <c r="AN54" s="401"/>
      <c r="AO54" s="400"/>
      <c r="AP54" s="401"/>
      <c r="AQ54" s="400"/>
      <c r="AR54" s="401"/>
      <c r="AS54" s="400"/>
      <c r="AT54" s="401"/>
      <c r="AU54" s="400"/>
      <c r="AV54" s="401"/>
      <c r="AW54" s="400"/>
      <c r="AX54" s="401"/>
      <c r="AY54" s="400"/>
      <c r="AZ54" s="401"/>
      <c r="BA54" s="400"/>
      <c r="BB54" s="401"/>
      <c r="BC54" s="400"/>
      <c r="BD54" s="401"/>
      <c r="BE54" s="400"/>
      <c r="BF54" s="401"/>
      <c r="BG54" s="400"/>
      <c r="BH54" s="401"/>
      <c r="BI54" s="400"/>
      <c r="BJ54" s="401"/>
      <c r="BK54" s="400"/>
      <c r="BL54" s="401"/>
      <c r="BM54" s="400"/>
      <c r="BN54" s="401"/>
      <c r="BO54" s="400"/>
      <c r="BP54" s="401"/>
      <c r="BQ54" s="400"/>
      <c r="BR54" s="401"/>
      <c r="BS54" s="400"/>
      <c r="BT54" s="401"/>
      <c r="BU54" s="400"/>
      <c r="BV54" s="401"/>
      <c r="BW54" s="400"/>
      <c r="BX54" s="401"/>
      <c r="BY54" s="400"/>
      <c r="BZ54" s="401"/>
      <c r="CA54" s="400"/>
      <c r="CB54" s="401"/>
      <c r="CC54" s="400"/>
      <c r="CD54" s="401"/>
      <c r="CE54" s="400"/>
      <c r="CF54" s="401"/>
      <c r="CG54" s="400"/>
      <c r="CH54" s="401"/>
      <c r="CI54" s="400"/>
      <c r="CJ54" s="401"/>
      <c r="CK54" s="400"/>
      <c r="CL54" s="401"/>
      <c r="CM54" s="400"/>
      <c r="CN54" s="401"/>
      <c r="CO54" s="400"/>
      <c r="CP54" s="401"/>
      <c r="CQ54" s="400"/>
      <c r="CR54" s="401"/>
      <c r="CS54" s="400"/>
      <c r="CT54" s="401"/>
      <c r="CU54" s="400"/>
      <c r="CV54" s="401"/>
      <c r="CW54" s="400"/>
      <c r="CX54" s="401"/>
      <c r="CY54" s="400"/>
      <c r="CZ54" s="401"/>
      <c r="DA54" s="400"/>
      <c r="DB54" s="401"/>
      <c r="DC54" s="400"/>
      <c r="DD54" s="401"/>
      <c r="DE54" s="400"/>
      <c r="DF54" s="401"/>
      <c r="DG54" s="400"/>
      <c r="DH54" s="401"/>
      <c r="DI54" s="400"/>
      <c r="DJ54" s="401"/>
      <c r="DK54" s="400"/>
      <c r="DL54" s="401"/>
      <c r="DM54" s="400"/>
      <c r="DN54" s="401"/>
      <c r="DO54" s="400"/>
      <c r="DP54" s="401"/>
      <c r="DQ54" s="400"/>
      <c r="DR54" s="401"/>
      <c r="DS54" s="400"/>
      <c r="DT54" s="401"/>
      <c r="DU54" s="400"/>
      <c r="DV54" s="401"/>
      <c r="DW54" s="400"/>
      <c r="DX54" s="401"/>
      <c r="DY54" s="400"/>
      <c r="DZ54" s="401"/>
      <c r="EA54" s="400"/>
      <c r="EB54" s="401"/>
      <c r="EC54" s="400"/>
      <c r="ED54" s="401"/>
      <c r="EE54" s="400"/>
      <c r="EF54" s="401"/>
      <c r="EG54" s="400"/>
      <c r="EH54" s="401"/>
      <c r="EI54" s="400"/>
      <c r="EJ54" s="447"/>
      <c r="EK54" s="511"/>
      <c r="EL54" s="514"/>
      <c r="EM54" s="448"/>
      <c r="EN54" s="344"/>
      <c r="EO54" s="345"/>
      <c r="EP54" s="171">
        <f t="shared" si="22"/>
        <v>0</v>
      </c>
      <c r="EQ54" s="171">
        <f t="shared" si="23"/>
        <v>0</v>
      </c>
      <c r="ER54" s="171">
        <f t="shared" si="24"/>
        <v>0</v>
      </c>
      <c r="ES54" s="171">
        <f t="shared" si="25"/>
        <v>0</v>
      </c>
      <c r="ET54" s="171">
        <f t="shared" si="26"/>
        <v>0</v>
      </c>
      <c r="EU54" s="171">
        <f t="shared" si="27"/>
        <v>0</v>
      </c>
      <c r="EV54" s="172">
        <f t="shared" si="28"/>
        <v>0</v>
      </c>
      <c r="EW54" s="127"/>
      <c r="EX54" s="248">
        <f t="shared" si="70"/>
        <v>0</v>
      </c>
      <c r="EY54" s="174">
        <f>(L54*regular)+(M54*Cadeirantee)</f>
        <v>0</v>
      </c>
      <c r="EZ54" s="249">
        <f>SUMIF(FG54:GJ54,"&gt;0")</f>
        <v>0</v>
      </c>
      <c r="FA54" s="249">
        <f>SUMIF(FG54:GJ54,"&lt;0")+SUMIF(GN54:HP54,"&lt;0")</f>
        <v>0</v>
      </c>
      <c r="FB54" s="174">
        <v>0</v>
      </c>
      <c r="FC54" s="126">
        <f>N54*km*'VALORES TABELA'!$B$13</f>
        <v>0</v>
      </c>
      <c r="FD54" s="250">
        <f t="shared" si="71"/>
        <v>0</v>
      </c>
      <c r="FE54" s="105"/>
      <c r="FF54" s="118"/>
      <c r="FG54" s="118"/>
      <c r="FH54" s="118"/>
      <c r="FI54" s="118"/>
      <c r="FJ54" s="118"/>
      <c r="FK54" s="118"/>
      <c r="FL54" s="118"/>
      <c r="FM54" s="118"/>
      <c r="FN54" s="118"/>
      <c r="FO54" s="118"/>
      <c r="FP54" s="118"/>
      <c r="FQ54" s="118"/>
      <c r="FR54" s="118"/>
      <c r="FS54" s="118"/>
      <c r="FT54" s="118"/>
      <c r="FU54" s="118"/>
      <c r="FV54" s="118"/>
      <c r="FW54" s="118"/>
      <c r="FX54" s="118"/>
      <c r="FY54" s="118"/>
      <c r="FZ54" s="118"/>
      <c r="GA54" s="118"/>
      <c r="GB54" s="118"/>
      <c r="GC54" s="118"/>
      <c r="GD54" s="118"/>
      <c r="GE54" s="118"/>
      <c r="GF54" s="118"/>
      <c r="GG54" s="118"/>
      <c r="GH54" s="118"/>
      <c r="GI54" s="118"/>
      <c r="GJ54" s="118"/>
      <c r="GK54" s="252"/>
      <c r="GL54" s="103">
        <f t="shared" si="30"/>
        <v>0</v>
      </c>
      <c r="GM54" s="124"/>
      <c r="GN54" s="104"/>
      <c r="GO54" s="104"/>
      <c r="GP54" s="104"/>
      <c r="GQ54" s="104"/>
      <c r="GR54" s="104"/>
      <c r="GS54" s="104"/>
      <c r="GT54" s="104"/>
      <c r="GU54" s="104"/>
      <c r="GV54" s="104"/>
      <c r="GW54" s="104"/>
      <c r="GX54" s="104"/>
      <c r="GY54" s="104"/>
      <c r="GZ54" s="104"/>
      <c r="HA54" s="104"/>
      <c r="HB54" s="104"/>
      <c r="HC54" s="104"/>
      <c r="HD54" s="104"/>
      <c r="HE54" s="104"/>
      <c r="HF54" s="104"/>
      <c r="HG54" s="104"/>
      <c r="HH54" s="104"/>
      <c r="HI54" s="104"/>
      <c r="HJ54" s="104"/>
      <c r="HK54" s="104"/>
      <c r="HL54" s="104"/>
      <c r="HM54" s="104"/>
      <c r="HN54" s="104"/>
      <c r="HO54" s="104"/>
      <c r="HP54" s="104"/>
      <c r="HQ54" s="64"/>
      <c r="HR54" s="65"/>
      <c r="HS54" s="65"/>
      <c r="HT54" s="65"/>
      <c r="HU54" s="65"/>
      <c r="HV54" s="65"/>
      <c r="HW54" s="105"/>
      <c r="HX54" s="65"/>
      <c r="HY54" s="280">
        <f t="shared" si="72"/>
        <v>0</v>
      </c>
      <c r="HZ54" s="280">
        <f t="shared" si="73"/>
        <v>0</v>
      </c>
      <c r="IA54" s="280">
        <f t="shared" si="74"/>
        <v>0</v>
      </c>
      <c r="IB54" s="65"/>
      <c r="IC54" s="65"/>
    </row>
    <row r="55" spans="1:237" s="106" customFormat="1" ht="22.5" customHeight="1" thickBot="1" x14ac:dyDescent="0.3">
      <c r="A55" s="377" t="s">
        <v>3226</v>
      </c>
      <c r="B55" s="378" t="s">
        <v>3227</v>
      </c>
      <c r="C55" s="379" t="s">
        <v>3186</v>
      </c>
      <c r="D55" s="380" t="s">
        <v>3228</v>
      </c>
      <c r="E55" s="380" t="s">
        <v>3229</v>
      </c>
      <c r="F55" s="381" t="s">
        <v>3182</v>
      </c>
      <c r="G55" s="381" t="s">
        <v>3183</v>
      </c>
      <c r="H55" s="382" t="s">
        <v>346</v>
      </c>
      <c r="I55" s="383" t="s">
        <v>346</v>
      </c>
      <c r="J55" s="421" t="s">
        <v>3184</v>
      </c>
      <c r="K55" s="424" t="s">
        <v>60</v>
      </c>
      <c r="L55" s="329">
        <f>CONTINUA!BV55</f>
        <v>0</v>
      </c>
      <c r="M55" s="329">
        <f>CONTINUA!BW55</f>
        <v>0</v>
      </c>
      <c r="N55" s="895"/>
      <c r="O55" s="896" t="s">
        <v>3283</v>
      </c>
      <c r="P55" s="897">
        <v>0</v>
      </c>
      <c r="Q55" s="400"/>
      <c r="R55" s="401"/>
      <c r="S55" s="400"/>
      <c r="T55" s="401"/>
      <c r="U55" s="400"/>
      <c r="V55" s="401"/>
      <c r="W55" s="400"/>
      <c r="X55" s="401"/>
      <c r="Y55" s="400"/>
      <c r="Z55" s="401"/>
      <c r="AA55" s="400"/>
      <c r="AB55" s="401"/>
      <c r="AC55" s="400"/>
      <c r="AD55" s="401"/>
      <c r="AE55" s="400"/>
      <c r="AF55" s="401"/>
      <c r="AG55" s="400"/>
      <c r="AH55" s="401"/>
      <c r="AI55" s="400"/>
      <c r="AJ55" s="401"/>
      <c r="AK55" s="400"/>
      <c r="AL55" s="401"/>
      <c r="AM55" s="400"/>
      <c r="AN55" s="401"/>
      <c r="AO55" s="400"/>
      <c r="AP55" s="401"/>
      <c r="AQ55" s="400"/>
      <c r="AR55" s="401"/>
      <c r="AS55" s="400"/>
      <c r="AT55" s="401"/>
      <c r="AU55" s="400"/>
      <c r="AV55" s="401"/>
      <c r="AW55" s="400"/>
      <c r="AX55" s="401"/>
      <c r="AY55" s="400"/>
      <c r="AZ55" s="401"/>
      <c r="BA55" s="400"/>
      <c r="BB55" s="401"/>
      <c r="BC55" s="400"/>
      <c r="BD55" s="401"/>
      <c r="BE55" s="400"/>
      <c r="BF55" s="401"/>
      <c r="BG55" s="400"/>
      <c r="BH55" s="401"/>
      <c r="BI55" s="400"/>
      <c r="BJ55" s="401"/>
      <c r="BK55" s="400"/>
      <c r="BL55" s="401"/>
      <c r="BM55" s="400"/>
      <c r="BN55" s="401"/>
      <c r="BO55" s="400"/>
      <c r="BP55" s="401"/>
      <c r="BQ55" s="400"/>
      <c r="BR55" s="401"/>
      <c r="BS55" s="400"/>
      <c r="BT55" s="401"/>
      <c r="BU55" s="400"/>
      <c r="BV55" s="401"/>
      <c r="BW55" s="400"/>
      <c r="BX55" s="401"/>
      <c r="BY55" s="400"/>
      <c r="BZ55" s="401"/>
      <c r="CA55" s="400"/>
      <c r="CB55" s="401"/>
      <c r="CC55" s="400"/>
      <c r="CD55" s="401"/>
      <c r="CE55" s="400"/>
      <c r="CF55" s="401"/>
      <c r="CG55" s="400"/>
      <c r="CH55" s="401"/>
      <c r="CI55" s="400"/>
      <c r="CJ55" s="401"/>
      <c r="CK55" s="400"/>
      <c r="CL55" s="401"/>
      <c r="CM55" s="400"/>
      <c r="CN55" s="401"/>
      <c r="CO55" s="400"/>
      <c r="CP55" s="401"/>
      <c r="CQ55" s="400"/>
      <c r="CR55" s="401"/>
      <c r="CS55" s="400"/>
      <c r="CT55" s="401"/>
      <c r="CU55" s="400"/>
      <c r="CV55" s="401"/>
      <c r="CW55" s="400"/>
      <c r="CX55" s="401"/>
      <c r="CY55" s="400"/>
      <c r="CZ55" s="401"/>
      <c r="DA55" s="400"/>
      <c r="DB55" s="401"/>
      <c r="DC55" s="400"/>
      <c r="DD55" s="401"/>
      <c r="DE55" s="400"/>
      <c r="DF55" s="401"/>
      <c r="DG55" s="400"/>
      <c r="DH55" s="401"/>
      <c r="DI55" s="400"/>
      <c r="DJ55" s="401"/>
      <c r="DK55" s="400"/>
      <c r="DL55" s="401"/>
      <c r="DM55" s="400"/>
      <c r="DN55" s="401"/>
      <c r="DO55" s="400"/>
      <c r="DP55" s="401"/>
      <c r="DQ55" s="400"/>
      <c r="DR55" s="401"/>
      <c r="DS55" s="400"/>
      <c r="DT55" s="401"/>
      <c r="DU55" s="400"/>
      <c r="DV55" s="401"/>
      <c r="DW55" s="400"/>
      <c r="DX55" s="401"/>
      <c r="DY55" s="400"/>
      <c r="DZ55" s="401"/>
      <c r="EA55" s="400"/>
      <c r="EB55" s="401"/>
      <c r="EC55" s="400"/>
      <c r="ED55" s="401"/>
      <c r="EE55" s="400"/>
      <c r="EF55" s="401"/>
      <c r="EG55" s="400"/>
      <c r="EH55" s="401"/>
      <c r="EI55" s="400"/>
      <c r="EJ55" s="447"/>
      <c r="EK55" s="512"/>
      <c r="EL55" s="515"/>
      <c r="EM55" s="450"/>
      <c r="EN55" s="348"/>
      <c r="EO55" s="348"/>
      <c r="EP55" s="179">
        <f t="shared" si="22"/>
        <v>0</v>
      </c>
      <c r="EQ55" s="179">
        <f t="shared" si="23"/>
        <v>0</v>
      </c>
      <c r="ER55" s="179">
        <f t="shared" si="24"/>
        <v>0</v>
      </c>
      <c r="ES55" s="179">
        <f t="shared" si="25"/>
        <v>0</v>
      </c>
      <c r="ET55" s="179">
        <f t="shared" si="26"/>
        <v>0</v>
      </c>
      <c r="EU55" s="179">
        <f t="shared" si="27"/>
        <v>0</v>
      </c>
      <c r="EV55" s="172">
        <f t="shared" si="28"/>
        <v>0</v>
      </c>
      <c r="EW55" s="253"/>
      <c r="EX55" s="254">
        <v>0</v>
      </c>
      <c r="EY55" s="180">
        <v>0</v>
      </c>
      <c r="EZ55" s="255">
        <v>0</v>
      </c>
      <c r="FA55" s="255">
        <v>0</v>
      </c>
      <c r="FB55" s="180">
        <f>SUM(FF55:GI55)/2</f>
        <v>0</v>
      </c>
      <c r="FC55" s="256">
        <f>N55*km*'VALORES TABELA'!$B$13</f>
        <v>0</v>
      </c>
      <c r="FD55" s="250">
        <f t="shared" si="71"/>
        <v>0</v>
      </c>
      <c r="FE55" s="257"/>
      <c r="FF55" s="181">
        <f>((Q55+S55)*Percapita)+((R55+T55)*Cadeirante)</f>
        <v>0</v>
      </c>
      <c r="FG55" s="181">
        <f>((U55+W55)*Percapita/30*FG$4)+((V55+X55)*Cadeirante/30*FG$4)</f>
        <v>0</v>
      </c>
      <c r="FH55" s="181">
        <f>((Y55+AA55)*Percapita/30*FH$4)+((Z55+AB55)*Cadeirante/30*FH$4)</f>
        <v>0</v>
      </c>
      <c r="FI55" s="181">
        <f>((AC55+AE55)*Percapita/30*FI$4)+((AD55+AF55)*Cadeirante/30*FI$4)</f>
        <v>0</v>
      </c>
      <c r="FJ55" s="181">
        <f>((AG55+AI55)*Percapita/30*FJ$4)+((AH55+AJ55)*Cadeirante/30*FJ$4)</f>
        <v>0</v>
      </c>
      <c r="FK55" s="181">
        <f>((AK55+AM55)*Percapita/30*FK$4)+((AL55+AN55)*Cadeirante/30*FK$4)</f>
        <v>0</v>
      </c>
      <c r="FL55" s="181">
        <f>((AO55+AQ55)*Percapita/30*FL$4)+((AP55+AR55)*Cadeirante/30*FL$4)</f>
        <v>0</v>
      </c>
      <c r="FM55" s="181">
        <f>((AS55+AU55)*Percapita/30*FM$4)+((AT55+AV55)*Cadeirante/30*FM$4)</f>
        <v>0</v>
      </c>
      <c r="FN55" s="181">
        <f>((AW55+AY55)*Percapita/30*FN$4)+((AX55+AZ55)*Cadeirante/30*FN$4)</f>
        <v>0</v>
      </c>
      <c r="FO55" s="181">
        <f>((BA55+BC55)*Percapita/30*FO$4)+((BB55+BD55)*Cadeirante/30*FO$4)</f>
        <v>0</v>
      </c>
      <c r="FP55" s="181">
        <f>((BE55+BG55)*Percapita/30*FP$4)+((BF55+BH55)*Cadeirante/30*FP$4)</f>
        <v>0</v>
      </c>
      <c r="FQ55" s="181">
        <f>((BI55+BK55)*Percapita/30*FQ$4)+((BJ55+BL55)*Cadeirante/30*FQ$4)</f>
        <v>0</v>
      </c>
      <c r="FR55" s="181">
        <f>((BM55+BO55)*Percapita/30*FR$4)+((BN55+BP55)*Cadeirante/30*FR$4)</f>
        <v>0</v>
      </c>
      <c r="FS55" s="181">
        <f>((BQ55+BS55)*Percapita/30*FS$4)+((BR55+BT55)*Cadeirante/30*FS$4)</f>
        <v>0</v>
      </c>
      <c r="FT55" s="181">
        <f>((BU55+BW55)*Percapita/30*FT$4)+((BV55+BX55)*Cadeirante/30*FT$4)</f>
        <v>0</v>
      </c>
      <c r="FU55" s="181">
        <f>((BY55+CA55)*Percapita/30*FU$4)+((BZ55+CB55)*Cadeirante/30*FU$4)</f>
        <v>0</v>
      </c>
      <c r="FV55" s="181">
        <f>((CC55+CE55)*Percapita/30*FV$4)+((CD55+CF55)*Cadeirante/30*FV$4)</f>
        <v>0</v>
      </c>
      <c r="FW55" s="181">
        <f>((CG55+CI55)*Percapita/30*FW$4)+((CI55+CK55)*Cadeirante/30*FW$4)</f>
        <v>0</v>
      </c>
      <c r="FX55" s="181">
        <f>((CK55+CM55)*Percapita/30*FX$4)+((CL55+CN55)*Cadeirante/30*FX$4)</f>
        <v>0</v>
      </c>
      <c r="FY55" s="181">
        <f>((CO55+CQ55)*Percapita/30*FY$4)+((CP55+CR55)*Cadeirante/30*FY$4)</f>
        <v>0</v>
      </c>
      <c r="FZ55" s="181">
        <f>((CS55+CU55)*Percapita/30*FZ$4)+((CT55+CV55)*Cadeirante/30*FZ$4)</f>
        <v>0</v>
      </c>
      <c r="GA55" s="181">
        <f>((CW55+CY55)*Percapita/30*GA$4)+((CX55+CZ55)*Cadeirante/30*GA$4)</f>
        <v>0</v>
      </c>
      <c r="GB55" s="181">
        <f>((DA55+DC55)*Percapita/30*GB$4)+((DB55+DD55)*Cadeirante/30*GB$4)</f>
        <v>0</v>
      </c>
      <c r="GC55" s="181">
        <f>((DE55+DG55)*Percapita/30*GC$4)+((DF55+DH55)*Cadeirante/30*GC$4)</f>
        <v>0</v>
      </c>
      <c r="GD55" s="181">
        <f>((DI55+DK55)*Percapita/30*GD$4)+((DJ55+DL55)*Cadeirante/30*GD$4)</f>
        <v>0</v>
      </c>
      <c r="GE55" s="181">
        <f>((DM55+DO55)*Percapita/30*GE$4)+((DN55+DP55)*Cadeirante/30*GE$4)</f>
        <v>0</v>
      </c>
      <c r="GF55" s="181">
        <f>((DQ55+DS55)*Percapita/30*GF$4)+((DR55+DT55)*Cadeirante/30*GF$4)</f>
        <v>0</v>
      </c>
      <c r="GG55" s="181">
        <f>((DU55+DW55)*Percapita/30*GG$4)+((DV55+DX55)*Cadeirante/30*GG$4)</f>
        <v>0</v>
      </c>
      <c r="GH55" s="181">
        <f>((DY55+EA55)*Percapita/30*GH$4)+((DZ55+EB55)*Cadeirante/30*GH$4)</f>
        <v>0</v>
      </c>
      <c r="GI55" s="181">
        <f>((EC55+EE55)*Percapita/30*GI$4)+((ED55+EF55)*Cadeirante/30*GI$4)</f>
        <v>0</v>
      </c>
      <c r="GJ55" s="181">
        <f>((EG55+EI55)*Percapita)+((EH55+EJ55)*Cadeirante)</f>
        <v>0</v>
      </c>
      <c r="GK55" s="258"/>
      <c r="GL55" s="103">
        <f t="shared" si="30"/>
        <v>0</v>
      </c>
      <c r="GM55" s="124"/>
      <c r="GN55" s="182"/>
      <c r="GO55" s="182"/>
      <c r="GP55" s="182"/>
      <c r="GQ55" s="182"/>
      <c r="GR55" s="182"/>
      <c r="GS55" s="182"/>
      <c r="GT55" s="182"/>
      <c r="GU55" s="182"/>
      <c r="GV55" s="182"/>
      <c r="GW55" s="182"/>
      <c r="GX55" s="182"/>
      <c r="GY55" s="182"/>
      <c r="GZ55" s="182"/>
      <c r="HA55" s="182"/>
      <c r="HB55" s="182"/>
      <c r="HC55" s="182"/>
      <c r="HD55" s="182"/>
      <c r="HE55" s="182"/>
      <c r="HF55" s="182"/>
      <c r="HG55" s="182"/>
      <c r="HH55" s="182"/>
      <c r="HI55" s="182"/>
      <c r="HJ55" s="182"/>
      <c r="HK55" s="182"/>
      <c r="HL55" s="182"/>
      <c r="HM55" s="182"/>
      <c r="HN55" s="182"/>
      <c r="HO55" s="182"/>
      <c r="HP55" s="259"/>
      <c r="HQ55" s="64"/>
      <c r="HW55" s="257"/>
      <c r="HY55" s="280">
        <f t="shared" si="72"/>
        <v>0</v>
      </c>
      <c r="HZ55" s="280">
        <f t="shared" si="73"/>
        <v>0</v>
      </c>
      <c r="IA55" s="280">
        <f t="shared" si="74"/>
        <v>0</v>
      </c>
    </row>
    <row r="56" spans="1:237" s="106" customFormat="1" ht="22.5" customHeight="1" x14ac:dyDescent="0.25">
      <c r="A56" t="s">
        <v>3230</v>
      </c>
      <c r="B56" s="522" t="s">
        <v>3231</v>
      </c>
      <c r="C56" s="523">
        <v>1</v>
      </c>
      <c r="D56" s="524" t="s">
        <v>3232</v>
      </c>
      <c r="E56" s="524" t="s">
        <v>3233</v>
      </c>
      <c r="F56" s="525" t="s">
        <v>3182</v>
      </c>
      <c r="G56" s="525" t="s">
        <v>3183</v>
      </c>
      <c r="H56" s="350" t="s">
        <v>347</v>
      </c>
      <c r="I56" s="351" t="s">
        <v>347</v>
      </c>
      <c r="J56" s="409" t="s">
        <v>3184</v>
      </c>
      <c r="K56" s="410" t="s">
        <v>3185</v>
      </c>
      <c r="L56" s="329">
        <f>CONTINUA!BV56</f>
        <v>0</v>
      </c>
      <c r="M56" s="329">
        <f>CONTINUA!BW56</f>
        <v>0</v>
      </c>
      <c r="N56" s="895"/>
      <c r="O56" s="896" t="s">
        <v>3284</v>
      </c>
      <c r="P56" s="897">
        <v>0</v>
      </c>
      <c r="Q56" s="400"/>
      <c r="R56" s="401"/>
      <c r="S56" s="400"/>
      <c r="T56" s="401"/>
      <c r="U56" s="400"/>
      <c r="V56" s="401"/>
      <c r="W56" s="400"/>
      <c r="X56" s="401"/>
      <c r="Y56" s="400"/>
      <c r="Z56" s="401"/>
      <c r="AA56" s="400"/>
      <c r="AB56" s="401"/>
      <c r="AC56" s="400"/>
      <c r="AD56" s="401"/>
      <c r="AE56" s="400"/>
      <c r="AF56" s="401"/>
      <c r="AG56" s="400"/>
      <c r="AH56" s="401"/>
      <c r="AI56" s="400"/>
      <c r="AJ56" s="401"/>
      <c r="AK56" s="400"/>
      <c r="AL56" s="401"/>
      <c r="AM56" s="400"/>
      <c r="AN56" s="401"/>
      <c r="AO56" s="400"/>
      <c r="AP56" s="401"/>
      <c r="AQ56" s="400"/>
      <c r="AR56" s="401"/>
      <c r="AS56" s="400"/>
      <c r="AT56" s="401"/>
      <c r="AU56" s="400"/>
      <c r="AV56" s="401"/>
      <c r="AW56" s="400"/>
      <c r="AX56" s="401"/>
      <c r="AY56" s="400"/>
      <c r="AZ56" s="401"/>
      <c r="BA56" s="400"/>
      <c r="BB56" s="401"/>
      <c r="BC56" s="400"/>
      <c r="BD56" s="401"/>
      <c r="BE56" s="400"/>
      <c r="BF56" s="401"/>
      <c r="BG56" s="400"/>
      <c r="BH56" s="401"/>
      <c r="BI56" s="400"/>
      <c r="BJ56" s="401"/>
      <c r="BK56" s="400"/>
      <c r="BL56" s="401"/>
      <c r="BM56" s="400"/>
      <c r="BN56" s="401"/>
      <c r="BO56" s="400"/>
      <c r="BP56" s="401"/>
      <c r="BQ56" s="400"/>
      <c r="BR56" s="401"/>
      <c r="BS56" s="400"/>
      <c r="BT56" s="401"/>
      <c r="BU56" s="400"/>
      <c r="BV56" s="401"/>
      <c r="BW56" s="400"/>
      <c r="BX56" s="401"/>
      <c r="BY56" s="400"/>
      <c r="BZ56" s="401"/>
      <c r="CA56" s="400"/>
      <c r="CB56" s="401"/>
      <c r="CC56" s="400"/>
      <c r="CD56" s="401"/>
      <c r="CE56" s="400"/>
      <c r="CF56" s="401"/>
      <c r="CG56" s="400"/>
      <c r="CH56" s="401"/>
      <c r="CI56" s="400"/>
      <c r="CJ56" s="401"/>
      <c r="CK56" s="400"/>
      <c r="CL56" s="401"/>
      <c r="CM56" s="400"/>
      <c r="CN56" s="401"/>
      <c r="CO56" s="400"/>
      <c r="CP56" s="401"/>
      <c r="CQ56" s="400"/>
      <c r="CR56" s="401"/>
      <c r="CS56" s="400"/>
      <c r="CT56" s="401"/>
      <c r="CU56" s="400"/>
      <c r="CV56" s="401"/>
      <c r="CW56" s="400"/>
      <c r="CX56" s="401"/>
      <c r="CY56" s="400"/>
      <c r="CZ56" s="401"/>
      <c r="DA56" s="400"/>
      <c r="DB56" s="401"/>
      <c r="DC56" s="400"/>
      <c r="DD56" s="401"/>
      <c r="DE56" s="400"/>
      <c r="DF56" s="401"/>
      <c r="DG56" s="400"/>
      <c r="DH56" s="401"/>
      <c r="DI56" s="400"/>
      <c r="DJ56" s="401"/>
      <c r="DK56" s="400"/>
      <c r="DL56" s="401"/>
      <c r="DM56" s="400"/>
      <c r="DN56" s="401"/>
      <c r="DO56" s="400"/>
      <c r="DP56" s="401"/>
      <c r="DQ56" s="400"/>
      <c r="DR56" s="401"/>
      <c r="DS56" s="400"/>
      <c r="DT56" s="401"/>
      <c r="DU56" s="400"/>
      <c r="DV56" s="401"/>
      <c r="DW56" s="400"/>
      <c r="DX56" s="401"/>
      <c r="DY56" s="400"/>
      <c r="DZ56" s="401"/>
      <c r="EA56" s="400"/>
      <c r="EB56" s="401"/>
      <c r="EC56" s="400"/>
      <c r="ED56" s="401"/>
      <c r="EE56" s="400"/>
      <c r="EF56" s="401"/>
      <c r="EG56" s="400"/>
      <c r="EH56" s="401"/>
      <c r="EI56" s="400"/>
      <c r="EJ56" s="447"/>
      <c r="EK56" s="510"/>
      <c r="EL56" s="513"/>
      <c r="EM56" s="520"/>
      <c r="EN56" s="520"/>
      <c r="EO56" s="520"/>
      <c r="EP56" s="171">
        <f t="shared" si="22"/>
        <v>0</v>
      </c>
      <c r="EQ56" s="171">
        <f t="shared" si="23"/>
        <v>0</v>
      </c>
      <c r="ER56" s="171">
        <f t="shared" si="24"/>
        <v>0</v>
      </c>
      <c r="ES56" s="171">
        <f t="shared" si="25"/>
        <v>0</v>
      </c>
      <c r="ET56" s="171">
        <f t="shared" si="26"/>
        <v>0</v>
      </c>
      <c r="EU56" s="171">
        <f t="shared" si="27"/>
        <v>0</v>
      </c>
      <c r="EV56" s="172">
        <f t="shared" si="28"/>
        <v>0</v>
      </c>
      <c r="EW56" s="367">
        <f>IF(C56=4,IF(MAX(Q56:EJ58)&gt;0,(Especiall/30*(IF(($G56-$F56)=($G$5-$F$5),30,IF(DAY($G56)=31,($G56-$F56),($G56-$F56)+1)))),0),0)</f>
        <v>0</v>
      </c>
      <c r="EX56" s="248">
        <f t="shared" ref="EX56:EX59" si="75">FF56</f>
        <v>20590.34</v>
      </c>
      <c r="EY56" s="174">
        <f>(L56*regular)+(M56*Cadeirantee)</f>
        <v>0</v>
      </c>
      <c r="EZ56" s="249">
        <f>SUMIF(FG56:GJ56,"&gt;0")</f>
        <v>0</v>
      </c>
      <c r="FA56" s="249">
        <f>SUMIF(FG56:GJ56,"&lt;0")+SUMIF(GN56:HP56,"&lt;0")</f>
        <v>0</v>
      </c>
      <c r="FB56" s="174">
        <v>0</v>
      </c>
      <c r="FC56" s="175">
        <f>N56*km*'VALORES TABELA'!$B$13</f>
        <v>0</v>
      </c>
      <c r="FD56" s="250">
        <f>GL56</f>
        <v>0</v>
      </c>
      <c r="FE56" s="176">
        <f>(EW56+EW57+EW58+EW59+EX56+EX57+EX58+EX59+EY56+EY57+EY58+EY59+EY60+EZ56+EZ57+EZ58+EZ59+FA56+FA57+FA58+FA59+FC56+FC57+FC58+FC59+HY56-HZ56-IA56+FD56+FD57+FD58+FD59+FB60)</f>
        <v>21612.18</v>
      </c>
      <c r="FF56" s="177">
        <f>IF(C56=4,SUM(Q56+Q57+Q58+S56+S57+S58)*Percapita/30*FF$4+(R56+R57+R58+T56+T57+T58)*Cadeirante/30*FF$4,IF(C56=3,IF(Q59+S59=10,Fixo/30*FF$4+(Q56+Q57+Q58+S56+S57+S58)*Percapita/30*FF$4+(R59+T59)*Cadeirante/30*FF$4,IF(Q59+S59&lt;=9,(Q59+S59)*Crechee/30*FF$4)+(R59+T59)*Cadeirante/30*FF$4+(Q56+Q57+Q58+S56+S57+S58)*Percapita/30*FF$4)+IF(Q59+S59&gt;=11,Fixo/30*FF$4+(Q59+S59-10)*Crechee/30*FF$4,0),IF(C56=2,IF(R56+R57+R58+R59+T56+T57+T58+T59=1,Cadeirante/30*FF$4,IF(R56+R57+R58+R59+T56+T57+T58+T59=2,Fixo/30*FF$4,IF(R56+R57+R58+R59+T56+T57+T58+T59&gt;2,Fixo/30*FF$4+(R56+R57+R58+R59+T56+T57+T58+T59-2)*Cadeirante/30*FF$4)))+(Q56+Q57+Q58+S56+S57+S58)*Percapita/30*FF$4+(Q59+S59)*Crechee/30*FF$4,IF(C56=1,IF(Q56+Q57+Q58+R56+R57+R58+S56+S57+S58+T56+T57+T58&lt;=15,(Q56+Q57+Q58+S56+S57+S58)*Percapita/30*FF$4,IF(Q56+Q57+Q58+R56+R57+R58+S56+S57+S58+T56+T57+T58&gt;=16,Fixo/30*FF$4+(Q56+Q57+Q58+R56+R57+R58+S56+S57+S58+T56+T57-16)*Percapita/30*FF$4))))))</f>
        <v>20590.34</v>
      </c>
      <c r="FG56" s="177">
        <f>IF(C56=4,SUM(U56+U57+U58+W56+W57+W58)*Percapita/30*FG$4+(V56+V57+V58+X56+X57+X58)*Cadeirante/30*FG$4,IF(C56=3,IF(U59+W59=10,Fixo/30*FG$4+(U56+U57+U58+W56+W57+W58)*Percapita/30*FG$4+(V59+X59)*Cadeirante/30*FG$4,IF(U59+W59&lt;=9,(U59+W59)*Crechee/30*FG$4)+(V59+X59)*Cadeirante/30*FG$4+(U56+U57+U58+W56+W57+W58)*Percapita/30*FG$4)+IF(U59+W59&gt;=11,Fixo/30*FG$4+(U59+W59-10)*Crechee/30*FG$4,0),IF(C56=2,IF(V56+V57+V58+V59+X56+X57+X58+X59=1,Cadeirante/30*FG$4,IF(V56+V57+V58+V59+X56+X57+X58+X59=2,Fixo/30*FG$4,IF(V56+V57+V58+V59+X56+X57+X58+X59&gt;2,Fixo/30*FG$4+(V56+V57+V58+V59+X56+X57+X58+X59-2)*Cadeirante/30*FG$4)))+(U56+U57+U58+W56+W57+W58)*Percapita/30*FG$4+(U59+W59)*Crechee/30*FG$4,IF(C56=1,IF(U56+U57+U58+V56+V57+V58+W56+W57+W58+X56+X57+X58&lt;=15,(U56+U57+U58+W56+W57+W58)*Percapita/30*FG$4,IF(U56+U57+U58+V56+V57+V58+W56+W57+W58+X56+X57+X58&gt;=16,Fixo/30*FG$4+(U56+U57+U58+V56+V57+V58+W56+W57+W58+X56+X57-16)*Percapita/30*FG$4))))))</f>
        <v>0</v>
      </c>
      <c r="FH56" s="177">
        <f>IF(C56=4,SUM(Y56+Y57+Y58+AA56+AA57+AA58)*Percapita/30*FH$4+(Z56+Z57+Z58+AB56+AB57+AB58)*Cadeirante/30*FH$4,IF(C56=3,IF(Y59+AA59=10,Fixo/30*FH$4+(Y56+Y57+Y58+AA56+AA57+AA58)*Percapita/30*FH$4+(Z59+AB59)*Cadeirante/30*FH$4,IF(Y59+AA59&lt;=9,(Y59+AA59)*Crechee/30*FH$4)+(Z59+AB59)*Cadeirante/30*FH$4+(Y56+Y57+Y58+AA56+AA57+AA58)*Percapita/30*FH$4)+IF(Y59+AA59&gt;=11,Fixo/30*FH$4+(Y59+AA59-10)*Crechee/30*FH$4,0),IF(C56=2,IF(Z56+Z57+Z58+Z59+AB56+AB57+AB58+AB59=1,Cadeirante/30*FH$4,IF(Z56+Z57+Z58+Z59+AB56+AB57+AB58+AB59=2,Fixo/30*FH$4,IF(Z56+Z57+Z58+Z59+AB56+AB57+AB58+AB59&gt;2,Fixo/30*FH$4+(Z56+Z57+Z58+Z59+AB56+AB57+AB58+AB59-2)*Cadeirante/30*FH$4)))+(Y56+Y57+Y58+AA56+AA57+AA58)*Percapita/30*FH$4+(Y59+AA59)*Crechee/30*FH$4,IF(C56=1,IF(Y56+Y57+Y58+Z56+Z57+Z58+AA56+AA57+AA58+AB56+AB57+AB58&lt;=15,(Y56+Y57+Y58+AA56+AA57+AA58)*Percapita/30*FH$4,IF(Y56+Y57+Y58+Z56+Z57+Z58+AA56+AA57+AA58+AB56+AB57+AB58&gt;=16,Fixo/30*FH$4+(Y56+Y57+Y58+Z56+Z57+Z58+AA56+AA57+AA58+AB56+AB57-16)*Percapita/30*FH$4))))))</f>
        <v>0</v>
      </c>
      <c r="FI56" s="177">
        <f>IF(C56=4,SUM(AC56+AC57+AC58+AE56+AE57+AE58)*Percapita/30*FI$4+(AD56+AD57+AD58+AF56+AF57+AF58)*Cadeirante/30*FI$4,IF(C56=3,IF(AC59+AE59=10,Fixo/30*FI$4+(AC56+AC57+AC58+AE56+AE57+AE58)*Percapita/30*FI$4+(AD59+AF59)*Cadeirante/30*FI$4,IF(AC59+AE59&lt;=9,(AC59+AE59)*Crechee/30*FI$4)+(AD59+AF59)*Cadeirante/30*FI$4+(AC56+AC57+AC58+AE56+AE57+AE58)*Percapita/30*FI$4)+IF(AC59+AE59&gt;=11,Fixo/30*FI$4+(AC59+AE59-10)*Crechee/30*FI$4,0),IF(C56=2,IF(AD56+AD57+AD58+AD59+AF56+AF57+AF58+AF59=1,Cadeirante/30*FI$4,IF(AD56+AD57+AD58+AD59+AF56+AF57+AF58+AF59=2,Fixo/30*FI$4,IF(AD56+AD57+AD58+AD59+AF56+AF57+AF58+AF59&gt;2,Fixo/30*FI$4+(AD56+AD57+AD58+AD59+AF56+AF57+AF58+AF59-2)*Cadeirante/30*FI$4)))+(AC56+AC57+AC58+AE56+AE57+AE58)*Percapita/30*FI$4+(AC59+AE59)*Crechee/30*FI$4,IF(C56=1,IF(AC56+AC57+AC58+AD56+AD57+AD58+AE56+AE57+AE58+AF56+AF57+AF58&lt;=15,(AC56+AC57+AC58+AE56+AE57+AE58)*Percapita/30*FI$4,IF(AC56+AC57+AC58+AD56+AD57+AD58+AE56+AE57+AE58+AF56+AF57+AF58&gt;=16,Fixo/30*FI$4+(AC56+AC57+AC58+AD56+AD57+AD58+AE56+AE57+AE58+AF56+AF57-16)*Percapita/30*FI$4))))))</f>
        <v>0</v>
      </c>
      <c r="FJ56" s="177">
        <f>IF(C56=4,SUM(AG56+AG57+AG58+AI56+AI57+AI58)*Percapita/30*FJ$4+(AH56+AH57+AH58+AJ56+AJ57+AJ58)*Cadeirante/30*FJ$4,IF(C56=3,IF(AG59+AI59=10,Fixo/30*FJ$4+(AG56+AG57+AG58+AI56+AI57+AI58)*Percapita/30*FJ$4+(AH59+AJ59)*Cadeirante/30*FJ$4,IF(AG59+AI59&lt;=9,(AG59+AI59)*Crechee/30*FJ$4)+(AH59+AJ59)*Cadeirante/30*FJ$4+(AG56+AG57+AG58+AI56+AI57+AI58)*Percapita/30*FJ$4)+IF(AG59+AI59&gt;=11,Fixo/30*FJ$4+(AG59+AI59-10)*Crechee/30*FJ$4,0),IF(C56=2,IF(AH56+AH57+AH58+AH59+AJ56+AJ57+AJ58+AJ59=1,Cadeirante/30*FJ$4,IF(AH56+AH57+AH58+AH59+AJ56+AJ57+AJ58+AJ59=2,Fixo/30*FJ$4,IF(AH56+AH57+AH58+AH59+AJ56+AJ57+AJ58+AJ59&gt;2,Fixo/30*FJ$4+(AH56+AH57+AH58+AH59+AJ56+AJ57+AJ58+AJ59-2)*Cadeirante/30*FJ$4)))+(AG56+AG57+AG58+AI56+AI57+AI58)*Percapita/30*FJ$4+(AG59+AI59)*Crechee/30*FJ$4,IF(C56=1,IF(AG56+AG57+AG58+AH56+AH57+AH58+AI56+AI57+AI58+AJ56+AJ57+AJ58&lt;=15,(AG56+AG57+AG58+AI56+AI57+AI58)*Percapita/30*FJ$4,IF(AG56+AG57+AG58+AH56+AH57+AH58+AI56+AI57+AI58+AJ56+AJ57+AJ58&gt;=16,Fixo/30*FJ$4+(AG56+AG57+AG58+AH56+AH57+AH58+AI56+AI57+AI58+AJ56+AJ57-16)*Percapita/30*FJ$4))))))</f>
        <v>0</v>
      </c>
      <c r="FK56" s="177">
        <f>IF(C56=4,SUM(AK56+AK57+AK58+AM56+AM57+AM58)*Percapita/30*FK$4+(AL56+AL57+AL58+AN56+AN57+AN58)*Cadeirante/30*FK$4,IF(C56=3,IF(AK59+AM59=10,Fixo/30*FK$4+(AK56+AK57+AK58+AM56+AM57+AM58)*Percapita/30*FK$4+(AL59+AN59)*Cadeirante/30*FK$4,IF(AK59+AM59&lt;=9,(AK59+AM59)*Crechee/30*FK$4)+(AL59+AN59)*Cadeirante/30*FK$4+(AK56+AK57+AK58+AM56+AM57+AM58)*Percapita/30*FK$4)+IF(AK59+AM59&gt;=11,Fixo/30*FK$4+(AK59+AM59-10)*Crechee/30*FK$4,0),IF(C56=2,IF(AL56+AL57+AL58+AL59+AN56+AN57+AN58+AN59=1,Cadeirante/30*FK$4,IF(AL56+AL57+AL58+AL59+AN56+AN57+AN58+AN59=2,Fixo/30*FK$4,IF(AL56+AL57+AL58+AL59+AN56+AN57+AN58+AN59&gt;2,Fixo/30*FK$4+(AL56+AL57+AL58+AL59+AN56+AN57+AN58+AN59-2)*Cadeirante/30*FK$4)))+(AK56+AK57+AK58+AM56+AM57+AM58)*Percapita/30*FK$4+(AK59+AM59)*Crechee/30*FK$4,IF(C56=1,IF(AK56+AK57+AK58+AL56+AL57+AL58+AM56+AM57+AM58+AN56+AN57+AN58&lt;=15,(AK56+AK57+AK58+AM56+AM57+AM58)*Percapita/30*FK$4,IF(AK56+AK57+AK58+AL56+AL57+AL58+AM56+AM57+AM58+AN56+AN57+AN58&gt;=16,Fixo/30*FK$4+(AK56+AK57+AK58+AL56+AL57+AL58+AM56+AM57+AM58+AN56+AN57-16)*Percapita/30*FK$4))))))</f>
        <v>0</v>
      </c>
      <c r="FL56" s="177">
        <f>IF(C56=4,SUM(AO56+AO57+AO58+AQ56+AQ57+AQ58)*Percapita/30*FL$4+(AP56+AP57+AP58+AR56+AR57+AR58)*Cadeirante/30*FL$4,IF(C56=3,IF(AO59+AQ59=10,Fixo/30*FL$4+(AO56+AO57+AO58+AQ56+AQ57+AQ58)*Percapita/30*FL$4+(AP59+AR59)*Cadeirante/30*FL$4,IF(AO59+AQ59&lt;=9,(AO59+AQ59)*Crechee/30*FL$4)+(AP59+AR59)*Cadeirante/30*FL$4+(AO56+AO57+AO58+AQ56+AQ57+AQ58)*Percapita/30*FL$4)+IF(AO59+AQ59&gt;=11,Fixo/30*FL$4+(AO59+AQ59-10)*Crechee/30*FL$4,0),IF(C56=2,IF(AP56+AP57+AP58+AP59+AR56+AR57+AR58+AR59=1,Cadeirante/30*FL$4,IF(AP56+AP57+AP58+AP59+AR56+AR57+AR58+AR59=2,Fixo/30*FL$4,IF(AP56+AP57+AP58+AP59+AR56+AR57+AR58+AR59&gt;2,Fixo/30*FL$4+(AP56+AP57+AP58+AP59+AR56+AR57+AR58+AR59-2)*Cadeirante/30*FL$4)))+(AO56+AO57+AO58+AQ56+AQ57+AQ58)*Percapita/30*FL$4+(AO59+AQ59)*Crechee/30*FL$4,IF(C56=1,IF(AO56+AO57+AO58+AP56+AP57+AP58+AQ56+AQ57+AQ58+AR56+AR57+AR58&lt;=15,(AO56+AO57+AO58+AQ56+AQ57+AQ58)*Percapita/30*FL$4,IF(AO56+AO57+AO58+AP56+AP57+AP58+AQ56+AQ57+AQ58+AR56+AR57+AR58&gt;=16,Fixo/30*FL$4+(AO56+AO57+AO58+AP56+AP57+AP58+AQ56+AQ57+AQ58+AR56+AR57-16)*Percapita/30*FL$4))))))</f>
        <v>0</v>
      </c>
      <c r="FM56" s="177">
        <f>IF(C56=4,SUM(AS56+AS57+AS58+AU56+AU57+AU58)*Percapita/30*FM$4+(AT56+AT57+AT58+AV56+AV57+AV58)*Cadeirante/30*FM$4,IF(C56=3,IF(AS59+AU59=10,Fixo/30*FM$4+(AS56+AS57+AS58+AU56+AU57+AU58)*Percapita/30*FM$4+(AT59+AV59)*Cadeirante/30*FM$4,IF(AS59+AU59&lt;=9,(AS59+AU59)*Crechee/30*FM$4)+(AT59+AV59)*Cadeirante/30*FM$4+(AS56+AS57+AS58+AU56+AU57+AU58)*Percapita/30*FM$4)+IF(AS59+AU59&gt;=11,Fixo/30*FM$4+(AS59+AU59-10)*Crechee/30*FM$4,0),IF(C56=2,IF(AT56+AT57+AT58+AT59+AV56+AV57+AV58+AV59=1,Cadeirante/30*FM$4,IF(AT56+AT57+AT58+AT59+AV56+AV57+AV58+AV59=2,Fixo/30*FM$4,IF(AT56+AT57+AT58+AT59+AV56+AV57+AV58+AV59&gt;2,Fixo/30*FM$4+(AT56+AT57+AT58+AT59+AV56+AV57+AV58+AV59-2)*Cadeirante/30*FM$4)))+(AS56+AS57+AS58+AU56+AU57+AU58)*Percapita/30*FM$4+(AS59+AU59)*Crechee/30*FM$4,IF(C56=1,IF(AS56+AS57+AS58+AT56+AT57+AT58+AU56+AU57+AU58+AV56+AV57+AV58&lt;=15,(AS56+AS57+AS58+AU56+AU57+AU58)*Percapita/30*FM$4,IF(AS56+AS57+AS58+AT56+AT57+AT58+AU56+AU57+AU58+AV56+AV57+AV58&gt;=16,Fixo/30*FM$4+(AS56+AS57+AS58+AT56+AT57+AT58+AU56+AU57+AU58+AV56+AV57-16)*Percapita/30*FM$4))))))</f>
        <v>0</v>
      </c>
      <c r="FN56" s="177">
        <f>IF(C56=4,SUM(AW56+AW57+AW58+AY56+AY57+AY58)*Percapita/30*FN$4+(AX56+AX57+AX58+AZ56+AZ57+AZ58)*Cadeirante/30*FN$4,IF(C56=3,IF(AW59+AY59=10,Fixo/30*FN$4+(AW56+AW57+AW58+AY56+AY57+AY58)*Percapita/30*FN$4+(AX59+AZ59)*Cadeirante/30*FN$4,IF(AW59+AY59&lt;=9,(AW59+AY59)*Crechee/30*FN$4)+(AX59+AZ59)*Cadeirante/30*FN$4+(AW56+AW57+AW58+AY56+AY57+AY58)*Percapita/30*FN$4)+IF(AW59+AY59&gt;=11,Fixo/30*FN$4+(AW59+AY59-10)*Crechee/30*FN$4,0),IF(C56=2,IF(AX56+AX57+AX58+AX59+AZ56+AZ57+AZ58+AZ59=1,Cadeirante/30*FN$4,IF(AX56+AX57+AX58+AX59+AZ56+AZ57+AZ58+AZ59=2,Fixo/30*FN$4,IF(AX56+AX57+AX58+AX59+AZ56+AZ57+AZ58+AZ59&gt;2,Fixo/30*FN$4+(AX56+AX57+AX58+AX59+AZ56+AZ57+AZ58+AZ59-2)*Cadeirante/30*FN$4)))+(AW56+AW57+AW58+AY56+AY57+AY58)*Percapita/30*FN$4+(AW59+AY59)*Crechee/30*FN$4,IF(C56=1,IF(AW56+AW57+AW58+AX56+AX57+AX58+AY56+AY57+AY58+AZ56+AZ57+AZ58&lt;=15,(AW56+AW57+AW58+AY56+AY57+AY58)*Percapita/30*FN$4,IF(AW56+AW57+AW58+AX56+AX57+AX58+AY56+AY57+AY58+AZ56+AZ57+AZ58&gt;=16,Fixo/30*FN$4+(AW56+AW57+AW58+AX56+AX57+AX58+AY56+AY57+AY58+AZ56+AZ57-16)*Percapita/30*FN$4))))))</f>
        <v>0</v>
      </c>
      <c r="FO56" s="177">
        <f>IF(C56=4,SUM(BA56+BA57+BA58+BC56+BC57+BC58)*Percapita/30*FO$4+(BB56+BB57+BB58+BD56+BD57+BD58)*Cadeirante/30*FO$4,IF(C56=3,IF(BA59+BC59=10,Fixo/30*FO$4+(BA56+BA57+BA58+BC56+BC57+BC58)*Percapita/30*FO$4+(BB59+BD59)*Cadeirante/30*FO$4,IF(BA59+BC59&lt;=9,(BA59+BC59)*Crechee/30*FO$4)+(BB59+BD59)*Cadeirante/30*FO$4+(BA56+BA57+BA58+BC56+BC57+BC58)*Percapita/30*FO$4)+IF(BA59+BC59&gt;=11,Fixo/30*FO$4+(BA59+BC59-10)*Crechee/30*FO$4,0),IF(C56=2,IF(BB56+BB57+BB58+BB59+BD56+BD57+BD58+BD59=1,Cadeirante/30*FO$4,IF(BB56+BB57+BB58+BB59+BD56+BD57+BD58+BD59=2,Fixo/30*FO$4,IF(BB56+BB57+BB58+BB59+BD56+BD57+BD58+BD59&gt;2,Fixo/30*FO$4+(BB56+BB57+BB58+BB59+BD56+BD57+BD58+BD59-2)*Cadeirante/30*FO$4)))+(BA56+BA57+BA58+BC56+BC57+BC58)*Percapita/30*FO$4+(BA59+BC59)*Crechee/30*FO$4,IF(C56=1,IF(BA56+BA57+BA58+BB56+BB57+BB58+BC56+BC57+BC58+BD56+BD57+BD58&lt;=15,(BA56+BA57+BA58+BC56+BC57+BC58)*Percapita/30*FO$4,IF(BA56+BA57+BA58+BB56+BB57+BB58+BC56+BC57+BC58+BD56+BD57+BD58&gt;=16,Fixo/30*FO$4+(BA56+BA57+BA58+BB56+BB57+BB58+BC56+BC57+BC58+BD56+BD57-16)*Percapita/30*FO$4))))))</f>
        <v>0</v>
      </c>
      <c r="FP56" s="177">
        <f>IF(C56=4,SUM(BE56+BE57+BE58+BG56+BG57+BG58)*Percapita/30*FP$4+(BF56+BF57+BF58+BH56+BH57+BH58)*Cadeirante/30*FP$4,IF(C56=3,IF(BE59+BG59=10,Fixo/30*FP$4+(BE56+BE57+BE58+BG56+BG57+BG58)*Percapita/30*FP$4+(BF59+BH59)*Cadeirante/30*FP$4,IF(BE59+BG59&lt;=9,(BE59+BG59)*Crechee/30*FP$4)+(BF59+BH59)*Cadeirante/30*FP$4+(BE56+BE57+BE58+BG56+BG57+BG58)*Percapita/30*FP$4)+IF(BE59+BG59&gt;=11,Fixo/30*FP$4+(BE59+BG59-10)*Crechee/30*FP$4,0),IF(C56=2,IF(BF56+BF57+BF58+BF59+BH56+BH57+BH58+BH59=1,Cadeirante/30*FP$4,IF(BF56+BF57+BF58+BF59+BH56+BH57+BH58+BH59=2,Fixo/30*FP$4,IF(BF56+BF57+BF58+BF59+BH56+BH57+BH58+BH59&gt;2,Fixo/30*FP$4+(BF56+BF57+BF58+BF59+BH56+BH57+BH58+BH59-2)*Cadeirante/30*FP$4)))+(BE56+BE57+BE58+BG56+BG57+BG58)*Percapita/30*FP$4+(BE59+BG59)*Crechee/30*FP$4,IF(C56=1,IF(BE56+BE57+BE58+BF56+BF57+BF58+BG56+BG57+BG58+BH56+BH57+BH58&lt;=15,(BE56+BE57+BE58+BG56+BG57+BG58)*Percapita/30*FP$4,IF(BE56+BE57+BE58+BF56+BF57+BF58+BG56+BG57+BG58+BH56+BH57+BH58&gt;=16,Fixo/30*FP$4+(BE56+BE57+BE58+BF56+BF57+BF58+BG56+BG57+BG58+BH56+BH57-16)*Percapita/30*FP$4))))))</f>
        <v>0</v>
      </c>
      <c r="FQ56" s="177">
        <f>IF(C56=4,SUM(BI56+BI57+BI58+BK56+BK57+BK58)*Percapita/30*FQ$4+(BJ56+BJ57+BJ58+BL56+BL57+BL58)*Cadeirante/30*FQ$4,IF(C56=3,IF(BI59+BK59=10,Fixo/30*FQ$4+(BI56+BI57+BI58+BK56+BK57+BK58)*Percapita/30*FQ$4+(BJ59+BL59)*Cadeirante/30*FQ$4,IF(BI59+BK59&lt;=9,(BI59+BK59)*Crechee/30*FQ$4)+(BJ59+BL59)*Cadeirante/30*FQ$4+(BI56+BI57+BI58+BK56+BK57+BK58)*Percapita/30*FQ$4)+IF(BI59+BK59&gt;=11,Fixo/30*FQ$4+(BI59+BK59-10)*Crechee/30*FQ$4,0),IF(C56=2,IF(BJ56+BJ57+BJ58+BJ59+BL56+BL57+BL58+BL59=1,Cadeirante/30*FQ$4,IF(BJ56+BJ57+BJ58+BJ59+BL56+BL57+BL58+BL59=2,Fixo/30*FQ$4,IF(BJ56+BJ57+BJ58+BJ59+BL56+BL57+BL58+BL59&gt;2,Fixo/30*FQ$4+(BJ56+BJ57+BJ58+BJ59+BL56+BL57+BL58+BL59-2)*Cadeirante/30*FQ$4)))+(BI56+BI57+BI58+BK56+BK57+BK58)*Percapita/30*FQ$4+(BI59+BK59)*Crechee/30*FQ$4,IF(C56=1,IF(BI56+BI57+BI58+BJ56+BJ57+BJ58+BK56+BK57+BK58+BL56+BL57+BL58&lt;=15,(BI56+BI57+BI58+BK56+BK57+BK58)*Percapita/30*FQ$4,IF(BI56+BI57+BI58+BJ56+BJ57+BJ58+BK56+BK57+BK58+BL56+BL57+BL58&gt;=16,Fixo/30*FQ$4+(BI56+BI57+BI58+BJ56+BJ57+BJ58+BK56+BK57+BK58+BL56+BL57-16)*Percapita/30*FQ$4))))))</f>
        <v>0</v>
      </c>
      <c r="FR56" s="177">
        <f>IF(C56=4,SUM(BM56+BM57+BM58+BO56+BO57+BO58)*Percapita/30*FR$4+(BN56+BN57+BN58+BP56+BP57+BP58)*Cadeirante/30*FR$4,IF(C56=3,IF(BM59+BO59=10,Fixo/30*FR$4+(BM56+BM57+BM58+BO56+BO57+BO58)*Percapita/30*FR$4+(BN59+BP59)*Cadeirante/30*FR$4,IF(BM59+BO59&lt;=9,(BM59+BO59)*Crechee/30*FR$4)+(BN59+BP59)*Cadeirante/30*FR$4+(BM56+BM57+BM58+BO56+BO57+BO58)*Percapita/30*FR$4)+IF(BM59+BO59&gt;=11,Fixo/30*FR$4+(BM59+BO59-10)*Crechee/30*FR$4,0),IF(C56=2,IF(BN56+BN57+BN58+BN59+BP56+BP57+BP58+BP59=1,Cadeirante/30*FR$4,IF(BN56+BN57+BN58+BN59+BP56+BP57+BP58+BP59=2,Fixo/30*FR$4,IF(BN56+BN57+BN58+BN59+BP56+BP57+BP58+BP59&gt;2,Fixo/30*FR$4+(BN56+BN57+BN58+BN59+BP56+BP57+BP58+BP59-2)*Cadeirante/30*FR$4)))+(BM56+BM57+BM58+BO56+BO57+BO58)*Percapita/30*FR$4+(BM59+BO59)*Crechee/30*FR$4,IF(C56=1,IF(BM56+BM57+BM58+BN56+BN57+BN58+BO56+BO57+BO58+BP56+BP57+BP58&lt;=15,(BM56+BM57+BM58+BO56+BO57+BO58)*Percapita/30*FR$4,IF(BM56+BM57+BM58+BN56+BN57+BN58+BO56+BO57+BO58+BP56+BP57+BP58&gt;=16,Fixo/30*FR$4+(BM56+BM57+BM58+BN56+BN57+BN58+BO56+BO57+BO58+BP56+BP57-16)*Percapita/30*FR$4))))))</f>
        <v>0</v>
      </c>
      <c r="FS56" s="177">
        <f>IF(C56=4,SUM(BQ56+BQ57+BQ58+BS56+BS57+BS58)*Percapita/30*FS$4+(BR56+BR57+BR58+BT56+BT57+BT58)*Cadeirante/30*FS$4,IF(C56=3,IF(BQ59+BS59=10,Fixo/30*FS$4+(BQ56+BQ57+BQ58+BS56+BS57+BS58)*Percapita/30*FS$4+(BR59+BT59)*Cadeirante/30*FS$4,IF(BQ59+BS59&lt;=9,(BQ59+BS59)*Crechee/30*FS$4)+(BR59+BT59)*Cadeirante/30*FS$4+(BQ56+BQ57+BQ58+BS56+BS57+BS58)*Percapita/30*FS$4)+IF(BQ59+BS59&gt;=11,Fixo/30*FS$4+(BQ59+BS59-10)*Crechee/30*FS$4,0),IF(C56=2,IF(BR56+BR57+BR58+BR59+BT56+BT57+BT58+BT59=1,Cadeirante/30*FS$4,IF(BR56+BR57+BR58+BR59+BT56+BT57+BT58+BT59=2,Fixo/30*FS$4,IF(BR56+BR57+BR58+BR59+BT56+BT57+BT58+BT59&gt;2,Fixo/30*FS$4+(BR56+BR57+BR58+BR59+BT56+BT57+BT58+BT59-2)*Cadeirante/30*FS$4)))+(BQ56+BQ57+BQ58+BS56+BS57+BS58)*Percapita/30*FS$4+(BQ59+BS59)*Crechee/30*FS$4,IF(C56=1,IF(BQ56+BQ57+BQ58+BR56+BR57+BR58+BS56+BS57+BS58+BT56+BT57+BT58&lt;=15,(BQ56+BQ57+BQ58+BS56+BS57+BS58)*Percapita/30*FS$4,IF(BQ56+BQ57+BQ58+BR56+BR57+BR58+BS56+BS57+BS58+BT56+BT57+BT58&gt;=16,Fixo/30*FS$4+(BQ56+BQ57+BQ58+BR56+BR57+BR58+BS56+BS57+BS58+BT56+BT57-16)*Percapita/30*FS$4))))))</f>
        <v>0</v>
      </c>
      <c r="FT56" s="177">
        <f>IF(C56=4,SUM(BU56+BU57+BU58+BW56+BW57+BW58)*Percapita/30*FT$4+(BV56+BV57+BV58+BX56+BX57+BX58)*Cadeirante/30*FT$4,IF(C56=3,IF(BU59+BW59=10,Fixo/30*FT$4+(BU56+BU57+BU58+BW56+BW57+BW58)*Percapita/30*FT$4+(BV59+BX59)*Cadeirante/30*FT$4,IF(BU59+BW59&lt;=9,(BU59+BW59)*Crechee/30*FT$4)+(BV59+BX59)*Cadeirante/30*FT$4+(BU56+BU57+BU58+BW56+BW57+BW58)*Percapita/30*FT$4)+IF(BU59+BW59&gt;=11,Fixo/30*FT$4+(BU59+BW59-10)*Crechee/30*FT$4,0),IF(C56=2,IF(BV56+BV57+BV58+BV59+BX56+BX57+BX58+BX59=1,Cadeirante/30*FT$4,IF(BV56+BV57+BV58+BV59+BX56+BX57+BX58+BX59=2,Fixo/30*FT$4,IF(BV56+BV57+BV58+BV59+BX56+BX57+BX58+BX59&gt;2,Fixo/30*FT$4+(BV56+BV57+BV58+BV59+BX56+BX57+BX58+BX59-2)*Cadeirante/30*FT$4)))+(BU56+BU57+BU58+BW56+BW57+BW58)*Percapita/30*FT$4+(BU59+BW59)*Crechee/30*FT$4,IF(C56=1,IF(BU56+BU57+BU58+BV56+BV57+BV58+BW56+BW57+BW58+BX56+BX57+BX58&lt;=15,(BU56+BU57+BU58+BW56+BW57+BW58)*Percapita/30*FT$4,IF(BU56+BU57+BU58+BV56+BV57+BV58+BW56+BW57+BW58+BX56+BX57+BX58&gt;=16,Fixo/30*FT$4+(BU56+BU57+BU58+BV56+BV57+BV58+BW56+BW57+BW58+BX56+BX57-16)*Percapita/30*FT$4))))))</f>
        <v>0</v>
      </c>
      <c r="FU56" s="177">
        <f>IF(C56=4,SUM(BY56+BY57+BY58+CA56+CA57+CA58)*Percapita/30*FU$4+(BZ56+BZ57+BZ58+CB56+CB57+CB58)*Cadeirante/30*FU$4,IF(C56=3,IF(BY59+CA59=10,Fixo/30*FU$4+(BY56+BY57+BY58+CA56+CA57+CA58)*Percapita/30*FU$4+(BZ59+CB59)*Cadeirante/30*FU$4,IF(BY59+CA59&lt;=9,(BY59+CA59)*Crechee/30*FU$4)+(BZ59+CB59)*Cadeirante/30*FU$4+(BY56+BY57+BY58+CA56+CA57+CA58)*Percapita/30*FU$4)+IF(BY59+CA59&gt;=11,Fixo/30*FU$4+(BY59+CA59-10)*Crechee/30*FU$4,0),IF(C56=2,IF(BZ56+BZ57+BZ58+BZ59+CB56+CB57+CB58+CB59=1,Cadeirante/30*FU$4,IF(BZ56+BZ57+BZ58+BZ59+CB56+CB57+CB58+CB59=2,Fixo/30*FU$4,IF(BZ56+BZ57+BZ58+BZ59+CB56+CB57+CB58+CB59&gt;2,Fixo/30*FU$4+(BZ56+BZ57+BZ58+BZ59+CB56+CB57+CB58+CB59-2)*Cadeirante/30*FU$4)))+(BY56+BY57+BY58+CA56+CA57+CA58)*Percapita/30*FU$4+(BY59+CA59)*Crechee/30*FU$4,IF(C56=1,IF(BY56+BY57+BY58+BZ56+BZ57+BZ58+CA56+CA57+CA58+CB56+CB57+CB58&lt;=15,(BY56+BY57+BY58+CA56+CA57+CA58)*Percapita/30*FU$4,IF(BY56+BY57+BY58+BZ56+BZ57+BZ58+CA56+CA57+CA58+CB56+CB57+CB58&gt;=16,Fixo/30*FU$4+(BY56+BY57+BY58+BZ56+BZ57+BZ58+CA56+CA57+CA58+CB56+CB57-16)*Percapita/30*FU$4))))))</f>
        <v>0</v>
      </c>
      <c r="FV56" s="177">
        <f>IF(C56=4,SUM(CC56+CC57+CC58+CE56+CE57+CE58)*Percapita/30*FV$4+(CD56+CD57+CD58+CF56+CF57+CF58)*Cadeirante/30*FV$4,IF(C56=3,IF(CC59+CE59=10,Fixo/30*FV$4+(CC56+CC57+CC58+CE56+CE57+CE58)*Percapita/30*FV$4+(CD59+CF59)*Cadeirante/30*FV$4,IF(CC59+CE59&lt;=9,(CC59+CE59)*Crechee/30*FV$4)+(CD59+CF59)*Cadeirante/30*FV$4+(CC56+CC57+CC58+CE56+CE57+CE58)*Percapita/30*FV$4)+IF(CC59+CE59&gt;=11,Fixo/30*FV$4+(CC59+CE59-10)*Crechee/30*FV$4,0),IF(C56=2,IF(CD56+CD57+CD58+CD59+CF56+CF57+CF58+CF59=1,Cadeirante/30*FV$4,IF(CD56+CD57+CD58+CD59+CF56+CF57+CF58+CF59=2,Fixo/30*FV$4,IF(CD56+CD57+CD58+CD59+CF56+CF57+CF58+CF59&gt;2,Fixo/30*FV$4+(CD56+CD57+CD58+CD59+CF56+CF57+CF58+CF59-2)*Cadeirante/30*FV$4)))+(CC56+CC57+CC58+CE56+CE57+CE58)*Percapita/30*FV$4+(CC59+CE59)*Crechee/30*FV$4,IF(C56=1,IF(CC56+CC57+CC58+CD56+CD57+CD58+CE56+CE57+CE58+CF56+CF57+CF58&lt;=15,(CC56+CC57+CC58+CE56+CE57+CE58)*Percapita/30*FV$4,IF(CC56+CC57+CC58+CD56+CD57+CD58+CE56+CE57+CE58+CF56+CF57+CF58&gt;=16,Fixo/30*FV$4+(CC56+CC57+CC58+CD56+CD57+CD58+CE56+CE57+CE58+CF56+CF57-16)*Percapita/30*FV$4))))))</f>
        <v>0</v>
      </c>
      <c r="FW56" s="177">
        <f>IF(C56=4,SUM(CG56+CG57+CG58+CI56+CI57+CI58)*Percapita/30*FW$4+(CH56+CH57+CH58+CJ56+CJ57+CJ58)*Cadeirante/30*FW$4,IF(C56=3,IF(CG59+CI59=10,Fixo/30*FW$4+(CG56+CG57+CG58+CI56+CI57+CI58)*Percapita/30*FW$4+(CH59+CJ59)*Cadeirante/30*FW$4,IF(CG59+CI59&lt;=9,(CG59+CI59)*Crechee/30*FW$4)+(CH59+CJ59)*Cadeirante/30*FW$4+(CG56+CG57+CG58+CI56+CI57+CI58)*Percapita/30*FW$4)+IF(CG59+CI59&gt;=11,Fixo/30*FW$4+(CG59+CI59-10)*Crechee/30*FW$4,0),IF(C56=2,IF(CH56+CH57+CH58+CH59+CJ56+CJ57+CJ58+CJ59=1,Cadeirante/30*FW$4,IF(CH56+CH57+CH58+CH59+CJ56+CJ57+CJ58+CJ59=2,Fixo/30*FW$4,IF(CH56+CH57+CH58+CH59+CJ56+CJ57+CJ58+CJ59&gt;2,Fixo/30*FW$4+(CH56+CH57+CH58+CH59+CJ56+CJ57+CJ58+CJ59-2)*Cadeirante/30*FW$4)))+(CG56+CG57+CG58+CI56+CI57+CI58)*Percapita/30*FW$4+(CG59+CI59)*Crechee/30*FW$4,IF(C56=1,IF(CG56+CG57+CG58+CH56+CH57+CH58+CI56+CI57+CI58+CJ56+CJ57+CJ58&lt;=15,(CG56+CG57+CG58+CI56+CI57+CI58)*Percapita/30*FW$4,IF(CG56+CG57+CG58+CH56+CH57+CH58+CI56+CI57+CI58+CJ56+CJ57+CJ58&gt;=16,Fixo/30*FW$4+(CG56+CG57+CG58+CH56+CH57+CH58+CI56+CI57+CI58+CJ56+CJ57-16)*Percapita/30*FW$4))))))</f>
        <v>0</v>
      </c>
      <c r="FX56" s="177">
        <f>IF(C56=4,SUM(CK56+CK57+CK58+CM56+CM57+CM58)*Percapita/30*FX$4+(CL56+CL57+CL58+CN56+CN57+CN58)*Cadeirante/30*FX$4,IF(C56=3,IF(CK59+CM59=10,Fixo/30*FX$4+(CK56+CK57+CK58+CM56+CM57+CM58)*Percapita/30*FX$4+(CL59+CN59)*Cadeirante/30*FX$4,IF(CK59+CM59&lt;=9,(CK59+CM59)*Crechee/30*FX$4)+(CL59+CN59)*Cadeirante/30*FX$4+(CK56+CK57+CK58+CM56+CM57+CM58)*Percapita/30*FX$4)+IF(CK59+CM59&gt;=11,Fixo/30*FX$4+(CK59+CM59-10)*Crechee/30*FX$4,0),IF(C56=2,IF(CL56+CL57+CL58+CL59+CN56+CN57+CN58+CN59=1,Cadeirante/30*FX$4,IF(CL56+CL57+CL58+CL59+CN56+CN57+CN58+CN59=2,Fixo/30*FX$4,IF(CL56+CL57+CL58+CL59+CN56+CN57+CN58+CN59&gt;2,Fixo/30*FX$4+(CL56+CL57+CL58+CL59+CN56+CN57+CN58+CN59-2)*Cadeirante/30*FX$4)))+(CK56+CK57+CK58+CM56+CM57+CM58)*Percapita/30*FX$4+(CK59+CM59)*Crechee/30*FX$4,IF(C56=1,IF(CK56+CK57+CK58+CL56+CL57+CL58+CM56+CM57+CM58+CN56+CN57+CN58&lt;=15,(CK56+CK57+CK58+CM56+CM57+CM58)*Percapita/30*FX$4,IF(CK56+CK57+CK58+CL56+CL57+CL58+CM56+CM57+CM58+CN56+CN57+CN58&gt;=16,Fixo/30*FX$4+(CK56+CK57+CK58+CL56+CL57+CL58+CM56+CM57+CM58+CN56+CN57-16)*Percapita/30*FX$4))))))</f>
        <v>0</v>
      </c>
      <c r="FY56" s="177">
        <f>IF(C56=4,SUM(CO56+CO57+CO58+CQ56+CQ57+CQ58)*Percapita/30*FY$4+(CP56+CP57+CP58+CR56+CR57+CR58)*Cadeirante/30*FY$4,IF(C56=3,IF(CO59+CQ59=10,Fixo/30*FY$4+(CO56+CO57+CO58+CQ56+CQ57+CQ58)*Percapita/30*FY$4+(CP59+CR59)*Cadeirante/30*FY$4,IF(CO59+CQ59&lt;=9,(CO59+CQ59)*Crechee/30*FY$4)+(CP59+CR59)*Cadeirante/30*FY$4+(CO56+CO57+CO58+CQ56+CQ57+CQ58)*Percapita/30*FY$4)+IF(CO59+CQ59&gt;=11,Fixo/30*FY$4+(CO59+CQ59-10)*Crechee/30*FY$4,0),IF(C56=2,IF(CP56+CP57+CP58+CP59+CR56+CR57+CR58+CR59=1,Cadeirante/30*FY$4,IF(CP56+CP57+CP58+CP59+CR56+CR57+CR58+CR59=2,Fixo/30*FY$4,IF(CP56+CP57+CP58+CP59+CR56+CR57+CR58+CR59&gt;2,Fixo/30*FY$4+(CP56+CP57+CP58+CP59+CR56+CR57+CR58+CR59-2)*Cadeirante/30*FY$4)))+(CO56+CO57+CO58+CQ56+CQ57+CQ58)*Percapita/30*FY$4+(CO59+CQ59)*Crechee/30*FY$4,IF(C56=1,IF(CO56+CO57+CO58+CP56+CP57+CP58+CQ56+CQ57+CQ58+CR56+CR57+CR58&lt;=15,(CO56+CO57+CO58+CQ56+CQ57+CQ58)*Percapita/30*FY$4,IF(CO56+CO57+CO58+CP56+CP57+CP58+CQ56+CQ57+CQ58+CR56+CR57+CR58&gt;=16,Fixo/30*FY$4+(CO56+CO57+CO58+CP56+CP57+CP58+CQ56+CQ57+CQ58+CR56+CR57-16)*Percapita/30*FY$4))))))</f>
        <v>0</v>
      </c>
      <c r="FZ56" s="177">
        <f>IF(C56=4,SUM(CS56+CS57+CS58+CU56+CU57+CU58)*Percapita/30*FZ$4+(CT56+CT57+CT58+CV56+CV57+CV58)*Cadeirante/30*FZ$4,IF(C56=3,IF(CS59+CU59=10,Fixo/30*FZ$4+(CS56+CS57+CS58+CU56+CU57+CU58)*Percapita/30*FZ$4+(CT59+CV59)*Cadeirante/30*FZ$4,IF(CS59+CU59&lt;=9,(CS59+CU59)*Crechee/30*FZ$4)+(CT59+CV59)*Cadeirante/30*FZ$4+(CS56+CS57+CS58+CU56+CU57+CU58)*Percapita/30*FZ$4)+IF(CS59+CU59&gt;=11,Fixo/30*FZ$4+(CS59+CU59-10)*Crechee/30*FZ$4,0),IF(C56=2,IF(CT56+CT57+CT58+CT59+CV56+CV57+CV58+CV59=1,Cadeirante/30*FZ$4,IF(CT56+CT57+CT58+CT59+CV56+CV57+CV58+CV59=2,Fixo/30*FZ$4,IF(CT56+CT57+CT58+CT59+CV56+CV57+CV58+CV59&gt;2,Fixo/30*FZ$4+(CT56+CT57+CT58+CT59+CV56+CV57+CV58+CV59-2)*Cadeirante/30*FZ$4)))+(CS56+CS57+CS58+CU56+CU57+CU58)*Percapita/30*FZ$4+(CS59+CU59)*Crechee/30*FZ$4,IF(C56=1,IF(CS56+CS57+CS58+CT56+CT57+CT58+CU56+CU57+CU58+CV56+CV57+CV58&lt;=15,(CS56+CS57+CS58+CU56+CU57+CU58)*Percapita/30*FZ$4,IF(CS56+CS57+CS58+CT56+CT57+CT58+CU56+CU57+CU58+CV56+CV57+CV58&gt;=16,Fixo/30*FZ$4+(CS56+CS57+CS58+CT56+CT57+CT58+CU56+CU57+CU58+CV56+CV57-16)*Percapita/30*FZ$4))))))</f>
        <v>0</v>
      </c>
      <c r="GA56" s="177">
        <f>IF(C56=4,SUM(CW56+CW57+CW58+CY56+CY57+CY58)*Percapita/30*GA$4+(CX56+CX57+CX58+CZ56+CZ57+CZ58)*Cadeirante/30*GA$4,IF(C56=3,IF(CW59+CY59=10,Fixo/30*GA$4+(CW56+CW57+CW58+CY56+CY57+CY58)*Percapita/30*GA$4+(CX59+CZ59)*Cadeirante/30*GA$4,IF(CW59+CY59&lt;=9,(CW59+CY59)*Crechee/30*GA$4)+(CX59+CZ59)*Cadeirante/30*GA$4+(CW56+CW57+CW58+CY56+CY57+CY58)*Percapita/30*GA$4)+IF(CW59+CY59&gt;=11,Fixo/30*GA$4+(CW59+CY59-10)*Crechee/30*GA$4,0),IF(C56=2,IF(CX56+CX57+CX58+CX59+CZ56+CZ57+CZ58+CZ59=1,Cadeirante/30*GA$4,IF(CX56+CX57+CX58+CX59+CZ56+CZ57+CZ58+CZ59=2,Fixo/30*GA$4,IF(CX56+CX57+CX58+CX59+CZ56+CZ57+CZ58+CZ59&gt;2,Fixo/30*GA$4+(CX56+CX57+CX58+CX59+CZ56+CZ57+CZ58+CZ59-2)*Cadeirante/30*GA$4)))+(CW56+CW57+CW58+CY56+CY57+CY58)*Percapita/30*GA$4+(CW59+CY59)*Crechee/30*GA$4,IF(C56=1,IF(CW56+CW57+CW58+CX56+CX57+CX58+CY56+CY57+CY58+CZ56+CZ57+CZ58&lt;=15,(CW56+CW57+CW58+CY56+CY57+CY58)*Percapita/30*GA$4,IF(CW56+CW57+CW58+CX56+CX57+CX58+CY56+CY57+CY58+CZ56+CZ57+CZ58&gt;=16,Fixo/30*GA$4+(CW56+CW57+CW58+CX56+CX57+CX58+CY56+CY57+CY58+CZ56+CZ57-16)*Percapita/30*GA$4))))))</f>
        <v>0</v>
      </c>
      <c r="GB56" s="177">
        <f>IF(C56=4,SUM(DA56+DA57+DA58+DC56+DC57+DC58)*Percapita/30*GB$4+(DB56+DB57+DB58+DD56+DD57+DD58)*Cadeirante/30*GB$4,IF(C56=3,IF(DA59+DC59=10,Fixo/30*GB$4+(DA56+DA57+DA58+DC56+DC57+DC58)*Percapita/30*GB$4+(DB59+DD59)*Cadeirante/30*GB$4,IF(DA59+DC59&lt;=9,(DA59+DC59)*Crechee/30*GB$4)+(DB59+DD59)*Cadeirante/30*GB$4+(DA56+DA57+DA58+DC56+DC57+DC58)*Percapita/30*GB$4)+IF(DA59+DC59&gt;=11,Fixo/30*GB$4+(DA59+DC59-10)*Crechee/30*GB$4,0),IF(C56=2,IF(DB56+DB57+DB58+DB59+DD56+DD57+DD58+DD59=1,Cadeirante/30*GB$4,IF(DB56+DB57+DB58+DB59+DD56+DD57+DD58+DD59=2,Fixo/30*GB$4,IF(DB56+DB57+DB58+DB59+DD56+DD57+DD58+DD59&gt;2,Fixo/30*GB$4+(DB56+DB57+DB58+DB59+DD56+DD57+DD58+DD59-2)*Cadeirante/30*GB$4)))+(DA56+DA57+DA58+DC56+DC57+DC58)*Percapita/30*GB$4+(DA59+DC59)*Crechee/30*GB$4,IF(C56=1,IF(DA56+DA57+DA58+DB56+DB57+DB58+DC56+DC57+DC58+DD56+DD57+DD58&lt;=15,(DA56+DA57+DA58+DC56+DC57+DC58)*Percapita/30*GB$4,IF(DA56+DA57+DA58+DB56+DB57+DB58+DC56+DC57+DC58+DD56+DD57+DD58&gt;=16,Fixo/30*GB$4+(DA56+DA57+DA58+DB56+DB57+DB58+DC56+DC57+DC58+DD56+DD57-16)*Percapita/30*GB$4))))))</f>
        <v>0</v>
      </c>
      <c r="GC56" s="177">
        <f>IF(C56=4,SUM(DE56+DE57+DE58+DG56+DG57+DG58)*Percapita/30*GC$4+(DF56+DF57+DF58+DH56+DH57+DH58)*Cadeirante/30*GC$4,IF(C56=3,IF(DE59+DG59=10,Fixo/30*GC$4+(DE56+DE57+DE58+DG56+DG57+DG58)*Percapita/30*GC$4+(DF59+DH59)*Cadeirante/30*GC$4,IF(DE59+DG59&lt;=9,(DE59+DG59)*Crechee/30*GC$4)+(DF59+DH59)*Cadeirante/30*GC$4+(DE56+DE57+DE58+DG56+DG57+DG58)*Percapita/30*GC$4)+IF(DE59+DG59&gt;=11,Fixo/30*GC$4+(DE59+DG59-10)*Crechee/30*GC$4,0),IF(C56=2,IF(DF56+DF57+DF58+DF59+DH56+DH57+DH58+DH59=1,Cadeirante/30*GC$4,IF(DF56+DF57+DF58+DF59+DH56+DH57+DH58+DH59=2,Fixo/30*GC$4,IF(DF56+DF57+DF58+DF59+DH56+DH57+DH58+DH59&gt;2,Fixo/30*GC$4+(DF56+DF57+DF58+DF59+DH56+DH57+DH58+DH59-2)*Cadeirante/30*GC$4)))+(DE56+DE57+DE58+DG56+DG57+DG58)*Percapita/30*GC$4+(DE59+DG59)*Crechee/30*GC$4,IF(C56=1,IF(DE56+DE57+DE58+DF56+DF57+DF58+DG56+DG57+DG58+DH56+DH57+DH58&lt;=15,(DE56+DE57+DE58+DG56+DG57+DG58)*Percapita/30*GC$4,IF(DE56+DE57+DE58+DF56+DF57+DF58+DG56+DG57+DG58+DH56+DH57+DH58&gt;=16,Fixo/30*GC$4+(DE56+DE57+DE58+DF56+DF57+DF58+DG56+DG57+DG58+DH56+DH57-16)*Percapita/30*GC$4))))))</f>
        <v>0</v>
      </c>
      <c r="GD56" s="177">
        <f>IF(C56=4,SUM(DI56+DI57+DI58+DK56+DK57+DK58)*Percapita/30*GD$4+(DJ56+DJ57+DJ58+DL56+DL57+DL58)*Cadeirante/30*GD$4,IF(C56=3,IF(DI59+DK59=10,Fixo/30*GD$4+(DI56+DI57+DI58+DK56+DK57+DK58)*Percapita/30*GD$4+(DJ59+DL59)*Cadeirante/30*GD$4,IF(DI59+DK59&lt;=9,(DI59+DK59)*Crechee/30*GD$4)+(DJ59+DL59)*Cadeirante/30*GD$4+(DI56+DI57+DI58+DK56+DK57+DK58)*Percapita/30*GD$4)+IF(DI59+DK59&gt;=11,Fixo/30*GD$4+(DI59+DK59-10)*Crechee/30*GD$4,0),IF(C56=2,IF(DJ56+DJ57+DJ58+DJ59+DL56+DL57+DL58+DL59=1,Cadeirante/30*GD$4,IF(DJ56+DJ57+DJ58+DJ59+DL56+DL57+DL58+DL59=2,Fixo/30*GD$4,IF(DJ56+DJ57+DJ58+DJ59+DL56+DL57+DL58+DL59&gt;2,Fixo/30*GD$4+(DJ56+DJ57+DJ58+DJ59+DL56+DL57+DL58+DL59-2)*Cadeirante/30*GD$4)))+(DI56+DI57+DI58+DK56+DK57+DK58)*Percapita/30*GD$4+(DI59+DK59)*Crechee/30*GD$4,IF(C56=1,IF(DI56+DI57+DI58+DJ56+DJ57+DJ58+DK56+DK57+DK58+DL56+DL57+DL58&lt;=15,(DI56+DI57+DI58+DK56+DK57+DK58)*Percapita/30*GD$4,IF(DI56+DI57+DI58+DJ56+DJ57+DJ58+DK56+DK57+DK58+DL56+DL57+DL58&gt;=16,Fixo/30*GD$4+(DI56+DI57+DI58+DJ56+DJ57+DJ58+DK56+DK57+DK58+DL56+DL57-16)*Percapita/30*GD$4))))))</f>
        <v>0</v>
      </c>
      <c r="GE56" s="177">
        <f>IF(C56=4,SUM(DM56+DM57+DM58+DO56+DO57+DO58)*Percapita/30*GE$4+(DN56+DN57+DN58+DP56+DP57+DP58)*Cadeirante/30*GE$4,IF(C56=3,IF(DM59+DO59=10,Fixo/30*GE$4+(DM56+DM57+DM58+DO56+DO57+DO58)*Percapita/30*GE$4+(DN59+DP59)*Cadeirante/30*GE$4,IF(DM59+DO59&lt;=9,(DM59+DO59)*Crechee/30*GE$4)+(DN59+DP59)*Cadeirante/30*GE$4+(DM56+DM57+DM58+DO56+DO57+DO58)*Percapita/30*GE$4)+IF(DM59+DO59&gt;=11,Fixo/30*GE$4+(DM59+DO59-10)*Crechee/30*GE$4,0),IF(C56=2,IF(DN56+DN57+DN58+DN59+DP56+DP57+DP58+DP59=1,Cadeirante/30*GE$4,IF(DN56+DN57+DN58+DN59+DP56+DP57+DP58+DP59=2,Fixo/30*GE$4,IF(DN56+DN57+DN58+DN59+DP56+DP57+DP58+DP59&gt;2,Fixo/30*GE$4+(DN56+DN57+DN58+DN59+DP56+DP57+DP58+DP59-2)*Cadeirante/30*GE$4)))+(DM56+DM57+DM58+DO56+DO57+DO58)*Percapita/30*GE$4+(DM59+DO59)*Crechee/30*GE$4,IF(C56=1,IF(DM56+DM57+DM58+DN56+DN57+DN58+DO56+DO57+DO58+DP56+DP57+DP58&lt;=15,(DM56+DM57+DM58+DO56+DO57+DO58)*Percapita/30*GE$4,IF(DM56+DM57+DM58+DN56+DN57+DN58+DO56+DO57+DO58+DP56+DP57+DP58&gt;=16,Fixo/30*GE$4+(DM56+DM57+DM58+DN56+DN57+DN58+DO56+DO57+DO58+DP56+DP57-16)*Percapita/30*GE$4))))))</f>
        <v>0</v>
      </c>
      <c r="GF56" s="177">
        <f>IF(C56=4,SUM(DQ56+DQ57+DQ58+DS56+DS57+DS58)*Percapita/30*GF$4+(DR56+DR57+DR58+DT56+DT57+DT58)*Cadeirante/30*GF$4,IF(C56=3,IF(DQ59+DS59=10,Fixo/30*GF$4+(DQ56+DQ57+DQ58+DS56+DS57+DS58)*Percapita/30*GF$4+(DR59+DT59)*Cadeirante/30*GF$4,IF(DQ59+DS59&lt;=9,(DQ59+DS59)*Crechee/30*GF$4)+(DR59+DT59)*Cadeirante/30*GF$4+(DQ56+DQ57+DQ58+DS56+DS57+DS58)*Percapita/30*GF$4)+IF(DQ59+DS59&gt;=11,Fixo/30*GF$4+(DQ59+DS59-10)*Crechee/30*GF$4,0),IF(C56=2,IF(DR56+DR57+DR58+DR59+DT56+DT57+DT58+DT59=1,Cadeirante/30*GF$4,IF(DR56+DR57+DR58+DR59+DT56+DT57+DT58+DT59=2,Fixo/30*GF$4,IF(DR56+DR57+DR58+DR59+DT56+DT57+DT58+DT59&gt;2,Fixo/30*GF$4+(DR56+DR57+DR58+DR59+DT56+DT57+DT58+DT59-2)*Cadeirante/30*GF$4)))+(DQ56+DQ57+DQ58+DS56+DS57+DS58)*Percapita/30*GF$4+(DQ59+DS59)*Crechee/30*GF$4,IF(C56=1,IF(DQ56+DQ57+DQ58+DR56+DR57+DR58+DS56+DS57+DS58+DT56+DT57+DT58&lt;=15,(DQ56+DQ57+DQ58+DS56+DS57+DS58)*Percapita/30*GF$4,IF(DQ56+DQ57+DQ58+DR56+DR57+DR58+DS56+DS57+DS58+DT56+DT57+DT58&gt;=16,Fixo/30*GF$4+(DQ56+DQ57+DQ58+DR56+DR57+DR58+DS56+DS57+DS58+DT56+DT57-16)*Percapita/30*GF$4))))))</f>
        <v>0</v>
      </c>
      <c r="GG56" s="177">
        <f>IF(C56=4,SUM(DU56+DU57+DU58+DW56+DW57+DW58)*Percapita/30*GG$4+(DV56+DV57+DV58+DX56+DX57+DX58)*Cadeirante/30*GG$4,IF(C56=3,IF(DU59+DW59=10,Fixo/30*GG$4+(DU56+DU57+DU58+DW56+DW57+DW58)*Percapita/30*GG$4+(DV59+DX59)*Cadeirante/30*GG$4,IF(DU59+DW59&lt;=9,(DU59+DW59)*Crechee/30*GG$4)+(DV59+DX59)*Cadeirante/30*GG$4+(DU56+DU57+DU58+DW56+DW57+DW58)*Percapita/30*GG$4)+IF(DU59+DW59&gt;=11,Fixo/30*GG$4+(DU59+DW59-10)*Crechee/30*GG$4,0),IF(C56=2,IF(DV56+DV57+DV58+DV59+DX56+DX57+DX58+DX59=1,Cadeirante/30*GG$4,IF(DV56+DV57+DV58+DV59+DX56+DX57+DX58+DX59=2,Fixo/30*GG$4,IF(DV56+DV57+DV58+DV59+DX56+DX57+DX58+DX59&gt;2,Fixo/30*GG$4+(DV56+DV57+DV58+DV59+DX56+DX57+DX58+DX59-2)*Cadeirante/30*GG$4)))+(DU56+DU57+DU58+DW56+DW57+DW58)*Percapita/30*GG$4+(DU59+DW59)*Crechee/30*GG$4,IF(C56=1,IF(DU56+DU57+DU58+DV56+DV57+DV58+DW56+DW57+DW58+DX56+DX57+DX58&lt;=15,(DU56+DU57+DU58+DW56+DW57+DW58)*Percapita/30*GG$4,IF(DU56+DU57+DU58+DV56+DV57+DV58+DW56+DW57+DW58+DX56+DX57+DX58&gt;=16,Fixo/30*GG$4+(DU56+DU57+DU58+DV56+DV57+DV58+DW56+DW57+DW58+DX56+DX57-16)*Percapita/30*GG$4))))))</f>
        <v>0</v>
      </c>
      <c r="GH56" s="177">
        <f>IF(C56=4,SUM(DY56+DY57+DY58+EA56+EA57+EA58)*Percapita/30*GH$4+(DZ56+DZ57+DZ58+EB56+EB57+EB58)*Cadeirante/30*GH$4,IF(C56=3,IF(DY59+EA59=10,Fixo/30*GH$4+(DY56+DY57+DY58+EA56+EA57+EA58)*Percapita/30*GH$4+(DZ59+EB59)*Cadeirante/30*GH$4,IF(DY59+EA59&lt;=9,(DY59+EA59)*Crechee/30*GH$4)+(DZ59+EB59)*Cadeirante/30*GH$4+(DY56+DY57+DY58+EA56+EA57+EA58)*Percapita/30*GH$4)+IF(DY59+EA59&gt;=11,Fixo/30*GH$4+(DY59+EA59-10)*Crechee/30*GH$4,0),IF(C56=2,IF(DZ56+DZ57+DZ58+DZ59+EB56+EB57+EB58+EB59=1,Cadeirante/30*GH$4,IF(DZ56+DZ57+DZ58+DZ59+EB56+EB57+EB58+EB59=2,Fixo/30*GH$4,IF(DZ56+DZ57+DZ58+DZ59+EB56+EB57+EB58+EB59&gt;2,Fixo/30*GH$4+(DZ56+DZ57+DZ58+DZ59+EB56+EB57+EB58+EB59-2)*Cadeirante/30*GH$4)))+(DY56+DY57+DY58+EA56+EA57+EA58)*Percapita/30*GH$4+(DY59+EA59)*Crechee/30*GH$4,IF(C56=1,IF(DY56+DY57+DY58+DZ56+DZ57+DZ58+EA56+EA57+EA58+EB56+EB57+EB58&lt;=15,(DY56+DY57+DY58+EA56+EA57+EA58)*Percapita/30*GH$4,IF(DY56+DY57+DY58+DZ56+DZ57+DZ58+EA56+EA57+EA58+EB56+EB57+EB58&gt;=16,Fixo/30*GH$4+(DY56+DY57+DY58+DZ56+DZ57+DZ58+EA56+EA57+EA58+EB56+EB57-16)*Percapita/30*GH$4))))))</f>
        <v>0</v>
      </c>
      <c r="GI56" s="177">
        <f>IF(C56=4,SUM(EC56+EC57+EC58+EE56+EE57+EE58)*Percapita/30*GI$4+(ED56+ED57+ED58+EF56+EF57+EF58)*Cadeirante/30*GI$4,IF(C56=3,IF(EC59+EE59=10,Fixo/30*GI$4+(EC56+EC57+EC58+EE56+EE57+EE58)*Percapita/30*GI$4+(ED59+EF59)*Cadeirante/30*GI$4,IF(EC59+EE59&lt;=9,(EC59+EE59)*Crechee/30*GI$4)+(ED59+EF59)*Cadeirante/30*GI$4+(EC56+EC57+EC58+EE56+EE57+EE58)*Percapita/30*GI$4)+IF(EC59+EE59&gt;=11,Fixo/30*GI$4+(EC59+EE59-10)*Crechee/30*GI$4,0),IF(C56=2,IF(ED56+ED57+ED58+ED59+EF56+EF57+EF58+EF59=1,Cadeirante/30*GI$4,IF(ED56+ED57+ED58+ED59+EF56+EF57+EF58+EF59=2,Fixo/30*GI$4,IF(ED56+ED57+ED58+ED59+EF56+EF57+EF58+EF59&gt;2,Fixo/30*GI$4+(ED56+ED57+ED58+ED59+EF56+EF57+EF58+EF59-2)*Cadeirante/30*GI$4)))+(EC56+EC57+EC58+EE56+EE57+EE58)*Percapita/30*GI$4+(EC59+EE59)*Crechee/30*GI$4,IF(C56=1,IF(EC56+EC57+EC58+ED56+ED57+ED58+EE56+EE57+EE58+EF56+EF57+EF58&lt;=15,(EC56+EC57+EC58+EE56+EE57+EE58)*Percapita/30*GI$4,IF(EC56+EC57+EC58+ED56+ED57+ED58+EE56+EE57+EE58+EF56+EF57+EF58&gt;=16,Fixo/30*GI$4+(EC56+EC57+EC58+ED56+ED57+ED58+EE56+EE57+EE58+EF56+EF57-16)*Percapita/30*GI$4))))))</f>
        <v>0</v>
      </c>
      <c r="GJ56" s="177">
        <f>IF(C56=4,SUM(EG56+EG57+EG58+EI56+EI57+EI58)*Percapita/30*GJ$4+(EH56+EH57+EH58+EJ56+EJ57+EJ58)*Cadeirante/30*GJ$4,IF(C56=3,IF(EG59+EI59=10,Fixo/30*GJ$4+(EG56+EG57+EG58+EI56+EI57+EI58)*Percapita/30*GJ$4+(EH59+EJ59)*Cadeirante/30*GJ$4,IF(EG59+EI59&lt;=9,(EG59+EI59)*Crechee/30*GJ$4)+(EH59+EJ59)*Cadeirante/30*GJ$4+(EG56+EG57+EG58+EI56+EI57+EI58)*Percapita/30*GJ$4)+IF(EG59+EI59&gt;=11,Fixo/30*GJ$4+(EG59+EI59-10)*Crechee/30*GJ$4,0),IF(C56=2,IF(EH56+EH57+EH58+EH59+EJ56+EJ57+EJ58+EJ59=1,Cadeirante/30*GJ$4,IF(EH56+EH57+EH58+EH59+EJ56+EJ57+EJ58+EJ59=2,Fixo/30*GJ$4,IF(EH56+EH57+EH58+EH59+EJ56+EJ57+EJ58+EJ59&gt;2,Fixo/30*GJ$4+(EH56+EH57+EH58+EH59+EJ56+EJ57+EJ58+EJ59-2)*Cadeirante/30*GJ$4)))+(EG56+EG57+EG58+EI56+EI57+EI58)*Percapita/30*GJ$4+(EG59+EI59)*Crechee/30*GJ$4,IF(C56=1,IF(EG56+EG57+EG58+EH56+EH57+EH58+EI56+EI57+EI58+EJ56+EJ57+EJ58&lt;=15,(EG56+EG57+EG58+EI56+EI57+EI58)*Percapita/30*GJ$4,IF(EG56+EG57+EG58+EH56+EH57+EH58+EI56+EI57+EI58+EJ56+EJ57+EJ58&gt;=16,Fixo/30*GJ$4+(EG56+EG57+EG58+EH56+EH57+EH58+EI56+EI57+EI58+EJ56+EJ57-16)*Percapita/30*GJ$4))))))</f>
        <v>0</v>
      </c>
      <c r="GK56" s="178"/>
      <c r="GL56" s="103">
        <f t="shared" si="30"/>
        <v>0</v>
      </c>
      <c r="GM56" s="124"/>
      <c r="GN56" s="104">
        <f>SUMIF(V56:V59,"&lt;0")*Cadeirante/30*GN$4+SUMIF(X56:X59,"&lt;0")*Cadeirante/30*GN$4</f>
        <v>0</v>
      </c>
      <c r="GO56" s="104">
        <f>SUMIF(Z56:Z59,"&lt;0")*Cadeirante/30*GO$4+SUMIF(AB56:AB59,"&lt;0")*Cadeirante/30*GO$4</f>
        <v>0</v>
      </c>
      <c r="GP56" s="104">
        <f>SUMIF(AD56:AD59,"&lt;0")*Cadeirante/30*GP$4+SUMIF(AF56:AF59,"&lt;0")*Cadeirante/30*GP$4</f>
        <v>0</v>
      </c>
      <c r="GQ56" s="104">
        <f>SUMIF(AH56:AH59,"&lt;0")*Cadeirante/30*GQ$4+SUMIF(AJ56:AJ59,"&lt;0")*Cadeirante/30*GQ$4</f>
        <v>0</v>
      </c>
      <c r="GR56" s="104">
        <f>SUMIF(AL56:AL59,"&lt;0")*Cadeirante/30*GR$4+SUMIF(AN56:AN59,"&lt;0")*Cadeirante/30*GR$4</f>
        <v>0</v>
      </c>
      <c r="GS56" s="104">
        <f>SUMIF(AP56:AP59,"&lt;0")*Cadeirante/30*GS$4+SUMIF(AR56:AR59,"&lt;0")*Cadeirante/30*GS$4</f>
        <v>0</v>
      </c>
      <c r="GT56" s="104">
        <f>SUMIF(AT56:AT59,"&lt;0")*Cadeirante/30*GT$4+SUMIF(AV56:AV59,"&lt;0")*Cadeirante/30*GT$4</f>
        <v>0</v>
      </c>
      <c r="GU56" s="104">
        <f>SUMIF(AX56:AX59,"&lt;0")*Cadeirante/30*GU$4+SUMIF(AZ56:AZ59,"&lt;0")*Cadeirante/30*GU$4</f>
        <v>0</v>
      </c>
      <c r="GV56" s="104">
        <f>SUMIF(BB56:BB59,"&lt;0")*Cadeirante/30*GV$4+SUMIF(BD56:BD59,"&lt;0")*Cadeirante/30*GV$4</f>
        <v>0</v>
      </c>
      <c r="GW56" s="104">
        <f>SUMIF(BF56:BF59,"&lt;0")*Cadeirante/30*GW$4+SUMIF(BH56:BH59,"&lt;0")*Cadeirante/30*GW$4</f>
        <v>0</v>
      </c>
      <c r="GX56" s="104">
        <f>SUMIF(BJ56:BJ59,"&lt;0")*Cadeirante/30*GX$4+SUMIF(BL56:BL59,"&lt;0")*Cadeirante/30*GX$4</f>
        <v>0</v>
      </c>
      <c r="GY56" s="104">
        <f>SUMIF(BN56:BN59,"&lt;0")*Cadeirante/30*GY$4+SUMIF(BP56:BP59,"&lt;0")*Cadeirante/30*GY$4</f>
        <v>0</v>
      </c>
      <c r="GZ56" s="104">
        <f>SUMIF(BR56:BR59,"&lt;0")*Cadeirante/30*GZ$4+SUMIF(BT56:BT59,"&lt;0")*Cadeirante/30*GZ$4</f>
        <v>0</v>
      </c>
      <c r="HA56" s="104">
        <f>SUMIF(BV56:BV59,"&lt;0")*Cadeirante/30*HA$4+SUMIF(BX56:BX59,"&lt;0")*Cadeirante/30*HA$4</f>
        <v>0</v>
      </c>
      <c r="HB56" s="104">
        <f>SUMIF(BZ56:BZ59,"&lt;0")*Cadeirante/30*HB$4+SUMIF(CB56:CB59,"&lt;0")*Cadeirante/30*HB$4</f>
        <v>0</v>
      </c>
      <c r="HC56" s="104">
        <f>SUMIF(CD56:CD59,"&lt;0")*Cadeirante/30*HC$4+SUMIF(CF56:CF59,"&lt;0")*Cadeirante/30*HC$4</f>
        <v>0</v>
      </c>
      <c r="HD56" s="104">
        <f>SUMIF(CH56:CH59,"&lt;0")*Cadeirante/30*HD$4+SUMIF(CJ56:CJ59,"&lt;0")*Cadeirante/30*HD$4</f>
        <v>0</v>
      </c>
      <c r="HE56" s="104">
        <f>SUMIF(CL56:CL59,"&lt;0")*Cadeirante/30*HE$4+SUMIF(CN56:CN59,"&lt;0")*Cadeirante/30*HE$4</f>
        <v>0</v>
      </c>
      <c r="HF56" s="104">
        <f>SUMIF(CP56:CP59,"&lt;0")*Cadeirante/30*HF$4+SUMIF(CR56:CR59,"&lt;0")*Cadeirante/30*HF$4</f>
        <v>0</v>
      </c>
      <c r="HG56" s="104">
        <f>SUMIF(CT56:CT59,"&lt;0")*Cadeirante/30*HG$4+SUMIF(CV56:CV59,"&lt;0")*Cadeirante/30*HG$4</f>
        <v>0</v>
      </c>
      <c r="HH56" s="104">
        <f>SUMIF(CX56:CX59,"&lt;0")*Cadeirante/30*HH$4+SUMIF(CZ56:CZ59,"&lt;0")*Cadeirante/30*HH$4</f>
        <v>0</v>
      </c>
      <c r="HI56" s="104">
        <f>SUMIF(DB56:DB59,"&lt;0")*Cadeirante/30*HI$4+SUMIF(DD56:DD59,"&lt;0")*Cadeirante/30*HI$4</f>
        <v>0</v>
      </c>
      <c r="HJ56" s="104">
        <f>SUMIF(DF56:DF59,"&lt;0")*Cadeirante/30*HJ$4+SUMIF(DH56:DH59,"&lt;0")*Cadeirante/30*HJ$4</f>
        <v>0</v>
      </c>
      <c r="HK56" s="104">
        <f>SUMIF(DJ56:DJ59,"&lt;0")*Cadeirante/30*HK$4+SUMIF(DL56:DL59,"&lt;0")*Cadeirante/30*HK$4</f>
        <v>0</v>
      </c>
      <c r="HL56" s="104">
        <f>SUMIF(DN56:DN59,"&lt;0")*Cadeirante/30*HL$4+SUMIF(DP56:DP59,"&lt;0")*Cadeirante/30*HL$4</f>
        <v>0</v>
      </c>
      <c r="HM56" s="104">
        <f>SUMIF(DR56:DR59,"&lt;0")*Cadeirante/30*HM$4+SUMIF(DT56:DT59,"&lt;0")*Cadeirante/30*HM$4</f>
        <v>0</v>
      </c>
      <c r="HN56" s="104">
        <f>SUMIF(DV56:DV59,"&lt;0")*Cadeirante/30*HN$4+SUMIF(DX56:DX59,"&lt;0")*Cadeirante/30*HN$4</f>
        <v>0</v>
      </c>
      <c r="HO56" s="104">
        <f>SUMIF(DZ56:DZ59,"&lt;0")*Cadeirante/30*HO$4+SUMIF(EB56:EB59,"&lt;0")*Cadeirante/30*HO$4</f>
        <v>0</v>
      </c>
      <c r="HP56" s="104">
        <f>SUMIF(ED56:ED59,"&lt;0")*Cadeirante/30*HP$4+SUMIF(EF56:EF59,"&lt;0")*Cadeirante/30*HP$4</f>
        <v>0</v>
      </c>
      <c r="HQ56" s="64"/>
      <c r="HR56" s="64"/>
      <c r="HS56" s="64"/>
      <c r="HT56" s="64"/>
      <c r="HU56" s="64"/>
      <c r="HV56" s="64"/>
      <c r="HW56" s="176">
        <v>17629.309999999998</v>
      </c>
      <c r="HX56" s="64"/>
      <c r="HY56" s="280">
        <f>IF(ISTEXT(EM56), VALUE(EM56), EM56)</f>
        <v>0</v>
      </c>
      <c r="HZ56" s="280">
        <f>IF(ISTEXT(EN56), VALUE(EN56), EN56)</f>
        <v>0</v>
      </c>
      <c r="IA56" s="280">
        <f>IF(ISTEXT(EO56), VALUE(EO56), EO56)</f>
        <v>0</v>
      </c>
      <c r="IB56" s="64" t="b">
        <f>HW56=FE56</f>
        <v>0</v>
      </c>
      <c r="IC56" s="64"/>
    </row>
    <row r="57" spans="1:237" s="106" customFormat="1" ht="22.5" customHeight="1" x14ac:dyDescent="0.25">
      <c r="A57" s="368" t="s">
        <v>3230</v>
      </c>
      <c r="B57" s="369" t="s">
        <v>3231</v>
      </c>
      <c r="C57" s="370" t="s">
        <v>3186</v>
      </c>
      <c r="D57" s="371" t="s">
        <v>3232</v>
      </c>
      <c r="E57" s="371" t="s">
        <v>3233</v>
      </c>
      <c r="F57" s="372" t="s">
        <v>3182</v>
      </c>
      <c r="G57" s="372" t="s">
        <v>3183</v>
      </c>
      <c r="H57" s="373" t="s">
        <v>347</v>
      </c>
      <c r="I57" s="374" t="s">
        <v>347</v>
      </c>
      <c r="J57" s="421" t="s">
        <v>3184</v>
      </c>
      <c r="K57" s="421" t="s">
        <v>3187</v>
      </c>
      <c r="L57" s="329">
        <f>CONTINUA!BV57</f>
        <v>106</v>
      </c>
      <c r="M57" s="329">
        <f>CONTINUA!BW57</f>
        <v>0</v>
      </c>
      <c r="N57" s="895"/>
      <c r="O57" s="896" t="s">
        <v>3284</v>
      </c>
      <c r="P57" s="897">
        <v>0</v>
      </c>
      <c r="Q57" s="400">
        <v>50</v>
      </c>
      <c r="R57" s="401"/>
      <c r="S57" s="400"/>
      <c r="T57" s="401"/>
      <c r="U57" s="400"/>
      <c r="V57" s="401"/>
      <c r="W57" s="400"/>
      <c r="X57" s="401"/>
      <c r="Y57" s="400"/>
      <c r="Z57" s="401"/>
      <c r="AA57" s="400"/>
      <c r="AB57" s="401"/>
      <c r="AC57" s="400"/>
      <c r="AD57" s="401"/>
      <c r="AE57" s="400"/>
      <c r="AF57" s="401"/>
      <c r="AG57" s="400"/>
      <c r="AH57" s="401"/>
      <c r="AI57" s="400"/>
      <c r="AJ57" s="401"/>
      <c r="AK57" s="400"/>
      <c r="AL57" s="401"/>
      <c r="AM57" s="400"/>
      <c r="AN57" s="401"/>
      <c r="AO57" s="400"/>
      <c r="AP57" s="401"/>
      <c r="AQ57" s="400"/>
      <c r="AR57" s="401"/>
      <c r="AS57" s="400"/>
      <c r="AT57" s="401"/>
      <c r="AU57" s="400"/>
      <c r="AV57" s="401"/>
      <c r="AW57" s="400"/>
      <c r="AX57" s="401"/>
      <c r="AY57" s="400"/>
      <c r="AZ57" s="401"/>
      <c r="BA57" s="400"/>
      <c r="BB57" s="401"/>
      <c r="BC57" s="400"/>
      <c r="BD57" s="401"/>
      <c r="BE57" s="400"/>
      <c r="BF57" s="401"/>
      <c r="BG57" s="400"/>
      <c r="BH57" s="401"/>
      <c r="BI57" s="400"/>
      <c r="BJ57" s="401"/>
      <c r="BK57" s="400"/>
      <c r="BL57" s="401"/>
      <c r="BM57" s="400"/>
      <c r="BN57" s="401"/>
      <c r="BO57" s="400"/>
      <c r="BP57" s="401"/>
      <c r="BQ57" s="400"/>
      <c r="BR57" s="401"/>
      <c r="BS57" s="400"/>
      <c r="BT57" s="401"/>
      <c r="BU57" s="400"/>
      <c r="BV57" s="401"/>
      <c r="BW57" s="400"/>
      <c r="BX57" s="401"/>
      <c r="BY57" s="400"/>
      <c r="BZ57" s="401"/>
      <c r="CA57" s="400"/>
      <c r="CB57" s="401"/>
      <c r="CC57" s="400"/>
      <c r="CD57" s="401"/>
      <c r="CE57" s="400"/>
      <c r="CF57" s="401"/>
      <c r="CG57" s="400"/>
      <c r="CH57" s="401"/>
      <c r="CI57" s="400"/>
      <c r="CJ57" s="401"/>
      <c r="CK57" s="400"/>
      <c r="CL57" s="401"/>
      <c r="CM57" s="400"/>
      <c r="CN57" s="401"/>
      <c r="CO57" s="400"/>
      <c r="CP57" s="401"/>
      <c r="CQ57" s="400"/>
      <c r="CR57" s="401"/>
      <c r="CS57" s="400"/>
      <c r="CT57" s="401"/>
      <c r="CU57" s="400"/>
      <c r="CV57" s="401"/>
      <c r="CW57" s="400"/>
      <c r="CX57" s="401"/>
      <c r="CY57" s="400"/>
      <c r="CZ57" s="401"/>
      <c r="DA57" s="400"/>
      <c r="DB57" s="401"/>
      <c r="DC57" s="400"/>
      <c r="DD57" s="401"/>
      <c r="DE57" s="400"/>
      <c r="DF57" s="401"/>
      <c r="DG57" s="400"/>
      <c r="DH57" s="401"/>
      <c r="DI57" s="400"/>
      <c r="DJ57" s="401"/>
      <c r="DK57" s="400"/>
      <c r="DL57" s="401"/>
      <c r="DM57" s="400"/>
      <c r="DN57" s="401"/>
      <c r="DO57" s="400"/>
      <c r="DP57" s="401"/>
      <c r="DQ57" s="400"/>
      <c r="DR57" s="401"/>
      <c r="DS57" s="400"/>
      <c r="DT57" s="401"/>
      <c r="DU57" s="400"/>
      <c r="DV57" s="401"/>
      <c r="DW57" s="400"/>
      <c r="DX57" s="401"/>
      <c r="DY57" s="400"/>
      <c r="DZ57" s="401"/>
      <c r="EA57" s="400"/>
      <c r="EB57" s="401"/>
      <c r="EC57" s="400"/>
      <c r="ED57" s="401"/>
      <c r="EE57" s="400"/>
      <c r="EF57" s="401"/>
      <c r="EG57" s="400"/>
      <c r="EH57" s="401"/>
      <c r="EI57" s="400"/>
      <c r="EJ57" s="447"/>
      <c r="EK57" s="511"/>
      <c r="EL57" s="514"/>
      <c r="EM57" s="448"/>
      <c r="EN57" s="344"/>
      <c r="EO57" s="345"/>
      <c r="EP57" s="171">
        <f t="shared" si="22"/>
        <v>50</v>
      </c>
      <c r="EQ57" s="171">
        <f t="shared" si="23"/>
        <v>0</v>
      </c>
      <c r="ER57" s="171">
        <f t="shared" si="24"/>
        <v>0</v>
      </c>
      <c r="ES57" s="171">
        <f t="shared" si="25"/>
        <v>0</v>
      </c>
      <c r="ET57" s="171">
        <f t="shared" si="26"/>
        <v>0</v>
      </c>
      <c r="EU57" s="171">
        <f t="shared" si="27"/>
        <v>0</v>
      </c>
      <c r="EV57" s="172">
        <f t="shared" si="28"/>
        <v>50</v>
      </c>
      <c r="EW57" s="173"/>
      <c r="EX57" s="248">
        <f t="shared" si="75"/>
        <v>0</v>
      </c>
      <c r="EY57" s="174">
        <f>(L57*regular)+(M57*Cadeirantee)</f>
        <v>1021.84</v>
      </c>
      <c r="EZ57" s="249">
        <f>SUMIF(FG57:GJ57,"&gt;0")</f>
        <v>0</v>
      </c>
      <c r="FA57" s="249">
        <f>SUMIF(FG57:GJ57,"&lt;0")+SUMIF(GN57:HP57,"&lt;0")</f>
        <v>0</v>
      </c>
      <c r="FB57" s="174">
        <v>0</v>
      </c>
      <c r="FC57" s="126">
        <f>N57*km*'VALORES TABELA'!$B$13</f>
        <v>0</v>
      </c>
      <c r="FD57" s="250">
        <f t="shared" ref="FD57:FD60" si="76">GL57</f>
        <v>0</v>
      </c>
      <c r="FE57" s="105"/>
      <c r="FF57" s="119"/>
      <c r="FG57" s="119"/>
      <c r="FH57" s="119"/>
      <c r="FI57" s="119"/>
      <c r="FJ57" s="119"/>
      <c r="FK57" s="119"/>
      <c r="FL57" s="119"/>
      <c r="FM57" s="119"/>
      <c r="FN57" s="119"/>
      <c r="FO57" s="119"/>
      <c r="FP57" s="119"/>
      <c r="FQ57" s="119"/>
      <c r="FR57" s="119"/>
      <c r="FS57" s="119"/>
      <c r="FT57" s="119"/>
      <c r="FU57" s="119"/>
      <c r="FV57" s="119"/>
      <c r="FW57" s="119"/>
      <c r="FX57" s="119"/>
      <c r="FY57" s="119"/>
      <c r="FZ57" s="119"/>
      <c r="GA57" s="119"/>
      <c r="GB57" s="119"/>
      <c r="GC57" s="119"/>
      <c r="GD57" s="119"/>
      <c r="GE57" s="119"/>
      <c r="GF57" s="119"/>
      <c r="GG57" s="119"/>
      <c r="GH57" s="119"/>
      <c r="GI57" s="119"/>
      <c r="GJ57" s="119"/>
      <c r="GK57" s="251"/>
      <c r="GL57" s="103">
        <f t="shared" si="30"/>
        <v>0</v>
      </c>
      <c r="GM57" s="124"/>
      <c r="GN57" s="104"/>
      <c r="GO57" s="104"/>
      <c r="GP57" s="104"/>
      <c r="GQ57" s="104"/>
      <c r="GR57" s="104"/>
      <c r="GS57" s="104"/>
      <c r="GT57" s="104"/>
      <c r="GU57" s="104"/>
      <c r="GV57" s="104"/>
      <c r="GW57" s="104"/>
      <c r="GX57" s="104"/>
      <c r="GY57" s="104"/>
      <c r="GZ57" s="104"/>
      <c r="HA57" s="104"/>
      <c r="HB57" s="104"/>
      <c r="HC57" s="104"/>
      <c r="HD57" s="104"/>
      <c r="HE57" s="104"/>
      <c r="HF57" s="104"/>
      <c r="HG57" s="104"/>
      <c r="HH57" s="104"/>
      <c r="HI57" s="104"/>
      <c r="HJ57" s="104"/>
      <c r="HK57" s="104"/>
      <c r="HL57" s="104"/>
      <c r="HM57" s="104"/>
      <c r="HN57" s="104"/>
      <c r="HO57" s="104"/>
      <c r="HP57" s="104"/>
      <c r="HQ57" s="64"/>
      <c r="HR57" s="64"/>
      <c r="HS57" s="64"/>
      <c r="HT57" s="64"/>
      <c r="HU57" s="64"/>
      <c r="HV57" s="64"/>
      <c r="HW57" s="105"/>
      <c r="HX57" s="64"/>
      <c r="HY57" s="280">
        <f t="shared" ref="HY57:HY60" si="77">IF(ISTEXT(EM57), VALUE(EM57), EM57)</f>
        <v>0</v>
      </c>
      <c r="HZ57" s="280">
        <f t="shared" ref="HZ57:HZ60" si="78">IF(ISTEXT(EN57), VALUE(EN57), EN57)</f>
        <v>0</v>
      </c>
      <c r="IA57" s="280">
        <f t="shared" ref="IA57:IA60" si="79">IF(ISTEXT(EO57), VALUE(EO57), EO57)</f>
        <v>0</v>
      </c>
      <c r="IB57" s="64"/>
      <c r="IC57" s="64"/>
    </row>
    <row r="58" spans="1:237" s="106" customFormat="1" ht="22.5" customHeight="1" x14ac:dyDescent="0.25">
      <c r="A58" s="368" t="s">
        <v>3230</v>
      </c>
      <c r="B58" s="369" t="s">
        <v>3231</v>
      </c>
      <c r="C58" s="375" t="s">
        <v>3186</v>
      </c>
      <c r="D58" s="371" t="s">
        <v>3232</v>
      </c>
      <c r="E58" s="371" t="s">
        <v>3233</v>
      </c>
      <c r="F58" s="376" t="s">
        <v>3182</v>
      </c>
      <c r="G58" s="376" t="s">
        <v>3183</v>
      </c>
      <c r="H58" s="373" t="s">
        <v>347</v>
      </c>
      <c r="I58" s="374" t="s">
        <v>347</v>
      </c>
      <c r="J58" s="421" t="s">
        <v>3184</v>
      </c>
      <c r="K58" s="422" t="s">
        <v>3188</v>
      </c>
      <c r="L58" s="329">
        <f>CONTINUA!BV58</f>
        <v>0</v>
      </c>
      <c r="M58" s="329">
        <f>CONTINUA!BW58</f>
        <v>0</v>
      </c>
      <c r="N58" s="895"/>
      <c r="O58" s="896" t="s">
        <v>3284</v>
      </c>
      <c r="P58" s="897">
        <v>0</v>
      </c>
      <c r="Q58" s="400"/>
      <c r="R58" s="401"/>
      <c r="S58" s="400"/>
      <c r="T58" s="401"/>
      <c r="U58" s="400"/>
      <c r="V58" s="401"/>
      <c r="W58" s="400"/>
      <c r="X58" s="401"/>
      <c r="Y58" s="400"/>
      <c r="Z58" s="401"/>
      <c r="AA58" s="400"/>
      <c r="AB58" s="401"/>
      <c r="AC58" s="400"/>
      <c r="AD58" s="401"/>
      <c r="AE58" s="400"/>
      <c r="AF58" s="401"/>
      <c r="AG58" s="400"/>
      <c r="AH58" s="401"/>
      <c r="AI58" s="400"/>
      <c r="AJ58" s="401"/>
      <c r="AK58" s="400"/>
      <c r="AL58" s="401"/>
      <c r="AM58" s="400"/>
      <c r="AN58" s="401"/>
      <c r="AO58" s="400"/>
      <c r="AP58" s="401"/>
      <c r="AQ58" s="400"/>
      <c r="AR58" s="401"/>
      <c r="AS58" s="400"/>
      <c r="AT58" s="401"/>
      <c r="AU58" s="400"/>
      <c r="AV58" s="401"/>
      <c r="AW58" s="400"/>
      <c r="AX58" s="401"/>
      <c r="AY58" s="400"/>
      <c r="AZ58" s="401"/>
      <c r="BA58" s="400"/>
      <c r="BB58" s="401"/>
      <c r="BC58" s="400"/>
      <c r="BD58" s="401"/>
      <c r="BE58" s="400"/>
      <c r="BF58" s="401"/>
      <c r="BG58" s="400"/>
      <c r="BH58" s="401"/>
      <c r="BI58" s="400"/>
      <c r="BJ58" s="401"/>
      <c r="BK58" s="400"/>
      <c r="BL58" s="401"/>
      <c r="BM58" s="400"/>
      <c r="BN58" s="401"/>
      <c r="BO58" s="400"/>
      <c r="BP58" s="401"/>
      <c r="BQ58" s="400"/>
      <c r="BR58" s="401"/>
      <c r="BS58" s="400"/>
      <c r="BT58" s="401"/>
      <c r="BU58" s="400"/>
      <c r="BV58" s="401"/>
      <c r="BW58" s="400"/>
      <c r="BX58" s="401"/>
      <c r="BY58" s="400"/>
      <c r="BZ58" s="401"/>
      <c r="CA58" s="400"/>
      <c r="CB58" s="401"/>
      <c r="CC58" s="400"/>
      <c r="CD58" s="401"/>
      <c r="CE58" s="400"/>
      <c r="CF58" s="401"/>
      <c r="CG58" s="400"/>
      <c r="CH58" s="401"/>
      <c r="CI58" s="400"/>
      <c r="CJ58" s="401"/>
      <c r="CK58" s="400"/>
      <c r="CL58" s="401"/>
      <c r="CM58" s="400"/>
      <c r="CN58" s="401"/>
      <c r="CO58" s="400"/>
      <c r="CP58" s="401"/>
      <c r="CQ58" s="400"/>
      <c r="CR58" s="401"/>
      <c r="CS58" s="400"/>
      <c r="CT58" s="401"/>
      <c r="CU58" s="400"/>
      <c r="CV58" s="401"/>
      <c r="CW58" s="400"/>
      <c r="CX58" s="401"/>
      <c r="CY58" s="400"/>
      <c r="CZ58" s="401"/>
      <c r="DA58" s="400"/>
      <c r="DB58" s="401"/>
      <c r="DC58" s="400"/>
      <c r="DD58" s="401"/>
      <c r="DE58" s="400"/>
      <c r="DF58" s="401"/>
      <c r="DG58" s="400"/>
      <c r="DH58" s="401"/>
      <c r="DI58" s="400"/>
      <c r="DJ58" s="401"/>
      <c r="DK58" s="400"/>
      <c r="DL58" s="401"/>
      <c r="DM58" s="400"/>
      <c r="DN58" s="401"/>
      <c r="DO58" s="400"/>
      <c r="DP58" s="401"/>
      <c r="DQ58" s="400"/>
      <c r="DR58" s="401"/>
      <c r="DS58" s="400"/>
      <c r="DT58" s="401"/>
      <c r="DU58" s="400"/>
      <c r="DV58" s="401"/>
      <c r="DW58" s="400"/>
      <c r="DX58" s="401"/>
      <c r="DY58" s="400"/>
      <c r="DZ58" s="401"/>
      <c r="EA58" s="400"/>
      <c r="EB58" s="401"/>
      <c r="EC58" s="400"/>
      <c r="ED58" s="401"/>
      <c r="EE58" s="400"/>
      <c r="EF58" s="401"/>
      <c r="EG58" s="400"/>
      <c r="EH58" s="401"/>
      <c r="EI58" s="400"/>
      <c r="EJ58" s="447"/>
      <c r="EK58" s="511"/>
      <c r="EL58" s="514"/>
      <c r="EM58" s="448"/>
      <c r="EN58" s="344"/>
      <c r="EO58" s="345"/>
      <c r="EP58" s="171">
        <f t="shared" si="22"/>
        <v>0</v>
      </c>
      <c r="EQ58" s="171">
        <f t="shared" si="23"/>
        <v>0</v>
      </c>
      <c r="ER58" s="171">
        <f t="shared" si="24"/>
        <v>0</v>
      </c>
      <c r="ES58" s="171">
        <f t="shared" si="25"/>
        <v>0</v>
      </c>
      <c r="ET58" s="171">
        <f t="shared" si="26"/>
        <v>0</v>
      </c>
      <c r="EU58" s="171">
        <f t="shared" si="27"/>
        <v>0</v>
      </c>
      <c r="EV58" s="172">
        <f t="shared" si="28"/>
        <v>0</v>
      </c>
      <c r="EW58" s="125"/>
      <c r="EX58" s="248">
        <f t="shared" si="75"/>
        <v>0</v>
      </c>
      <c r="EY58" s="174">
        <f>(L58*regular)+(M58*Cadeirantee)</f>
        <v>0</v>
      </c>
      <c r="EZ58" s="249">
        <f>SUMIF(FG58:GJ58,"&gt;0")</f>
        <v>0</v>
      </c>
      <c r="FA58" s="249">
        <f>SUMIF(FG58:GJ58,"&lt;0")+SUMIF(GN58:HP58,"&lt;0")</f>
        <v>0</v>
      </c>
      <c r="FB58" s="174">
        <v>0</v>
      </c>
      <c r="FC58" s="126">
        <f>N58*km*'VALORES TABELA'!$B$13</f>
        <v>0</v>
      </c>
      <c r="FD58" s="250">
        <f t="shared" si="76"/>
        <v>0</v>
      </c>
      <c r="FE58" s="105"/>
      <c r="FF58" s="108"/>
      <c r="FG58" s="108"/>
      <c r="FH58" s="108"/>
      <c r="FI58" s="108"/>
      <c r="FJ58" s="108"/>
      <c r="FK58" s="108"/>
      <c r="FL58" s="108"/>
      <c r="FM58" s="108"/>
      <c r="FN58" s="108"/>
      <c r="FO58" s="108"/>
      <c r="FP58" s="108"/>
      <c r="FQ58" s="108"/>
      <c r="FR58" s="108"/>
      <c r="FS58" s="108"/>
      <c r="FT58" s="108"/>
      <c r="FU58" s="108"/>
      <c r="FV58" s="108"/>
      <c r="FW58" s="108"/>
      <c r="FX58" s="108"/>
      <c r="FY58" s="108"/>
      <c r="FZ58" s="108"/>
      <c r="GA58" s="108"/>
      <c r="GB58" s="108"/>
      <c r="GC58" s="108"/>
      <c r="GD58" s="108"/>
      <c r="GE58" s="108"/>
      <c r="GF58" s="108"/>
      <c r="GG58" s="108"/>
      <c r="GH58" s="108"/>
      <c r="GI58" s="108"/>
      <c r="GJ58" s="108"/>
      <c r="GK58" s="251"/>
      <c r="GL58" s="103">
        <f t="shared" si="30"/>
        <v>0</v>
      </c>
      <c r="GM58" s="124"/>
      <c r="GN58" s="104"/>
      <c r="GO58" s="104"/>
      <c r="GP58" s="104"/>
      <c r="GQ58" s="104"/>
      <c r="GR58" s="104"/>
      <c r="GS58" s="104"/>
      <c r="GT58" s="104"/>
      <c r="GU58" s="104"/>
      <c r="GV58" s="104"/>
      <c r="GW58" s="104"/>
      <c r="GX58" s="104"/>
      <c r="GY58" s="104"/>
      <c r="GZ58" s="104"/>
      <c r="HA58" s="104"/>
      <c r="HB58" s="104"/>
      <c r="HC58" s="104"/>
      <c r="HD58" s="104"/>
      <c r="HE58" s="104"/>
      <c r="HF58" s="104"/>
      <c r="HG58" s="104"/>
      <c r="HH58" s="104"/>
      <c r="HI58" s="104"/>
      <c r="HJ58" s="104"/>
      <c r="HK58" s="104"/>
      <c r="HL58" s="104"/>
      <c r="HM58" s="104"/>
      <c r="HN58" s="104"/>
      <c r="HO58" s="104"/>
      <c r="HP58" s="104"/>
      <c r="HQ58" s="64"/>
      <c r="HR58" s="64"/>
      <c r="HS58" s="64"/>
      <c r="HT58" s="64"/>
      <c r="HU58" s="64"/>
      <c r="HV58" s="64"/>
      <c r="HW58" s="105"/>
      <c r="HX58" s="64"/>
      <c r="HY58" s="280">
        <f t="shared" si="77"/>
        <v>0</v>
      </c>
      <c r="HZ58" s="280">
        <f t="shared" si="78"/>
        <v>0</v>
      </c>
      <c r="IA58" s="280">
        <f t="shared" si="79"/>
        <v>0</v>
      </c>
      <c r="IB58" s="64"/>
      <c r="IC58" s="64"/>
    </row>
    <row r="59" spans="1:237" s="106" customFormat="1" ht="22.5" customHeight="1" x14ac:dyDescent="0.25">
      <c r="A59" s="368" t="s">
        <v>3230</v>
      </c>
      <c r="B59" s="369" t="s">
        <v>3231</v>
      </c>
      <c r="C59" s="375" t="s">
        <v>3186</v>
      </c>
      <c r="D59" s="371" t="s">
        <v>3232</v>
      </c>
      <c r="E59" s="371" t="s">
        <v>3233</v>
      </c>
      <c r="F59" s="376" t="s">
        <v>3182</v>
      </c>
      <c r="G59" s="376" t="s">
        <v>3183</v>
      </c>
      <c r="H59" s="373" t="s">
        <v>347</v>
      </c>
      <c r="I59" s="374" t="s">
        <v>347</v>
      </c>
      <c r="J59" s="421" t="s">
        <v>3184</v>
      </c>
      <c r="K59" s="423" t="s">
        <v>3189</v>
      </c>
      <c r="L59" s="329">
        <f>CONTINUA!BV59</f>
        <v>0</v>
      </c>
      <c r="M59" s="329">
        <f>CONTINUA!BW59</f>
        <v>0</v>
      </c>
      <c r="N59" s="895"/>
      <c r="O59" s="896" t="s">
        <v>3284</v>
      </c>
      <c r="P59" s="897">
        <v>0</v>
      </c>
      <c r="Q59" s="400"/>
      <c r="R59" s="401"/>
      <c r="S59" s="400"/>
      <c r="T59" s="401"/>
      <c r="U59" s="400"/>
      <c r="V59" s="401"/>
      <c r="W59" s="400"/>
      <c r="X59" s="401"/>
      <c r="Y59" s="400"/>
      <c r="Z59" s="401"/>
      <c r="AA59" s="400"/>
      <c r="AB59" s="401"/>
      <c r="AC59" s="400"/>
      <c r="AD59" s="401"/>
      <c r="AE59" s="400"/>
      <c r="AF59" s="401"/>
      <c r="AG59" s="400"/>
      <c r="AH59" s="401"/>
      <c r="AI59" s="400"/>
      <c r="AJ59" s="401"/>
      <c r="AK59" s="400"/>
      <c r="AL59" s="401"/>
      <c r="AM59" s="400"/>
      <c r="AN59" s="401"/>
      <c r="AO59" s="400"/>
      <c r="AP59" s="401"/>
      <c r="AQ59" s="400"/>
      <c r="AR59" s="401"/>
      <c r="AS59" s="400"/>
      <c r="AT59" s="401"/>
      <c r="AU59" s="400"/>
      <c r="AV59" s="401"/>
      <c r="AW59" s="400"/>
      <c r="AX59" s="401"/>
      <c r="AY59" s="400"/>
      <c r="AZ59" s="401"/>
      <c r="BA59" s="400"/>
      <c r="BB59" s="401"/>
      <c r="BC59" s="400"/>
      <c r="BD59" s="401"/>
      <c r="BE59" s="400"/>
      <c r="BF59" s="401"/>
      <c r="BG59" s="400"/>
      <c r="BH59" s="401"/>
      <c r="BI59" s="400"/>
      <c r="BJ59" s="401"/>
      <c r="BK59" s="400"/>
      <c r="BL59" s="401"/>
      <c r="BM59" s="400"/>
      <c r="BN59" s="401"/>
      <c r="BO59" s="400"/>
      <c r="BP59" s="401"/>
      <c r="BQ59" s="400"/>
      <c r="BR59" s="401"/>
      <c r="BS59" s="400"/>
      <c r="BT59" s="401"/>
      <c r="BU59" s="400"/>
      <c r="BV59" s="401"/>
      <c r="BW59" s="400"/>
      <c r="BX59" s="401"/>
      <c r="BY59" s="400"/>
      <c r="BZ59" s="401"/>
      <c r="CA59" s="400"/>
      <c r="CB59" s="401"/>
      <c r="CC59" s="400"/>
      <c r="CD59" s="401"/>
      <c r="CE59" s="400"/>
      <c r="CF59" s="401"/>
      <c r="CG59" s="400"/>
      <c r="CH59" s="401"/>
      <c r="CI59" s="400"/>
      <c r="CJ59" s="401"/>
      <c r="CK59" s="400"/>
      <c r="CL59" s="401"/>
      <c r="CM59" s="400"/>
      <c r="CN59" s="401"/>
      <c r="CO59" s="400"/>
      <c r="CP59" s="401"/>
      <c r="CQ59" s="400"/>
      <c r="CR59" s="401"/>
      <c r="CS59" s="400"/>
      <c r="CT59" s="401"/>
      <c r="CU59" s="400"/>
      <c r="CV59" s="401"/>
      <c r="CW59" s="400"/>
      <c r="CX59" s="401"/>
      <c r="CY59" s="400"/>
      <c r="CZ59" s="401"/>
      <c r="DA59" s="400"/>
      <c r="DB59" s="401"/>
      <c r="DC59" s="400"/>
      <c r="DD59" s="401"/>
      <c r="DE59" s="400"/>
      <c r="DF59" s="401"/>
      <c r="DG59" s="400"/>
      <c r="DH59" s="401"/>
      <c r="DI59" s="400"/>
      <c r="DJ59" s="401"/>
      <c r="DK59" s="400"/>
      <c r="DL59" s="401"/>
      <c r="DM59" s="400"/>
      <c r="DN59" s="401"/>
      <c r="DO59" s="400"/>
      <c r="DP59" s="401"/>
      <c r="DQ59" s="400"/>
      <c r="DR59" s="401"/>
      <c r="DS59" s="400"/>
      <c r="DT59" s="401"/>
      <c r="DU59" s="400"/>
      <c r="DV59" s="401"/>
      <c r="DW59" s="400"/>
      <c r="DX59" s="401"/>
      <c r="DY59" s="400"/>
      <c r="DZ59" s="401"/>
      <c r="EA59" s="400"/>
      <c r="EB59" s="401"/>
      <c r="EC59" s="400"/>
      <c r="ED59" s="401"/>
      <c r="EE59" s="400"/>
      <c r="EF59" s="401"/>
      <c r="EG59" s="400"/>
      <c r="EH59" s="401"/>
      <c r="EI59" s="400"/>
      <c r="EJ59" s="447"/>
      <c r="EK59" s="511"/>
      <c r="EL59" s="514"/>
      <c r="EM59" s="448"/>
      <c r="EN59" s="344"/>
      <c r="EO59" s="345"/>
      <c r="EP59" s="171">
        <f t="shared" si="22"/>
        <v>0</v>
      </c>
      <c r="EQ59" s="171">
        <f t="shared" si="23"/>
        <v>0</v>
      </c>
      <c r="ER59" s="171">
        <f t="shared" si="24"/>
        <v>0</v>
      </c>
      <c r="ES59" s="171">
        <f t="shared" si="25"/>
        <v>0</v>
      </c>
      <c r="ET59" s="171">
        <f t="shared" si="26"/>
        <v>0</v>
      </c>
      <c r="EU59" s="171">
        <f t="shared" si="27"/>
        <v>0</v>
      </c>
      <c r="EV59" s="172">
        <f t="shared" si="28"/>
        <v>0</v>
      </c>
      <c r="EW59" s="127"/>
      <c r="EX59" s="248">
        <f t="shared" si="75"/>
        <v>0</v>
      </c>
      <c r="EY59" s="174">
        <f>(L59*regular)+(M59*Cadeirantee)</f>
        <v>0</v>
      </c>
      <c r="EZ59" s="249">
        <f>SUMIF(FG59:GJ59,"&gt;0")</f>
        <v>0</v>
      </c>
      <c r="FA59" s="249">
        <f>SUMIF(FG59:GJ59,"&lt;0")+SUMIF(GN59:HP59,"&lt;0")</f>
        <v>0</v>
      </c>
      <c r="FB59" s="174">
        <v>0</v>
      </c>
      <c r="FC59" s="126">
        <f>N59*km*'VALORES TABELA'!$B$13</f>
        <v>0</v>
      </c>
      <c r="FD59" s="250">
        <f t="shared" si="76"/>
        <v>0</v>
      </c>
      <c r="FE59" s="105"/>
      <c r="FF59" s="118"/>
      <c r="FG59" s="118"/>
      <c r="FH59" s="118"/>
      <c r="FI59" s="118"/>
      <c r="FJ59" s="118"/>
      <c r="FK59" s="118"/>
      <c r="FL59" s="118"/>
      <c r="FM59" s="118"/>
      <c r="FN59" s="118"/>
      <c r="FO59" s="118"/>
      <c r="FP59" s="118"/>
      <c r="FQ59" s="118"/>
      <c r="FR59" s="118"/>
      <c r="FS59" s="118"/>
      <c r="FT59" s="118"/>
      <c r="FU59" s="118"/>
      <c r="FV59" s="118"/>
      <c r="FW59" s="118"/>
      <c r="FX59" s="118"/>
      <c r="FY59" s="118"/>
      <c r="FZ59" s="118"/>
      <c r="GA59" s="118"/>
      <c r="GB59" s="118"/>
      <c r="GC59" s="118"/>
      <c r="GD59" s="118"/>
      <c r="GE59" s="118"/>
      <c r="GF59" s="118"/>
      <c r="GG59" s="118"/>
      <c r="GH59" s="118"/>
      <c r="GI59" s="118"/>
      <c r="GJ59" s="118"/>
      <c r="GK59" s="252"/>
      <c r="GL59" s="103">
        <f t="shared" si="30"/>
        <v>0</v>
      </c>
      <c r="GM59" s="124"/>
      <c r="GN59" s="104"/>
      <c r="GO59" s="104"/>
      <c r="GP59" s="104"/>
      <c r="GQ59" s="104"/>
      <c r="GR59" s="104"/>
      <c r="GS59" s="104"/>
      <c r="GT59" s="104"/>
      <c r="GU59" s="104"/>
      <c r="GV59" s="104"/>
      <c r="GW59" s="104"/>
      <c r="GX59" s="104"/>
      <c r="GY59" s="104"/>
      <c r="GZ59" s="104"/>
      <c r="HA59" s="104"/>
      <c r="HB59" s="104"/>
      <c r="HC59" s="104"/>
      <c r="HD59" s="104"/>
      <c r="HE59" s="104"/>
      <c r="HF59" s="104"/>
      <c r="HG59" s="104"/>
      <c r="HH59" s="104"/>
      <c r="HI59" s="104"/>
      <c r="HJ59" s="104"/>
      <c r="HK59" s="104"/>
      <c r="HL59" s="104"/>
      <c r="HM59" s="104"/>
      <c r="HN59" s="104"/>
      <c r="HO59" s="104"/>
      <c r="HP59" s="104"/>
      <c r="HQ59" s="64"/>
      <c r="HR59" s="65"/>
      <c r="HS59" s="65"/>
      <c r="HT59" s="65"/>
      <c r="HU59" s="65"/>
      <c r="HV59" s="65"/>
      <c r="HW59" s="105"/>
      <c r="HX59" s="65"/>
      <c r="HY59" s="280">
        <f t="shared" si="77"/>
        <v>0</v>
      </c>
      <c r="HZ59" s="280">
        <f t="shared" si="78"/>
        <v>0</v>
      </c>
      <c r="IA59" s="280">
        <f t="shared" si="79"/>
        <v>0</v>
      </c>
      <c r="IB59" s="65"/>
      <c r="IC59" s="65"/>
    </row>
    <row r="60" spans="1:237" s="106" customFormat="1" ht="22.5" customHeight="1" thickBot="1" x14ac:dyDescent="0.3">
      <c r="A60" s="377" t="s">
        <v>3230</v>
      </c>
      <c r="B60" s="378" t="s">
        <v>3231</v>
      </c>
      <c r="C60" s="379" t="s">
        <v>3186</v>
      </c>
      <c r="D60" s="380" t="s">
        <v>3232</v>
      </c>
      <c r="E60" s="380" t="s">
        <v>3233</v>
      </c>
      <c r="F60" s="381" t="s">
        <v>3182</v>
      </c>
      <c r="G60" s="381" t="s">
        <v>3183</v>
      </c>
      <c r="H60" s="382" t="s">
        <v>347</v>
      </c>
      <c r="I60" s="383" t="s">
        <v>347</v>
      </c>
      <c r="J60" s="421" t="s">
        <v>3184</v>
      </c>
      <c r="K60" s="424" t="s">
        <v>60</v>
      </c>
      <c r="L60" s="329">
        <f>CONTINUA!BV60</f>
        <v>0</v>
      </c>
      <c r="M60" s="329">
        <f>CONTINUA!BW60</f>
        <v>0</v>
      </c>
      <c r="N60" s="895"/>
      <c r="O60" s="896" t="s">
        <v>3284</v>
      </c>
      <c r="P60" s="897">
        <v>0</v>
      </c>
      <c r="Q60" s="400"/>
      <c r="R60" s="401"/>
      <c r="S60" s="400"/>
      <c r="T60" s="401"/>
      <c r="U60" s="400"/>
      <c r="V60" s="401"/>
      <c r="W60" s="400"/>
      <c r="X60" s="401"/>
      <c r="Y60" s="400"/>
      <c r="Z60" s="401"/>
      <c r="AA60" s="400"/>
      <c r="AB60" s="401"/>
      <c r="AC60" s="400"/>
      <c r="AD60" s="401"/>
      <c r="AE60" s="400"/>
      <c r="AF60" s="401"/>
      <c r="AG60" s="400"/>
      <c r="AH60" s="401"/>
      <c r="AI60" s="400"/>
      <c r="AJ60" s="401"/>
      <c r="AK60" s="400"/>
      <c r="AL60" s="401"/>
      <c r="AM60" s="400"/>
      <c r="AN60" s="401"/>
      <c r="AO60" s="400"/>
      <c r="AP60" s="401"/>
      <c r="AQ60" s="400"/>
      <c r="AR60" s="401"/>
      <c r="AS60" s="400"/>
      <c r="AT60" s="401"/>
      <c r="AU60" s="400"/>
      <c r="AV60" s="401"/>
      <c r="AW60" s="400"/>
      <c r="AX60" s="401"/>
      <c r="AY60" s="400"/>
      <c r="AZ60" s="401"/>
      <c r="BA60" s="400"/>
      <c r="BB60" s="401"/>
      <c r="BC60" s="400"/>
      <c r="BD60" s="401"/>
      <c r="BE60" s="400"/>
      <c r="BF60" s="401"/>
      <c r="BG60" s="400"/>
      <c r="BH60" s="401"/>
      <c r="BI60" s="400"/>
      <c r="BJ60" s="401"/>
      <c r="BK60" s="400"/>
      <c r="BL60" s="401"/>
      <c r="BM60" s="400"/>
      <c r="BN60" s="401"/>
      <c r="BO60" s="400"/>
      <c r="BP60" s="401"/>
      <c r="BQ60" s="400"/>
      <c r="BR60" s="401"/>
      <c r="BS60" s="400"/>
      <c r="BT60" s="401"/>
      <c r="BU60" s="400"/>
      <c r="BV60" s="401"/>
      <c r="BW60" s="400"/>
      <c r="BX60" s="401"/>
      <c r="BY60" s="400"/>
      <c r="BZ60" s="401"/>
      <c r="CA60" s="400"/>
      <c r="CB60" s="401"/>
      <c r="CC60" s="400"/>
      <c r="CD60" s="401"/>
      <c r="CE60" s="400"/>
      <c r="CF60" s="401"/>
      <c r="CG60" s="400"/>
      <c r="CH60" s="401"/>
      <c r="CI60" s="400"/>
      <c r="CJ60" s="401"/>
      <c r="CK60" s="400"/>
      <c r="CL60" s="401"/>
      <c r="CM60" s="400"/>
      <c r="CN60" s="401"/>
      <c r="CO60" s="400"/>
      <c r="CP60" s="401"/>
      <c r="CQ60" s="400"/>
      <c r="CR60" s="401"/>
      <c r="CS60" s="400"/>
      <c r="CT60" s="401"/>
      <c r="CU60" s="400"/>
      <c r="CV60" s="401"/>
      <c r="CW60" s="400"/>
      <c r="CX60" s="401"/>
      <c r="CY60" s="400"/>
      <c r="CZ60" s="401"/>
      <c r="DA60" s="400"/>
      <c r="DB60" s="401"/>
      <c r="DC60" s="400"/>
      <c r="DD60" s="401"/>
      <c r="DE60" s="400"/>
      <c r="DF60" s="401"/>
      <c r="DG60" s="400"/>
      <c r="DH60" s="401"/>
      <c r="DI60" s="400"/>
      <c r="DJ60" s="401"/>
      <c r="DK60" s="400"/>
      <c r="DL60" s="401"/>
      <c r="DM60" s="400"/>
      <c r="DN60" s="401"/>
      <c r="DO60" s="400"/>
      <c r="DP60" s="401"/>
      <c r="DQ60" s="400"/>
      <c r="DR60" s="401"/>
      <c r="DS60" s="400"/>
      <c r="DT60" s="401"/>
      <c r="DU60" s="400"/>
      <c r="DV60" s="401"/>
      <c r="DW60" s="400"/>
      <c r="DX60" s="401"/>
      <c r="DY60" s="400"/>
      <c r="DZ60" s="401"/>
      <c r="EA60" s="400"/>
      <c r="EB60" s="401"/>
      <c r="EC60" s="400"/>
      <c r="ED60" s="401"/>
      <c r="EE60" s="400"/>
      <c r="EF60" s="401"/>
      <c r="EG60" s="400"/>
      <c r="EH60" s="401"/>
      <c r="EI60" s="400"/>
      <c r="EJ60" s="447"/>
      <c r="EK60" s="512"/>
      <c r="EL60" s="515"/>
      <c r="EM60" s="450"/>
      <c r="EN60" s="348"/>
      <c r="EO60" s="348"/>
      <c r="EP60" s="179">
        <f t="shared" si="22"/>
        <v>0</v>
      </c>
      <c r="EQ60" s="179">
        <f t="shared" si="23"/>
        <v>0</v>
      </c>
      <c r="ER60" s="179">
        <f t="shared" si="24"/>
        <v>0</v>
      </c>
      <c r="ES60" s="179">
        <f t="shared" si="25"/>
        <v>0</v>
      </c>
      <c r="ET60" s="179">
        <f t="shared" si="26"/>
        <v>0</v>
      </c>
      <c r="EU60" s="179">
        <f t="shared" si="27"/>
        <v>0</v>
      </c>
      <c r="EV60" s="172">
        <f t="shared" si="28"/>
        <v>0</v>
      </c>
      <c r="EW60" s="253"/>
      <c r="EX60" s="254">
        <v>0</v>
      </c>
      <c r="EY60" s="180">
        <v>0</v>
      </c>
      <c r="EZ60" s="255">
        <v>0</v>
      </c>
      <c r="FA60" s="255">
        <v>0</v>
      </c>
      <c r="FB60" s="180">
        <f>SUM(FF60:GI60)/2</f>
        <v>0</v>
      </c>
      <c r="FC60" s="256">
        <f>N60*km*'VALORES TABELA'!$B$13</f>
        <v>0</v>
      </c>
      <c r="FD60" s="250">
        <f t="shared" si="76"/>
        <v>0</v>
      </c>
      <c r="FE60" s="257"/>
      <c r="FF60" s="181">
        <f>((Q60+S60)*Percapita)+((R60+T60)*Cadeirante)</f>
        <v>0</v>
      </c>
      <c r="FG60" s="181">
        <f>((U60+W60)*Percapita/30*FG$4)+((V60+X60)*Cadeirante/30*FG$4)</f>
        <v>0</v>
      </c>
      <c r="FH60" s="181">
        <f>((Y60+AA60)*Percapita/30*FH$4)+((Z60+AB60)*Cadeirante/30*FH$4)</f>
        <v>0</v>
      </c>
      <c r="FI60" s="181">
        <f>((AC60+AE60)*Percapita/30*FI$4)+((AD60+AF60)*Cadeirante/30*FI$4)</f>
        <v>0</v>
      </c>
      <c r="FJ60" s="181">
        <f>((AG60+AI60)*Percapita/30*FJ$4)+((AH60+AJ60)*Cadeirante/30*FJ$4)</f>
        <v>0</v>
      </c>
      <c r="FK60" s="181">
        <f>((AK60+AM60)*Percapita/30*FK$4)+((AL60+AN60)*Cadeirante/30*FK$4)</f>
        <v>0</v>
      </c>
      <c r="FL60" s="181">
        <f>((AO60+AQ60)*Percapita/30*FL$4)+((AP60+AR60)*Cadeirante/30*FL$4)</f>
        <v>0</v>
      </c>
      <c r="FM60" s="181">
        <f>((AS60+AU60)*Percapita/30*FM$4)+((AT60+AV60)*Cadeirante/30*FM$4)</f>
        <v>0</v>
      </c>
      <c r="FN60" s="181">
        <f>((AW60+AY60)*Percapita/30*FN$4)+((AX60+AZ60)*Cadeirante/30*FN$4)</f>
        <v>0</v>
      </c>
      <c r="FO60" s="181">
        <f>((BA60+BC60)*Percapita/30*FO$4)+((BB60+BD60)*Cadeirante/30*FO$4)</f>
        <v>0</v>
      </c>
      <c r="FP60" s="181">
        <f>((BE60+BG60)*Percapita/30*FP$4)+((BF60+BH60)*Cadeirante/30*FP$4)</f>
        <v>0</v>
      </c>
      <c r="FQ60" s="181">
        <f>((BI60+BK60)*Percapita/30*FQ$4)+((BJ60+BL60)*Cadeirante/30*FQ$4)</f>
        <v>0</v>
      </c>
      <c r="FR60" s="181">
        <f>((BM60+BO60)*Percapita/30*FR$4)+((BN60+BP60)*Cadeirante/30*FR$4)</f>
        <v>0</v>
      </c>
      <c r="FS60" s="181">
        <f>((BQ60+BS60)*Percapita/30*FS$4)+((BR60+BT60)*Cadeirante/30*FS$4)</f>
        <v>0</v>
      </c>
      <c r="FT60" s="181">
        <f>((BU60+BW60)*Percapita/30*FT$4)+((BV60+BX60)*Cadeirante/30*FT$4)</f>
        <v>0</v>
      </c>
      <c r="FU60" s="181">
        <f>((BY60+CA60)*Percapita/30*FU$4)+((BZ60+CB60)*Cadeirante/30*FU$4)</f>
        <v>0</v>
      </c>
      <c r="FV60" s="181">
        <f>((CC60+CE60)*Percapita/30*FV$4)+((CD60+CF60)*Cadeirante/30*FV$4)</f>
        <v>0</v>
      </c>
      <c r="FW60" s="181">
        <f>((CG60+CI60)*Percapita/30*FW$4)+((CI60+CK60)*Cadeirante/30*FW$4)</f>
        <v>0</v>
      </c>
      <c r="FX60" s="181">
        <f>((CK60+CM60)*Percapita/30*FX$4)+((CL60+CN60)*Cadeirante/30*FX$4)</f>
        <v>0</v>
      </c>
      <c r="FY60" s="181">
        <f>((CO60+CQ60)*Percapita/30*FY$4)+((CP60+CR60)*Cadeirante/30*FY$4)</f>
        <v>0</v>
      </c>
      <c r="FZ60" s="181">
        <f>((CS60+CU60)*Percapita/30*FZ$4)+((CT60+CV60)*Cadeirante/30*FZ$4)</f>
        <v>0</v>
      </c>
      <c r="GA60" s="181">
        <f>((CW60+CY60)*Percapita/30*GA$4)+((CX60+CZ60)*Cadeirante/30*GA$4)</f>
        <v>0</v>
      </c>
      <c r="GB60" s="181">
        <f>((DA60+DC60)*Percapita/30*GB$4)+((DB60+DD60)*Cadeirante/30*GB$4)</f>
        <v>0</v>
      </c>
      <c r="GC60" s="181">
        <f>((DE60+DG60)*Percapita/30*GC$4)+((DF60+DH60)*Cadeirante/30*GC$4)</f>
        <v>0</v>
      </c>
      <c r="GD60" s="181">
        <f>((DI60+DK60)*Percapita/30*GD$4)+((DJ60+DL60)*Cadeirante/30*GD$4)</f>
        <v>0</v>
      </c>
      <c r="GE60" s="181">
        <f>((DM60+DO60)*Percapita/30*GE$4)+((DN60+DP60)*Cadeirante/30*GE$4)</f>
        <v>0</v>
      </c>
      <c r="GF60" s="181">
        <f>((DQ60+DS60)*Percapita/30*GF$4)+((DR60+DT60)*Cadeirante/30*GF$4)</f>
        <v>0</v>
      </c>
      <c r="GG60" s="181">
        <f>((DU60+DW60)*Percapita/30*GG$4)+((DV60+DX60)*Cadeirante/30*GG$4)</f>
        <v>0</v>
      </c>
      <c r="GH60" s="181">
        <f>((DY60+EA60)*Percapita/30*GH$4)+((DZ60+EB60)*Cadeirante/30*GH$4)</f>
        <v>0</v>
      </c>
      <c r="GI60" s="181">
        <f>((EC60+EE60)*Percapita/30*GI$4)+((ED60+EF60)*Cadeirante/30*GI$4)</f>
        <v>0</v>
      </c>
      <c r="GJ60" s="181">
        <f>((EG60+EI60)*Percapita)+((EH60+EJ60)*Cadeirante)</f>
        <v>0</v>
      </c>
      <c r="GK60" s="258"/>
      <c r="GL60" s="103">
        <f t="shared" si="30"/>
        <v>0</v>
      </c>
      <c r="GM60" s="124"/>
      <c r="GN60" s="182"/>
      <c r="GO60" s="182"/>
      <c r="GP60" s="182"/>
      <c r="GQ60" s="182"/>
      <c r="GR60" s="182"/>
      <c r="GS60" s="182"/>
      <c r="GT60" s="182"/>
      <c r="GU60" s="182"/>
      <c r="GV60" s="182"/>
      <c r="GW60" s="182"/>
      <c r="GX60" s="182"/>
      <c r="GY60" s="182"/>
      <c r="GZ60" s="182"/>
      <c r="HA60" s="182"/>
      <c r="HB60" s="182"/>
      <c r="HC60" s="182"/>
      <c r="HD60" s="182"/>
      <c r="HE60" s="182"/>
      <c r="HF60" s="182"/>
      <c r="HG60" s="182"/>
      <c r="HH60" s="182"/>
      <c r="HI60" s="182"/>
      <c r="HJ60" s="182"/>
      <c r="HK60" s="182"/>
      <c r="HL60" s="182"/>
      <c r="HM60" s="182"/>
      <c r="HN60" s="182"/>
      <c r="HO60" s="182"/>
      <c r="HP60" s="259"/>
      <c r="HQ60" s="64"/>
      <c r="HW60" s="257"/>
      <c r="HY60" s="280">
        <f t="shared" si="77"/>
        <v>0</v>
      </c>
      <c r="HZ60" s="280">
        <f t="shared" si="78"/>
        <v>0</v>
      </c>
      <c r="IA60" s="280">
        <f t="shared" si="79"/>
        <v>0</v>
      </c>
    </row>
    <row r="61" spans="1:237" s="106" customFormat="1" ht="22.5" customHeight="1" x14ac:dyDescent="0.25">
      <c r="A61" t="s">
        <v>3234</v>
      </c>
      <c r="B61" s="522" t="s">
        <v>3235</v>
      </c>
      <c r="C61" s="523">
        <v>1</v>
      </c>
      <c r="D61" s="524" t="s">
        <v>3236</v>
      </c>
      <c r="E61" s="524" t="s">
        <v>3237</v>
      </c>
      <c r="F61" s="525" t="s">
        <v>3182</v>
      </c>
      <c r="G61" s="525" t="s">
        <v>3183</v>
      </c>
      <c r="H61" s="350" t="s">
        <v>348</v>
      </c>
      <c r="I61" s="351" t="s">
        <v>348</v>
      </c>
      <c r="J61" s="409" t="s">
        <v>3184</v>
      </c>
      <c r="K61" s="410" t="s">
        <v>3185</v>
      </c>
      <c r="L61" s="329">
        <f>CONTINUA!BV61</f>
        <v>0</v>
      </c>
      <c r="M61" s="329">
        <f>CONTINUA!BW61</f>
        <v>0</v>
      </c>
      <c r="N61" s="895"/>
      <c r="O61" s="896" t="s">
        <v>3285</v>
      </c>
      <c r="P61" s="897">
        <v>0</v>
      </c>
      <c r="Q61" s="400">
        <v>29</v>
      </c>
      <c r="R61" s="401"/>
      <c r="S61" s="400"/>
      <c r="T61" s="401"/>
      <c r="U61" s="400"/>
      <c r="V61" s="401"/>
      <c r="W61" s="400"/>
      <c r="X61" s="401"/>
      <c r="Y61" s="400"/>
      <c r="Z61" s="401"/>
      <c r="AA61" s="400"/>
      <c r="AB61" s="401"/>
      <c r="AC61" s="400"/>
      <c r="AD61" s="401"/>
      <c r="AE61" s="400"/>
      <c r="AF61" s="401"/>
      <c r="AG61" s="400"/>
      <c r="AH61" s="401"/>
      <c r="AI61" s="400"/>
      <c r="AJ61" s="401"/>
      <c r="AK61" s="400"/>
      <c r="AL61" s="401"/>
      <c r="AM61" s="400"/>
      <c r="AN61" s="401"/>
      <c r="AO61" s="400"/>
      <c r="AP61" s="401"/>
      <c r="AQ61" s="400"/>
      <c r="AR61" s="401"/>
      <c r="AS61" s="400"/>
      <c r="AT61" s="401"/>
      <c r="AU61" s="400"/>
      <c r="AV61" s="401"/>
      <c r="AW61" s="400"/>
      <c r="AX61" s="401"/>
      <c r="AY61" s="400"/>
      <c r="AZ61" s="401"/>
      <c r="BA61" s="400"/>
      <c r="BB61" s="401"/>
      <c r="BC61" s="400"/>
      <c r="BD61" s="401"/>
      <c r="BE61" s="400"/>
      <c r="BF61" s="401"/>
      <c r="BG61" s="400"/>
      <c r="BH61" s="401"/>
      <c r="BI61" s="400"/>
      <c r="BJ61" s="401"/>
      <c r="BK61" s="400"/>
      <c r="BL61" s="401"/>
      <c r="BM61" s="400"/>
      <c r="BN61" s="401"/>
      <c r="BO61" s="400"/>
      <c r="BP61" s="401"/>
      <c r="BQ61" s="400"/>
      <c r="BR61" s="401"/>
      <c r="BS61" s="400"/>
      <c r="BT61" s="401"/>
      <c r="BU61" s="400"/>
      <c r="BV61" s="401"/>
      <c r="BW61" s="400"/>
      <c r="BX61" s="401"/>
      <c r="BY61" s="400"/>
      <c r="BZ61" s="401"/>
      <c r="CA61" s="400"/>
      <c r="CB61" s="401"/>
      <c r="CC61" s="400"/>
      <c r="CD61" s="401"/>
      <c r="CE61" s="400"/>
      <c r="CF61" s="401"/>
      <c r="CG61" s="400"/>
      <c r="CH61" s="401"/>
      <c r="CI61" s="400"/>
      <c r="CJ61" s="401"/>
      <c r="CK61" s="400"/>
      <c r="CL61" s="401"/>
      <c r="CM61" s="400"/>
      <c r="CN61" s="401"/>
      <c r="CO61" s="400"/>
      <c r="CP61" s="401"/>
      <c r="CQ61" s="400"/>
      <c r="CR61" s="401"/>
      <c r="CS61" s="400"/>
      <c r="CT61" s="401"/>
      <c r="CU61" s="400"/>
      <c r="CV61" s="401"/>
      <c r="CW61" s="400"/>
      <c r="CX61" s="401"/>
      <c r="CY61" s="400"/>
      <c r="CZ61" s="401"/>
      <c r="DA61" s="400"/>
      <c r="DB61" s="401"/>
      <c r="DC61" s="400"/>
      <c r="DD61" s="401"/>
      <c r="DE61" s="400"/>
      <c r="DF61" s="401"/>
      <c r="DG61" s="400"/>
      <c r="DH61" s="401"/>
      <c r="DI61" s="400"/>
      <c r="DJ61" s="401"/>
      <c r="DK61" s="400"/>
      <c r="DL61" s="401"/>
      <c r="DM61" s="400"/>
      <c r="DN61" s="401"/>
      <c r="DO61" s="400"/>
      <c r="DP61" s="401"/>
      <c r="DQ61" s="400"/>
      <c r="DR61" s="401"/>
      <c r="DS61" s="400"/>
      <c r="DT61" s="401"/>
      <c r="DU61" s="400"/>
      <c r="DV61" s="401"/>
      <c r="DW61" s="400"/>
      <c r="DX61" s="401"/>
      <c r="DY61" s="400"/>
      <c r="DZ61" s="401"/>
      <c r="EA61" s="400"/>
      <c r="EB61" s="401"/>
      <c r="EC61" s="400"/>
      <c r="ED61" s="401"/>
      <c r="EE61" s="400"/>
      <c r="EF61" s="401"/>
      <c r="EG61" s="400"/>
      <c r="EH61" s="401"/>
      <c r="EI61" s="400"/>
      <c r="EJ61" s="447"/>
      <c r="EK61" s="510"/>
      <c r="EL61" s="513"/>
      <c r="EM61" s="520"/>
      <c r="EN61" s="520"/>
      <c r="EO61" s="520"/>
      <c r="EP61" s="171">
        <f t="shared" si="22"/>
        <v>29</v>
      </c>
      <c r="EQ61" s="171">
        <f t="shared" si="23"/>
        <v>0</v>
      </c>
      <c r="ER61" s="171">
        <f t="shared" si="24"/>
        <v>0</v>
      </c>
      <c r="ES61" s="171">
        <f t="shared" si="25"/>
        <v>0</v>
      </c>
      <c r="ET61" s="171">
        <f t="shared" si="26"/>
        <v>0</v>
      </c>
      <c r="EU61" s="171">
        <f t="shared" si="27"/>
        <v>0</v>
      </c>
      <c r="EV61" s="172">
        <f t="shared" si="28"/>
        <v>29</v>
      </c>
      <c r="EW61" s="367">
        <f>IF(C61=4,IF(MAX(Q61:EJ63)&gt;0,(Especiall/30*(IF(($G61-$F61)=($G$5-$F$5),30,IF(DAY($G61)=31,($G61-$F61),($G61-$F61)+1)))),0),0)</f>
        <v>0</v>
      </c>
      <c r="EX61" s="248">
        <f t="shared" ref="EX61:EX64" si="80">FF61</f>
        <v>16352.810000000001</v>
      </c>
      <c r="EY61" s="174">
        <f>(L61*regular)+(M61*Cadeirantee)</f>
        <v>0</v>
      </c>
      <c r="EZ61" s="249">
        <f>SUMIF(FG61:GJ61,"&gt;0")</f>
        <v>0</v>
      </c>
      <c r="FA61" s="249">
        <f>SUMIF(FG61:GJ61,"&lt;0")+SUMIF(GN61:HP61,"&lt;0")</f>
        <v>0</v>
      </c>
      <c r="FB61" s="174">
        <v>0</v>
      </c>
      <c r="FC61" s="175">
        <f>N61*km*'VALORES TABELA'!$B$13</f>
        <v>0</v>
      </c>
      <c r="FD61" s="250">
        <f>GL61</f>
        <v>0</v>
      </c>
      <c r="FE61" s="176">
        <f>(EW61+EW62+EW63+EW64+EX61+EX62+EX63+EX64+EY61+EY62+EY63+EY64+EY65+EZ61+EZ62+EZ63+EZ64+FA61+FA62+FA63+FA64+FC61+FC62+FC63+FC64+HY61-HZ61-IA61+FD61+FD62+FD63+FD64+FB65)</f>
        <v>16352.810000000001</v>
      </c>
      <c r="FF61" s="177">
        <f>IF(C61=4,SUM(Q61+Q62+Q63+S61+S62+S63)*Percapita/30*FF$4+(R61+R62+R63+T61+T62+T63)*Cadeirante/30*FF$4,IF(C61=3,IF(Q64+S64=10,Fixo/30*FF$4+(Q61+Q62+Q63+S61+S62+S63)*Percapita/30*FF$4+(R64+T64)*Cadeirante/30*FF$4,IF(Q64+S64&lt;=9,(Q64+S64)*Crechee/30*FF$4)+(R64+T64)*Cadeirante/30*FF$4+(Q61+Q62+Q63+S61+S62+S63)*Percapita/30*FF$4)+IF(Q64+S64&gt;=11,Fixo/30*FF$4+(Q64+S64-10)*Crechee/30*FF$4,0),IF(C61=2,IF(R61+R62+R63+R64+T61+T62+T63+T64=1,Cadeirante/30*FF$4,IF(R61+R62+R63+R64+T61+T62+T63+T64=2,Fixo/30*FF$4,IF(R61+R62+R63+R64+T61+T62+T63+T64&gt;2,Fixo/30*FF$4+(R61+R62+R63+R64+T61+T62+T63+T64-2)*Cadeirante/30*FF$4)))+(Q61+Q62+Q63+S61+S62+S63)*Percapita/30*FF$4+(Q64+S64)*Crechee/30*FF$4,IF(C61=1,IF(Q61+Q62+Q63+R61+R62+R63+S61+S62+S63+T61+T62+T63&lt;=15,(Q61+Q62+Q63+S61+S62+S63)*Percapita/30*FF$4,IF(Q61+Q62+Q63+R61+R62+R63+S61+S62+S63+T61+T62+T63&gt;=16,Fixo/30*FF$4+(Q61+Q62+Q63+R61+R62+R63+S61+S62+S63+T61+T62-16)*Percapita/30*FF$4))))))</f>
        <v>16352.810000000001</v>
      </c>
      <c r="FG61" s="177">
        <f>IF(C61=4,SUM(U61+U62+U63+W61+W62+W63)*Percapita/30*FG$4+(V61+V62+V63+X61+X62+X63)*Cadeirante/30*FG$4,IF(C61=3,IF(U64+W64=10,Fixo/30*FG$4+(U61+U62+U63+W61+W62+W63)*Percapita/30*FG$4+(V64+X64)*Cadeirante/30*FG$4,IF(U64+W64&lt;=9,(U64+W64)*Crechee/30*FG$4)+(V64+X64)*Cadeirante/30*FG$4+(U61+U62+U63+W61+W62+W63)*Percapita/30*FG$4)+IF(U64+W64&gt;=11,Fixo/30*FG$4+(U64+W64-10)*Crechee/30*FG$4,0),IF(C61=2,IF(V61+V62+V63+V64+X61+X62+X63+X64=1,Cadeirante/30*FG$4,IF(V61+V62+V63+V64+X61+X62+X63+X64=2,Fixo/30*FG$4,IF(V61+V62+V63+V64+X61+X62+X63+X64&gt;2,Fixo/30*FG$4+(V61+V62+V63+V64+X61+X62+X63+X64-2)*Cadeirante/30*FG$4)))+(U61+U62+U63+W61+W62+W63)*Percapita/30*FG$4+(U64+W64)*Crechee/30*FG$4,IF(C61=1,IF(U61+U62+U63+V61+V62+V63+W61+W62+W63+X61+X62+X63&lt;=15,(U61+U62+U63+W61+W62+W63)*Percapita/30*FG$4,IF(U61+U62+U63+V61+V62+V63+W61+W62+W63+X61+X62+X63&gt;=16,Fixo/30*FG$4+(U61+U62+U63+V61+V62+V63+W61+W62+W63+X61+X62-16)*Percapita/30*FG$4))))))</f>
        <v>0</v>
      </c>
      <c r="FH61" s="177">
        <f>IF(C61=4,SUM(Y61+Y62+Y63+AA61+AA62+AA63)*Percapita/30*FH$4+(Z61+Z62+Z63+AB61+AB62+AB63)*Cadeirante/30*FH$4,IF(C61=3,IF(Y64+AA64=10,Fixo/30*FH$4+(Y61+Y62+Y63+AA61+AA62+AA63)*Percapita/30*FH$4+(Z64+AB64)*Cadeirante/30*FH$4,IF(Y64+AA64&lt;=9,(Y64+AA64)*Crechee/30*FH$4)+(Z64+AB64)*Cadeirante/30*FH$4+(Y61+Y62+Y63+AA61+AA62+AA63)*Percapita/30*FH$4)+IF(Y64+AA64&gt;=11,Fixo/30*FH$4+(Y64+AA64-10)*Crechee/30*FH$4,0),IF(C61=2,IF(Z61+Z62+Z63+Z64+AB61+AB62+AB63+AB64=1,Cadeirante/30*FH$4,IF(Z61+Z62+Z63+Z64+AB61+AB62+AB63+AB64=2,Fixo/30*FH$4,IF(Z61+Z62+Z63+Z64+AB61+AB62+AB63+AB64&gt;2,Fixo/30*FH$4+(Z61+Z62+Z63+Z64+AB61+AB62+AB63+AB64-2)*Cadeirante/30*FH$4)))+(Y61+Y62+Y63+AA61+AA62+AA63)*Percapita/30*FH$4+(Y64+AA64)*Crechee/30*FH$4,IF(C61=1,IF(Y61+Y62+Y63+Z61+Z62+Z63+AA61+AA62+AA63+AB61+AB62+AB63&lt;=15,(Y61+Y62+Y63+AA61+AA62+AA63)*Percapita/30*FH$4,IF(Y61+Y62+Y63+Z61+Z62+Z63+AA61+AA62+AA63+AB61+AB62+AB63&gt;=16,Fixo/30*FH$4+(Y61+Y62+Y63+Z61+Z62+Z63+AA61+AA62+AA63+AB61+AB62-16)*Percapita/30*FH$4))))))</f>
        <v>0</v>
      </c>
      <c r="FI61" s="177">
        <f>IF(C61=4,SUM(AC61+AC62+AC63+AE61+AE62+AE63)*Percapita/30*FI$4+(AD61+AD62+AD63+AF61+AF62+AF63)*Cadeirante/30*FI$4,IF(C61=3,IF(AC64+AE64=10,Fixo/30*FI$4+(AC61+AC62+AC63+AE61+AE62+AE63)*Percapita/30*FI$4+(AD64+AF64)*Cadeirante/30*FI$4,IF(AC64+AE64&lt;=9,(AC64+AE64)*Crechee/30*FI$4)+(AD64+AF64)*Cadeirante/30*FI$4+(AC61+AC62+AC63+AE61+AE62+AE63)*Percapita/30*FI$4)+IF(AC64+AE64&gt;=11,Fixo/30*FI$4+(AC64+AE64-10)*Crechee/30*FI$4,0),IF(C61=2,IF(AD61+AD62+AD63+AD64+AF61+AF62+AF63+AF64=1,Cadeirante/30*FI$4,IF(AD61+AD62+AD63+AD64+AF61+AF62+AF63+AF64=2,Fixo/30*FI$4,IF(AD61+AD62+AD63+AD64+AF61+AF62+AF63+AF64&gt;2,Fixo/30*FI$4+(AD61+AD62+AD63+AD64+AF61+AF62+AF63+AF64-2)*Cadeirante/30*FI$4)))+(AC61+AC62+AC63+AE61+AE62+AE63)*Percapita/30*FI$4+(AC64+AE64)*Crechee/30*FI$4,IF(C61=1,IF(AC61+AC62+AC63+AD61+AD62+AD63+AE61+AE62+AE63+AF61+AF62+AF63&lt;=15,(AC61+AC62+AC63+AE61+AE62+AE63)*Percapita/30*FI$4,IF(AC61+AC62+AC63+AD61+AD62+AD63+AE61+AE62+AE63+AF61+AF62+AF63&gt;=16,Fixo/30*FI$4+(AC61+AC62+AC63+AD61+AD62+AD63+AE61+AE62+AE63+AF61+AF62-16)*Percapita/30*FI$4))))))</f>
        <v>0</v>
      </c>
      <c r="FJ61" s="177">
        <f>IF(C61=4,SUM(AG61+AG62+AG63+AI61+AI62+AI63)*Percapita/30*FJ$4+(AH61+AH62+AH63+AJ61+AJ62+AJ63)*Cadeirante/30*FJ$4,IF(C61=3,IF(AG64+AI64=10,Fixo/30*FJ$4+(AG61+AG62+AG63+AI61+AI62+AI63)*Percapita/30*FJ$4+(AH64+AJ64)*Cadeirante/30*FJ$4,IF(AG64+AI64&lt;=9,(AG64+AI64)*Crechee/30*FJ$4)+(AH64+AJ64)*Cadeirante/30*FJ$4+(AG61+AG62+AG63+AI61+AI62+AI63)*Percapita/30*FJ$4)+IF(AG64+AI64&gt;=11,Fixo/30*FJ$4+(AG64+AI64-10)*Crechee/30*FJ$4,0),IF(C61=2,IF(AH61+AH62+AH63+AH64+AJ61+AJ62+AJ63+AJ64=1,Cadeirante/30*FJ$4,IF(AH61+AH62+AH63+AH64+AJ61+AJ62+AJ63+AJ64=2,Fixo/30*FJ$4,IF(AH61+AH62+AH63+AH64+AJ61+AJ62+AJ63+AJ64&gt;2,Fixo/30*FJ$4+(AH61+AH62+AH63+AH64+AJ61+AJ62+AJ63+AJ64-2)*Cadeirante/30*FJ$4)))+(AG61+AG62+AG63+AI61+AI62+AI63)*Percapita/30*FJ$4+(AG64+AI64)*Crechee/30*FJ$4,IF(C61=1,IF(AG61+AG62+AG63+AH61+AH62+AH63+AI61+AI62+AI63+AJ61+AJ62+AJ63&lt;=15,(AG61+AG62+AG63+AI61+AI62+AI63)*Percapita/30*FJ$4,IF(AG61+AG62+AG63+AH61+AH62+AH63+AI61+AI62+AI63+AJ61+AJ62+AJ63&gt;=16,Fixo/30*FJ$4+(AG61+AG62+AG63+AH61+AH62+AH63+AI61+AI62+AI63+AJ61+AJ62-16)*Percapita/30*FJ$4))))))</f>
        <v>0</v>
      </c>
      <c r="FK61" s="177">
        <f>IF(C61=4,SUM(AK61+AK62+AK63+AM61+AM62+AM63)*Percapita/30*FK$4+(AL61+AL62+AL63+AN61+AN62+AN63)*Cadeirante/30*FK$4,IF(C61=3,IF(AK64+AM64=10,Fixo/30*FK$4+(AK61+AK62+AK63+AM61+AM62+AM63)*Percapita/30*FK$4+(AL64+AN64)*Cadeirante/30*FK$4,IF(AK64+AM64&lt;=9,(AK64+AM64)*Crechee/30*FK$4)+(AL64+AN64)*Cadeirante/30*FK$4+(AK61+AK62+AK63+AM61+AM62+AM63)*Percapita/30*FK$4)+IF(AK64+AM64&gt;=11,Fixo/30*FK$4+(AK64+AM64-10)*Crechee/30*FK$4,0),IF(C61=2,IF(AL61+AL62+AL63+AL64+AN61+AN62+AN63+AN64=1,Cadeirante/30*FK$4,IF(AL61+AL62+AL63+AL64+AN61+AN62+AN63+AN64=2,Fixo/30*FK$4,IF(AL61+AL62+AL63+AL64+AN61+AN62+AN63+AN64&gt;2,Fixo/30*FK$4+(AL61+AL62+AL63+AL64+AN61+AN62+AN63+AN64-2)*Cadeirante/30*FK$4)))+(AK61+AK62+AK63+AM61+AM62+AM63)*Percapita/30*FK$4+(AK64+AM64)*Crechee/30*FK$4,IF(C61=1,IF(AK61+AK62+AK63+AL61+AL62+AL63+AM61+AM62+AM63+AN61+AN62+AN63&lt;=15,(AK61+AK62+AK63+AM61+AM62+AM63)*Percapita/30*FK$4,IF(AK61+AK62+AK63+AL61+AL62+AL63+AM61+AM62+AM63+AN61+AN62+AN63&gt;=16,Fixo/30*FK$4+(AK61+AK62+AK63+AL61+AL62+AL63+AM61+AM62+AM63+AN61+AN62-16)*Percapita/30*FK$4))))))</f>
        <v>0</v>
      </c>
      <c r="FL61" s="177">
        <f>IF(C61=4,SUM(AO61+AO62+AO63+AQ61+AQ62+AQ63)*Percapita/30*FL$4+(AP61+AP62+AP63+AR61+AR62+AR63)*Cadeirante/30*FL$4,IF(C61=3,IF(AO64+AQ64=10,Fixo/30*FL$4+(AO61+AO62+AO63+AQ61+AQ62+AQ63)*Percapita/30*FL$4+(AP64+AR64)*Cadeirante/30*FL$4,IF(AO64+AQ64&lt;=9,(AO64+AQ64)*Crechee/30*FL$4)+(AP64+AR64)*Cadeirante/30*FL$4+(AO61+AO62+AO63+AQ61+AQ62+AQ63)*Percapita/30*FL$4)+IF(AO64+AQ64&gt;=11,Fixo/30*FL$4+(AO64+AQ64-10)*Crechee/30*FL$4,0),IF(C61=2,IF(AP61+AP62+AP63+AP64+AR61+AR62+AR63+AR64=1,Cadeirante/30*FL$4,IF(AP61+AP62+AP63+AP64+AR61+AR62+AR63+AR64=2,Fixo/30*FL$4,IF(AP61+AP62+AP63+AP64+AR61+AR62+AR63+AR64&gt;2,Fixo/30*FL$4+(AP61+AP62+AP63+AP64+AR61+AR62+AR63+AR64-2)*Cadeirante/30*FL$4)))+(AO61+AO62+AO63+AQ61+AQ62+AQ63)*Percapita/30*FL$4+(AO64+AQ64)*Crechee/30*FL$4,IF(C61=1,IF(AO61+AO62+AO63+AP61+AP62+AP63+AQ61+AQ62+AQ63+AR61+AR62+AR63&lt;=15,(AO61+AO62+AO63+AQ61+AQ62+AQ63)*Percapita/30*FL$4,IF(AO61+AO62+AO63+AP61+AP62+AP63+AQ61+AQ62+AQ63+AR61+AR62+AR63&gt;=16,Fixo/30*FL$4+(AO61+AO62+AO63+AP61+AP62+AP63+AQ61+AQ62+AQ63+AR61+AR62-16)*Percapita/30*FL$4))))))</f>
        <v>0</v>
      </c>
      <c r="FM61" s="177">
        <f>IF(C61=4,SUM(AS61+AS62+AS63+AU61+AU62+AU63)*Percapita/30*FM$4+(AT61+AT62+AT63+AV61+AV62+AV63)*Cadeirante/30*FM$4,IF(C61=3,IF(AS64+AU64=10,Fixo/30*FM$4+(AS61+AS62+AS63+AU61+AU62+AU63)*Percapita/30*FM$4+(AT64+AV64)*Cadeirante/30*FM$4,IF(AS64+AU64&lt;=9,(AS64+AU64)*Crechee/30*FM$4)+(AT64+AV64)*Cadeirante/30*FM$4+(AS61+AS62+AS63+AU61+AU62+AU63)*Percapita/30*FM$4)+IF(AS64+AU64&gt;=11,Fixo/30*FM$4+(AS64+AU64-10)*Crechee/30*FM$4,0),IF(C61=2,IF(AT61+AT62+AT63+AT64+AV61+AV62+AV63+AV64=1,Cadeirante/30*FM$4,IF(AT61+AT62+AT63+AT64+AV61+AV62+AV63+AV64=2,Fixo/30*FM$4,IF(AT61+AT62+AT63+AT64+AV61+AV62+AV63+AV64&gt;2,Fixo/30*FM$4+(AT61+AT62+AT63+AT64+AV61+AV62+AV63+AV64-2)*Cadeirante/30*FM$4)))+(AS61+AS62+AS63+AU61+AU62+AU63)*Percapita/30*FM$4+(AS64+AU64)*Crechee/30*FM$4,IF(C61=1,IF(AS61+AS62+AS63+AT61+AT62+AT63+AU61+AU62+AU63+AV61+AV62+AV63&lt;=15,(AS61+AS62+AS63+AU61+AU62+AU63)*Percapita/30*FM$4,IF(AS61+AS62+AS63+AT61+AT62+AT63+AU61+AU62+AU63+AV61+AV62+AV63&gt;=16,Fixo/30*FM$4+(AS61+AS62+AS63+AT61+AT62+AT63+AU61+AU62+AU63+AV61+AV62-16)*Percapita/30*FM$4))))))</f>
        <v>0</v>
      </c>
      <c r="FN61" s="177">
        <f>IF(C61=4,SUM(AW61+AW62+AW63+AY61+AY62+AY63)*Percapita/30*FN$4+(AX61+AX62+AX63+AZ61+AZ62+AZ63)*Cadeirante/30*FN$4,IF(C61=3,IF(AW64+AY64=10,Fixo/30*FN$4+(AW61+AW62+AW63+AY61+AY62+AY63)*Percapita/30*FN$4+(AX64+AZ64)*Cadeirante/30*FN$4,IF(AW64+AY64&lt;=9,(AW64+AY64)*Crechee/30*FN$4)+(AX64+AZ64)*Cadeirante/30*FN$4+(AW61+AW62+AW63+AY61+AY62+AY63)*Percapita/30*FN$4)+IF(AW64+AY64&gt;=11,Fixo/30*FN$4+(AW64+AY64-10)*Crechee/30*FN$4,0),IF(C61=2,IF(AX61+AX62+AX63+AX64+AZ61+AZ62+AZ63+AZ64=1,Cadeirante/30*FN$4,IF(AX61+AX62+AX63+AX64+AZ61+AZ62+AZ63+AZ64=2,Fixo/30*FN$4,IF(AX61+AX62+AX63+AX64+AZ61+AZ62+AZ63+AZ64&gt;2,Fixo/30*FN$4+(AX61+AX62+AX63+AX64+AZ61+AZ62+AZ63+AZ64-2)*Cadeirante/30*FN$4)))+(AW61+AW62+AW63+AY61+AY62+AY63)*Percapita/30*FN$4+(AW64+AY64)*Crechee/30*FN$4,IF(C61=1,IF(AW61+AW62+AW63+AX61+AX62+AX63+AY61+AY62+AY63+AZ61+AZ62+AZ63&lt;=15,(AW61+AW62+AW63+AY61+AY62+AY63)*Percapita/30*FN$4,IF(AW61+AW62+AW63+AX61+AX62+AX63+AY61+AY62+AY63+AZ61+AZ62+AZ63&gt;=16,Fixo/30*FN$4+(AW61+AW62+AW63+AX61+AX62+AX63+AY61+AY62+AY63+AZ61+AZ62-16)*Percapita/30*FN$4))))))</f>
        <v>0</v>
      </c>
      <c r="FO61" s="177">
        <f>IF(C61=4,SUM(BA61+BA62+BA63+BC61+BC62+BC63)*Percapita/30*FO$4+(BB61+BB62+BB63+BD61+BD62+BD63)*Cadeirante/30*FO$4,IF(C61=3,IF(BA64+BC64=10,Fixo/30*FO$4+(BA61+BA62+BA63+BC61+BC62+BC63)*Percapita/30*FO$4+(BB64+BD64)*Cadeirante/30*FO$4,IF(BA64+BC64&lt;=9,(BA64+BC64)*Crechee/30*FO$4)+(BB64+BD64)*Cadeirante/30*FO$4+(BA61+BA62+BA63+BC61+BC62+BC63)*Percapita/30*FO$4)+IF(BA64+BC64&gt;=11,Fixo/30*FO$4+(BA64+BC64-10)*Crechee/30*FO$4,0),IF(C61=2,IF(BB61+BB62+BB63+BB64+BD61+BD62+BD63+BD64=1,Cadeirante/30*FO$4,IF(BB61+BB62+BB63+BB64+BD61+BD62+BD63+BD64=2,Fixo/30*FO$4,IF(BB61+BB62+BB63+BB64+BD61+BD62+BD63+BD64&gt;2,Fixo/30*FO$4+(BB61+BB62+BB63+BB64+BD61+BD62+BD63+BD64-2)*Cadeirante/30*FO$4)))+(BA61+BA62+BA63+BC61+BC62+BC63)*Percapita/30*FO$4+(BA64+BC64)*Crechee/30*FO$4,IF(C61=1,IF(BA61+BA62+BA63+BB61+BB62+BB63+BC61+BC62+BC63+BD61+BD62+BD63&lt;=15,(BA61+BA62+BA63+BC61+BC62+BC63)*Percapita/30*FO$4,IF(BA61+BA62+BA63+BB61+BB62+BB63+BC61+BC62+BC63+BD61+BD62+BD63&gt;=16,Fixo/30*FO$4+(BA61+BA62+BA63+BB61+BB62+BB63+BC61+BC62+BC63+BD61+BD62-16)*Percapita/30*FO$4))))))</f>
        <v>0</v>
      </c>
      <c r="FP61" s="177">
        <f>IF(C61=4,SUM(BE61+BE62+BE63+BG61+BG62+BG63)*Percapita/30*FP$4+(BF61+BF62+BF63+BH61+BH62+BH63)*Cadeirante/30*FP$4,IF(C61=3,IF(BE64+BG64=10,Fixo/30*FP$4+(BE61+BE62+BE63+BG61+BG62+BG63)*Percapita/30*FP$4+(BF64+BH64)*Cadeirante/30*FP$4,IF(BE64+BG64&lt;=9,(BE64+BG64)*Crechee/30*FP$4)+(BF64+BH64)*Cadeirante/30*FP$4+(BE61+BE62+BE63+BG61+BG62+BG63)*Percapita/30*FP$4)+IF(BE64+BG64&gt;=11,Fixo/30*FP$4+(BE64+BG64-10)*Crechee/30*FP$4,0),IF(C61=2,IF(BF61+BF62+BF63+BF64+BH61+BH62+BH63+BH64=1,Cadeirante/30*FP$4,IF(BF61+BF62+BF63+BF64+BH61+BH62+BH63+BH64=2,Fixo/30*FP$4,IF(BF61+BF62+BF63+BF64+BH61+BH62+BH63+BH64&gt;2,Fixo/30*FP$4+(BF61+BF62+BF63+BF64+BH61+BH62+BH63+BH64-2)*Cadeirante/30*FP$4)))+(BE61+BE62+BE63+BG61+BG62+BG63)*Percapita/30*FP$4+(BE64+BG64)*Crechee/30*FP$4,IF(C61=1,IF(BE61+BE62+BE63+BF61+BF62+BF63+BG61+BG62+BG63+BH61+BH62+BH63&lt;=15,(BE61+BE62+BE63+BG61+BG62+BG63)*Percapita/30*FP$4,IF(BE61+BE62+BE63+BF61+BF62+BF63+BG61+BG62+BG63+BH61+BH62+BH63&gt;=16,Fixo/30*FP$4+(BE61+BE62+BE63+BF61+BF62+BF63+BG61+BG62+BG63+BH61+BH62-16)*Percapita/30*FP$4))))))</f>
        <v>0</v>
      </c>
      <c r="FQ61" s="177">
        <f>IF(C61=4,SUM(BI61+BI62+BI63+BK61+BK62+BK63)*Percapita/30*FQ$4+(BJ61+BJ62+BJ63+BL61+BL62+BL63)*Cadeirante/30*FQ$4,IF(C61=3,IF(BI64+BK64=10,Fixo/30*FQ$4+(BI61+BI62+BI63+BK61+BK62+BK63)*Percapita/30*FQ$4+(BJ64+BL64)*Cadeirante/30*FQ$4,IF(BI64+BK64&lt;=9,(BI64+BK64)*Crechee/30*FQ$4)+(BJ64+BL64)*Cadeirante/30*FQ$4+(BI61+BI62+BI63+BK61+BK62+BK63)*Percapita/30*FQ$4)+IF(BI64+BK64&gt;=11,Fixo/30*FQ$4+(BI64+BK64-10)*Crechee/30*FQ$4,0),IF(C61=2,IF(BJ61+BJ62+BJ63+BJ64+BL61+BL62+BL63+BL64=1,Cadeirante/30*FQ$4,IF(BJ61+BJ62+BJ63+BJ64+BL61+BL62+BL63+BL64=2,Fixo/30*FQ$4,IF(BJ61+BJ62+BJ63+BJ64+BL61+BL62+BL63+BL64&gt;2,Fixo/30*FQ$4+(BJ61+BJ62+BJ63+BJ64+BL61+BL62+BL63+BL64-2)*Cadeirante/30*FQ$4)))+(BI61+BI62+BI63+BK61+BK62+BK63)*Percapita/30*FQ$4+(BI64+BK64)*Crechee/30*FQ$4,IF(C61=1,IF(BI61+BI62+BI63+BJ61+BJ62+BJ63+BK61+BK62+BK63+BL61+BL62+BL63&lt;=15,(BI61+BI62+BI63+BK61+BK62+BK63)*Percapita/30*FQ$4,IF(BI61+BI62+BI63+BJ61+BJ62+BJ63+BK61+BK62+BK63+BL61+BL62+BL63&gt;=16,Fixo/30*FQ$4+(BI61+BI62+BI63+BJ61+BJ62+BJ63+BK61+BK62+BK63+BL61+BL62-16)*Percapita/30*FQ$4))))))</f>
        <v>0</v>
      </c>
      <c r="FR61" s="177">
        <f>IF(C61=4,SUM(BM61+BM62+BM63+BO61+BO62+BO63)*Percapita/30*FR$4+(BN61+BN62+BN63+BP61+BP62+BP63)*Cadeirante/30*FR$4,IF(C61=3,IF(BM64+BO64=10,Fixo/30*FR$4+(BM61+BM62+BM63+BO61+BO62+BO63)*Percapita/30*FR$4+(BN64+BP64)*Cadeirante/30*FR$4,IF(BM64+BO64&lt;=9,(BM64+BO64)*Crechee/30*FR$4)+(BN64+BP64)*Cadeirante/30*FR$4+(BM61+BM62+BM63+BO61+BO62+BO63)*Percapita/30*FR$4)+IF(BM64+BO64&gt;=11,Fixo/30*FR$4+(BM64+BO64-10)*Crechee/30*FR$4,0),IF(C61=2,IF(BN61+BN62+BN63+BN64+BP61+BP62+BP63+BP64=1,Cadeirante/30*FR$4,IF(BN61+BN62+BN63+BN64+BP61+BP62+BP63+BP64=2,Fixo/30*FR$4,IF(BN61+BN62+BN63+BN64+BP61+BP62+BP63+BP64&gt;2,Fixo/30*FR$4+(BN61+BN62+BN63+BN64+BP61+BP62+BP63+BP64-2)*Cadeirante/30*FR$4)))+(BM61+BM62+BM63+BO61+BO62+BO63)*Percapita/30*FR$4+(BM64+BO64)*Crechee/30*FR$4,IF(C61=1,IF(BM61+BM62+BM63+BN61+BN62+BN63+BO61+BO62+BO63+BP61+BP62+BP63&lt;=15,(BM61+BM62+BM63+BO61+BO62+BO63)*Percapita/30*FR$4,IF(BM61+BM62+BM63+BN61+BN62+BN63+BO61+BO62+BO63+BP61+BP62+BP63&gt;=16,Fixo/30*FR$4+(BM61+BM62+BM63+BN61+BN62+BN63+BO61+BO62+BO63+BP61+BP62-16)*Percapita/30*FR$4))))))</f>
        <v>0</v>
      </c>
      <c r="FS61" s="177">
        <f>IF(C61=4,SUM(BQ61+BQ62+BQ63+BS61+BS62+BS63)*Percapita/30*FS$4+(BR61+BR62+BR63+BT61+BT62+BT63)*Cadeirante/30*FS$4,IF(C61=3,IF(BQ64+BS64=10,Fixo/30*FS$4+(BQ61+BQ62+BQ63+BS61+BS62+BS63)*Percapita/30*FS$4+(BR64+BT64)*Cadeirante/30*FS$4,IF(BQ64+BS64&lt;=9,(BQ64+BS64)*Crechee/30*FS$4)+(BR64+BT64)*Cadeirante/30*FS$4+(BQ61+BQ62+BQ63+BS61+BS62+BS63)*Percapita/30*FS$4)+IF(BQ64+BS64&gt;=11,Fixo/30*FS$4+(BQ64+BS64-10)*Crechee/30*FS$4,0),IF(C61=2,IF(BR61+BR62+BR63+BR64+BT61+BT62+BT63+BT64=1,Cadeirante/30*FS$4,IF(BR61+BR62+BR63+BR64+BT61+BT62+BT63+BT64=2,Fixo/30*FS$4,IF(BR61+BR62+BR63+BR64+BT61+BT62+BT63+BT64&gt;2,Fixo/30*FS$4+(BR61+BR62+BR63+BR64+BT61+BT62+BT63+BT64-2)*Cadeirante/30*FS$4)))+(BQ61+BQ62+BQ63+BS61+BS62+BS63)*Percapita/30*FS$4+(BQ64+BS64)*Crechee/30*FS$4,IF(C61=1,IF(BQ61+BQ62+BQ63+BR61+BR62+BR63+BS61+BS62+BS63+BT61+BT62+BT63&lt;=15,(BQ61+BQ62+BQ63+BS61+BS62+BS63)*Percapita/30*FS$4,IF(BQ61+BQ62+BQ63+BR61+BR62+BR63+BS61+BS62+BS63+BT61+BT62+BT63&gt;=16,Fixo/30*FS$4+(BQ61+BQ62+BQ63+BR61+BR62+BR63+BS61+BS62+BS63+BT61+BT62-16)*Percapita/30*FS$4))))))</f>
        <v>0</v>
      </c>
      <c r="FT61" s="177">
        <f>IF(C61=4,SUM(BU61+BU62+BU63+BW61+BW62+BW63)*Percapita/30*FT$4+(BV61+BV62+BV63+BX61+BX62+BX63)*Cadeirante/30*FT$4,IF(C61=3,IF(BU64+BW64=10,Fixo/30*FT$4+(BU61+BU62+BU63+BW61+BW62+BW63)*Percapita/30*FT$4+(BV64+BX64)*Cadeirante/30*FT$4,IF(BU64+BW64&lt;=9,(BU64+BW64)*Crechee/30*FT$4)+(BV64+BX64)*Cadeirante/30*FT$4+(BU61+BU62+BU63+BW61+BW62+BW63)*Percapita/30*FT$4)+IF(BU64+BW64&gt;=11,Fixo/30*FT$4+(BU64+BW64-10)*Crechee/30*FT$4,0),IF(C61=2,IF(BV61+BV62+BV63+BV64+BX61+BX62+BX63+BX64=1,Cadeirante/30*FT$4,IF(BV61+BV62+BV63+BV64+BX61+BX62+BX63+BX64=2,Fixo/30*FT$4,IF(BV61+BV62+BV63+BV64+BX61+BX62+BX63+BX64&gt;2,Fixo/30*FT$4+(BV61+BV62+BV63+BV64+BX61+BX62+BX63+BX64-2)*Cadeirante/30*FT$4)))+(BU61+BU62+BU63+BW61+BW62+BW63)*Percapita/30*FT$4+(BU64+BW64)*Crechee/30*FT$4,IF(C61=1,IF(BU61+BU62+BU63+BV61+BV62+BV63+BW61+BW62+BW63+BX61+BX62+BX63&lt;=15,(BU61+BU62+BU63+BW61+BW62+BW63)*Percapita/30*FT$4,IF(BU61+BU62+BU63+BV61+BV62+BV63+BW61+BW62+BW63+BX61+BX62+BX63&gt;=16,Fixo/30*FT$4+(BU61+BU62+BU63+BV61+BV62+BV63+BW61+BW62+BW63+BX61+BX62-16)*Percapita/30*FT$4))))))</f>
        <v>0</v>
      </c>
      <c r="FU61" s="177">
        <f>IF(C61=4,SUM(BY61+BY62+BY63+CA61+CA62+CA63)*Percapita/30*FU$4+(BZ61+BZ62+BZ63+CB61+CB62+CB63)*Cadeirante/30*FU$4,IF(C61=3,IF(BY64+CA64=10,Fixo/30*FU$4+(BY61+BY62+BY63+CA61+CA62+CA63)*Percapita/30*FU$4+(BZ64+CB64)*Cadeirante/30*FU$4,IF(BY64+CA64&lt;=9,(BY64+CA64)*Crechee/30*FU$4)+(BZ64+CB64)*Cadeirante/30*FU$4+(BY61+BY62+BY63+CA61+CA62+CA63)*Percapita/30*FU$4)+IF(BY64+CA64&gt;=11,Fixo/30*FU$4+(BY64+CA64-10)*Crechee/30*FU$4,0),IF(C61=2,IF(BZ61+BZ62+BZ63+BZ64+CB61+CB62+CB63+CB64=1,Cadeirante/30*FU$4,IF(BZ61+BZ62+BZ63+BZ64+CB61+CB62+CB63+CB64=2,Fixo/30*FU$4,IF(BZ61+BZ62+BZ63+BZ64+CB61+CB62+CB63+CB64&gt;2,Fixo/30*FU$4+(BZ61+BZ62+BZ63+BZ64+CB61+CB62+CB63+CB64-2)*Cadeirante/30*FU$4)))+(BY61+BY62+BY63+CA61+CA62+CA63)*Percapita/30*FU$4+(BY64+CA64)*Crechee/30*FU$4,IF(C61=1,IF(BY61+BY62+BY63+BZ61+BZ62+BZ63+CA61+CA62+CA63+CB61+CB62+CB63&lt;=15,(BY61+BY62+BY63+CA61+CA62+CA63)*Percapita/30*FU$4,IF(BY61+BY62+BY63+BZ61+BZ62+BZ63+CA61+CA62+CA63+CB61+CB62+CB63&gt;=16,Fixo/30*FU$4+(BY61+BY62+BY63+BZ61+BZ62+BZ63+CA61+CA62+CA63+CB61+CB62-16)*Percapita/30*FU$4))))))</f>
        <v>0</v>
      </c>
      <c r="FV61" s="177">
        <f>IF(C61=4,SUM(CC61+CC62+CC63+CE61+CE62+CE63)*Percapita/30*FV$4+(CD61+CD62+CD63+CF61+CF62+CF63)*Cadeirante/30*FV$4,IF(C61=3,IF(CC64+CE64=10,Fixo/30*FV$4+(CC61+CC62+CC63+CE61+CE62+CE63)*Percapita/30*FV$4+(CD64+CF64)*Cadeirante/30*FV$4,IF(CC64+CE64&lt;=9,(CC64+CE64)*Crechee/30*FV$4)+(CD64+CF64)*Cadeirante/30*FV$4+(CC61+CC62+CC63+CE61+CE62+CE63)*Percapita/30*FV$4)+IF(CC64+CE64&gt;=11,Fixo/30*FV$4+(CC64+CE64-10)*Crechee/30*FV$4,0),IF(C61=2,IF(CD61+CD62+CD63+CD64+CF61+CF62+CF63+CF64=1,Cadeirante/30*FV$4,IF(CD61+CD62+CD63+CD64+CF61+CF62+CF63+CF64=2,Fixo/30*FV$4,IF(CD61+CD62+CD63+CD64+CF61+CF62+CF63+CF64&gt;2,Fixo/30*FV$4+(CD61+CD62+CD63+CD64+CF61+CF62+CF63+CF64-2)*Cadeirante/30*FV$4)))+(CC61+CC62+CC63+CE61+CE62+CE63)*Percapita/30*FV$4+(CC64+CE64)*Crechee/30*FV$4,IF(C61=1,IF(CC61+CC62+CC63+CD61+CD62+CD63+CE61+CE62+CE63+CF61+CF62+CF63&lt;=15,(CC61+CC62+CC63+CE61+CE62+CE63)*Percapita/30*FV$4,IF(CC61+CC62+CC63+CD61+CD62+CD63+CE61+CE62+CE63+CF61+CF62+CF63&gt;=16,Fixo/30*FV$4+(CC61+CC62+CC63+CD61+CD62+CD63+CE61+CE62+CE63+CF61+CF62-16)*Percapita/30*FV$4))))))</f>
        <v>0</v>
      </c>
      <c r="FW61" s="177">
        <f>IF(C61=4,SUM(CG61+CG62+CG63+CI61+CI62+CI63)*Percapita/30*FW$4+(CH61+CH62+CH63+CJ61+CJ62+CJ63)*Cadeirante/30*FW$4,IF(C61=3,IF(CG64+CI64=10,Fixo/30*FW$4+(CG61+CG62+CG63+CI61+CI62+CI63)*Percapita/30*FW$4+(CH64+CJ64)*Cadeirante/30*FW$4,IF(CG64+CI64&lt;=9,(CG64+CI64)*Crechee/30*FW$4)+(CH64+CJ64)*Cadeirante/30*FW$4+(CG61+CG62+CG63+CI61+CI62+CI63)*Percapita/30*FW$4)+IF(CG64+CI64&gt;=11,Fixo/30*FW$4+(CG64+CI64-10)*Crechee/30*FW$4,0),IF(C61=2,IF(CH61+CH62+CH63+CH64+CJ61+CJ62+CJ63+CJ64=1,Cadeirante/30*FW$4,IF(CH61+CH62+CH63+CH64+CJ61+CJ62+CJ63+CJ64=2,Fixo/30*FW$4,IF(CH61+CH62+CH63+CH64+CJ61+CJ62+CJ63+CJ64&gt;2,Fixo/30*FW$4+(CH61+CH62+CH63+CH64+CJ61+CJ62+CJ63+CJ64-2)*Cadeirante/30*FW$4)))+(CG61+CG62+CG63+CI61+CI62+CI63)*Percapita/30*FW$4+(CG64+CI64)*Crechee/30*FW$4,IF(C61=1,IF(CG61+CG62+CG63+CH61+CH62+CH63+CI61+CI62+CI63+CJ61+CJ62+CJ63&lt;=15,(CG61+CG62+CG63+CI61+CI62+CI63)*Percapita/30*FW$4,IF(CG61+CG62+CG63+CH61+CH62+CH63+CI61+CI62+CI63+CJ61+CJ62+CJ63&gt;=16,Fixo/30*FW$4+(CG61+CG62+CG63+CH61+CH62+CH63+CI61+CI62+CI63+CJ61+CJ62-16)*Percapita/30*FW$4))))))</f>
        <v>0</v>
      </c>
      <c r="FX61" s="177">
        <f>IF(C61=4,SUM(CK61+CK62+CK63+CM61+CM62+CM63)*Percapita/30*FX$4+(CL61+CL62+CL63+CN61+CN62+CN63)*Cadeirante/30*FX$4,IF(C61=3,IF(CK64+CM64=10,Fixo/30*FX$4+(CK61+CK62+CK63+CM61+CM62+CM63)*Percapita/30*FX$4+(CL64+CN64)*Cadeirante/30*FX$4,IF(CK64+CM64&lt;=9,(CK64+CM64)*Crechee/30*FX$4)+(CL64+CN64)*Cadeirante/30*FX$4+(CK61+CK62+CK63+CM61+CM62+CM63)*Percapita/30*FX$4)+IF(CK64+CM64&gt;=11,Fixo/30*FX$4+(CK64+CM64-10)*Crechee/30*FX$4,0),IF(C61=2,IF(CL61+CL62+CL63+CL64+CN61+CN62+CN63+CN64=1,Cadeirante/30*FX$4,IF(CL61+CL62+CL63+CL64+CN61+CN62+CN63+CN64=2,Fixo/30*FX$4,IF(CL61+CL62+CL63+CL64+CN61+CN62+CN63+CN64&gt;2,Fixo/30*FX$4+(CL61+CL62+CL63+CL64+CN61+CN62+CN63+CN64-2)*Cadeirante/30*FX$4)))+(CK61+CK62+CK63+CM61+CM62+CM63)*Percapita/30*FX$4+(CK64+CM64)*Crechee/30*FX$4,IF(C61=1,IF(CK61+CK62+CK63+CL61+CL62+CL63+CM61+CM62+CM63+CN61+CN62+CN63&lt;=15,(CK61+CK62+CK63+CM61+CM62+CM63)*Percapita/30*FX$4,IF(CK61+CK62+CK63+CL61+CL62+CL63+CM61+CM62+CM63+CN61+CN62+CN63&gt;=16,Fixo/30*FX$4+(CK61+CK62+CK63+CL61+CL62+CL63+CM61+CM62+CM63+CN61+CN62-16)*Percapita/30*FX$4))))))</f>
        <v>0</v>
      </c>
      <c r="FY61" s="177">
        <f>IF(C61=4,SUM(CO61+CO62+CO63+CQ61+CQ62+CQ63)*Percapita/30*FY$4+(CP61+CP62+CP63+CR61+CR62+CR63)*Cadeirante/30*FY$4,IF(C61=3,IF(CO64+CQ64=10,Fixo/30*FY$4+(CO61+CO62+CO63+CQ61+CQ62+CQ63)*Percapita/30*FY$4+(CP64+CR64)*Cadeirante/30*FY$4,IF(CO64+CQ64&lt;=9,(CO64+CQ64)*Crechee/30*FY$4)+(CP64+CR64)*Cadeirante/30*FY$4+(CO61+CO62+CO63+CQ61+CQ62+CQ63)*Percapita/30*FY$4)+IF(CO64+CQ64&gt;=11,Fixo/30*FY$4+(CO64+CQ64-10)*Crechee/30*FY$4,0),IF(C61=2,IF(CP61+CP62+CP63+CP64+CR61+CR62+CR63+CR64=1,Cadeirante/30*FY$4,IF(CP61+CP62+CP63+CP64+CR61+CR62+CR63+CR64=2,Fixo/30*FY$4,IF(CP61+CP62+CP63+CP64+CR61+CR62+CR63+CR64&gt;2,Fixo/30*FY$4+(CP61+CP62+CP63+CP64+CR61+CR62+CR63+CR64-2)*Cadeirante/30*FY$4)))+(CO61+CO62+CO63+CQ61+CQ62+CQ63)*Percapita/30*FY$4+(CO64+CQ64)*Crechee/30*FY$4,IF(C61=1,IF(CO61+CO62+CO63+CP61+CP62+CP63+CQ61+CQ62+CQ63+CR61+CR62+CR63&lt;=15,(CO61+CO62+CO63+CQ61+CQ62+CQ63)*Percapita/30*FY$4,IF(CO61+CO62+CO63+CP61+CP62+CP63+CQ61+CQ62+CQ63+CR61+CR62+CR63&gt;=16,Fixo/30*FY$4+(CO61+CO62+CO63+CP61+CP62+CP63+CQ61+CQ62+CQ63+CR61+CR62-16)*Percapita/30*FY$4))))))</f>
        <v>0</v>
      </c>
      <c r="FZ61" s="177">
        <f>IF(C61=4,SUM(CS61+CS62+CS63+CU61+CU62+CU63)*Percapita/30*FZ$4+(CT61+CT62+CT63+CV61+CV62+CV63)*Cadeirante/30*FZ$4,IF(C61=3,IF(CS64+CU64=10,Fixo/30*FZ$4+(CS61+CS62+CS63+CU61+CU62+CU63)*Percapita/30*FZ$4+(CT64+CV64)*Cadeirante/30*FZ$4,IF(CS64+CU64&lt;=9,(CS64+CU64)*Crechee/30*FZ$4)+(CT64+CV64)*Cadeirante/30*FZ$4+(CS61+CS62+CS63+CU61+CU62+CU63)*Percapita/30*FZ$4)+IF(CS64+CU64&gt;=11,Fixo/30*FZ$4+(CS64+CU64-10)*Crechee/30*FZ$4,0),IF(C61=2,IF(CT61+CT62+CT63+CT64+CV61+CV62+CV63+CV64=1,Cadeirante/30*FZ$4,IF(CT61+CT62+CT63+CT64+CV61+CV62+CV63+CV64=2,Fixo/30*FZ$4,IF(CT61+CT62+CT63+CT64+CV61+CV62+CV63+CV64&gt;2,Fixo/30*FZ$4+(CT61+CT62+CT63+CT64+CV61+CV62+CV63+CV64-2)*Cadeirante/30*FZ$4)))+(CS61+CS62+CS63+CU61+CU62+CU63)*Percapita/30*FZ$4+(CS64+CU64)*Crechee/30*FZ$4,IF(C61=1,IF(CS61+CS62+CS63+CT61+CT62+CT63+CU61+CU62+CU63+CV61+CV62+CV63&lt;=15,(CS61+CS62+CS63+CU61+CU62+CU63)*Percapita/30*FZ$4,IF(CS61+CS62+CS63+CT61+CT62+CT63+CU61+CU62+CU63+CV61+CV62+CV63&gt;=16,Fixo/30*FZ$4+(CS61+CS62+CS63+CT61+CT62+CT63+CU61+CU62+CU63+CV61+CV62-16)*Percapita/30*FZ$4))))))</f>
        <v>0</v>
      </c>
      <c r="GA61" s="177">
        <f>IF(C61=4,SUM(CW61+CW62+CW63+CY61+CY62+CY63)*Percapita/30*GA$4+(CX61+CX62+CX63+CZ61+CZ62+CZ63)*Cadeirante/30*GA$4,IF(C61=3,IF(CW64+CY64=10,Fixo/30*GA$4+(CW61+CW62+CW63+CY61+CY62+CY63)*Percapita/30*GA$4+(CX64+CZ64)*Cadeirante/30*GA$4,IF(CW64+CY64&lt;=9,(CW64+CY64)*Crechee/30*GA$4)+(CX64+CZ64)*Cadeirante/30*GA$4+(CW61+CW62+CW63+CY61+CY62+CY63)*Percapita/30*GA$4)+IF(CW64+CY64&gt;=11,Fixo/30*GA$4+(CW64+CY64-10)*Crechee/30*GA$4,0),IF(C61=2,IF(CX61+CX62+CX63+CX64+CZ61+CZ62+CZ63+CZ64=1,Cadeirante/30*GA$4,IF(CX61+CX62+CX63+CX64+CZ61+CZ62+CZ63+CZ64=2,Fixo/30*GA$4,IF(CX61+CX62+CX63+CX64+CZ61+CZ62+CZ63+CZ64&gt;2,Fixo/30*GA$4+(CX61+CX62+CX63+CX64+CZ61+CZ62+CZ63+CZ64-2)*Cadeirante/30*GA$4)))+(CW61+CW62+CW63+CY61+CY62+CY63)*Percapita/30*GA$4+(CW64+CY64)*Crechee/30*GA$4,IF(C61=1,IF(CW61+CW62+CW63+CX61+CX62+CX63+CY61+CY62+CY63+CZ61+CZ62+CZ63&lt;=15,(CW61+CW62+CW63+CY61+CY62+CY63)*Percapita/30*GA$4,IF(CW61+CW62+CW63+CX61+CX62+CX63+CY61+CY62+CY63+CZ61+CZ62+CZ63&gt;=16,Fixo/30*GA$4+(CW61+CW62+CW63+CX61+CX62+CX63+CY61+CY62+CY63+CZ61+CZ62-16)*Percapita/30*GA$4))))))</f>
        <v>0</v>
      </c>
      <c r="GB61" s="177">
        <f>IF(C61=4,SUM(DA61+DA62+DA63+DC61+DC62+DC63)*Percapita/30*GB$4+(DB61+DB62+DB63+DD61+DD62+DD63)*Cadeirante/30*GB$4,IF(C61=3,IF(DA64+DC64=10,Fixo/30*GB$4+(DA61+DA62+DA63+DC61+DC62+DC63)*Percapita/30*GB$4+(DB64+DD64)*Cadeirante/30*GB$4,IF(DA64+DC64&lt;=9,(DA64+DC64)*Crechee/30*GB$4)+(DB64+DD64)*Cadeirante/30*GB$4+(DA61+DA62+DA63+DC61+DC62+DC63)*Percapita/30*GB$4)+IF(DA64+DC64&gt;=11,Fixo/30*GB$4+(DA64+DC64-10)*Crechee/30*GB$4,0),IF(C61=2,IF(DB61+DB62+DB63+DB64+DD61+DD62+DD63+DD64=1,Cadeirante/30*GB$4,IF(DB61+DB62+DB63+DB64+DD61+DD62+DD63+DD64=2,Fixo/30*GB$4,IF(DB61+DB62+DB63+DB64+DD61+DD62+DD63+DD64&gt;2,Fixo/30*GB$4+(DB61+DB62+DB63+DB64+DD61+DD62+DD63+DD64-2)*Cadeirante/30*GB$4)))+(DA61+DA62+DA63+DC61+DC62+DC63)*Percapita/30*GB$4+(DA64+DC64)*Crechee/30*GB$4,IF(C61=1,IF(DA61+DA62+DA63+DB61+DB62+DB63+DC61+DC62+DC63+DD61+DD62+DD63&lt;=15,(DA61+DA62+DA63+DC61+DC62+DC63)*Percapita/30*GB$4,IF(DA61+DA62+DA63+DB61+DB62+DB63+DC61+DC62+DC63+DD61+DD62+DD63&gt;=16,Fixo/30*GB$4+(DA61+DA62+DA63+DB61+DB62+DB63+DC61+DC62+DC63+DD61+DD62-16)*Percapita/30*GB$4))))))</f>
        <v>0</v>
      </c>
      <c r="GC61" s="177">
        <f>IF(C61=4,SUM(DE61+DE62+DE63+DG61+DG62+DG63)*Percapita/30*GC$4+(DF61+DF62+DF63+DH61+DH62+DH63)*Cadeirante/30*GC$4,IF(C61=3,IF(DE64+DG64=10,Fixo/30*GC$4+(DE61+DE62+DE63+DG61+DG62+DG63)*Percapita/30*GC$4+(DF64+DH64)*Cadeirante/30*GC$4,IF(DE64+DG64&lt;=9,(DE64+DG64)*Crechee/30*GC$4)+(DF64+DH64)*Cadeirante/30*GC$4+(DE61+DE62+DE63+DG61+DG62+DG63)*Percapita/30*GC$4)+IF(DE64+DG64&gt;=11,Fixo/30*GC$4+(DE64+DG64-10)*Crechee/30*GC$4,0),IF(C61=2,IF(DF61+DF62+DF63+DF64+DH61+DH62+DH63+DH64=1,Cadeirante/30*GC$4,IF(DF61+DF62+DF63+DF64+DH61+DH62+DH63+DH64=2,Fixo/30*GC$4,IF(DF61+DF62+DF63+DF64+DH61+DH62+DH63+DH64&gt;2,Fixo/30*GC$4+(DF61+DF62+DF63+DF64+DH61+DH62+DH63+DH64-2)*Cadeirante/30*GC$4)))+(DE61+DE62+DE63+DG61+DG62+DG63)*Percapita/30*GC$4+(DE64+DG64)*Crechee/30*GC$4,IF(C61=1,IF(DE61+DE62+DE63+DF61+DF62+DF63+DG61+DG62+DG63+DH61+DH62+DH63&lt;=15,(DE61+DE62+DE63+DG61+DG62+DG63)*Percapita/30*GC$4,IF(DE61+DE62+DE63+DF61+DF62+DF63+DG61+DG62+DG63+DH61+DH62+DH63&gt;=16,Fixo/30*GC$4+(DE61+DE62+DE63+DF61+DF62+DF63+DG61+DG62+DG63+DH61+DH62-16)*Percapita/30*GC$4))))))</f>
        <v>0</v>
      </c>
      <c r="GD61" s="177">
        <f>IF(C61=4,SUM(DI61+DI62+DI63+DK61+DK62+DK63)*Percapita/30*GD$4+(DJ61+DJ62+DJ63+DL61+DL62+DL63)*Cadeirante/30*GD$4,IF(C61=3,IF(DI64+DK64=10,Fixo/30*GD$4+(DI61+DI62+DI63+DK61+DK62+DK63)*Percapita/30*GD$4+(DJ64+DL64)*Cadeirante/30*GD$4,IF(DI64+DK64&lt;=9,(DI64+DK64)*Crechee/30*GD$4)+(DJ64+DL64)*Cadeirante/30*GD$4+(DI61+DI62+DI63+DK61+DK62+DK63)*Percapita/30*GD$4)+IF(DI64+DK64&gt;=11,Fixo/30*GD$4+(DI64+DK64-10)*Crechee/30*GD$4,0),IF(C61=2,IF(DJ61+DJ62+DJ63+DJ64+DL61+DL62+DL63+DL64=1,Cadeirante/30*GD$4,IF(DJ61+DJ62+DJ63+DJ64+DL61+DL62+DL63+DL64=2,Fixo/30*GD$4,IF(DJ61+DJ62+DJ63+DJ64+DL61+DL62+DL63+DL64&gt;2,Fixo/30*GD$4+(DJ61+DJ62+DJ63+DJ64+DL61+DL62+DL63+DL64-2)*Cadeirante/30*GD$4)))+(DI61+DI62+DI63+DK61+DK62+DK63)*Percapita/30*GD$4+(DI64+DK64)*Crechee/30*GD$4,IF(C61=1,IF(DI61+DI62+DI63+DJ61+DJ62+DJ63+DK61+DK62+DK63+DL61+DL62+DL63&lt;=15,(DI61+DI62+DI63+DK61+DK62+DK63)*Percapita/30*GD$4,IF(DI61+DI62+DI63+DJ61+DJ62+DJ63+DK61+DK62+DK63+DL61+DL62+DL63&gt;=16,Fixo/30*GD$4+(DI61+DI62+DI63+DJ61+DJ62+DJ63+DK61+DK62+DK63+DL61+DL62-16)*Percapita/30*GD$4))))))</f>
        <v>0</v>
      </c>
      <c r="GE61" s="177">
        <f>IF(C61=4,SUM(DM61+DM62+DM63+DO61+DO62+DO63)*Percapita/30*GE$4+(DN61+DN62+DN63+DP61+DP62+DP63)*Cadeirante/30*GE$4,IF(C61=3,IF(DM64+DO64=10,Fixo/30*GE$4+(DM61+DM62+DM63+DO61+DO62+DO63)*Percapita/30*GE$4+(DN64+DP64)*Cadeirante/30*GE$4,IF(DM64+DO64&lt;=9,(DM64+DO64)*Crechee/30*GE$4)+(DN64+DP64)*Cadeirante/30*GE$4+(DM61+DM62+DM63+DO61+DO62+DO63)*Percapita/30*GE$4)+IF(DM64+DO64&gt;=11,Fixo/30*GE$4+(DM64+DO64-10)*Crechee/30*GE$4,0),IF(C61=2,IF(DN61+DN62+DN63+DN64+DP61+DP62+DP63+DP64=1,Cadeirante/30*GE$4,IF(DN61+DN62+DN63+DN64+DP61+DP62+DP63+DP64=2,Fixo/30*GE$4,IF(DN61+DN62+DN63+DN64+DP61+DP62+DP63+DP64&gt;2,Fixo/30*GE$4+(DN61+DN62+DN63+DN64+DP61+DP62+DP63+DP64-2)*Cadeirante/30*GE$4)))+(DM61+DM62+DM63+DO61+DO62+DO63)*Percapita/30*GE$4+(DM64+DO64)*Crechee/30*GE$4,IF(C61=1,IF(DM61+DM62+DM63+DN61+DN62+DN63+DO61+DO62+DO63+DP61+DP62+DP63&lt;=15,(DM61+DM62+DM63+DO61+DO62+DO63)*Percapita/30*GE$4,IF(DM61+DM62+DM63+DN61+DN62+DN63+DO61+DO62+DO63+DP61+DP62+DP63&gt;=16,Fixo/30*GE$4+(DM61+DM62+DM63+DN61+DN62+DN63+DO61+DO62+DO63+DP61+DP62-16)*Percapita/30*GE$4))))))</f>
        <v>0</v>
      </c>
      <c r="GF61" s="177">
        <f>IF(C61=4,SUM(DQ61+DQ62+DQ63+DS61+DS62+DS63)*Percapita/30*GF$4+(DR61+DR62+DR63+DT61+DT62+DT63)*Cadeirante/30*GF$4,IF(C61=3,IF(DQ64+DS64=10,Fixo/30*GF$4+(DQ61+DQ62+DQ63+DS61+DS62+DS63)*Percapita/30*GF$4+(DR64+DT64)*Cadeirante/30*GF$4,IF(DQ64+DS64&lt;=9,(DQ64+DS64)*Crechee/30*GF$4)+(DR64+DT64)*Cadeirante/30*GF$4+(DQ61+DQ62+DQ63+DS61+DS62+DS63)*Percapita/30*GF$4)+IF(DQ64+DS64&gt;=11,Fixo/30*GF$4+(DQ64+DS64-10)*Crechee/30*GF$4,0),IF(C61=2,IF(DR61+DR62+DR63+DR64+DT61+DT62+DT63+DT64=1,Cadeirante/30*GF$4,IF(DR61+DR62+DR63+DR64+DT61+DT62+DT63+DT64=2,Fixo/30*GF$4,IF(DR61+DR62+DR63+DR64+DT61+DT62+DT63+DT64&gt;2,Fixo/30*GF$4+(DR61+DR62+DR63+DR64+DT61+DT62+DT63+DT64-2)*Cadeirante/30*GF$4)))+(DQ61+DQ62+DQ63+DS61+DS62+DS63)*Percapita/30*GF$4+(DQ64+DS64)*Crechee/30*GF$4,IF(C61=1,IF(DQ61+DQ62+DQ63+DR61+DR62+DR63+DS61+DS62+DS63+DT61+DT62+DT63&lt;=15,(DQ61+DQ62+DQ63+DS61+DS62+DS63)*Percapita/30*GF$4,IF(DQ61+DQ62+DQ63+DR61+DR62+DR63+DS61+DS62+DS63+DT61+DT62+DT63&gt;=16,Fixo/30*GF$4+(DQ61+DQ62+DQ63+DR61+DR62+DR63+DS61+DS62+DS63+DT61+DT62-16)*Percapita/30*GF$4))))))</f>
        <v>0</v>
      </c>
      <c r="GG61" s="177">
        <f>IF(C61=4,SUM(DU61+DU62+DU63+DW61+DW62+DW63)*Percapita/30*GG$4+(DV61+DV62+DV63+DX61+DX62+DX63)*Cadeirante/30*GG$4,IF(C61=3,IF(DU64+DW64=10,Fixo/30*GG$4+(DU61+DU62+DU63+DW61+DW62+DW63)*Percapita/30*GG$4+(DV64+DX64)*Cadeirante/30*GG$4,IF(DU64+DW64&lt;=9,(DU64+DW64)*Crechee/30*GG$4)+(DV64+DX64)*Cadeirante/30*GG$4+(DU61+DU62+DU63+DW61+DW62+DW63)*Percapita/30*GG$4)+IF(DU64+DW64&gt;=11,Fixo/30*GG$4+(DU64+DW64-10)*Crechee/30*GG$4,0),IF(C61=2,IF(DV61+DV62+DV63+DV64+DX61+DX62+DX63+DX64=1,Cadeirante/30*GG$4,IF(DV61+DV62+DV63+DV64+DX61+DX62+DX63+DX64=2,Fixo/30*GG$4,IF(DV61+DV62+DV63+DV64+DX61+DX62+DX63+DX64&gt;2,Fixo/30*GG$4+(DV61+DV62+DV63+DV64+DX61+DX62+DX63+DX64-2)*Cadeirante/30*GG$4)))+(DU61+DU62+DU63+DW61+DW62+DW63)*Percapita/30*GG$4+(DU64+DW64)*Crechee/30*GG$4,IF(C61=1,IF(DU61+DU62+DU63+DV61+DV62+DV63+DW61+DW62+DW63+DX61+DX62+DX63&lt;=15,(DU61+DU62+DU63+DW61+DW62+DW63)*Percapita/30*GG$4,IF(DU61+DU62+DU63+DV61+DV62+DV63+DW61+DW62+DW63+DX61+DX62+DX63&gt;=16,Fixo/30*GG$4+(DU61+DU62+DU63+DV61+DV62+DV63+DW61+DW62+DW63+DX61+DX62-16)*Percapita/30*GG$4))))))</f>
        <v>0</v>
      </c>
      <c r="GH61" s="177">
        <f>IF(C61=4,SUM(DY61+DY62+DY63+EA61+EA62+EA63)*Percapita/30*GH$4+(DZ61+DZ62+DZ63+EB61+EB62+EB63)*Cadeirante/30*GH$4,IF(C61=3,IF(DY64+EA64=10,Fixo/30*GH$4+(DY61+DY62+DY63+EA61+EA62+EA63)*Percapita/30*GH$4+(DZ64+EB64)*Cadeirante/30*GH$4,IF(DY64+EA64&lt;=9,(DY64+EA64)*Crechee/30*GH$4)+(DZ64+EB64)*Cadeirante/30*GH$4+(DY61+DY62+DY63+EA61+EA62+EA63)*Percapita/30*GH$4)+IF(DY64+EA64&gt;=11,Fixo/30*GH$4+(DY64+EA64-10)*Crechee/30*GH$4,0),IF(C61=2,IF(DZ61+DZ62+DZ63+DZ64+EB61+EB62+EB63+EB64=1,Cadeirante/30*GH$4,IF(DZ61+DZ62+DZ63+DZ64+EB61+EB62+EB63+EB64=2,Fixo/30*GH$4,IF(DZ61+DZ62+DZ63+DZ64+EB61+EB62+EB63+EB64&gt;2,Fixo/30*GH$4+(DZ61+DZ62+DZ63+DZ64+EB61+EB62+EB63+EB64-2)*Cadeirante/30*GH$4)))+(DY61+DY62+DY63+EA61+EA62+EA63)*Percapita/30*GH$4+(DY64+EA64)*Crechee/30*GH$4,IF(C61=1,IF(DY61+DY62+DY63+DZ61+DZ62+DZ63+EA61+EA62+EA63+EB61+EB62+EB63&lt;=15,(DY61+DY62+DY63+EA61+EA62+EA63)*Percapita/30*GH$4,IF(DY61+DY62+DY63+DZ61+DZ62+DZ63+EA61+EA62+EA63+EB61+EB62+EB63&gt;=16,Fixo/30*GH$4+(DY61+DY62+DY63+DZ61+DZ62+DZ63+EA61+EA62+EA63+EB61+EB62-16)*Percapita/30*GH$4))))))</f>
        <v>0</v>
      </c>
      <c r="GI61" s="177">
        <f>IF(C61=4,SUM(EC61+EC62+EC63+EE61+EE62+EE63)*Percapita/30*GI$4+(ED61+ED62+ED63+EF61+EF62+EF63)*Cadeirante/30*GI$4,IF(C61=3,IF(EC64+EE64=10,Fixo/30*GI$4+(EC61+EC62+EC63+EE61+EE62+EE63)*Percapita/30*GI$4+(ED64+EF64)*Cadeirante/30*GI$4,IF(EC64+EE64&lt;=9,(EC64+EE64)*Crechee/30*GI$4)+(ED64+EF64)*Cadeirante/30*GI$4+(EC61+EC62+EC63+EE61+EE62+EE63)*Percapita/30*GI$4)+IF(EC64+EE64&gt;=11,Fixo/30*GI$4+(EC64+EE64-10)*Crechee/30*GI$4,0),IF(C61=2,IF(ED61+ED62+ED63+ED64+EF61+EF62+EF63+EF64=1,Cadeirante/30*GI$4,IF(ED61+ED62+ED63+ED64+EF61+EF62+EF63+EF64=2,Fixo/30*GI$4,IF(ED61+ED62+ED63+ED64+EF61+EF62+EF63+EF64&gt;2,Fixo/30*GI$4+(ED61+ED62+ED63+ED64+EF61+EF62+EF63+EF64-2)*Cadeirante/30*GI$4)))+(EC61+EC62+EC63+EE61+EE62+EE63)*Percapita/30*GI$4+(EC64+EE64)*Crechee/30*GI$4,IF(C61=1,IF(EC61+EC62+EC63+ED61+ED62+ED63+EE61+EE62+EE63+EF61+EF62+EF63&lt;=15,(EC61+EC62+EC63+EE61+EE62+EE63)*Percapita/30*GI$4,IF(EC61+EC62+EC63+ED61+ED62+ED63+EE61+EE62+EE63+EF61+EF62+EF63&gt;=16,Fixo/30*GI$4+(EC61+EC62+EC63+ED61+ED62+ED63+EE61+EE62+EE63+EF61+EF62-16)*Percapita/30*GI$4))))))</f>
        <v>0</v>
      </c>
      <c r="GJ61" s="177">
        <f>IF(C61=4,SUM(EG61+EG62+EG63+EI61+EI62+EI63)*Percapita/30*GJ$4+(EH61+EH62+EH63+EJ61+EJ62+EJ63)*Cadeirante/30*GJ$4,IF(C61=3,IF(EG64+EI64=10,Fixo/30*GJ$4+(EG61+EG62+EG63+EI61+EI62+EI63)*Percapita/30*GJ$4+(EH64+EJ64)*Cadeirante/30*GJ$4,IF(EG64+EI64&lt;=9,(EG64+EI64)*Crechee/30*GJ$4)+(EH64+EJ64)*Cadeirante/30*GJ$4+(EG61+EG62+EG63+EI61+EI62+EI63)*Percapita/30*GJ$4)+IF(EG64+EI64&gt;=11,Fixo/30*GJ$4+(EG64+EI64-10)*Crechee/30*GJ$4,0),IF(C61=2,IF(EH61+EH62+EH63+EH64+EJ61+EJ62+EJ63+EJ64=1,Cadeirante/30*GJ$4,IF(EH61+EH62+EH63+EH64+EJ61+EJ62+EJ63+EJ64=2,Fixo/30*GJ$4,IF(EH61+EH62+EH63+EH64+EJ61+EJ62+EJ63+EJ64&gt;2,Fixo/30*GJ$4+(EH61+EH62+EH63+EH64+EJ61+EJ62+EJ63+EJ64-2)*Cadeirante/30*GJ$4)))+(EG61+EG62+EG63+EI61+EI62+EI63)*Percapita/30*GJ$4+(EG64+EI64)*Crechee/30*GJ$4,IF(C61=1,IF(EG61+EG62+EG63+EH61+EH62+EH63+EI61+EI62+EI63+EJ61+EJ62+EJ63&lt;=15,(EG61+EG62+EG63+EI61+EI62+EI63)*Percapita/30*GJ$4,IF(EG61+EG62+EG63+EH61+EH62+EH63+EI61+EI62+EI63+EJ61+EJ62+EJ63&gt;=16,Fixo/30*GJ$4+(EG61+EG62+EG63+EH61+EH62+EH63+EI61+EI62+EI63+EJ61+EJ62-16)*Percapita/30*GJ$4))))))</f>
        <v>0</v>
      </c>
      <c r="GK61" s="178"/>
      <c r="GL61" s="103">
        <f t="shared" si="30"/>
        <v>0</v>
      </c>
      <c r="GM61" s="124"/>
      <c r="GN61" s="104">
        <f>SUMIF(V61:V64,"&lt;0")*Cadeirante/30*GN$4+SUMIF(X61:X64,"&lt;0")*Cadeirante/30*GN$4</f>
        <v>0</v>
      </c>
      <c r="GO61" s="104">
        <f>SUMIF(Z61:Z64,"&lt;0")*Cadeirante/30*GO$4+SUMIF(AB61:AB64,"&lt;0")*Cadeirante/30*GO$4</f>
        <v>0</v>
      </c>
      <c r="GP61" s="104">
        <f>SUMIF(AD61:AD64,"&lt;0")*Cadeirante/30*GP$4+SUMIF(AF61:AF64,"&lt;0")*Cadeirante/30*GP$4</f>
        <v>0</v>
      </c>
      <c r="GQ61" s="104">
        <f>SUMIF(AH61:AH64,"&lt;0")*Cadeirante/30*GQ$4+SUMIF(AJ61:AJ64,"&lt;0")*Cadeirante/30*GQ$4</f>
        <v>0</v>
      </c>
      <c r="GR61" s="104">
        <f>SUMIF(AL61:AL64,"&lt;0")*Cadeirante/30*GR$4+SUMIF(AN61:AN64,"&lt;0")*Cadeirante/30*GR$4</f>
        <v>0</v>
      </c>
      <c r="GS61" s="104">
        <f>SUMIF(AP61:AP64,"&lt;0")*Cadeirante/30*GS$4+SUMIF(AR61:AR64,"&lt;0")*Cadeirante/30*GS$4</f>
        <v>0</v>
      </c>
      <c r="GT61" s="104">
        <f>SUMIF(AT61:AT64,"&lt;0")*Cadeirante/30*GT$4+SUMIF(AV61:AV64,"&lt;0")*Cadeirante/30*GT$4</f>
        <v>0</v>
      </c>
      <c r="GU61" s="104">
        <f>SUMIF(AX61:AX64,"&lt;0")*Cadeirante/30*GU$4+SUMIF(AZ61:AZ64,"&lt;0")*Cadeirante/30*GU$4</f>
        <v>0</v>
      </c>
      <c r="GV61" s="104">
        <f>SUMIF(BB61:BB64,"&lt;0")*Cadeirante/30*GV$4+SUMIF(BD61:BD64,"&lt;0")*Cadeirante/30*GV$4</f>
        <v>0</v>
      </c>
      <c r="GW61" s="104">
        <f>SUMIF(BF61:BF64,"&lt;0")*Cadeirante/30*GW$4+SUMIF(BH61:BH64,"&lt;0")*Cadeirante/30*GW$4</f>
        <v>0</v>
      </c>
      <c r="GX61" s="104">
        <f>SUMIF(BJ61:BJ64,"&lt;0")*Cadeirante/30*GX$4+SUMIF(BL61:BL64,"&lt;0")*Cadeirante/30*GX$4</f>
        <v>0</v>
      </c>
      <c r="GY61" s="104">
        <f>SUMIF(BN61:BN64,"&lt;0")*Cadeirante/30*GY$4+SUMIF(BP61:BP64,"&lt;0")*Cadeirante/30*GY$4</f>
        <v>0</v>
      </c>
      <c r="GZ61" s="104">
        <f>SUMIF(BR61:BR64,"&lt;0")*Cadeirante/30*GZ$4+SUMIF(BT61:BT64,"&lt;0")*Cadeirante/30*GZ$4</f>
        <v>0</v>
      </c>
      <c r="HA61" s="104">
        <f>SUMIF(BV61:BV64,"&lt;0")*Cadeirante/30*HA$4+SUMIF(BX61:BX64,"&lt;0")*Cadeirante/30*HA$4</f>
        <v>0</v>
      </c>
      <c r="HB61" s="104">
        <f>SUMIF(BZ61:BZ64,"&lt;0")*Cadeirante/30*HB$4+SUMIF(CB61:CB64,"&lt;0")*Cadeirante/30*HB$4</f>
        <v>0</v>
      </c>
      <c r="HC61" s="104">
        <f>SUMIF(CD61:CD64,"&lt;0")*Cadeirante/30*HC$4+SUMIF(CF61:CF64,"&lt;0")*Cadeirante/30*HC$4</f>
        <v>0</v>
      </c>
      <c r="HD61" s="104">
        <f>SUMIF(CH61:CH64,"&lt;0")*Cadeirante/30*HD$4+SUMIF(CJ61:CJ64,"&lt;0")*Cadeirante/30*HD$4</f>
        <v>0</v>
      </c>
      <c r="HE61" s="104">
        <f>SUMIF(CL61:CL64,"&lt;0")*Cadeirante/30*HE$4+SUMIF(CN61:CN64,"&lt;0")*Cadeirante/30*HE$4</f>
        <v>0</v>
      </c>
      <c r="HF61" s="104">
        <f>SUMIF(CP61:CP64,"&lt;0")*Cadeirante/30*HF$4+SUMIF(CR61:CR64,"&lt;0")*Cadeirante/30*HF$4</f>
        <v>0</v>
      </c>
      <c r="HG61" s="104">
        <f>SUMIF(CT61:CT64,"&lt;0")*Cadeirante/30*HG$4+SUMIF(CV61:CV64,"&lt;0")*Cadeirante/30*HG$4</f>
        <v>0</v>
      </c>
      <c r="HH61" s="104">
        <f>SUMIF(CX61:CX64,"&lt;0")*Cadeirante/30*HH$4+SUMIF(CZ61:CZ64,"&lt;0")*Cadeirante/30*HH$4</f>
        <v>0</v>
      </c>
      <c r="HI61" s="104">
        <f>SUMIF(DB61:DB64,"&lt;0")*Cadeirante/30*HI$4+SUMIF(DD61:DD64,"&lt;0")*Cadeirante/30*HI$4</f>
        <v>0</v>
      </c>
      <c r="HJ61" s="104">
        <f>SUMIF(DF61:DF64,"&lt;0")*Cadeirante/30*HJ$4+SUMIF(DH61:DH64,"&lt;0")*Cadeirante/30*HJ$4</f>
        <v>0</v>
      </c>
      <c r="HK61" s="104">
        <f>SUMIF(DJ61:DJ64,"&lt;0")*Cadeirante/30*HK$4+SUMIF(DL61:DL64,"&lt;0")*Cadeirante/30*HK$4</f>
        <v>0</v>
      </c>
      <c r="HL61" s="104">
        <f>SUMIF(DN61:DN64,"&lt;0")*Cadeirante/30*HL$4+SUMIF(DP61:DP64,"&lt;0")*Cadeirante/30*HL$4</f>
        <v>0</v>
      </c>
      <c r="HM61" s="104">
        <f>SUMIF(DR61:DR64,"&lt;0")*Cadeirante/30*HM$4+SUMIF(DT61:DT64,"&lt;0")*Cadeirante/30*HM$4</f>
        <v>0</v>
      </c>
      <c r="HN61" s="104">
        <f>SUMIF(DV61:DV64,"&lt;0")*Cadeirante/30*HN$4+SUMIF(DX61:DX64,"&lt;0")*Cadeirante/30*HN$4</f>
        <v>0</v>
      </c>
      <c r="HO61" s="104">
        <f>SUMIF(DZ61:DZ64,"&lt;0")*Cadeirante/30*HO$4+SUMIF(EB61:EB64,"&lt;0")*Cadeirante/30*HO$4</f>
        <v>0</v>
      </c>
      <c r="HP61" s="104">
        <f>SUMIF(ED61:ED64,"&lt;0")*Cadeirante/30*HP$4+SUMIF(EF61:EF64,"&lt;0")*Cadeirante/30*HP$4</f>
        <v>0</v>
      </c>
      <c r="HQ61" s="64"/>
      <c r="HR61" s="64"/>
      <c r="HS61" s="64"/>
      <c r="HT61" s="64"/>
      <c r="HU61" s="64"/>
      <c r="HV61" s="64"/>
      <c r="HW61" s="176">
        <v>17629.309999999998</v>
      </c>
      <c r="HX61" s="64"/>
      <c r="HY61" s="280">
        <f>IF(ISTEXT(EM61), VALUE(EM61), EM61)</f>
        <v>0</v>
      </c>
      <c r="HZ61" s="280">
        <f>IF(ISTEXT(EN61), VALUE(EN61), EN61)</f>
        <v>0</v>
      </c>
      <c r="IA61" s="280">
        <f>IF(ISTEXT(EO61), VALUE(EO61), EO61)</f>
        <v>0</v>
      </c>
      <c r="IB61" s="64" t="b">
        <f>HW61=FE61</f>
        <v>0</v>
      </c>
      <c r="IC61" s="64"/>
    </row>
    <row r="62" spans="1:237" s="106" customFormat="1" ht="22.5" customHeight="1" x14ac:dyDescent="0.25">
      <c r="A62" s="368" t="s">
        <v>3234</v>
      </c>
      <c r="B62" s="369" t="s">
        <v>3235</v>
      </c>
      <c r="C62" s="370" t="s">
        <v>3186</v>
      </c>
      <c r="D62" s="371" t="s">
        <v>3236</v>
      </c>
      <c r="E62" s="371" t="s">
        <v>3237</v>
      </c>
      <c r="F62" s="372" t="s">
        <v>3182</v>
      </c>
      <c r="G62" s="372" t="s">
        <v>3183</v>
      </c>
      <c r="H62" s="373" t="s">
        <v>348</v>
      </c>
      <c r="I62" s="374" t="s">
        <v>348</v>
      </c>
      <c r="J62" s="421" t="s">
        <v>3184</v>
      </c>
      <c r="K62" s="421" t="s">
        <v>3187</v>
      </c>
      <c r="L62" s="329">
        <f>CONTINUA!BV62</f>
        <v>0</v>
      </c>
      <c r="M62" s="329">
        <f>CONTINUA!BW62</f>
        <v>0</v>
      </c>
      <c r="N62" s="895"/>
      <c r="O62" s="896" t="s">
        <v>3285</v>
      </c>
      <c r="P62" s="897">
        <v>0</v>
      </c>
      <c r="Q62" s="400">
        <v>10</v>
      </c>
      <c r="R62" s="401"/>
      <c r="S62" s="400"/>
      <c r="T62" s="401"/>
      <c r="U62" s="400"/>
      <c r="V62" s="401"/>
      <c r="W62" s="400"/>
      <c r="X62" s="401"/>
      <c r="Y62" s="400"/>
      <c r="Z62" s="401"/>
      <c r="AA62" s="400"/>
      <c r="AB62" s="401"/>
      <c r="AC62" s="400"/>
      <c r="AD62" s="401"/>
      <c r="AE62" s="400"/>
      <c r="AF62" s="401"/>
      <c r="AG62" s="400"/>
      <c r="AH62" s="401"/>
      <c r="AI62" s="400"/>
      <c r="AJ62" s="401"/>
      <c r="AK62" s="400"/>
      <c r="AL62" s="401"/>
      <c r="AM62" s="400"/>
      <c r="AN62" s="401"/>
      <c r="AO62" s="400"/>
      <c r="AP62" s="401"/>
      <c r="AQ62" s="400"/>
      <c r="AR62" s="401"/>
      <c r="AS62" s="400"/>
      <c r="AT62" s="401"/>
      <c r="AU62" s="400"/>
      <c r="AV62" s="401"/>
      <c r="AW62" s="400"/>
      <c r="AX62" s="401"/>
      <c r="AY62" s="400"/>
      <c r="AZ62" s="401"/>
      <c r="BA62" s="400"/>
      <c r="BB62" s="401"/>
      <c r="BC62" s="400"/>
      <c r="BD62" s="401"/>
      <c r="BE62" s="400"/>
      <c r="BF62" s="401"/>
      <c r="BG62" s="400"/>
      <c r="BH62" s="401"/>
      <c r="BI62" s="400"/>
      <c r="BJ62" s="401"/>
      <c r="BK62" s="400"/>
      <c r="BL62" s="401"/>
      <c r="BM62" s="400"/>
      <c r="BN62" s="401"/>
      <c r="BO62" s="400"/>
      <c r="BP62" s="401"/>
      <c r="BQ62" s="400"/>
      <c r="BR62" s="401"/>
      <c r="BS62" s="400"/>
      <c r="BT62" s="401"/>
      <c r="BU62" s="400"/>
      <c r="BV62" s="401"/>
      <c r="BW62" s="400"/>
      <c r="BX62" s="401"/>
      <c r="BY62" s="400"/>
      <c r="BZ62" s="401"/>
      <c r="CA62" s="400"/>
      <c r="CB62" s="401"/>
      <c r="CC62" s="400"/>
      <c r="CD62" s="401"/>
      <c r="CE62" s="400"/>
      <c r="CF62" s="401"/>
      <c r="CG62" s="400"/>
      <c r="CH62" s="401"/>
      <c r="CI62" s="400"/>
      <c r="CJ62" s="401"/>
      <c r="CK62" s="400"/>
      <c r="CL62" s="401"/>
      <c r="CM62" s="400"/>
      <c r="CN62" s="401"/>
      <c r="CO62" s="400"/>
      <c r="CP62" s="401"/>
      <c r="CQ62" s="400"/>
      <c r="CR62" s="401"/>
      <c r="CS62" s="400"/>
      <c r="CT62" s="401"/>
      <c r="CU62" s="400"/>
      <c r="CV62" s="401"/>
      <c r="CW62" s="400"/>
      <c r="CX62" s="401"/>
      <c r="CY62" s="400"/>
      <c r="CZ62" s="401"/>
      <c r="DA62" s="400"/>
      <c r="DB62" s="401"/>
      <c r="DC62" s="400"/>
      <c r="DD62" s="401"/>
      <c r="DE62" s="400"/>
      <c r="DF62" s="401"/>
      <c r="DG62" s="400"/>
      <c r="DH62" s="401"/>
      <c r="DI62" s="400"/>
      <c r="DJ62" s="401"/>
      <c r="DK62" s="400"/>
      <c r="DL62" s="401"/>
      <c r="DM62" s="400"/>
      <c r="DN62" s="401"/>
      <c r="DO62" s="400"/>
      <c r="DP62" s="401"/>
      <c r="DQ62" s="400"/>
      <c r="DR62" s="401"/>
      <c r="DS62" s="400"/>
      <c r="DT62" s="401"/>
      <c r="DU62" s="400"/>
      <c r="DV62" s="401"/>
      <c r="DW62" s="400"/>
      <c r="DX62" s="401"/>
      <c r="DY62" s="400"/>
      <c r="DZ62" s="401"/>
      <c r="EA62" s="400"/>
      <c r="EB62" s="401"/>
      <c r="EC62" s="400"/>
      <c r="ED62" s="401"/>
      <c r="EE62" s="400"/>
      <c r="EF62" s="401"/>
      <c r="EG62" s="400"/>
      <c r="EH62" s="401"/>
      <c r="EI62" s="400"/>
      <c r="EJ62" s="447"/>
      <c r="EK62" s="511"/>
      <c r="EL62" s="514"/>
      <c r="EM62" s="448"/>
      <c r="EN62" s="344"/>
      <c r="EO62" s="345"/>
      <c r="EP62" s="171">
        <f t="shared" si="22"/>
        <v>10</v>
      </c>
      <c r="EQ62" s="171">
        <f t="shared" si="23"/>
        <v>0</v>
      </c>
      <c r="ER62" s="171">
        <f t="shared" si="24"/>
        <v>0</v>
      </c>
      <c r="ES62" s="171">
        <f t="shared" si="25"/>
        <v>0</v>
      </c>
      <c r="ET62" s="171">
        <f t="shared" si="26"/>
        <v>0</v>
      </c>
      <c r="EU62" s="171">
        <f t="shared" si="27"/>
        <v>0</v>
      </c>
      <c r="EV62" s="172">
        <f t="shared" si="28"/>
        <v>10</v>
      </c>
      <c r="EW62" s="173"/>
      <c r="EX62" s="248">
        <f t="shared" si="80"/>
        <v>0</v>
      </c>
      <c r="EY62" s="174">
        <f>(L62*regular)+(M62*Cadeirantee)</f>
        <v>0</v>
      </c>
      <c r="EZ62" s="249">
        <f>SUMIF(FG62:GJ62,"&gt;0")</f>
        <v>0</v>
      </c>
      <c r="FA62" s="249">
        <f>SUMIF(FG62:GJ62,"&lt;0")+SUMIF(GN62:HP62,"&lt;0")</f>
        <v>0</v>
      </c>
      <c r="FB62" s="174">
        <v>0</v>
      </c>
      <c r="FC62" s="126">
        <f>N62*km*'VALORES TABELA'!$B$13</f>
        <v>0</v>
      </c>
      <c r="FD62" s="250">
        <f t="shared" ref="FD62:FD65" si="81">GL62</f>
        <v>0</v>
      </c>
      <c r="FE62" s="105"/>
      <c r="FF62" s="119"/>
      <c r="FG62" s="119"/>
      <c r="FH62" s="119"/>
      <c r="FI62" s="119"/>
      <c r="FJ62" s="119"/>
      <c r="FK62" s="119"/>
      <c r="FL62" s="119"/>
      <c r="FM62" s="119"/>
      <c r="FN62" s="119"/>
      <c r="FO62" s="119"/>
      <c r="FP62" s="119"/>
      <c r="FQ62" s="119"/>
      <c r="FR62" s="119"/>
      <c r="FS62" s="119"/>
      <c r="FT62" s="119"/>
      <c r="FU62" s="119"/>
      <c r="FV62" s="119"/>
      <c r="FW62" s="119"/>
      <c r="FX62" s="119"/>
      <c r="FY62" s="119"/>
      <c r="FZ62" s="119"/>
      <c r="GA62" s="119"/>
      <c r="GB62" s="119"/>
      <c r="GC62" s="119"/>
      <c r="GD62" s="119"/>
      <c r="GE62" s="119"/>
      <c r="GF62" s="119"/>
      <c r="GG62" s="119"/>
      <c r="GH62" s="119"/>
      <c r="GI62" s="119"/>
      <c r="GJ62" s="119"/>
      <c r="GK62" s="251"/>
      <c r="GL62" s="103">
        <f t="shared" si="30"/>
        <v>0</v>
      </c>
      <c r="GM62" s="124"/>
      <c r="GN62" s="104"/>
      <c r="GO62" s="104"/>
      <c r="GP62" s="104"/>
      <c r="GQ62" s="104"/>
      <c r="GR62" s="104"/>
      <c r="GS62" s="104"/>
      <c r="GT62" s="104"/>
      <c r="GU62" s="104"/>
      <c r="GV62" s="104"/>
      <c r="GW62" s="104"/>
      <c r="GX62" s="104"/>
      <c r="GY62" s="104"/>
      <c r="GZ62" s="104"/>
      <c r="HA62" s="104"/>
      <c r="HB62" s="104"/>
      <c r="HC62" s="104"/>
      <c r="HD62" s="104"/>
      <c r="HE62" s="104"/>
      <c r="HF62" s="104"/>
      <c r="HG62" s="104"/>
      <c r="HH62" s="104"/>
      <c r="HI62" s="104"/>
      <c r="HJ62" s="104"/>
      <c r="HK62" s="104"/>
      <c r="HL62" s="104"/>
      <c r="HM62" s="104"/>
      <c r="HN62" s="104"/>
      <c r="HO62" s="104"/>
      <c r="HP62" s="104"/>
      <c r="HQ62" s="64"/>
      <c r="HR62" s="64"/>
      <c r="HS62" s="64"/>
      <c r="HT62" s="64"/>
      <c r="HU62" s="64"/>
      <c r="HV62" s="64"/>
      <c r="HW62" s="105"/>
      <c r="HX62" s="64"/>
      <c r="HY62" s="280">
        <f t="shared" ref="HY62:HY65" si="82">IF(ISTEXT(EM62), VALUE(EM62), EM62)</f>
        <v>0</v>
      </c>
      <c r="HZ62" s="280">
        <f t="shared" ref="HZ62:HZ65" si="83">IF(ISTEXT(EN62), VALUE(EN62), EN62)</f>
        <v>0</v>
      </c>
      <c r="IA62" s="280">
        <f t="shared" ref="IA62:IA65" si="84">IF(ISTEXT(EO62), VALUE(EO62), EO62)</f>
        <v>0</v>
      </c>
      <c r="IB62" s="64"/>
      <c r="IC62" s="64"/>
    </row>
    <row r="63" spans="1:237" s="106" customFormat="1" ht="22.5" customHeight="1" x14ac:dyDescent="0.25">
      <c r="A63" s="368" t="s">
        <v>3234</v>
      </c>
      <c r="B63" s="369" t="s">
        <v>3235</v>
      </c>
      <c r="C63" s="375" t="s">
        <v>3186</v>
      </c>
      <c r="D63" s="371" t="s">
        <v>3236</v>
      </c>
      <c r="E63" s="371" t="s">
        <v>3237</v>
      </c>
      <c r="F63" s="376" t="s">
        <v>3182</v>
      </c>
      <c r="G63" s="376" t="s">
        <v>3183</v>
      </c>
      <c r="H63" s="373" t="s">
        <v>348</v>
      </c>
      <c r="I63" s="374" t="s">
        <v>348</v>
      </c>
      <c r="J63" s="421" t="s">
        <v>3184</v>
      </c>
      <c r="K63" s="422" t="s">
        <v>3188</v>
      </c>
      <c r="L63" s="329">
        <f>CONTINUA!BV63</f>
        <v>0</v>
      </c>
      <c r="M63" s="329">
        <f>CONTINUA!BW63</f>
        <v>0</v>
      </c>
      <c r="N63" s="895"/>
      <c r="O63" s="896" t="s">
        <v>3285</v>
      </c>
      <c r="P63" s="897">
        <v>0</v>
      </c>
      <c r="Q63" s="400"/>
      <c r="R63" s="401"/>
      <c r="S63" s="400"/>
      <c r="T63" s="401"/>
      <c r="U63" s="400"/>
      <c r="V63" s="401"/>
      <c r="W63" s="400"/>
      <c r="X63" s="401"/>
      <c r="Y63" s="400"/>
      <c r="Z63" s="401"/>
      <c r="AA63" s="400"/>
      <c r="AB63" s="401"/>
      <c r="AC63" s="400"/>
      <c r="AD63" s="401"/>
      <c r="AE63" s="400"/>
      <c r="AF63" s="401"/>
      <c r="AG63" s="400"/>
      <c r="AH63" s="401"/>
      <c r="AI63" s="400"/>
      <c r="AJ63" s="401"/>
      <c r="AK63" s="400"/>
      <c r="AL63" s="401"/>
      <c r="AM63" s="400"/>
      <c r="AN63" s="401"/>
      <c r="AO63" s="400"/>
      <c r="AP63" s="401"/>
      <c r="AQ63" s="400"/>
      <c r="AR63" s="401"/>
      <c r="AS63" s="400"/>
      <c r="AT63" s="401"/>
      <c r="AU63" s="400"/>
      <c r="AV63" s="401"/>
      <c r="AW63" s="400"/>
      <c r="AX63" s="401"/>
      <c r="AY63" s="400"/>
      <c r="AZ63" s="401"/>
      <c r="BA63" s="400"/>
      <c r="BB63" s="401"/>
      <c r="BC63" s="400"/>
      <c r="BD63" s="401"/>
      <c r="BE63" s="400"/>
      <c r="BF63" s="401"/>
      <c r="BG63" s="400"/>
      <c r="BH63" s="401"/>
      <c r="BI63" s="400"/>
      <c r="BJ63" s="401"/>
      <c r="BK63" s="400"/>
      <c r="BL63" s="401"/>
      <c r="BM63" s="400"/>
      <c r="BN63" s="401"/>
      <c r="BO63" s="400"/>
      <c r="BP63" s="401"/>
      <c r="BQ63" s="400"/>
      <c r="BR63" s="401"/>
      <c r="BS63" s="400"/>
      <c r="BT63" s="401"/>
      <c r="BU63" s="400"/>
      <c r="BV63" s="401"/>
      <c r="BW63" s="400"/>
      <c r="BX63" s="401"/>
      <c r="BY63" s="400"/>
      <c r="BZ63" s="401"/>
      <c r="CA63" s="400"/>
      <c r="CB63" s="401"/>
      <c r="CC63" s="400"/>
      <c r="CD63" s="401"/>
      <c r="CE63" s="400"/>
      <c r="CF63" s="401"/>
      <c r="CG63" s="400"/>
      <c r="CH63" s="401"/>
      <c r="CI63" s="400"/>
      <c r="CJ63" s="401"/>
      <c r="CK63" s="400"/>
      <c r="CL63" s="401"/>
      <c r="CM63" s="400"/>
      <c r="CN63" s="401"/>
      <c r="CO63" s="400"/>
      <c r="CP63" s="401"/>
      <c r="CQ63" s="400"/>
      <c r="CR63" s="401"/>
      <c r="CS63" s="400"/>
      <c r="CT63" s="401"/>
      <c r="CU63" s="400"/>
      <c r="CV63" s="401"/>
      <c r="CW63" s="400"/>
      <c r="CX63" s="401"/>
      <c r="CY63" s="400"/>
      <c r="CZ63" s="401"/>
      <c r="DA63" s="400"/>
      <c r="DB63" s="401"/>
      <c r="DC63" s="400"/>
      <c r="DD63" s="401"/>
      <c r="DE63" s="400"/>
      <c r="DF63" s="401"/>
      <c r="DG63" s="400"/>
      <c r="DH63" s="401"/>
      <c r="DI63" s="400"/>
      <c r="DJ63" s="401"/>
      <c r="DK63" s="400"/>
      <c r="DL63" s="401"/>
      <c r="DM63" s="400"/>
      <c r="DN63" s="401"/>
      <c r="DO63" s="400"/>
      <c r="DP63" s="401"/>
      <c r="DQ63" s="400"/>
      <c r="DR63" s="401"/>
      <c r="DS63" s="400"/>
      <c r="DT63" s="401"/>
      <c r="DU63" s="400"/>
      <c r="DV63" s="401"/>
      <c r="DW63" s="400"/>
      <c r="DX63" s="401"/>
      <c r="DY63" s="400"/>
      <c r="DZ63" s="401"/>
      <c r="EA63" s="400"/>
      <c r="EB63" s="401"/>
      <c r="EC63" s="400"/>
      <c r="ED63" s="401"/>
      <c r="EE63" s="400"/>
      <c r="EF63" s="401"/>
      <c r="EG63" s="400"/>
      <c r="EH63" s="401"/>
      <c r="EI63" s="400"/>
      <c r="EJ63" s="447"/>
      <c r="EK63" s="511"/>
      <c r="EL63" s="514"/>
      <c r="EM63" s="448"/>
      <c r="EN63" s="344"/>
      <c r="EO63" s="345"/>
      <c r="EP63" s="171">
        <f t="shared" si="22"/>
        <v>0</v>
      </c>
      <c r="EQ63" s="171">
        <f t="shared" si="23"/>
        <v>0</v>
      </c>
      <c r="ER63" s="171">
        <f t="shared" si="24"/>
        <v>0</v>
      </c>
      <c r="ES63" s="171">
        <f t="shared" si="25"/>
        <v>0</v>
      </c>
      <c r="ET63" s="171">
        <f t="shared" si="26"/>
        <v>0</v>
      </c>
      <c r="EU63" s="171">
        <f t="shared" si="27"/>
        <v>0</v>
      </c>
      <c r="EV63" s="172">
        <f t="shared" si="28"/>
        <v>0</v>
      </c>
      <c r="EW63" s="125"/>
      <c r="EX63" s="248">
        <f t="shared" si="80"/>
        <v>0</v>
      </c>
      <c r="EY63" s="174">
        <f>(L63*regular)+(M63*Cadeirantee)</f>
        <v>0</v>
      </c>
      <c r="EZ63" s="249">
        <f>SUMIF(FG63:GJ63,"&gt;0")</f>
        <v>0</v>
      </c>
      <c r="FA63" s="249">
        <f>SUMIF(FG63:GJ63,"&lt;0")+SUMIF(GN63:HP63,"&lt;0")</f>
        <v>0</v>
      </c>
      <c r="FB63" s="174">
        <v>0</v>
      </c>
      <c r="FC63" s="126">
        <f>N63*km*'VALORES TABELA'!$B$13</f>
        <v>0</v>
      </c>
      <c r="FD63" s="250">
        <f t="shared" si="81"/>
        <v>0</v>
      </c>
      <c r="FE63" s="105"/>
      <c r="FF63" s="108"/>
      <c r="FG63" s="108"/>
      <c r="FH63" s="108"/>
      <c r="FI63" s="108"/>
      <c r="FJ63" s="108"/>
      <c r="FK63" s="108"/>
      <c r="FL63" s="108"/>
      <c r="FM63" s="108"/>
      <c r="FN63" s="108"/>
      <c r="FO63" s="108"/>
      <c r="FP63" s="108"/>
      <c r="FQ63" s="108"/>
      <c r="FR63" s="108"/>
      <c r="FS63" s="108"/>
      <c r="FT63" s="108"/>
      <c r="FU63" s="108"/>
      <c r="FV63" s="108"/>
      <c r="FW63" s="108"/>
      <c r="FX63" s="108"/>
      <c r="FY63" s="108"/>
      <c r="FZ63" s="108"/>
      <c r="GA63" s="108"/>
      <c r="GB63" s="108"/>
      <c r="GC63" s="108"/>
      <c r="GD63" s="108"/>
      <c r="GE63" s="108"/>
      <c r="GF63" s="108"/>
      <c r="GG63" s="108"/>
      <c r="GH63" s="108"/>
      <c r="GI63" s="108"/>
      <c r="GJ63" s="108"/>
      <c r="GK63" s="251"/>
      <c r="GL63" s="103">
        <f t="shared" si="30"/>
        <v>0</v>
      </c>
      <c r="GM63" s="124"/>
      <c r="GN63" s="104"/>
      <c r="GO63" s="104"/>
      <c r="GP63" s="104"/>
      <c r="GQ63" s="104"/>
      <c r="GR63" s="104"/>
      <c r="GS63" s="104"/>
      <c r="GT63" s="104"/>
      <c r="GU63" s="104"/>
      <c r="GV63" s="104"/>
      <c r="GW63" s="104"/>
      <c r="GX63" s="104"/>
      <c r="GY63" s="104"/>
      <c r="GZ63" s="104"/>
      <c r="HA63" s="104"/>
      <c r="HB63" s="104"/>
      <c r="HC63" s="104"/>
      <c r="HD63" s="104"/>
      <c r="HE63" s="104"/>
      <c r="HF63" s="104"/>
      <c r="HG63" s="104"/>
      <c r="HH63" s="104"/>
      <c r="HI63" s="104"/>
      <c r="HJ63" s="104"/>
      <c r="HK63" s="104"/>
      <c r="HL63" s="104"/>
      <c r="HM63" s="104"/>
      <c r="HN63" s="104"/>
      <c r="HO63" s="104"/>
      <c r="HP63" s="104"/>
      <c r="HQ63" s="64"/>
      <c r="HR63" s="64"/>
      <c r="HS63" s="64"/>
      <c r="HT63" s="64"/>
      <c r="HU63" s="64"/>
      <c r="HV63" s="64"/>
      <c r="HW63" s="105"/>
      <c r="HX63" s="64"/>
      <c r="HY63" s="280">
        <f t="shared" si="82"/>
        <v>0</v>
      </c>
      <c r="HZ63" s="280">
        <f t="shared" si="83"/>
        <v>0</v>
      </c>
      <c r="IA63" s="280">
        <f t="shared" si="84"/>
        <v>0</v>
      </c>
      <c r="IB63" s="64"/>
      <c r="IC63" s="64"/>
    </row>
    <row r="64" spans="1:237" s="106" customFormat="1" ht="22.5" customHeight="1" x14ac:dyDescent="0.25">
      <c r="A64" s="368" t="s">
        <v>3234</v>
      </c>
      <c r="B64" s="369" t="s">
        <v>3235</v>
      </c>
      <c r="C64" s="375" t="s">
        <v>3186</v>
      </c>
      <c r="D64" s="371" t="s">
        <v>3236</v>
      </c>
      <c r="E64" s="371" t="s">
        <v>3237</v>
      </c>
      <c r="F64" s="376" t="s">
        <v>3182</v>
      </c>
      <c r="G64" s="376" t="s">
        <v>3183</v>
      </c>
      <c r="H64" s="373" t="s">
        <v>348</v>
      </c>
      <c r="I64" s="374" t="s">
        <v>348</v>
      </c>
      <c r="J64" s="421" t="s">
        <v>3184</v>
      </c>
      <c r="K64" s="423" t="s">
        <v>3189</v>
      </c>
      <c r="L64" s="329">
        <f>CONTINUA!BV64</f>
        <v>0</v>
      </c>
      <c r="M64" s="329">
        <f>CONTINUA!BW64</f>
        <v>0</v>
      </c>
      <c r="N64" s="895"/>
      <c r="O64" s="896" t="s">
        <v>3285</v>
      </c>
      <c r="P64" s="897">
        <v>0</v>
      </c>
      <c r="Q64" s="400"/>
      <c r="R64" s="401"/>
      <c r="S64" s="400"/>
      <c r="T64" s="401"/>
      <c r="U64" s="400"/>
      <c r="V64" s="401"/>
      <c r="W64" s="400"/>
      <c r="X64" s="401"/>
      <c r="Y64" s="400"/>
      <c r="Z64" s="401"/>
      <c r="AA64" s="400"/>
      <c r="AB64" s="401"/>
      <c r="AC64" s="400"/>
      <c r="AD64" s="401"/>
      <c r="AE64" s="400"/>
      <c r="AF64" s="401"/>
      <c r="AG64" s="400"/>
      <c r="AH64" s="401"/>
      <c r="AI64" s="400"/>
      <c r="AJ64" s="401"/>
      <c r="AK64" s="400"/>
      <c r="AL64" s="401"/>
      <c r="AM64" s="400"/>
      <c r="AN64" s="401"/>
      <c r="AO64" s="400"/>
      <c r="AP64" s="401"/>
      <c r="AQ64" s="400"/>
      <c r="AR64" s="401"/>
      <c r="AS64" s="400"/>
      <c r="AT64" s="401"/>
      <c r="AU64" s="400"/>
      <c r="AV64" s="401"/>
      <c r="AW64" s="400"/>
      <c r="AX64" s="401"/>
      <c r="AY64" s="400"/>
      <c r="AZ64" s="401"/>
      <c r="BA64" s="400"/>
      <c r="BB64" s="401"/>
      <c r="BC64" s="400"/>
      <c r="BD64" s="401"/>
      <c r="BE64" s="400"/>
      <c r="BF64" s="401"/>
      <c r="BG64" s="400"/>
      <c r="BH64" s="401"/>
      <c r="BI64" s="400"/>
      <c r="BJ64" s="401"/>
      <c r="BK64" s="400"/>
      <c r="BL64" s="401"/>
      <c r="BM64" s="400"/>
      <c r="BN64" s="401"/>
      <c r="BO64" s="400"/>
      <c r="BP64" s="401"/>
      <c r="BQ64" s="400"/>
      <c r="BR64" s="401"/>
      <c r="BS64" s="400"/>
      <c r="BT64" s="401"/>
      <c r="BU64" s="400"/>
      <c r="BV64" s="401"/>
      <c r="BW64" s="400"/>
      <c r="BX64" s="401"/>
      <c r="BY64" s="400"/>
      <c r="BZ64" s="401"/>
      <c r="CA64" s="400"/>
      <c r="CB64" s="401"/>
      <c r="CC64" s="400"/>
      <c r="CD64" s="401"/>
      <c r="CE64" s="400"/>
      <c r="CF64" s="401"/>
      <c r="CG64" s="400"/>
      <c r="CH64" s="401"/>
      <c r="CI64" s="400"/>
      <c r="CJ64" s="401"/>
      <c r="CK64" s="400"/>
      <c r="CL64" s="401"/>
      <c r="CM64" s="400"/>
      <c r="CN64" s="401"/>
      <c r="CO64" s="400"/>
      <c r="CP64" s="401"/>
      <c r="CQ64" s="400"/>
      <c r="CR64" s="401"/>
      <c r="CS64" s="400"/>
      <c r="CT64" s="401"/>
      <c r="CU64" s="400"/>
      <c r="CV64" s="401"/>
      <c r="CW64" s="400"/>
      <c r="CX64" s="401"/>
      <c r="CY64" s="400"/>
      <c r="CZ64" s="401"/>
      <c r="DA64" s="400"/>
      <c r="DB64" s="401"/>
      <c r="DC64" s="400"/>
      <c r="DD64" s="401"/>
      <c r="DE64" s="400"/>
      <c r="DF64" s="401"/>
      <c r="DG64" s="400"/>
      <c r="DH64" s="401"/>
      <c r="DI64" s="400"/>
      <c r="DJ64" s="401"/>
      <c r="DK64" s="400"/>
      <c r="DL64" s="401"/>
      <c r="DM64" s="400"/>
      <c r="DN64" s="401"/>
      <c r="DO64" s="400"/>
      <c r="DP64" s="401"/>
      <c r="DQ64" s="400"/>
      <c r="DR64" s="401"/>
      <c r="DS64" s="400"/>
      <c r="DT64" s="401"/>
      <c r="DU64" s="400"/>
      <c r="DV64" s="401"/>
      <c r="DW64" s="400"/>
      <c r="DX64" s="401"/>
      <c r="DY64" s="400"/>
      <c r="DZ64" s="401"/>
      <c r="EA64" s="400"/>
      <c r="EB64" s="401"/>
      <c r="EC64" s="400"/>
      <c r="ED64" s="401"/>
      <c r="EE64" s="400"/>
      <c r="EF64" s="401"/>
      <c r="EG64" s="400"/>
      <c r="EH64" s="401"/>
      <c r="EI64" s="400"/>
      <c r="EJ64" s="447"/>
      <c r="EK64" s="511"/>
      <c r="EL64" s="514"/>
      <c r="EM64" s="448"/>
      <c r="EN64" s="344"/>
      <c r="EO64" s="345"/>
      <c r="EP64" s="171">
        <f t="shared" si="22"/>
        <v>0</v>
      </c>
      <c r="EQ64" s="171">
        <f t="shared" si="23"/>
        <v>0</v>
      </c>
      <c r="ER64" s="171">
        <f t="shared" si="24"/>
        <v>0</v>
      </c>
      <c r="ES64" s="171">
        <f t="shared" si="25"/>
        <v>0</v>
      </c>
      <c r="ET64" s="171">
        <f t="shared" si="26"/>
        <v>0</v>
      </c>
      <c r="EU64" s="171">
        <f t="shared" si="27"/>
        <v>0</v>
      </c>
      <c r="EV64" s="172">
        <f t="shared" si="28"/>
        <v>0</v>
      </c>
      <c r="EW64" s="127"/>
      <c r="EX64" s="248">
        <f t="shared" si="80"/>
        <v>0</v>
      </c>
      <c r="EY64" s="174">
        <f>(L64*regular)+(M64*Cadeirantee)</f>
        <v>0</v>
      </c>
      <c r="EZ64" s="249">
        <f>SUMIF(FG64:GJ64,"&gt;0")</f>
        <v>0</v>
      </c>
      <c r="FA64" s="249">
        <f>SUMIF(FG64:GJ64,"&lt;0")+SUMIF(GN64:HP64,"&lt;0")</f>
        <v>0</v>
      </c>
      <c r="FB64" s="174">
        <v>0</v>
      </c>
      <c r="FC64" s="126">
        <f>N64*km*'VALORES TABELA'!$B$13</f>
        <v>0</v>
      </c>
      <c r="FD64" s="250">
        <f t="shared" si="81"/>
        <v>0</v>
      </c>
      <c r="FE64" s="105"/>
      <c r="FF64" s="118"/>
      <c r="FG64" s="118"/>
      <c r="FH64" s="118"/>
      <c r="FI64" s="118"/>
      <c r="FJ64" s="118"/>
      <c r="FK64" s="118"/>
      <c r="FL64" s="118"/>
      <c r="FM64" s="118"/>
      <c r="FN64" s="118"/>
      <c r="FO64" s="118"/>
      <c r="FP64" s="118"/>
      <c r="FQ64" s="118"/>
      <c r="FR64" s="118"/>
      <c r="FS64" s="118"/>
      <c r="FT64" s="118"/>
      <c r="FU64" s="118"/>
      <c r="FV64" s="118"/>
      <c r="FW64" s="118"/>
      <c r="FX64" s="118"/>
      <c r="FY64" s="118"/>
      <c r="FZ64" s="118"/>
      <c r="GA64" s="118"/>
      <c r="GB64" s="118"/>
      <c r="GC64" s="118"/>
      <c r="GD64" s="118"/>
      <c r="GE64" s="118"/>
      <c r="GF64" s="118"/>
      <c r="GG64" s="118"/>
      <c r="GH64" s="118"/>
      <c r="GI64" s="118"/>
      <c r="GJ64" s="118"/>
      <c r="GK64" s="252"/>
      <c r="GL64" s="103">
        <f t="shared" si="30"/>
        <v>0</v>
      </c>
      <c r="GM64" s="124"/>
      <c r="GN64" s="104"/>
      <c r="GO64" s="104"/>
      <c r="GP64" s="104"/>
      <c r="GQ64" s="104"/>
      <c r="GR64" s="104"/>
      <c r="GS64" s="104"/>
      <c r="GT64" s="104"/>
      <c r="GU64" s="104"/>
      <c r="GV64" s="104"/>
      <c r="GW64" s="104"/>
      <c r="GX64" s="104"/>
      <c r="GY64" s="104"/>
      <c r="GZ64" s="104"/>
      <c r="HA64" s="104"/>
      <c r="HB64" s="104"/>
      <c r="HC64" s="104"/>
      <c r="HD64" s="104"/>
      <c r="HE64" s="104"/>
      <c r="HF64" s="104"/>
      <c r="HG64" s="104"/>
      <c r="HH64" s="104"/>
      <c r="HI64" s="104"/>
      <c r="HJ64" s="104"/>
      <c r="HK64" s="104"/>
      <c r="HL64" s="104"/>
      <c r="HM64" s="104"/>
      <c r="HN64" s="104"/>
      <c r="HO64" s="104"/>
      <c r="HP64" s="104"/>
      <c r="HQ64" s="64"/>
      <c r="HR64" s="65"/>
      <c r="HS64" s="65"/>
      <c r="HT64" s="65"/>
      <c r="HU64" s="65"/>
      <c r="HV64" s="65"/>
      <c r="HW64" s="105"/>
      <c r="HX64" s="65"/>
      <c r="HY64" s="280">
        <f t="shared" si="82"/>
        <v>0</v>
      </c>
      <c r="HZ64" s="280">
        <f t="shared" si="83"/>
        <v>0</v>
      </c>
      <c r="IA64" s="280">
        <f t="shared" si="84"/>
        <v>0</v>
      </c>
      <c r="IB64" s="65"/>
      <c r="IC64" s="65"/>
    </row>
    <row r="65" spans="1:237" s="106" customFormat="1" ht="22.5" customHeight="1" thickBot="1" x14ac:dyDescent="0.3">
      <c r="A65" s="377" t="s">
        <v>3234</v>
      </c>
      <c r="B65" s="378" t="s">
        <v>3235</v>
      </c>
      <c r="C65" s="379" t="s">
        <v>3186</v>
      </c>
      <c r="D65" s="380" t="s">
        <v>3236</v>
      </c>
      <c r="E65" s="380" t="s">
        <v>3237</v>
      </c>
      <c r="F65" s="381" t="s">
        <v>3182</v>
      </c>
      <c r="G65" s="381" t="s">
        <v>3183</v>
      </c>
      <c r="H65" s="382" t="s">
        <v>348</v>
      </c>
      <c r="I65" s="383" t="s">
        <v>348</v>
      </c>
      <c r="J65" s="421" t="s">
        <v>3184</v>
      </c>
      <c r="K65" s="424" t="s">
        <v>60</v>
      </c>
      <c r="L65" s="329">
        <f>CONTINUA!BV65</f>
        <v>0</v>
      </c>
      <c r="M65" s="329">
        <f>CONTINUA!BW65</f>
        <v>0</v>
      </c>
      <c r="N65" s="895"/>
      <c r="O65" s="896" t="s">
        <v>3285</v>
      </c>
      <c r="P65" s="897">
        <v>0</v>
      </c>
      <c r="Q65" s="400"/>
      <c r="R65" s="401"/>
      <c r="S65" s="400"/>
      <c r="T65" s="401"/>
      <c r="U65" s="400"/>
      <c r="V65" s="401"/>
      <c r="W65" s="400"/>
      <c r="X65" s="401"/>
      <c r="Y65" s="400"/>
      <c r="Z65" s="401"/>
      <c r="AA65" s="400"/>
      <c r="AB65" s="401"/>
      <c r="AC65" s="400"/>
      <c r="AD65" s="401"/>
      <c r="AE65" s="400"/>
      <c r="AF65" s="401"/>
      <c r="AG65" s="400"/>
      <c r="AH65" s="401"/>
      <c r="AI65" s="400"/>
      <c r="AJ65" s="401"/>
      <c r="AK65" s="400"/>
      <c r="AL65" s="401"/>
      <c r="AM65" s="400"/>
      <c r="AN65" s="401"/>
      <c r="AO65" s="400"/>
      <c r="AP65" s="401"/>
      <c r="AQ65" s="400"/>
      <c r="AR65" s="401"/>
      <c r="AS65" s="400"/>
      <c r="AT65" s="401"/>
      <c r="AU65" s="400"/>
      <c r="AV65" s="401"/>
      <c r="AW65" s="400"/>
      <c r="AX65" s="401"/>
      <c r="AY65" s="400"/>
      <c r="AZ65" s="401"/>
      <c r="BA65" s="400"/>
      <c r="BB65" s="401"/>
      <c r="BC65" s="400"/>
      <c r="BD65" s="401"/>
      <c r="BE65" s="400"/>
      <c r="BF65" s="401"/>
      <c r="BG65" s="400"/>
      <c r="BH65" s="401"/>
      <c r="BI65" s="400"/>
      <c r="BJ65" s="401"/>
      <c r="BK65" s="400"/>
      <c r="BL65" s="401"/>
      <c r="BM65" s="400"/>
      <c r="BN65" s="401"/>
      <c r="BO65" s="400"/>
      <c r="BP65" s="401"/>
      <c r="BQ65" s="400"/>
      <c r="BR65" s="401"/>
      <c r="BS65" s="400"/>
      <c r="BT65" s="401"/>
      <c r="BU65" s="400"/>
      <c r="BV65" s="401"/>
      <c r="BW65" s="400"/>
      <c r="BX65" s="401"/>
      <c r="BY65" s="400"/>
      <c r="BZ65" s="401"/>
      <c r="CA65" s="400"/>
      <c r="CB65" s="401"/>
      <c r="CC65" s="400"/>
      <c r="CD65" s="401"/>
      <c r="CE65" s="400"/>
      <c r="CF65" s="401"/>
      <c r="CG65" s="400"/>
      <c r="CH65" s="401"/>
      <c r="CI65" s="400"/>
      <c r="CJ65" s="401"/>
      <c r="CK65" s="400"/>
      <c r="CL65" s="401"/>
      <c r="CM65" s="400"/>
      <c r="CN65" s="401"/>
      <c r="CO65" s="400"/>
      <c r="CP65" s="401"/>
      <c r="CQ65" s="400"/>
      <c r="CR65" s="401"/>
      <c r="CS65" s="400"/>
      <c r="CT65" s="401"/>
      <c r="CU65" s="400"/>
      <c r="CV65" s="401"/>
      <c r="CW65" s="400"/>
      <c r="CX65" s="401"/>
      <c r="CY65" s="400"/>
      <c r="CZ65" s="401"/>
      <c r="DA65" s="400"/>
      <c r="DB65" s="401"/>
      <c r="DC65" s="400"/>
      <c r="DD65" s="401"/>
      <c r="DE65" s="400"/>
      <c r="DF65" s="401"/>
      <c r="DG65" s="400"/>
      <c r="DH65" s="401"/>
      <c r="DI65" s="400"/>
      <c r="DJ65" s="401"/>
      <c r="DK65" s="400"/>
      <c r="DL65" s="401"/>
      <c r="DM65" s="400"/>
      <c r="DN65" s="401"/>
      <c r="DO65" s="400"/>
      <c r="DP65" s="401"/>
      <c r="DQ65" s="400"/>
      <c r="DR65" s="401"/>
      <c r="DS65" s="400"/>
      <c r="DT65" s="401"/>
      <c r="DU65" s="400"/>
      <c r="DV65" s="401"/>
      <c r="DW65" s="400"/>
      <c r="DX65" s="401"/>
      <c r="DY65" s="400"/>
      <c r="DZ65" s="401"/>
      <c r="EA65" s="400"/>
      <c r="EB65" s="401"/>
      <c r="EC65" s="400"/>
      <c r="ED65" s="401"/>
      <c r="EE65" s="400"/>
      <c r="EF65" s="401"/>
      <c r="EG65" s="400"/>
      <c r="EH65" s="401"/>
      <c r="EI65" s="400"/>
      <c r="EJ65" s="447"/>
      <c r="EK65" s="512"/>
      <c r="EL65" s="515"/>
      <c r="EM65" s="450"/>
      <c r="EN65" s="348"/>
      <c r="EO65" s="348"/>
      <c r="EP65" s="179">
        <f t="shared" si="22"/>
        <v>0</v>
      </c>
      <c r="EQ65" s="179">
        <f t="shared" si="23"/>
        <v>0</v>
      </c>
      <c r="ER65" s="179">
        <f t="shared" si="24"/>
        <v>0</v>
      </c>
      <c r="ES65" s="179">
        <f t="shared" si="25"/>
        <v>0</v>
      </c>
      <c r="ET65" s="179">
        <f t="shared" si="26"/>
        <v>0</v>
      </c>
      <c r="EU65" s="179">
        <f t="shared" si="27"/>
        <v>0</v>
      </c>
      <c r="EV65" s="172">
        <f t="shared" si="28"/>
        <v>0</v>
      </c>
      <c r="EW65" s="253"/>
      <c r="EX65" s="254">
        <v>0</v>
      </c>
      <c r="EY65" s="180">
        <v>0</v>
      </c>
      <c r="EZ65" s="255">
        <v>0</v>
      </c>
      <c r="FA65" s="255">
        <v>0</v>
      </c>
      <c r="FB65" s="180">
        <f>SUM(FF65:GI65)/2</f>
        <v>0</v>
      </c>
      <c r="FC65" s="256">
        <f>N65*km*'VALORES TABELA'!$B$13</f>
        <v>0</v>
      </c>
      <c r="FD65" s="250">
        <f t="shared" si="81"/>
        <v>0</v>
      </c>
      <c r="FE65" s="257"/>
      <c r="FF65" s="181">
        <f>((Q65+S65)*Percapita)+((R65+T65)*Cadeirante)</f>
        <v>0</v>
      </c>
      <c r="FG65" s="181">
        <f>((U65+W65)*Percapita/30*FG$4)+((V65+X65)*Cadeirante/30*FG$4)</f>
        <v>0</v>
      </c>
      <c r="FH65" s="181">
        <f>((Y65+AA65)*Percapita/30*FH$4)+((Z65+AB65)*Cadeirante/30*FH$4)</f>
        <v>0</v>
      </c>
      <c r="FI65" s="181">
        <f>((AC65+AE65)*Percapita/30*FI$4)+((AD65+AF65)*Cadeirante/30*FI$4)</f>
        <v>0</v>
      </c>
      <c r="FJ65" s="181">
        <f>((AG65+AI65)*Percapita/30*FJ$4)+((AH65+AJ65)*Cadeirante/30*FJ$4)</f>
        <v>0</v>
      </c>
      <c r="FK65" s="181">
        <f>((AK65+AM65)*Percapita/30*FK$4)+((AL65+AN65)*Cadeirante/30*FK$4)</f>
        <v>0</v>
      </c>
      <c r="FL65" s="181">
        <f>((AO65+AQ65)*Percapita/30*FL$4)+((AP65+AR65)*Cadeirante/30*FL$4)</f>
        <v>0</v>
      </c>
      <c r="FM65" s="181">
        <f>((AS65+AU65)*Percapita/30*FM$4)+((AT65+AV65)*Cadeirante/30*FM$4)</f>
        <v>0</v>
      </c>
      <c r="FN65" s="181">
        <f>((AW65+AY65)*Percapita/30*FN$4)+((AX65+AZ65)*Cadeirante/30*FN$4)</f>
        <v>0</v>
      </c>
      <c r="FO65" s="181">
        <f>((BA65+BC65)*Percapita/30*FO$4)+((BB65+BD65)*Cadeirante/30*FO$4)</f>
        <v>0</v>
      </c>
      <c r="FP65" s="181">
        <f>((BE65+BG65)*Percapita/30*FP$4)+((BF65+BH65)*Cadeirante/30*FP$4)</f>
        <v>0</v>
      </c>
      <c r="FQ65" s="181">
        <f>((BI65+BK65)*Percapita/30*FQ$4)+((BJ65+BL65)*Cadeirante/30*FQ$4)</f>
        <v>0</v>
      </c>
      <c r="FR65" s="181">
        <f>((BM65+BO65)*Percapita/30*FR$4)+((BN65+BP65)*Cadeirante/30*FR$4)</f>
        <v>0</v>
      </c>
      <c r="FS65" s="181">
        <f>((BQ65+BS65)*Percapita/30*FS$4)+((BR65+BT65)*Cadeirante/30*FS$4)</f>
        <v>0</v>
      </c>
      <c r="FT65" s="181">
        <f>((BU65+BW65)*Percapita/30*FT$4)+((BV65+BX65)*Cadeirante/30*FT$4)</f>
        <v>0</v>
      </c>
      <c r="FU65" s="181">
        <f>((BY65+CA65)*Percapita/30*FU$4)+((BZ65+CB65)*Cadeirante/30*FU$4)</f>
        <v>0</v>
      </c>
      <c r="FV65" s="181">
        <f>((CC65+CE65)*Percapita/30*FV$4)+((CD65+CF65)*Cadeirante/30*FV$4)</f>
        <v>0</v>
      </c>
      <c r="FW65" s="181">
        <f>((CG65+CI65)*Percapita/30*FW$4)+((CI65+CK65)*Cadeirante/30*FW$4)</f>
        <v>0</v>
      </c>
      <c r="FX65" s="181">
        <f>((CK65+CM65)*Percapita/30*FX$4)+((CL65+CN65)*Cadeirante/30*FX$4)</f>
        <v>0</v>
      </c>
      <c r="FY65" s="181">
        <f>((CO65+CQ65)*Percapita/30*FY$4)+((CP65+CR65)*Cadeirante/30*FY$4)</f>
        <v>0</v>
      </c>
      <c r="FZ65" s="181">
        <f>((CS65+CU65)*Percapita/30*FZ$4)+((CT65+CV65)*Cadeirante/30*FZ$4)</f>
        <v>0</v>
      </c>
      <c r="GA65" s="181">
        <f>((CW65+CY65)*Percapita/30*GA$4)+((CX65+CZ65)*Cadeirante/30*GA$4)</f>
        <v>0</v>
      </c>
      <c r="GB65" s="181">
        <f>((DA65+DC65)*Percapita/30*GB$4)+((DB65+DD65)*Cadeirante/30*GB$4)</f>
        <v>0</v>
      </c>
      <c r="GC65" s="181">
        <f>((DE65+DG65)*Percapita/30*GC$4)+((DF65+DH65)*Cadeirante/30*GC$4)</f>
        <v>0</v>
      </c>
      <c r="GD65" s="181">
        <f>((DI65+DK65)*Percapita/30*GD$4)+((DJ65+DL65)*Cadeirante/30*GD$4)</f>
        <v>0</v>
      </c>
      <c r="GE65" s="181">
        <f>((DM65+DO65)*Percapita/30*GE$4)+((DN65+DP65)*Cadeirante/30*GE$4)</f>
        <v>0</v>
      </c>
      <c r="GF65" s="181">
        <f>((DQ65+DS65)*Percapita/30*GF$4)+((DR65+DT65)*Cadeirante/30*GF$4)</f>
        <v>0</v>
      </c>
      <c r="GG65" s="181">
        <f>((DU65+DW65)*Percapita/30*GG$4)+((DV65+DX65)*Cadeirante/30*GG$4)</f>
        <v>0</v>
      </c>
      <c r="GH65" s="181">
        <f>((DY65+EA65)*Percapita/30*GH$4)+((DZ65+EB65)*Cadeirante/30*GH$4)</f>
        <v>0</v>
      </c>
      <c r="GI65" s="181">
        <f>((EC65+EE65)*Percapita/30*GI$4)+((ED65+EF65)*Cadeirante/30*GI$4)</f>
        <v>0</v>
      </c>
      <c r="GJ65" s="181">
        <f>((EG65+EI65)*Percapita)+((EH65+EJ65)*Cadeirante)</f>
        <v>0</v>
      </c>
      <c r="GK65" s="258"/>
      <c r="GL65" s="103">
        <f t="shared" si="30"/>
        <v>0</v>
      </c>
      <c r="GM65" s="124"/>
      <c r="GN65" s="182"/>
      <c r="GO65" s="182"/>
      <c r="GP65" s="182"/>
      <c r="GQ65" s="182"/>
      <c r="GR65" s="182"/>
      <c r="GS65" s="182"/>
      <c r="GT65" s="182"/>
      <c r="GU65" s="182"/>
      <c r="GV65" s="182"/>
      <c r="GW65" s="182"/>
      <c r="GX65" s="182"/>
      <c r="GY65" s="182"/>
      <c r="GZ65" s="182"/>
      <c r="HA65" s="182"/>
      <c r="HB65" s="182"/>
      <c r="HC65" s="182"/>
      <c r="HD65" s="182"/>
      <c r="HE65" s="182"/>
      <c r="HF65" s="182"/>
      <c r="HG65" s="182"/>
      <c r="HH65" s="182"/>
      <c r="HI65" s="182"/>
      <c r="HJ65" s="182"/>
      <c r="HK65" s="182"/>
      <c r="HL65" s="182"/>
      <c r="HM65" s="182"/>
      <c r="HN65" s="182"/>
      <c r="HO65" s="182"/>
      <c r="HP65" s="259"/>
      <c r="HQ65" s="64"/>
      <c r="HW65" s="257"/>
      <c r="HY65" s="280">
        <f t="shared" si="82"/>
        <v>0</v>
      </c>
      <c r="HZ65" s="280">
        <f t="shared" si="83"/>
        <v>0</v>
      </c>
      <c r="IA65" s="280">
        <f t="shared" si="84"/>
        <v>0</v>
      </c>
    </row>
    <row r="66" spans="1:237" s="106" customFormat="1" ht="22.5" customHeight="1" x14ac:dyDescent="0.25">
      <c r="A66" t="s">
        <v>3238</v>
      </c>
      <c r="B66" s="522" t="s">
        <v>3239</v>
      </c>
      <c r="C66" s="523">
        <v>1</v>
      </c>
      <c r="D66" s="524" t="s">
        <v>3240</v>
      </c>
      <c r="E66" s="524" t="s">
        <v>3241</v>
      </c>
      <c r="F66" s="525" t="s">
        <v>3182</v>
      </c>
      <c r="G66" s="525" t="s">
        <v>3183</v>
      </c>
      <c r="H66" s="350" t="s">
        <v>350</v>
      </c>
      <c r="I66" s="351" t="s">
        <v>350</v>
      </c>
      <c r="J66" s="409" t="s">
        <v>3184</v>
      </c>
      <c r="K66" s="410" t="s">
        <v>3185</v>
      </c>
      <c r="L66" s="329">
        <f>CONTINUA!BV66</f>
        <v>0</v>
      </c>
      <c r="M66" s="329">
        <f>CONTINUA!BW66</f>
        <v>0</v>
      </c>
      <c r="N66" s="895"/>
      <c r="O66" s="896" t="s">
        <v>3286</v>
      </c>
      <c r="P66" s="897">
        <v>0</v>
      </c>
      <c r="Q66" s="400">
        <v>3</v>
      </c>
      <c r="R66" s="401"/>
      <c r="S66" s="400"/>
      <c r="T66" s="401"/>
      <c r="U66" s="400"/>
      <c r="V66" s="401"/>
      <c r="W66" s="400"/>
      <c r="X66" s="401"/>
      <c r="Y66" s="400"/>
      <c r="Z66" s="401"/>
      <c r="AA66" s="400"/>
      <c r="AB66" s="401"/>
      <c r="AC66" s="400"/>
      <c r="AD66" s="401"/>
      <c r="AE66" s="400"/>
      <c r="AF66" s="401"/>
      <c r="AG66" s="400"/>
      <c r="AH66" s="401"/>
      <c r="AI66" s="400"/>
      <c r="AJ66" s="401"/>
      <c r="AK66" s="400"/>
      <c r="AL66" s="401"/>
      <c r="AM66" s="400"/>
      <c r="AN66" s="401"/>
      <c r="AO66" s="400"/>
      <c r="AP66" s="401"/>
      <c r="AQ66" s="400"/>
      <c r="AR66" s="401"/>
      <c r="AS66" s="400"/>
      <c r="AT66" s="401"/>
      <c r="AU66" s="400"/>
      <c r="AV66" s="401"/>
      <c r="AW66" s="400"/>
      <c r="AX66" s="401"/>
      <c r="AY66" s="400"/>
      <c r="AZ66" s="401"/>
      <c r="BA66" s="400"/>
      <c r="BB66" s="401"/>
      <c r="BC66" s="400"/>
      <c r="BD66" s="401"/>
      <c r="BE66" s="400"/>
      <c r="BF66" s="401"/>
      <c r="BG66" s="400"/>
      <c r="BH66" s="401"/>
      <c r="BI66" s="400"/>
      <c r="BJ66" s="401"/>
      <c r="BK66" s="400"/>
      <c r="BL66" s="401"/>
      <c r="BM66" s="400"/>
      <c r="BN66" s="401"/>
      <c r="BO66" s="400"/>
      <c r="BP66" s="401"/>
      <c r="BQ66" s="400"/>
      <c r="BR66" s="401"/>
      <c r="BS66" s="400"/>
      <c r="BT66" s="401"/>
      <c r="BU66" s="400"/>
      <c r="BV66" s="401"/>
      <c r="BW66" s="400"/>
      <c r="BX66" s="401"/>
      <c r="BY66" s="400"/>
      <c r="BZ66" s="401"/>
      <c r="CA66" s="400"/>
      <c r="CB66" s="401"/>
      <c r="CC66" s="400"/>
      <c r="CD66" s="401"/>
      <c r="CE66" s="400"/>
      <c r="CF66" s="401"/>
      <c r="CG66" s="400"/>
      <c r="CH66" s="401"/>
      <c r="CI66" s="400"/>
      <c r="CJ66" s="401"/>
      <c r="CK66" s="400"/>
      <c r="CL66" s="401"/>
      <c r="CM66" s="400"/>
      <c r="CN66" s="401"/>
      <c r="CO66" s="400"/>
      <c r="CP66" s="401"/>
      <c r="CQ66" s="400"/>
      <c r="CR66" s="401"/>
      <c r="CS66" s="400"/>
      <c r="CT66" s="401"/>
      <c r="CU66" s="400"/>
      <c r="CV66" s="401"/>
      <c r="CW66" s="400"/>
      <c r="CX66" s="401"/>
      <c r="CY66" s="400"/>
      <c r="CZ66" s="401"/>
      <c r="DA66" s="400"/>
      <c r="DB66" s="401"/>
      <c r="DC66" s="400"/>
      <c r="DD66" s="401"/>
      <c r="DE66" s="400"/>
      <c r="DF66" s="401"/>
      <c r="DG66" s="400"/>
      <c r="DH66" s="401"/>
      <c r="DI66" s="400"/>
      <c r="DJ66" s="401"/>
      <c r="DK66" s="400"/>
      <c r="DL66" s="401"/>
      <c r="DM66" s="400"/>
      <c r="DN66" s="401"/>
      <c r="DO66" s="400"/>
      <c r="DP66" s="401"/>
      <c r="DQ66" s="400"/>
      <c r="DR66" s="401"/>
      <c r="DS66" s="400"/>
      <c r="DT66" s="401"/>
      <c r="DU66" s="400"/>
      <c r="DV66" s="401"/>
      <c r="DW66" s="400"/>
      <c r="DX66" s="401"/>
      <c r="DY66" s="400"/>
      <c r="DZ66" s="401"/>
      <c r="EA66" s="400"/>
      <c r="EB66" s="401"/>
      <c r="EC66" s="400"/>
      <c r="ED66" s="401"/>
      <c r="EE66" s="400"/>
      <c r="EF66" s="401"/>
      <c r="EG66" s="400"/>
      <c r="EH66" s="401"/>
      <c r="EI66" s="400"/>
      <c r="EJ66" s="447"/>
      <c r="EK66" s="510"/>
      <c r="EL66" s="513"/>
      <c r="EM66" s="520"/>
      <c r="EN66" s="520"/>
      <c r="EO66" s="520"/>
      <c r="EP66" s="171">
        <f t="shared" si="22"/>
        <v>3</v>
      </c>
      <c r="EQ66" s="171">
        <f t="shared" si="23"/>
        <v>0</v>
      </c>
      <c r="ER66" s="171">
        <f t="shared" si="24"/>
        <v>0</v>
      </c>
      <c r="ES66" s="171">
        <f t="shared" si="25"/>
        <v>0</v>
      </c>
      <c r="ET66" s="171">
        <f t="shared" si="26"/>
        <v>0</v>
      </c>
      <c r="EU66" s="171">
        <f t="shared" si="27"/>
        <v>0</v>
      </c>
      <c r="EV66" s="172">
        <f t="shared" si="28"/>
        <v>3</v>
      </c>
      <c r="EW66" s="367">
        <f>IF(C66=4,IF(MAX(Q66:EJ68)&gt;0,(Especiall/30*(IF(($G66-$F66)=($G$5-$F$5),30,IF(DAY($G66)=31,($G66-$F66),($G66-$F66)+1)))),0),0)</f>
        <v>0</v>
      </c>
      <c r="EX66" s="248">
        <f t="shared" ref="EX66:EX69" si="85">FF66</f>
        <v>9033.44</v>
      </c>
      <c r="EY66" s="174">
        <f>(L66*regular)+(M66*Cadeirantee)</f>
        <v>0</v>
      </c>
      <c r="EZ66" s="249">
        <f>SUMIF(FG66:GJ66,"&gt;0")</f>
        <v>0</v>
      </c>
      <c r="FA66" s="249">
        <f>SUMIF(FG66:GJ66,"&lt;0")+SUMIF(GN66:HP66,"&lt;0")</f>
        <v>0</v>
      </c>
      <c r="FB66" s="174">
        <v>0</v>
      </c>
      <c r="FC66" s="175">
        <f>N66*km*'VALORES TABELA'!$B$13</f>
        <v>0</v>
      </c>
      <c r="FD66" s="250">
        <f>GL66</f>
        <v>0</v>
      </c>
      <c r="FE66" s="176">
        <f>(EW66+EW67+EW68+EW69+EX66+EX67+EX68+EX69+EY66+EY67+EY68+EY69+EY70+EZ66+EZ67+EZ68+EZ69+FA66+FA67+FA68+FA69+FC66+FC67+FC68+FC69+HY66-HZ66-IA66+FD66+FD67+FD68+FD69+FB70)</f>
        <v>9367.3984999999993</v>
      </c>
      <c r="FF66" s="177">
        <f>IF(C66=4,SUM(Q66+Q67+Q68+S66+S67+S68)*Percapita/30*FF$4+(R66+R67+R68+T66+T67+T68)*Cadeirante/30*FF$4,IF(C66=3,IF(Q69+S69=10,Fixo/30*FF$4+(Q66+Q67+Q68+S66+S67+S68)*Percapita/30*FF$4+(R69+T69)*Cadeirante/30*FF$4,IF(Q69+S69&lt;=9,(Q69+S69)*Crechee/30*FF$4)+(R69+T69)*Cadeirante/30*FF$4+(Q66+Q67+Q68+S66+S67+S68)*Percapita/30*FF$4)+IF(Q69+S69&gt;=11,Fixo/30*FF$4+(Q69+S69-10)*Crechee/30*FF$4,0),IF(C66=2,IF(R66+R67+R68+R69+T66+T67+T68+T69=1,Cadeirante/30*FF$4,IF(R66+R67+R68+R69+T66+T67+T68+T69=2,Fixo/30*FF$4,IF(R66+R67+R68+R69+T66+T67+T68+T69&gt;2,Fixo/30*FF$4+(R66+R67+R68+R69+T66+T67+T68+T69-2)*Cadeirante/30*FF$4)))+(Q66+Q67+Q68+S66+S67+S68)*Percapita/30*FF$4+(Q69+S69)*Crechee/30*FF$4,IF(C66=1,IF(Q66+Q67+Q68+R66+R67+R68+S66+S67+S68+T66+T67+T68&lt;=15,(Q66+Q67+Q68+S66+S67+S68)*Percapita/30*FF$4,IF(Q66+Q67+Q68+R66+R67+R68+S66+S67+S68+T66+T67+T68&gt;=16,Fixo/30*FF$4+(Q66+Q67+Q68+R66+R67+R68+S66+S67+S68+T66+T67-16)*Percapita/30*FF$4))))))</f>
        <v>9033.44</v>
      </c>
      <c r="FG66" s="177">
        <f>IF(C66=4,SUM(U66+U67+U68+W66+W67+W68)*Percapita/30*FG$4+(V66+V67+V68+X66+X67+X68)*Cadeirante/30*FG$4,IF(C66=3,IF(U69+W69=10,Fixo/30*FG$4+(U66+U67+U68+W66+W67+W68)*Percapita/30*FG$4+(V69+X69)*Cadeirante/30*FG$4,IF(U69+W69&lt;=9,(U69+W69)*Crechee/30*FG$4)+(V69+X69)*Cadeirante/30*FG$4+(U66+U67+U68+W66+W67+W68)*Percapita/30*FG$4)+IF(U69+W69&gt;=11,Fixo/30*FG$4+(U69+W69-10)*Crechee/30*FG$4,0),IF(C66=2,IF(V66+V67+V68+V69+X66+X67+X68+X69=1,Cadeirante/30*FG$4,IF(V66+V67+V68+V69+X66+X67+X68+X69=2,Fixo/30*FG$4,IF(V66+V67+V68+V69+X66+X67+X68+X69&gt;2,Fixo/30*FG$4+(V66+V67+V68+V69+X66+X67+X68+X69-2)*Cadeirante/30*FG$4)))+(U66+U67+U68+W66+W67+W68)*Percapita/30*FG$4+(U69+W69)*Crechee/30*FG$4,IF(C66=1,IF(U66+U67+U68+V66+V67+V68+W66+W67+W68+X66+X67+X68&lt;=15,(U66+U67+U68+W66+W67+W68)*Percapita/30*FG$4,IF(U66+U67+U68+V66+V67+V68+W66+W67+W68+X66+X67+X68&gt;=16,Fixo/30*FG$4+(U66+U67+U68+V66+V67+V68+W66+W67+W68+X66+X67-16)*Percapita/30*FG$4))))))</f>
        <v>0</v>
      </c>
      <c r="FH66" s="177">
        <f>IF(C66=4,SUM(Y66+Y67+Y68+AA66+AA67+AA68)*Percapita/30*FH$4+(Z66+Z67+Z68+AB66+AB67+AB68)*Cadeirante/30*FH$4,IF(C66=3,IF(Y69+AA69=10,Fixo/30*FH$4+(Y66+Y67+Y68+AA66+AA67+AA68)*Percapita/30*FH$4+(Z69+AB69)*Cadeirante/30*FH$4,IF(Y69+AA69&lt;=9,(Y69+AA69)*Crechee/30*FH$4)+(Z69+AB69)*Cadeirante/30*FH$4+(Y66+Y67+Y68+AA66+AA67+AA68)*Percapita/30*FH$4)+IF(Y69+AA69&gt;=11,Fixo/30*FH$4+(Y69+AA69-10)*Crechee/30*FH$4,0),IF(C66=2,IF(Z66+Z67+Z68+Z69+AB66+AB67+AB68+AB69=1,Cadeirante/30*FH$4,IF(Z66+Z67+Z68+Z69+AB66+AB67+AB68+AB69=2,Fixo/30*FH$4,IF(Z66+Z67+Z68+Z69+AB66+AB67+AB68+AB69&gt;2,Fixo/30*FH$4+(Z66+Z67+Z68+Z69+AB66+AB67+AB68+AB69-2)*Cadeirante/30*FH$4)))+(Y66+Y67+Y68+AA66+AA67+AA68)*Percapita/30*FH$4+(Y69+AA69)*Crechee/30*FH$4,IF(C66=1,IF(Y66+Y67+Y68+Z66+Z67+Z68+AA66+AA67+AA68+AB66+AB67+AB68&lt;=15,(Y66+Y67+Y68+AA66+AA67+AA68)*Percapita/30*FH$4,IF(Y66+Y67+Y68+Z66+Z67+Z68+AA66+AA67+AA68+AB66+AB67+AB68&gt;=16,Fixo/30*FH$4+(Y66+Y67+Y68+Z66+Z67+Z68+AA66+AA67+AA68+AB66+AB67-16)*Percapita/30*FH$4))))))</f>
        <v>0</v>
      </c>
      <c r="FI66" s="177">
        <f>IF(C66=4,SUM(AC66+AC67+AC68+AE66+AE67+AE68)*Percapita/30*FI$4+(AD66+AD67+AD68+AF66+AF67+AF68)*Cadeirante/30*FI$4,IF(C66=3,IF(AC69+AE69=10,Fixo/30*FI$4+(AC66+AC67+AC68+AE66+AE67+AE68)*Percapita/30*FI$4+(AD69+AF69)*Cadeirante/30*FI$4,IF(AC69+AE69&lt;=9,(AC69+AE69)*Crechee/30*FI$4)+(AD69+AF69)*Cadeirante/30*FI$4+(AC66+AC67+AC68+AE66+AE67+AE68)*Percapita/30*FI$4)+IF(AC69+AE69&gt;=11,Fixo/30*FI$4+(AC69+AE69-10)*Crechee/30*FI$4,0),IF(C66=2,IF(AD66+AD67+AD68+AD69+AF66+AF67+AF68+AF69=1,Cadeirante/30*FI$4,IF(AD66+AD67+AD68+AD69+AF66+AF67+AF68+AF69=2,Fixo/30*FI$4,IF(AD66+AD67+AD68+AD69+AF66+AF67+AF68+AF69&gt;2,Fixo/30*FI$4+(AD66+AD67+AD68+AD69+AF66+AF67+AF68+AF69-2)*Cadeirante/30*FI$4)))+(AC66+AC67+AC68+AE66+AE67+AE68)*Percapita/30*FI$4+(AC69+AE69)*Crechee/30*FI$4,IF(C66=1,IF(AC66+AC67+AC68+AD66+AD67+AD68+AE66+AE67+AE68+AF66+AF67+AF68&lt;=15,(AC66+AC67+AC68+AE66+AE67+AE68)*Percapita/30*FI$4,IF(AC66+AC67+AC68+AD66+AD67+AD68+AE66+AE67+AE68+AF66+AF67+AF68&gt;=16,Fixo/30*FI$4+(AC66+AC67+AC68+AD66+AD67+AD68+AE66+AE67+AE68+AF66+AF67-16)*Percapita/30*FI$4))))))</f>
        <v>0</v>
      </c>
      <c r="FJ66" s="177">
        <f>IF(C66=4,SUM(AG66+AG67+AG68+AI66+AI67+AI68)*Percapita/30*FJ$4+(AH66+AH67+AH68+AJ66+AJ67+AJ68)*Cadeirante/30*FJ$4,IF(C66=3,IF(AG69+AI69=10,Fixo/30*FJ$4+(AG66+AG67+AG68+AI66+AI67+AI68)*Percapita/30*FJ$4+(AH69+AJ69)*Cadeirante/30*FJ$4,IF(AG69+AI69&lt;=9,(AG69+AI69)*Crechee/30*FJ$4)+(AH69+AJ69)*Cadeirante/30*FJ$4+(AG66+AG67+AG68+AI66+AI67+AI68)*Percapita/30*FJ$4)+IF(AG69+AI69&gt;=11,Fixo/30*FJ$4+(AG69+AI69-10)*Crechee/30*FJ$4,0),IF(C66=2,IF(AH66+AH67+AH68+AH69+AJ66+AJ67+AJ68+AJ69=1,Cadeirante/30*FJ$4,IF(AH66+AH67+AH68+AH69+AJ66+AJ67+AJ68+AJ69=2,Fixo/30*FJ$4,IF(AH66+AH67+AH68+AH69+AJ66+AJ67+AJ68+AJ69&gt;2,Fixo/30*FJ$4+(AH66+AH67+AH68+AH69+AJ66+AJ67+AJ68+AJ69-2)*Cadeirante/30*FJ$4)))+(AG66+AG67+AG68+AI66+AI67+AI68)*Percapita/30*FJ$4+(AG69+AI69)*Crechee/30*FJ$4,IF(C66=1,IF(AG66+AG67+AG68+AH66+AH67+AH68+AI66+AI67+AI68+AJ66+AJ67+AJ68&lt;=15,(AG66+AG67+AG68+AI66+AI67+AI68)*Percapita/30*FJ$4,IF(AG66+AG67+AG68+AH66+AH67+AH68+AI66+AI67+AI68+AJ66+AJ67+AJ68&gt;=16,Fixo/30*FJ$4+(AG66+AG67+AG68+AH66+AH67+AH68+AI66+AI67+AI68+AJ66+AJ67-16)*Percapita/30*FJ$4))))))</f>
        <v>0</v>
      </c>
      <c r="FK66" s="177">
        <f>IF(C66=4,SUM(AK66+AK67+AK68+AM66+AM67+AM68)*Percapita/30*FK$4+(AL66+AL67+AL68+AN66+AN67+AN68)*Cadeirante/30*FK$4,IF(C66=3,IF(AK69+AM69=10,Fixo/30*FK$4+(AK66+AK67+AK68+AM66+AM67+AM68)*Percapita/30*FK$4+(AL69+AN69)*Cadeirante/30*FK$4,IF(AK69+AM69&lt;=9,(AK69+AM69)*Crechee/30*FK$4)+(AL69+AN69)*Cadeirante/30*FK$4+(AK66+AK67+AK68+AM66+AM67+AM68)*Percapita/30*FK$4)+IF(AK69+AM69&gt;=11,Fixo/30*FK$4+(AK69+AM69-10)*Crechee/30*FK$4,0),IF(C66=2,IF(AL66+AL67+AL68+AL69+AN66+AN67+AN68+AN69=1,Cadeirante/30*FK$4,IF(AL66+AL67+AL68+AL69+AN66+AN67+AN68+AN69=2,Fixo/30*FK$4,IF(AL66+AL67+AL68+AL69+AN66+AN67+AN68+AN69&gt;2,Fixo/30*FK$4+(AL66+AL67+AL68+AL69+AN66+AN67+AN68+AN69-2)*Cadeirante/30*FK$4)))+(AK66+AK67+AK68+AM66+AM67+AM68)*Percapita/30*FK$4+(AK69+AM69)*Crechee/30*FK$4,IF(C66=1,IF(AK66+AK67+AK68+AL66+AL67+AL68+AM66+AM67+AM68+AN66+AN67+AN68&lt;=15,(AK66+AK67+AK68+AM66+AM67+AM68)*Percapita/30*FK$4,IF(AK66+AK67+AK68+AL66+AL67+AL68+AM66+AM67+AM68+AN66+AN67+AN68&gt;=16,Fixo/30*FK$4+(AK66+AK67+AK68+AL66+AL67+AL68+AM66+AM67+AM68+AN66+AN67-16)*Percapita/30*FK$4))))))</f>
        <v>0</v>
      </c>
      <c r="FL66" s="177">
        <f>IF(C66=4,SUM(AO66+AO67+AO68+AQ66+AQ67+AQ68)*Percapita/30*FL$4+(AP66+AP67+AP68+AR66+AR67+AR68)*Cadeirante/30*FL$4,IF(C66=3,IF(AO69+AQ69=10,Fixo/30*FL$4+(AO66+AO67+AO68+AQ66+AQ67+AQ68)*Percapita/30*FL$4+(AP69+AR69)*Cadeirante/30*FL$4,IF(AO69+AQ69&lt;=9,(AO69+AQ69)*Crechee/30*FL$4)+(AP69+AR69)*Cadeirante/30*FL$4+(AO66+AO67+AO68+AQ66+AQ67+AQ68)*Percapita/30*FL$4)+IF(AO69+AQ69&gt;=11,Fixo/30*FL$4+(AO69+AQ69-10)*Crechee/30*FL$4,0),IF(C66=2,IF(AP66+AP67+AP68+AP69+AR66+AR67+AR68+AR69=1,Cadeirante/30*FL$4,IF(AP66+AP67+AP68+AP69+AR66+AR67+AR68+AR69=2,Fixo/30*FL$4,IF(AP66+AP67+AP68+AP69+AR66+AR67+AR68+AR69&gt;2,Fixo/30*FL$4+(AP66+AP67+AP68+AP69+AR66+AR67+AR68+AR69-2)*Cadeirante/30*FL$4)))+(AO66+AO67+AO68+AQ66+AQ67+AQ68)*Percapita/30*FL$4+(AO69+AQ69)*Crechee/30*FL$4,IF(C66=1,IF(AO66+AO67+AO68+AP66+AP67+AP68+AQ66+AQ67+AQ68+AR66+AR67+AR68&lt;=15,(AO66+AO67+AO68+AQ66+AQ67+AQ68)*Percapita/30*FL$4,IF(AO66+AO67+AO68+AP66+AP67+AP68+AQ66+AQ67+AQ68+AR66+AR67+AR68&gt;=16,Fixo/30*FL$4+(AO66+AO67+AO68+AP66+AP67+AP68+AQ66+AQ67+AQ68+AR66+AR67-16)*Percapita/30*FL$4))))))</f>
        <v>0</v>
      </c>
      <c r="FM66" s="177">
        <f>IF(C66=4,SUM(AS66+AS67+AS68+AU66+AU67+AU68)*Percapita/30*FM$4+(AT66+AT67+AT68+AV66+AV67+AV68)*Cadeirante/30*FM$4,IF(C66=3,IF(AS69+AU69=10,Fixo/30*FM$4+(AS66+AS67+AS68+AU66+AU67+AU68)*Percapita/30*FM$4+(AT69+AV69)*Cadeirante/30*FM$4,IF(AS69+AU69&lt;=9,(AS69+AU69)*Crechee/30*FM$4)+(AT69+AV69)*Cadeirante/30*FM$4+(AS66+AS67+AS68+AU66+AU67+AU68)*Percapita/30*FM$4)+IF(AS69+AU69&gt;=11,Fixo/30*FM$4+(AS69+AU69-10)*Crechee/30*FM$4,0),IF(C66=2,IF(AT66+AT67+AT68+AT69+AV66+AV67+AV68+AV69=1,Cadeirante/30*FM$4,IF(AT66+AT67+AT68+AT69+AV66+AV67+AV68+AV69=2,Fixo/30*FM$4,IF(AT66+AT67+AT68+AT69+AV66+AV67+AV68+AV69&gt;2,Fixo/30*FM$4+(AT66+AT67+AT68+AT69+AV66+AV67+AV68+AV69-2)*Cadeirante/30*FM$4)))+(AS66+AS67+AS68+AU66+AU67+AU68)*Percapita/30*FM$4+(AS69+AU69)*Crechee/30*FM$4,IF(C66=1,IF(AS66+AS67+AS68+AT66+AT67+AT68+AU66+AU67+AU68+AV66+AV67+AV68&lt;=15,(AS66+AS67+AS68+AU66+AU67+AU68)*Percapita/30*FM$4,IF(AS66+AS67+AS68+AT66+AT67+AT68+AU66+AU67+AU68+AV66+AV67+AV68&gt;=16,Fixo/30*FM$4+(AS66+AS67+AS68+AT66+AT67+AT68+AU66+AU67+AU68+AV66+AV67-16)*Percapita/30*FM$4))))))</f>
        <v>0</v>
      </c>
      <c r="FN66" s="177">
        <f>IF(C66=4,SUM(AW66+AW67+AW68+AY66+AY67+AY68)*Percapita/30*FN$4+(AX66+AX67+AX68+AZ66+AZ67+AZ68)*Cadeirante/30*FN$4,IF(C66=3,IF(AW69+AY69=10,Fixo/30*FN$4+(AW66+AW67+AW68+AY66+AY67+AY68)*Percapita/30*FN$4+(AX69+AZ69)*Cadeirante/30*FN$4,IF(AW69+AY69&lt;=9,(AW69+AY69)*Crechee/30*FN$4)+(AX69+AZ69)*Cadeirante/30*FN$4+(AW66+AW67+AW68+AY66+AY67+AY68)*Percapita/30*FN$4)+IF(AW69+AY69&gt;=11,Fixo/30*FN$4+(AW69+AY69-10)*Crechee/30*FN$4,0),IF(C66=2,IF(AX66+AX67+AX68+AX69+AZ66+AZ67+AZ68+AZ69=1,Cadeirante/30*FN$4,IF(AX66+AX67+AX68+AX69+AZ66+AZ67+AZ68+AZ69=2,Fixo/30*FN$4,IF(AX66+AX67+AX68+AX69+AZ66+AZ67+AZ68+AZ69&gt;2,Fixo/30*FN$4+(AX66+AX67+AX68+AX69+AZ66+AZ67+AZ68+AZ69-2)*Cadeirante/30*FN$4)))+(AW66+AW67+AW68+AY66+AY67+AY68)*Percapita/30*FN$4+(AW69+AY69)*Crechee/30*FN$4,IF(C66=1,IF(AW66+AW67+AW68+AX66+AX67+AX68+AY66+AY67+AY68+AZ66+AZ67+AZ68&lt;=15,(AW66+AW67+AW68+AY66+AY67+AY68)*Percapita/30*FN$4,IF(AW66+AW67+AW68+AX66+AX67+AX68+AY66+AY67+AY68+AZ66+AZ67+AZ68&gt;=16,Fixo/30*FN$4+(AW66+AW67+AW68+AX66+AX67+AX68+AY66+AY67+AY68+AZ66+AZ67-16)*Percapita/30*FN$4))))))</f>
        <v>0</v>
      </c>
      <c r="FO66" s="177">
        <f>IF(C66=4,SUM(BA66+BA67+BA68+BC66+BC67+BC68)*Percapita/30*FO$4+(BB66+BB67+BB68+BD66+BD67+BD68)*Cadeirante/30*FO$4,IF(C66=3,IF(BA69+BC69=10,Fixo/30*FO$4+(BA66+BA67+BA68+BC66+BC67+BC68)*Percapita/30*FO$4+(BB69+BD69)*Cadeirante/30*FO$4,IF(BA69+BC69&lt;=9,(BA69+BC69)*Crechee/30*FO$4)+(BB69+BD69)*Cadeirante/30*FO$4+(BA66+BA67+BA68+BC66+BC67+BC68)*Percapita/30*FO$4)+IF(BA69+BC69&gt;=11,Fixo/30*FO$4+(BA69+BC69-10)*Crechee/30*FO$4,0),IF(C66=2,IF(BB66+BB67+BB68+BB69+BD66+BD67+BD68+BD69=1,Cadeirante/30*FO$4,IF(BB66+BB67+BB68+BB69+BD66+BD67+BD68+BD69=2,Fixo/30*FO$4,IF(BB66+BB67+BB68+BB69+BD66+BD67+BD68+BD69&gt;2,Fixo/30*FO$4+(BB66+BB67+BB68+BB69+BD66+BD67+BD68+BD69-2)*Cadeirante/30*FO$4)))+(BA66+BA67+BA68+BC66+BC67+BC68)*Percapita/30*FO$4+(BA69+BC69)*Crechee/30*FO$4,IF(C66=1,IF(BA66+BA67+BA68+BB66+BB67+BB68+BC66+BC67+BC68+BD66+BD67+BD68&lt;=15,(BA66+BA67+BA68+BC66+BC67+BC68)*Percapita/30*FO$4,IF(BA66+BA67+BA68+BB66+BB67+BB68+BC66+BC67+BC68+BD66+BD67+BD68&gt;=16,Fixo/30*FO$4+(BA66+BA67+BA68+BB66+BB67+BB68+BC66+BC67+BC68+BD66+BD67-16)*Percapita/30*FO$4))))))</f>
        <v>0</v>
      </c>
      <c r="FP66" s="177">
        <f>IF(C66=4,SUM(BE66+BE67+BE68+BG66+BG67+BG68)*Percapita/30*FP$4+(BF66+BF67+BF68+BH66+BH67+BH68)*Cadeirante/30*FP$4,IF(C66=3,IF(BE69+BG69=10,Fixo/30*FP$4+(BE66+BE67+BE68+BG66+BG67+BG68)*Percapita/30*FP$4+(BF69+BH69)*Cadeirante/30*FP$4,IF(BE69+BG69&lt;=9,(BE69+BG69)*Crechee/30*FP$4)+(BF69+BH69)*Cadeirante/30*FP$4+(BE66+BE67+BE68+BG66+BG67+BG68)*Percapita/30*FP$4)+IF(BE69+BG69&gt;=11,Fixo/30*FP$4+(BE69+BG69-10)*Crechee/30*FP$4,0),IF(C66=2,IF(BF66+BF67+BF68+BF69+BH66+BH67+BH68+BH69=1,Cadeirante/30*FP$4,IF(BF66+BF67+BF68+BF69+BH66+BH67+BH68+BH69=2,Fixo/30*FP$4,IF(BF66+BF67+BF68+BF69+BH66+BH67+BH68+BH69&gt;2,Fixo/30*FP$4+(BF66+BF67+BF68+BF69+BH66+BH67+BH68+BH69-2)*Cadeirante/30*FP$4)))+(BE66+BE67+BE68+BG66+BG67+BG68)*Percapita/30*FP$4+(BE69+BG69)*Crechee/30*FP$4,IF(C66=1,IF(BE66+BE67+BE68+BF66+BF67+BF68+BG66+BG67+BG68+BH66+BH67+BH68&lt;=15,(BE66+BE67+BE68+BG66+BG67+BG68)*Percapita/30*FP$4,IF(BE66+BE67+BE68+BF66+BF67+BF68+BG66+BG67+BG68+BH66+BH67+BH68&gt;=16,Fixo/30*FP$4+(BE66+BE67+BE68+BF66+BF67+BF68+BG66+BG67+BG68+BH66+BH67-16)*Percapita/30*FP$4))))))</f>
        <v>0</v>
      </c>
      <c r="FQ66" s="177">
        <f>IF(C66=4,SUM(BI66+BI67+BI68+BK66+BK67+BK68)*Percapita/30*FQ$4+(BJ66+BJ67+BJ68+BL66+BL67+BL68)*Cadeirante/30*FQ$4,IF(C66=3,IF(BI69+BK69=10,Fixo/30*FQ$4+(BI66+BI67+BI68+BK66+BK67+BK68)*Percapita/30*FQ$4+(BJ69+BL69)*Cadeirante/30*FQ$4,IF(BI69+BK69&lt;=9,(BI69+BK69)*Crechee/30*FQ$4)+(BJ69+BL69)*Cadeirante/30*FQ$4+(BI66+BI67+BI68+BK66+BK67+BK68)*Percapita/30*FQ$4)+IF(BI69+BK69&gt;=11,Fixo/30*FQ$4+(BI69+BK69-10)*Crechee/30*FQ$4,0),IF(C66=2,IF(BJ66+BJ67+BJ68+BJ69+BL66+BL67+BL68+BL69=1,Cadeirante/30*FQ$4,IF(BJ66+BJ67+BJ68+BJ69+BL66+BL67+BL68+BL69=2,Fixo/30*FQ$4,IF(BJ66+BJ67+BJ68+BJ69+BL66+BL67+BL68+BL69&gt;2,Fixo/30*FQ$4+(BJ66+BJ67+BJ68+BJ69+BL66+BL67+BL68+BL69-2)*Cadeirante/30*FQ$4)))+(BI66+BI67+BI68+BK66+BK67+BK68)*Percapita/30*FQ$4+(BI69+BK69)*Crechee/30*FQ$4,IF(C66=1,IF(BI66+BI67+BI68+BJ66+BJ67+BJ68+BK66+BK67+BK68+BL66+BL67+BL68&lt;=15,(BI66+BI67+BI68+BK66+BK67+BK68)*Percapita/30*FQ$4,IF(BI66+BI67+BI68+BJ66+BJ67+BJ68+BK66+BK67+BK68+BL66+BL67+BL68&gt;=16,Fixo/30*FQ$4+(BI66+BI67+BI68+BJ66+BJ67+BJ68+BK66+BK67+BK68+BL66+BL67-16)*Percapita/30*FQ$4))))))</f>
        <v>0</v>
      </c>
      <c r="FR66" s="177">
        <f>IF(C66=4,SUM(BM66+BM67+BM68+BO66+BO67+BO68)*Percapita/30*FR$4+(BN66+BN67+BN68+BP66+BP67+BP68)*Cadeirante/30*FR$4,IF(C66=3,IF(BM69+BO69=10,Fixo/30*FR$4+(BM66+BM67+BM68+BO66+BO67+BO68)*Percapita/30*FR$4+(BN69+BP69)*Cadeirante/30*FR$4,IF(BM69+BO69&lt;=9,(BM69+BO69)*Crechee/30*FR$4)+(BN69+BP69)*Cadeirante/30*FR$4+(BM66+BM67+BM68+BO66+BO67+BO68)*Percapita/30*FR$4)+IF(BM69+BO69&gt;=11,Fixo/30*FR$4+(BM69+BO69-10)*Crechee/30*FR$4,0),IF(C66=2,IF(BN66+BN67+BN68+BN69+BP66+BP67+BP68+BP69=1,Cadeirante/30*FR$4,IF(BN66+BN67+BN68+BN69+BP66+BP67+BP68+BP69=2,Fixo/30*FR$4,IF(BN66+BN67+BN68+BN69+BP66+BP67+BP68+BP69&gt;2,Fixo/30*FR$4+(BN66+BN67+BN68+BN69+BP66+BP67+BP68+BP69-2)*Cadeirante/30*FR$4)))+(BM66+BM67+BM68+BO66+BO67+BO68)*Percapita/30*FR$4+(BM69+BO69)*Crechee/30*FR$4,IF(C66=1,IF(BM66+BM67+BM68+BN66+BN67+BN68+BO66+BO67+BO68+BP66+BP67+BP68&lt;=15,(BM66+BM67+BM68+BO66+BO67+BO68)*Percapita/30*FR$4,IF(BM66+BM67+BM68+BN66+BN67+BN68+BO66+BO67+BO68+BP66+BP67+BP68&gt;=16,Fixo/30*FR$4+(BM66+BM67+BM68+BN66+BN67+BN68+BO66+BO67+BO68+BP66+BP67-16)*Percapita/30*FR$4))))))</f>
        <v>0</v>
      </c>
      <c r="FS66" s="177">
        <f>IF(C66=4,SUM(BQ66+BQ67+BQ68+BS66+BS67+BS68)*Percapita/30*FS$4+(BR66+BR67+BR68+BT66+BT67+BT68)*Cadeirante/30*FS$4,IF(C66=3,IF(BQ69+BS69=10,Fixo/30*FS$4+(BQ66+BQ67+BQ68+BS66+BS67+BS68)*Percapita/30*FS$4+(BR69+BT69)*Cadeirante/30*FS$4,IF(BQ69+BS69&lt;=9,(BQ69+BS69)*Crechee/30*FS$4)+(BR69+BT69)*Cadeirante/30*FS$4+(BQ66+BQ67+BQ68+BS66+BS67+BS68)*Percapita/30*FS$4)+IF(BQ69+BS69&gt;=11,Fixo/30*FS$4+(BQ69+BS69-10)*Crechee/30*FS$4,0),IF(C66=2,IF(BR66+BR67+BR68+BR69+BT66+BT67+BT68+BT69=1,Cadeirante/30*FS$4,IF(BR66+BR67+BR68+BR69+BT66+BT67+BT68+BT69=2,Fixo/30*FS$4,IF(BR66+BR67+BR68+BR69+BT66+BT67+BT68+BT69&gt;2,Fixo/30*FS$4+(BR66+BR67+BR68+BR69+BT66+BT67+BT68+BT69-2)*Cadeirante/30*FS$4)))+(BQ66+BQ67+BQ68+BS66+BS67+BS68)*Percapita/30*FS$4+(BQ69+BS69)*Crechee/30*FS$4,IF(C66=1,IF(BQ66+BQ67+BQ68+BR66+BR67+BR68+BS66+BS67+BS68+BT66+BT67+BT68&lt;=15,(BQ66+BQ67+BQ68+BS66+BS67+BS68)*Percapita/30*FS$4,IF(BQ66+BQ67+BQ68+BR66+BR67+BR68+BS66+BS67+BS68+BT66+BT67+BT68&gt;=16,Fixo/30*FS$4+(BQ66+BQ67+BQ68+BR66+BR67+BR68+BS66+BS67+BS68+BT66+BT67-16)*Percapita/30*FS$4))))))</f>
        <v>0</v>
      </c>
      <c r="FT66" s="177">
        <f>IF(C66=4,SUM(BU66+BU67+BU68+BW66+BW67+BW68)*Percapita/30*FT$4+(BV66+BV67+BV68+BX66+BX67+BX68)*Cadeirante/30*FT$4,IF(C66=3,IF(BU69+BW69=10,Fixo/30*FT$4+(BU66+BU67+BU68+BW66+BW67+BW68)*Percapita/30*FT$4+(BV69+BX69)*Cadeirante/30*FT$4,IF(BU69+BW69&lt;=9,(BU69+BW69)*Crechee/30*FT$4)+(BV69+BX69)*Cadeirante/30*FT$4+(BU66+BU67+BU68+BW66+BW67+BW68)*Percapita/30*FT$4)+IF(BU69+BW69&gt;=11,Fixo/30*FT$4+(BU69+BW69-10)*Crechee/30*FT$4,0),IF(C66=2,IF(BV66+BV67+BV68+BV69+BX66+BX67+BX68+BX69=1,Cadeirante/30*FT$4,IF(BV66+BV67+BV68+BV69+BX66+BX67+BX68+BX69=2,Fixo/30*FT$4,IF(BV66+BV67+BV68+BV69+BX66+BX67+BX68+BX69&gt;2,Fixo/30*FT$4+(BV66+BV67+BV68+BV69+BX66+BX67+BX68+BX69-2)*Cadeirante/30*FT$4)))+(BU66+BU67+BU68+BW66+BW67+BW68)*Percapita/30*FT$4+(BU69+BW69)*Crechee/30*FT$4,IF(C66=1,IF(BU66+BU67+BU68+BV66+BV67+BV68+BW66+BW67+BW68+BX66+BX67+BX68&lt;=15,(BU66+BU67+BU68+BW66+BW67+BW68)*Percapita/30*FT$4,IF(BU66+BU67+BU68+BV66+BV67+BV68+BW66+BW67+BW68+BX66+BX67+BX68&gt;=16,Fixo/30*FT$4+(BU66+BU67+BU68+BV66+BV67+BV68+BW66+BW67+BW68+BX66+BX67-16)*Percapita/30*FT$4))))))</f>
        <v>0</v>
      </c>
      <c r="FU66" s="177">
        <f>IF(C66=4,SUM(BY66+BY67+BY68+CA66+CA67+CA68)*Percapita/30*FU$4+(BZ66+BZ67+BZ68+CB66+CB67+CB68)*Cadeirante/30*FU$4,IF(C66=3,IF(BY69+CA69=10,Fixo/30*FU$4+(BY66+BY67+BY68+CA66+CA67+CA68)*Percapita/30*FU$4+(BZ69+CB69)*Cadeirante/30*FU$4,IF(BY69+CA69&lt;=9,(BY69+CA69)*Crechee/30*FU$4)+(BZ69+CB69)*Cadeirante/30*FU$4+(BY66+BY67+BY68+CA66+CA67+CA68)*Percapita/30*FU$4)+IF(BY69+CA69&gt;=11,Fixo/30*FU$4+(BY69+CA69-10)*Crechee/30*FU$4,0),IF(C66=2,IF(BZ66+BZ67+BZ68+BZ69+CB66+CB67+CB68+CB69=1,Cadeirante/30*FU$4,IF(BZ66+BZ67+BZ68+BZ69+CB66+CB67+CB68+CB69=2,Fixo/30*FU$4,IF(BZ66+BZ67+BZ68+BZ69+CB66+CB67+CB68+CB69&gt;2,Fixo/30*FU$4+(BZ66+BZ67+BZ68+BZ69+CB66+CB67+CB68+CB69-2)*Cadeirante/30*FU$4)))+(BY66+BY67+BY68+CA66+CA67+CA68)*Percapita/30*FU$4+(BY69+CA69)*Crechee/30*FU$4,IF(C66=1,IF(BY66+BY67+BY68+BZ66+BZ67+BZ68+CA66+CA67+CA68+CB66+CB67+CB68&lt;=15,(BY66+BY67+BY68+CA66+CA67+CA68)*Percapita/30*FU$4,IF(BY66+BY67+BY68+BZ66+BZ67+BZ68+CA66+CA67+CA68+CB66+CB67+CB68&gt;=16,Fixo/30*FU$4+(BY66+BY67+BY68+BZ66+BZ67+BZ68+CA66+CA67+CA68+CB66+CB67-16)*Percapita/30*FU$4))))))</f>
        <v>0</v>
      </c>
      <c r="FV66" s="177">
        <f>IF(C66=4,SUM(CC66+CC67+CC68+CE66+CE67+CE68)*Percapita/30*FV$4+(CD66+CD67+CD68+CF66+CF67+CF68)*Cadeirante/30*FV$4,IF(C66=3,IF(CC69+CE69=10,Fixo/30*FV$4+(CC66+CC67+CC68+CE66+CE67+CE68)*Percapita/30*FV$4+(CD69+CF69)*Cadeirante/30*FV$4,IF(CC69+CE69&lt;=9,(CC69+CE69)*Crechee/30*FV$4)+(CD69+CF69)*Cadeirante/30*FV$4+(CC66+CC67+CC68+CE66+CE67+CE68)*Percapita/30*FV$4)+IF(CC69+CE69&gt;=11,Fixo/30*FV$4+(CC69+CE69-10)*Crechee/30*FV$4,0),IF(C66=2,IF(CD66+CD67+CD68+CD69+CF66+CF67+CF68+CF69=1,Cadeirante/30*FV$4,IF(CD66+CD67+CD68+CD69+CF66+CF67+CF68+CF69=2,Fixo/30*FV$4,IF(CD66+CD67+CD68+CD69+CF66+CF67+CF68+CF69&gt;2,Fixo/30*FV$4+(CD66+CD67+CD68+CD69+CF66+CF67+CF68+CF69-2)*Cadeirante/30*FV$4)))+(CC66+CC67+CC68+CE66+CE67+CE68)*Percapita/30*FV$4+(CC69+CE69)*Crechee/30*FV$4,IF(C66=1,IF(CC66+CC67+CC68+CD66+CD67+CD68+CE66+CE67+CE68+CF66+CF67+CF68&lt;=15,(CC66+CC67+CC68+CE66+CE67+CE68)*Percapita/30*FV$4,IF(CC66+CC67+CC68+CD66+CD67+CD68+CE66+CE67+CE68+CF66+CF67+CF68&gt;=16,Fixo/30*FV$4+(CC66+CC67+CC68+CD66+CD67+CD68+CE66+CE67+CE68+CF66+CF67-16)*Percapita/30*FV$4))))))</f>
        <v>0</v>
      </c>
      <c r="FW66" s="177">
        <f>IF(C66=4,SUM(CG66+CG67+CG68+CI66+CI67+CI68)*Percapita/30*FW$4+(CH66+CH67+CH68+CJ66+CJ67+CJ68)*Cadeirante/30*FW$4,IF(C66=3,IF(CG69+CI69=10,Fixo/30*FW$4+(CG66+CG67+CG68+CI66+CI67+CI68)*Percapita/30*FW$4+(CH69+CJ69)*Cadeirante/30*FW$4,IF(CG69+CI69&lt;=9,(CG69+CI69)*Crechee/30*FW$4)+(CH69+CJ69)*Cadeirante/30*FW$4+(CG66+CG67+CG68+CI66+CI67+CI68)*Percapita/30*FW$4)+IF(CG69+CI69&gt;=11,Fixo/30*FW$4+(CG69+CI69-10)*Crechee/30*FW$4,0),IF(C66=2,IF(CH66+CH67+CH68+CH69+CJ66+CJ67+CJ68+CJ69=1,Cadeirante/30*FW$4,IF(CH66+CH67+CH68+CH69+CJ66+CJ67+CJ68+CJ69=2,Fixo/30*FW$4,IF(CH66+CH67+CH68+CH69+CJ66+CJ67+CJ68+CJ69&gt;2,Fixo/30*FW$4+(CH66+CH67+CH68+CH69+CJ66+CJ67+CJ68+CJ69-2)*Cadeirante/30*FW$4)))+(CG66+CG67+CG68+CI66+CI67+CI68)*Percapita/30*FW$4+(CG69+CI69)*Crechee/30*FW$4,IF(C66=1,IF(CG66+CG67+CG68+CH66+CH67+CH68+CI66+CI67+CI68+CJ66+CJ67+CJ68&lt;=15,(CG66+CG67+CG68+CI66+CI67+CI68)*Percapita/30*FW$4,IF(CG66+CG67+CG68+CH66+CH67+CH68+CI66+CI67+CI68+CJ66+CJ67+CJ68&gt;=16,Fixo/30*FW$4+(CG66+CG67+CG68+CH66+CH67+CH68+CI66+CI67+CI68+CJ66+CJ67-16)*Percapita/30*FW$4))))))</f>
        <v>0</v>
      </c>
      <c r="FX66" s="177">
        <f>IF(C66=4,SUM(CK66+CK67+CK68+CM66+CM67+CM68)*Percapita/30*FX$4+(CL66+CL67+CL68+CN66+CN67+CN68)*Cadeirante/30*FX$4,IF(C66=3,IF(CK69+CM69=10,Fixo/30*FX$4+(CK66+CK67+CK68+CM66+CM67+CM68)*Percapita/30*FX$4+(CL69+CN69)*Cadeirante/30*FX$4,IF(CK69+CM69&lt;=9,(CK69+CM69)*Crechee/30*FX$4)+(CL69+CN69)*Cadeirante/30*FX$4+(CK66+CK67+CK68+CM66+CM67+CM68)*Percapita/30*FX$4)+IF(CK69+CM69&gt;=11,Fixo/30*FX$4+(CK69+CM69-10)*Crechee/30*FX$4,0),IF(C66=2,IF(CL66+CL67+CL68+CL69+CN66+CN67+CN68+CN69=1,Cadeirante/30*FX$4,IF(CL66+CL67+CL68+CL69+CN66+CN67+CN68+CN69=2,Fixo/30*FX$4,IF(CL66+CL67+CL68+CL69+CN66+CN67+CN68+CN69&gt;2,Fixo/30*FX$4+(CL66+CL67+CL68+CL69+CN66+CN67+CN68+CN69-2)*Cadeirante/30*FX$4)))+(CK66+CK67+CK68+CM66+CM67+CM68)*Percapita/30*FX$4+(CK69+CM69)*Crechee/30*FX$4,IF(C66=1,IF(CK66+CK67+CK68+CL66+CL67+CL68+CM66+CM67+CM68+CN66+CN67+CN68&lt;=15,(CK66+CK67+CK68+CM66+CM67+CM68)*Percapita/30*FX$4,IF(CK66+CK67+CK68+CL66+CL67+CL68+CM66+CM67+CM68+CN66+CN67+CN68&gt;=16,Fixo/30*FX$4+(CK66+CK67+CK68+CL66+CL67+CL68+CM66+CM67+CM68+CN66+CN67-16)*Percapita/30*FX$4))))))</f>
        <v>0</v>
      </c>
      <c r="FY66" s="177">
        <f>IF(C66=4,SUM(CO66+CO67+CO68+CQ66+CQ67+CQ68)*Percapita/30*FY$4+(CP66+CP67+CP68+CR66+CR67+CR68)*Cadeirante/30*FY$4,IF(C66=3,IF(CO69+CQ69=10,Fixo/30*FY$4+(CO66+CO67+CO68+CQ66+CQ67+CQ68)*Percapita/30*FY$4+(CP69+CR69)*Cadeirante/30*FY$4,IF(CO69+CQ69&lt;=9,(CO69+CQ69)*Crechee/30*FY$4)+(CP69+CR69)*Cadeirante/30*FY$4+(CO66+CO67+CO68+CQ66+CQ67+CQ68)*Percapita/30*FY$4)+IF(CO69+CQ69&gt;=11,Fixo/30*FY$4+(CO69+CQ69-10)*Crechee/30*FY$4,0),IF(C66=2,IF(CP66+CP67+CP68+CP69+CR66+CR67+CR68+CR69=1,Cadeirante/30*FY$4,IF(CP66+CP67+CP68+CP69+CR66+CR67+CR68+CR69=2,Fixo/30*FY$4,IF(CP66+CP67+CP68+CP69+CR66+CR67+CR68+CR69&gt;2,Fixo/30*FY$4+(CP66+CP67+CP68+CP69+CR66+CR67+CR68+CR69-2)*Cadeirante/30*FY$4)))+(CO66+CO67+CO68+CQ66+CQ67+CQ68)*Percapita/30*FY$4+(CO69+CQ69)*Crechee/30*FY$4,IF(C66=1,IF(CO66+CO67+CO68+CP66+CP67+CP68+CQ66+CQ67+CQ68+CR66+CR67+CR68&lt;=15,(CO66+CO67+CO68+CQ66+CQ67+CQ68)*Percapita/30*FY$4,IF(CO66+CO67+CO68+CP66+CP67+CP68+CQ66+CQ67+CQ68+CR66+CR67+CR68&gt;=16,Fixo/30*FY$4+(CO66+CO67+CO68+CP66+CP67+CP68+CQ66+CQ67+CQ68+CR66+CR67-16)*Percapita/30*FY$4))))))</f>
        <v>0</v>
      </c>
      <c r="FZ66" s="177">
        <f>IF(C66=4,SUM(CS66+CS67+CS68+CU66+CU67+CU68)*Percapita/30*FZ$4+(CT66+CT67+CT68+CV66+CV67+CV68)*Cadeirante/30*FZ$4,IF(C66=3,IF(CS69+CU69=10,Fixo/30*FZ$4+(CS66+CS67+CS68+CU66+CU67+CU68)*Percapita/30*FZ$4+(CT69+CV69)*Cadeirante/30*FZ$4,IF(CS69+CU69&lt;=9,(CS69+CU69)*Crechee/30*FZ$4)+(CT69+CV69)*Cadeirante/30*FZ$4+(CS66+CS67+CS68+CU66+CU67+CU68)*Percapita/30*FZ$4)+IF(CS69+CU69&gt;=11,Fixo/30*FZ$4+(CS69+CU69-10)*Crechee/30*FZ$4,0),IF(C66=2,IF(CT66+CT67+CT68+CT69+CV66+CV67+CV68+CV69=1,Cadeirante/30*FZ$4,IF(CT66+CT67+CT68+CT69+CV66+CV67+CV68+CV69=2,Fixo/30*FZ$4,IF(CT66+CT67+CT68+CT69+CV66+CV67+CV68+CV69&gt;2,Fixo/30*FZ$4+(CT66+CT67+CT68+CT69+CV66+CV67+CV68+CV69-2)*Cadeirante/30*FZ$4)))+(CS66+CS67+CS68+CU66+CU67+CU68)*Percapita/30*FZ$4+(CS69+CU69)*Crechee/30*FZ$4,IF(C66=1,IF(CS66+CS67+CS68+CT66+CT67+CT68+CU66+CU67+CU68+CV66+CV67+CV68&lt;=15,(CS66+CS67+CS68+CU66+CU67+CU68)*Percapita/30*FZ$4,IF(CS66+CS67+CS68+CT66+CT67+CT68+CU66+CU67+CU68+CV66+CV67+CV68&gt;=16,Fixo/30*FZ$4+(CS66+CS67+CS68+CT66+CT67+CT68+CU66+CU67+CU68+CV66+CV67-16)*Percapita/30*FZ$4))))))</f>
        <v>0</v>
      </c>
      <c r="GA66" s="177">
        <f>IF(C66=4,SUM(CW66+CW67+CW68+CY66+CY67+CY68)*Percapita/30*GA$4+(CX66+CX67+CX68+CZ66+CZ67+CZ68)*Cadeirante/30*GA$4,IF(C66=3,IF(CW69+CY69=10,Fixo/30*GA$4+(CW66+CW67+CW68+CY66+CY67+CY68)*Percapita/30*GA$4+(CX69+CZ69)*Cadeirante/30*GA$4,IF(CW69+CY69&lt;=9,(CW69+CY69)*Crechee/30*GA$4)+(CX69+CZ69)*Cadeirante/30*GA$4+(CW66+CW67+CW68+CY66+CY67+CY68)*Percapita/30*GA$4)+IF(CW69+CY69&gt;=11,Fixo/30*GA$4+(CW69+CY69-10)*Crechee/30*GA$4,0),IF(C66=2,IF(CX66+CX67+CX68+CX69+CZ66+CZ67+CZ68+CZ69=1,Cadeirante/30*GA$4,IF(CX66+CX67+CX68+CX69+CZ66+CZ67+CZ68+CZ69=2,Fixo/30*GA$4,IF(CX66+CX67+CX68+CX69+CZ66+CZ67+CZ68+CZ69&gt;2,Fixo/30*GA$4+(CX66+CX67+CX68+CX69+CZ66+CZ67+CZ68+CZ69-2)*Cadeirante/30*GA$4)))+(CW66+CW67+CW68+CY66+CY67+CY68)*Percapita/30*GA$4+(CW69+CY69)*Crechee/30*GA$4,IF(C66=1,IF(CW66+CW67+CW68+CX66+CX67+CX68+CY66+CY67+CY68+CZ66+CZ67+CZ68&lt;=15,(CW66+CW67+CW68+CY66+CY67+CY68)*Percapita/30*GA$4,IF(CW66+CW67+CW68+CX66+CX67+CX68+CY66+CY67+CY68+CZ66+CZ67+CZ68&gt;=16,Fixo/30*GA$4+(CW66+CW67+CW68+CX66+CX67+CX68+CY66+CY67+CY68+CZ66+CZ67-16)*Percapita/30*GA$4))))))</f>
        <v>0</v>
      </c>
      <c r="GB66" s="177">
        <f>IF(C66=4,SUM(DA66+DA67+DA68+DC66+DC67+DC68)*Percapita/30*GB$4+(DB66+DB67+DB68+DD66+DD67+DD68)*Cadeirante/30*GB$4,IF(C66=3,IF(DA69+DC69=10,Fixo/30*GB$4+(DA66+DA67+DA68+DC66+DC67+DC68)*Percapita/30*GB$4+(DB69+DD69)*Cadeirante/30*GB$4,IF(DA69+DC69&lt;=9,(DA69+DC69)*Crechee/30*GB$4)+(DB69+DD69)*Cadeirante/30*GB$4+(DA66+DA67+DA68+DC66+DC67+DC68)*Percapita/30*GB$4)+IF(DA69+DC69&gt;=11,Fixo/30*GB$4+(DA69+DC69-10)*Crechee/30*GB$4,0),IF(C66=2,IF(DB66+DB67+DB68+DB69+DD66+DD67+DD68+DD69=1,Cadeirante/30*GB$4,IF(DB66+DB67+DB68+DB69+DD66+DD67+DD68+DD69=2,Fixo/30*GB$4,IF(DB66+DB67+DB68+DB69+DD66+DD67+DD68+DD69&gt;2,Fixo/30*GB$4+(DB66+DB67+DB68+DB69+DD66+DD67+DD68+DD69-2)*Cadeirante/30*GB$4)))+(DA66+DA67+DA68+DC66+DC67+DC68)*Percapita/30*GB$4+(DA69+DC69)*Crechee/30*GB$4,IF(C66=1,IF(DA66+DA67+DA68+DB66+DB67+DB68+DC66+DC67+DC68+DD66+DD67+DD68&lt;=15,(DA66+DA67+DA68+DC66+DC67+DC68)*Percapita/30*GB$4,IF(DA66+DA67+DA68+DB66+DB67+DB68+DC66+DC67+DC68+DD66+DD67+DD68&gt;=16,Fixo/30*GB$4+(DA66+DA67+DA68+DB66+DB67+DB68+DC66+DC67+DC68+DD66+DD67-16)*Percapita/30*GB$4))))))</f>
        <v>0</v>
      </c>
      <c r="GC66" s="177">
        <f>IF(C66=4,SUM(DE66+DE67+DE68+DG66+DG67+DG68)*Percapita/30*GC$4+(DF66+DF67+DF68+DH66+DH67+DH68)*Cadeirante/30*GC$4,IF(C66=3,IF(DE69+DG69=10,Fixo/30*GC$4+(DE66+DE67+DE68+DG66+DG67+DG68)*Percapita/30*GC$4+(DF69+DH69)*Cadeirante/30*GC$4,IF(DE69+DG69&lt;=9,(DE69+DG69)*Crechee/30*GC$4)+(DF69+DH69)*Cadeirante/30*GC$4+(DE66+DE67+DE68+DG66+DG67+DG68)*Percapita/30*GC$4)+IF(DE69+DG69&gt;=11,Fixo/30*GC$4+(DE69+DG69-10)*Crechee/30*GC$4,0),IF(C66=2,IF(DF66+DF67+DF68+DF69+DH66+DH67+DH68+DH69=1,Cadeirante/30*GC$4,IF(DF66+DF67+DF68+DF69+DH66+DH67+DH68+DH69=2,Fixo/30*GC$4,IF(DF66+DF67+DF68+DF69+DH66+DH67+DH68+DH69&gt;2,Fixo/30*GC$4+(DF66+DF67+DF68+DF69+DH66+DH67+DH68+DH69-2)*Cadeirante/30*GC$4)))+(DE66+DE67+DE68+DG66+DG67+DG68)*Percapita/30*GC$4+(DE69+DG69)*Crechee/30*GC$4,IF(C66=1,IF(DE66+DE67+DE68+DF66+DF67+DF68+DG66+DG67+DG68+DH66+DH67+DH68&lt;=15,(DE66+DE67+DE68+DG66+DG67+DG68)*Percapita/30*GC$4,IF(DE66+DE67+DE68+DF66+DF67+DF68+DG66+DG67+DG68+DH66+DH67+DH68&gt;=16,Fixo/30*GC$4+(DE66+DE67+DE68+DF66+DF67+DF68+DG66+DG67+DG68+DH66+DH67-16)*Percapita/30*GC$4))))))</f>
        <v>0</v>
      </c>
      <c r="GD66" s="177">
        <f>IF(C66=4,SUM(DI66+DI67+DI68+DK66+DK67+DK68)*Percapita/30*GD$4+(DJ66+DJ67+DJ68+DL66+DL67+DL68)*Cadeirante/30*GD$4,IF(C66=3,IF(DI69+DK69=10,Fixo/30*GD$4+(DI66+DI67+DI68+DK66+DK67+DK68)*Percapita/30*GD$4+(DJ69+DL69)*Cadeirante/30*GD$4,IF(DI69+DK69&lt;=9,(DI69+DK69)*Crechee/30*GD$4)+(DJ69+DL69)*Cadeirante/30*GD$4+(DI66+DI67+DI68+DK66+DK67+DK68)*Percapita/30*GD$4)+IF(DI69+DK69&gt;=11,Fixo/30*GD$4+(DI69+DK69-10)*Crechee/30*GD$4,0),IF(C66=2,IF(DJ66+DJ67+DJ68+DJ69+DL66+DL67+DL68+DL69=1,Cadeirante/30*GD$4,IF(DJ66+DJ67+DJ68+DJ69+DL66+DL67+DL68+DL69=2,Fixo/30*GD$4,IF(DJ66+DJ67+DJ68+DJ69+DL66+DL67+DL68+DL69&gt;2,Fixo/30*GD$4+(DJ66+DJ67+DJ68+DJ69+DL66+DL67+DL68+DL69-2)*Cadeirante/30*GD$4)))+(DI66+DI67+DI68+DK66+DK67+DK68)*Percapita/30*GD$4+(DI69+DK69)*Crechee/30*GD$4,IF(C66=1,IF(DI66+DI67+DI68+DJ66+DJ67+DJ68+DK66+DK67+DK68+DL66+DL67+DL68&lt;=15,(DI66+DI67+DI68+DK66+DK67+DK68)*Percapita/30*GD$4,IF(DI66+DI67+DI68+DJ66+DJ67+DJ68+DK66+DK67+DK68+DL66+DL67+DL68&gt;=16,Fixo/30*GD$4+(DI66+DI67+DI68+DJ66+DJ67+DJ68+DK66+DK67+DK68+DL66+DL67-16)*Percapita/30*GD$4))))))</f>
        <v>0</v>
      </c>
      <c r="GE66" s="177">
        <f>IF(C66=4,SUM(DM66+DM67+DM68+DO66+DO67+DO68)*Percapita/30*GE$4+(DN66+DN67+DN68+DP66+DP67+DP68)*Cadeirante/30*GE$4,IF(C66=3,IF(DM69+DO69=10,Fixo/30*GE$4+(DM66+DM67+DM68+DO66+DO67+DO68)*Percapita/30*GE$4+(DN69+DP69)*Cadeirante/30*GE$4,IF(DM69+DO69&lt;=9,(DM69+DO69)*Crechee/30*GE$4)+(DN69+DP69)*Cadeirante/30*GE$4+(DM66+DM67+DM68+DO66+DO67+DO68)*Percapita/30*GE$4)+IF(DM69+DO69&gt;=11,Fixo/30*GE$4+(DM69+DO69-10)*Crechee/30*GE$4,0),IF(C66=2,IF(DN66+DN67+DN68+DN69+DP66+DP67+DP68+DP69=1,Cadeirante/30*GE$4,IF(DN66+DN67+DN68+DN69+DP66+DP67+DP68+DP69=2,Fixo/30*GE$4,IF(DN66+DN67+DN68+DN69+DP66+DP67+DP68+DP69&gt;2,Fixo/30*GE$4+(DN66+DN67+DN68+DN69+DP66+DP67+DP68+DP69-2)*Cadeirante/30*GE$4)))+(DM66+DM67+DM68+DO66+DO67+DO68)*Percapita/30*GE$4+(DM69+DO69)*Crechee/30*GE$4,IF(C66=1,IF(DM66+DM67+DM68+DN66+DN67+DN68+DO66+DO67+DO68+DP66+DP67+DP68&lt;=15,(DM66+DM67+DM68+DO66+DO67+DO68)*Percapita/30*GE$4,IF(DM66+DM67+DM68+DN66+DN67+DN68+DO66+DO67+DO68+DP66+DP67+DP68&gt;=16,Fixo/30*GE$4+(DM66+DM67+DM68+DN66+DN67+DN68+DO66+DO67+DO68+DP66+DP67-16)*Percapita/30*GE$4))))))</f>
        <v>0</v>
      </c>
      <c r="GF66" s="177">
        <f>IF(C66=4,SUM(DQ66+DQ67+DQ68+DS66+DS67+DS68)*Percapita/30*GF$4+(DR66+DR67+DR68+DT66+DT67+DT68)*Cadeirante/30*GF$4,IF(C66=3,IF(DQ69+DS69=10,Fixo/30*GF$4+(DQ66+DQ67+DQ68+DS66+DS67+DS68)*Percapita/30*GF$4+(DR69+DT69)*Cadeirante/30*GF$4,IF(DQ69+DS69&lt;=9,(DQ69+DS69)*Crechee/30*GF$4)+(DR69+DT69)*Cadeirante/30*GF$4+(DQ66+DQ67+DQ68+DS66+DS67+DS68)*Percapita/30*GF$4)+IF(DQ69+DS69&gt;=11,Fixo/30*GF$4+(DQ69+DS69-10)*Crechee/30*GF$4,0),IF(C66=2,IF(DR66+DR67+DR68+DR69+DT66+DT67+DT68+DT69=1,Cadeirante/30*GF$4,IF(DR66+DR67+DR68+DR69+DT66+DT67+DT68+DT69=2,Fixo/30*GF$4,IF(DR66+DR67+DR68+DR69+DT66+DT67+DT68+DT69&gt;2,Fixo/30*GF$4+(DR66+DR67+DR68+DR69+DT66+DT67+DT68+DT69-2)*Cadeirante/30*GF$4)))+(DQ66+DQ67+DQ68+DS66+DS67+DS68)*Percapita/30*GF$4+(DQ69+DS69)*Crechee/30*GF$4,IF(C66=1,IF(DQ66+DQ67+DQ68+DR66+DR67+DR68+DS66+DS67+DS68+DT66+DT67+DT68&lt;=15,(DQ66+DQ67+DQ68+DS66+DS67+DS68)*Percapita/30*GF$4,IF(DQ66+DQ67+DQ68+DR66+DR67+DR68+DS66+DS67+DS68+DT66+DT67+DT68&gt;=16,Fixo/30*GF$4+(DQ66+DQ67+DQ68+DR66+DR67+DR68+DS66+DS67+DS68+DT66+DT67-16)*Percapita/30*GF$4))))))</f>
        <v>0</v>
      </c>
      <c r="GG66" s="177">
        <f>IF(C66=4,SUM(DU66+DU67+DU68+DW66+DW67+DW68)*Percapita/30*GG$4+(DV66+DV67+DV68+DX66+DX67+DX68)*Cadeirante/30*GG$4,IF(C66=3,IF(DU69+DW69=10,Fixo/30*GG$4+(DU66+DU67+DU68+DW66+DW67+DW68)*Percapita/30*GG$4+(DV69+DX69)*Cadeirante/30*GG$4,IF(DU69+DW69&lt;=9,(DU69+DW69)*Crechee/30*GG$4)+(DV69+DX69)*Cadeirante/30*GG$4+(DU66+DU67+DU68+DW66+DW67+DW68)*Percapita/30*GG$4)+IF(DU69+DW69&gt;=11,Fixo/30*GG$4+(DU69+DW69-10)*Crechee/30*GG$4,0),IF(C66=2,IF(DV66+DV67+DV68+DV69+DX66+DX67+DX68+DX69=1,Cadeirante/30*GG$4,IF(DV66+DV67+DV68+DV69+DX66+DX67+DX68+DX69=2,Fixo/30*GG$4,IF(DV66+DV67+DV68+DV69+DX66+DX67+DX68+DX69&gt;2,Fixo/30*GG$4+(DV66+DV67+DV68+DV69+DX66+DX67+DX68+DX69-2)*Cadeirante/30*GG$4)))+(DU66+DU67+DU68+DW66+DW67+DW68)*Percapita/30*GG$4+(DU69+DW69)*Crechee/30*GG$4,IF(C66=1,IF(DU66+DU67+DU68+DV66+DV67+DV68+DW66+DW67+DW68+DX66+DX67+DX68&lt;=15,(DU66+DU67+DU68+DW66+DW67+DW68)*Percapita/30*GG$4,IF(DU66+DU67+DU68+DV66+DV67+DV68+DW66+DW67+DW68+DX66+DX67+DX68&gt;=16,Fixo/30*GG$4+(DU66+DU67+DU68+DV66+DV67+DV68+DW66+DW67+DW68+DX66+DX67-16)*Percapita/30*GG$4))))))</f>
        <v>0</v>
      </c>
      <c r="GH66" s="177">
        <f>IF(C66=4,SUM(DY66+DY67+DY68+EA66+EA67+EA68)*Percapita/30*GH$4+(DZ66+DZ67+DZ68+EB66+EB67+EB68)*Cadeirante/30*GH$4,IF(C66=3,IF(DY69+EA69=10,Fixo/30*GH$4+(DY66+DY67+DY68+EA66+EA67+EA68)*Percapita/30*GH$4+(DZ69+EB69)*Cadeirante/30*GH$4,IF(DY69+EA69&lt;=9,(DY69+EA69)*Crechee/30*GH$4)+(DZ69+EB69)*Cadeirante/30*GH$4+(DY66+DY67+DY68+EA66+EA67+EA68)*Percapita/30*GH$4)+IF(DY69+EA69&gt;=11,Fixo/30*GH$4+(DY69+EA69-10)*Crechee/30*GH$4,0),IF(C66=2,IF(DZ66+DZ67+DZ68+DZ69+EB66+EB67+EB68+EB69=1,Cadeirante/30*GH$4,IF(DZ66+DZ67+DZ68+DZ69+EB66+EB67+EB68+EB69=2,Fixo/30*GH$4,IF(DZ66+DZ67+DZ68+DZ69+EB66+EB67+EB68+EB69&gt;2,Fixo/30*GH$4+(DZ66+DZ67+DZ68+DZ69+EB66+EB67+EB68+EB69-2)*Cadeirante/30*GH$4)))+(DY66+DY67+DY68+EA66+EA67+EA68)*Percapita/30*GH$4+(DY69+EA69)*Crechee/30*GH$4,IF(C66=1,IF(DY66+DY67+DY68+DZ66+DZ67+DZ68+EA66+EA67+EA68+EB66+EB67+EB68&lt;=15,(DY66+DY67+DY68+EA66+EA67+EA68)*Percapita/30*GH$4,IF(DY66+DY67+DY68+DZ66+DZ67+DZ68+EA66+EA67+EA68+EB66+EB67+EB68&gt;=16,Fixo/30*GH$4+(DY66+DY67+DY68+DZ66+DZ67+DZ68+EA66+EA67+EA68+EB66+EB67-16)*Percapita/30*GH$4))))))</f>
        <v>0</v>
      </c>
      <c r="GI66" s="177">
        <f>IF(C66=4,SUM(EC66+EC67+EC68+EE66+EE67+EE68)*Percapita/30*GI$4+(ED66+ED67+ED68+EF66+EF67+EF68)*Cadeirante/30*GI$4,IF(C66=3,IF(EC69+EE69=10,Fixo/30*GI$4+(EC66+EC67+EC68+EE66+EE67+EE68)*Percapita/30*GI$4+(ED69+EF69)*Cadeirante/30*GI$4,IF(EC69+EE69&lt;=9,(EC69+EE69)*Crechee/30*GI$4)+(ED69+EF69)*Cadeirante/30*GI$4+(EC66+EC67+EC68+EE66+EE67+EE68)*Percapita/30*GI$4)+IF(EC69+EE69&gt;=11,Fixo/30*GI$4+(EC69+EE69-10)*Crechee/30*GI$4,0),IF(C66=2,IF(ED66+ED67+ED68+ED69+EF66+EF67+EF68+EF69=1,Cadeirante/30*GI$4,IF(ED66+ED67+ED68+ED69+EF66+EF67+EF68+EF69=2,Fixo/30*GI$4,IF(ED66+ED67+ED68+ED69+EF66+EF67+EF68+EF69&gt;2,Fixo/30*GI$4+(ED66+ED67+ED68+ED69+EF66+EF67+EF68+EF69-2)*Cadeirante/30*GI$4)))+(EC66+EC67+EC68+EE66+EE67+EE68)*Percapita/30*GI$4+(EC69+EE69)*Crechee/30*GI$4,IF(C66=1,IF(EC66+EC67+EC68+ED66+ED67+ED68+EE66+EE67+EE68+EF66+EF67+EF68&lt;=15,(EC66+EC67+EC68+EE66+EE67+EE68)*Percapita/30*GI$4,IF(EC66+EC67+EC68+ED66+ED67+ED68+EE66+EE67+EE68+EF66+EF67+EF68&gt;=16,Fixo/30*GI$4+(EC66+EC67+EC68+ED66+ED67+ED68+EE66+EE67+EE68+EF66+EF67-16)*Percapita/30*GI$4))))))</f>
        <v>0</v>
      </c>
      <c r="GJ66" s="177">
        <f>IF(C66=4,SUM(EG66+EG67+EG68+EI66+EI67+EI68)*Percapita/30*GJ$4+(EH66+EH67+EH68+EJ66+EJ67+EJ68)*Cadeirante/30*GJ$4,IF(C66=3,IF(EG69+EI69=10,Fixo/30*GJ$4+(EG66+EG67+EG68+EI66+EI67+EI68)*Percapita/30*GJ$4+(EH69+EJ69)*Cadeirante/30*GJ$4,IF(EG69+EI69&lt;=9,(EG69+EI69)*Crechee/30*GJ$4)+(EH69+EJ69)*Cadeirante/30*GJ$4+(EG66+EG67+EG68+EI66+EI67+EI68)*Percapita/30*GJ$4)+IF(EG69+EI69&gt;=11,Fixo/30*GJ$4+(EG69+EI69-10)*Crechee/30*GJ$4,0),IF(C66=2,IF(EH66+EH67+EH68+EH69+EJ66+EJ67+EJ68+EJ69=1,Cadeirante/30*GJ$4,IF(EH66+EH67+EH68+EH69+EJ66+EJ67+EJ68+EJ69=2,Fixo/30*GJ$4,IF(EH66+EH67+EH68+EH69+EJ66+EJ67+EJ68+EJ69&gt;2,Fixo/30*GJ$4+(EH66+EH67+EH68+EH69+EJ66+EJ67+EJ68+EJ69-2)*Cadeirante/30*GJ$4)))+(EG66+EG67+EG68+EI66+EI67+EI68)*Percapita/30*GJ$4+(EG69+EI69)*Crechee/30*GJ$4,IF(C66=1,IF(EG66+EG67+EG68+EH66+EH67+EH68+EI66+EI67+EI68+EJ66+EJ67+EJ68&lt;=15,(EG66+EG67+EG68+EI66+EI67+EI68)*Percapita/30*GJ$4,IF(EG66+EG67+EG68+EH66+EH67+EH68+EI66+EI67+EI68+EJ66+EJ67+EJ68&gt;=16,Fixo/30*GJ$4+(EG66+EG67+EG68+EH66+EH67+EH68+EI66+EI67+EI68+EJ66+EJ67-16)*Percapita/30*GJ$4))))))</f>
        <v>0</v>
      </c>
      <c r="GK66" s="178"/>
      <c r="GL66" s="103">
        <f t="shared" si="30"/>
        <v>0</v>
      </c>
      <c r="GM66" s="124"/>
      <c r="GN66" s="104">
        <f>SUMIF(V66:V69,"&lt;0")*Cadeirante/30*GN$4+SUMIF(X66:X69,"&lt;0")*Cadeirante/30*GN$4</f>
        <v>0</v>
      </c>
      <c r="GO66" s="104">
        <f>SUMIF(Z66:Z69,"&lt;0")*Cadeirante/30*GO$4+SUMIF(AB66:AB69,"&lt;0")*Cadeirante/30*GO$4</f>
        <v>0</v>
      </c>
      <c r="GP66" s="104">
        <f>SUMIF(AD66:AD69,"&lt;0")*Cadeirante/30*GP$4+SUMIF(AF66:AF69,"&lt;0")*Cadeirante/30*GP$4</f>
        <v>0</v>
      </c>
      <c r="GQ66" s="104">
        <f>SUMIF(AH66:AH69,"&lt;0")*Cadeirante/30*GQ$4+SUMIF(AJ66:AJ69,"&lt;0")*Cadeirante/30*GQ$4</f>
        <v>0</v>
      </c>
      <c r="GR66" s="104">
        <f>SUMIF(AL66:AL69,"&lt;0")*Cadeirante/30*GR$4+SUMIF(AN66:AN69,"&lt;0")*Cadeirante/30*GR$4</f>
        <v>0</v>
      </c>
      <c r="GS66" s="104">
        <f>SUMIF(AP66:AP69,"&lt;0")*Cadeirante/30*GS$4+SUMIF(AR66:AR69,"&lt;0")*Cadeirante/30*GS$4</f>
        <v>0</v>
      </c>
      <c r="GT66" s="104">
        <f>SUMIF(AT66:AT69,"&lt;0")*Cadeirante/30*GT$4+SUMIF(AV66:AV69,"&lt;0")*Cadeirante/30*GT$4</f>
        <v>0</v>
      </c>
      <c r="GU66" s="104">
        <f>SUMIF(AX66:AX69,"&lt;0")*Cadeirante/30*GU$4+SUMIF(AZ66:AZ69,"&lt;0")*Cadeirante/30*GU$4</f>
        <v>0</v>
      </c>
      <c r="GV66" s="104">
        <f>SUMIF(BB66:BB69,"&lt;0")*Cadeirante/30*GV$4+SUMIF(BD66:BD69,"&lt;0")*Cadeirante/30*GV$4</f>
        <v>0</v>
      </c>
      <c r="GW66" s="104">
        <f>SUMIF(BF66:BF69,"&lt;0")*Cadeirante/30*GW$4+SUMIF(BH66:BH69,"&lt;0")*Cadeirante/30*GW$4</f>
        <v>0</v>
      </c>
      <c r="GX66" s="104">
        <f>SUMIF(BJ66:BJ69,"&lt;0")*Cadeirante/30*GX$4+SUMIF(BL66:BL69,"&lt;0")*Cadeirante/30*GX$4</f>
        <v>0</v>
      </c>
      <c r="GY66" s="104">
        <f>SUMIF(BN66:BN69,"&lt;0")*Cadeirante/30*GY$4+SUMIF(BP66:BP69,"&lt;0")*Cadeirante/30*GY$4</f>
        <v>0</v>
      </c>
      <c r="GZ66" s="104">
        <f>SUMIF(BR66:BR69,"&lt;0")*Cadeirante/30*GZ$4+SUMIF(BT66:BT69,"&lt;0")*Cadeirante/30*GZ$4</f>
        <v>0</v>
      </c>
      <c r="HA66" s="104">
        <f>SUMIF(BV66:BV69,"&lt;0")*Cadeirante/30*HA$4+SUMIF(BX66:BX69,"&lt;0")*Cadeirante/30*HA$4</f>
        <v>0</v>
      </c>
      <c r="HB66" s="104">
        <f>SUMIF(BZ66:BZ69,"&lt;0")*Cadeirante/30*HB$4+SUMIF(CB66:CB69,"&lt;0")*Cadeirante/30*HB$4</f>
        <v>0</v>
      </c>
      <c r="HC66" s="104">
        <f>SUMIF(CD66:CD69,"&lt;0")*Cadeirante/30*HC$4+SUMIF(CF66:CF69,"&lt;0")*Cadeirante/30*HC$4</f>
        <v>0</v>
      </c>
      <c r="HD66" s="104">
        <f>SUMIF(CH66:CH69,"&lt;0")*Cadeirante/30*HD$4+SUMIF(CJ66:CJ69,"&lt;0")*Cadeirante/30*HD$4</f>
        <v>0</v>
      </c>
      <c r="HE66" s="104">
        <f>SUMIF(CL66:CL69,"&lt;0")*Cadeirante/30*HE$4+SUMIF(CN66:CN69,"&lt;0")*Cadeirante/30*HE$4</f>
        <v>0</v>
      </c>
      <c r="HF66" s="104">
        <f>SUMIF(CP66:CP69,"&lt;0")*Cadeirante/30*HF$4+SUMIF(CR66:CR69,"&lt;0")*Cadeirante/30*HF$4</f>
        <v>0</v>
      </c>
      <c r="HG66" s="104">
        <f>SUMIF(CT66:CT69,"&lt;0")*Cadeirante/30*HG$4+SUMIF(CV66:CV69,"&lt;0")*Cadeirante/30*HG$4</f>
        <v>0</v>
      </c>
      <c r="HH66" s="104">
        <f>SUMIF(CX66:CX69,"&lt;0")*Cadeirante/30*HH$4+SUMIF(CZ66:CZ69,"&lt;0")*Cadeirante/30*HH$4</f>
        <v>0</v>
      </c>
      <c r="HI66" s="104">
        <f>SUMIF(DB66:DB69,"&lt;0")*Cadeirante/30*HI$4+SUMIF(DD66:DD69,"&lt;0")*Cadeirante/30*HI$4</f>
        <v>0</v>
      </c>
      <c r="HJ66" s="104">
        <f>SUMIF(DF66:DF69,"&lt;0")*Cadeirante/30*HJ$4+SUMIF(DH66:DH69,"&lt;0")*Cadeirante/30*HJ$4</f>
        <v>0</v>
      </c>
      <c r="HK66" s="104">
        <f>SUMIF(DJ66:DJ69,"&lt;0")*Cadeirante/30*HK$4+SUMIF(DL66:DL69,"&lt;0")*Cadeirante/30*HK$4</f>
        <v>0</v>
      </c>
      <c r="HL66" s="104">
        <f>SUMIF(DN66:DN69,"&lt;0")*Cadeirante/30*HL$4+SUMIF(DP66:DP69,"&lt;0")*Cadeirante/30*HL$4</f>
        <v>0</v>
      </c>
      <c r="HM66" s="104">
        <f>SUMIF(DR66:DR69,"&lt;0")*Cadeirante/30*HM$4+SUMIF(DT66:DT69,"&lt;0")*Cadeirante/30*HM$4</f>
        <v>0</v>
      </c>
      <c r="HN66" s="104">
        <f>SUMIF(DV66:DV69,"&lt;0")*Cadeirante/30*HN$4+SUMIF(DX66:DX69,"&lt;0")*Cadeirante/30*HN$4</f>
        <v>0</v>
      </c>
      <c r="HO66" s="104">
        <f>SUMIF(DZ66:DZ69,"&lt;0")*Cadeirante/30*HO$4+SUMIF(EB66:EB69,"&lt;0")*Cadeirante/30*HO$4</f>
        <v>0</v>
      </c>
      <c r="HP66" s="104">
        <f>SUMIF(ED66:ED69,"&lt;0")*Cadeirante/30*HP$4+SUMIF(EF66:EF69,"&lt;0")*Cadeirante/30*HP$4</f>
        <v>0</v>
      </c>
      <c r="HQ66" s="64"/>
      <c r="HR66" s="64"/>
      <c r="HS66" s="64"/>
      <c r="HT66" s="64"/>
      <c r="HU66" s="64"/>
      <c r="HV66" s="64"/>
      <c r="HW66" s="176">
        <v>17629.309999999998</v>
      </c>
      <c r="HX66" s="64"/>
      <c r="HY66" s="280">
        <f>IF(ISTEXT(EM66), VALUE(EM66), EM66)</f>
        <v>0</v>
      </c>
      <c r="HZ66" s="280">
        <f>IF(ISTEXT(EN66), VALUE(EN66), EN66)</f>
        <v>0</v>
      </c>
      <c r="IA66" s="280">
        <f>IF(ISTEXT(EO66), VALUE(EO66), EO66)</f>
        <v>0</v>
      </c>
      <c r="IB66" s="64" t="b">
        <f>HW66=FE66</f>
        <v>0</v>
      </c>
      <c r="IC66" s="64"/>
    </row>
    <row r="67" spans="1:237" s="106" customFormat="1" ht="22.5" customHeight="1" x14ac:dyDescent="0.25">
      <c r="A67" s="368" t="s">
        <v>3238</v>
      </c>
      <c r="B67" s="369" t="s">
        <v>3239</v>
      </c>
      <c r="C67" s="370" t="s">
        <v>3186</v>
      </c>
      <c r="D67" s="371" t="s">
        <v>3240</v>
      </c>
      <c r="E67" s="371" t="s">
        <v>3241</v>
      </c>
      <c r="F67" s="372" t="s">
        <v>3182</v>
      </c>
      <c r="G67" s="372" t="s">
        <v>3183</v>
      </c>
      <c r="H67" s="373" t="s">
        <v>350</v>
      </c>
      <c r="I67" s="374" t="s">
        <v>350</v>
      </c>
      <c r="J67" s="421" t="s">
        <v>3184</v>
      </c>
      <c r="K67" s="421" t="s">
        <v>3187</v>
      </c>
      <c r="L67" s="329">
        <f>CONTINUA!BV67</f>
        <v>10</v>
      </c>
      <c r="M67" s="329">
        <f>CONTINUA!BW67</f>
        <v>0</v>
      </c>
      <c r="N67" s="895"/>
      <c r="O67" s="896" t="s">
        <v>3286</v>
      </c>
      <c r="P67" s="897">
        <v>0</v>
      </c>
      <c r="Q67" s="400">
        <v>17</v>
      </c>
      <c r="R67" s="401"/>
      <c r="S67" s="400"/>
      <c r="T67" s="401"/>
      <c r="U67" s="400"/>
      <c r="V67" s="401"/>
      <c r="W67" s="400"/>
      <c r="X67" s="401"/>
      <c r="Y67" s="400"/>
      <c r="Z67" s="401"/>
      <c r="AA67" s="400"/>
      <c r="AB67" s="401"/>
      <c r="AC67" s="400"/>
      <c r="AD67" s="401"/>
      <c r="AE67" s="400"/>
      <c r="AF67" s="401"/>
      <c r="AG67" s="400"/>
      <c r="AH67" s="401"/>
      <c r="AI67" s="400"/>
      <c r="AJ67" s="401"/>
      <c r="AK67" s="400"/>
      <c r="AL67" s="401"/>
      <c r="AM67" s="400"/>
      <c r="AN67" s="401"/>
      <c r="AO67" s="400"/>
      <c r="AP67" s="401"/>
      <c r="AQ67" s="400"/>
      <c r="AR67" s="401"/>
      <c r="AS67" s="400"/>
      <c r="AT67" s="401"/>
      <c r="AU67" s="400"/>
      <c r="AV67" s="401"/>
      <c r="AW67" s="400"/>
      <c r="AX67" s="401"/>
      <c r="AY67" s="400"/>
      <c r="AZ67" s="401"/>
      <c r="BA67" s="400"/>
      <c r="BB67" s="401"/>
      <c r="BC67" s="400"/>
      <c r="BD67" s="401"/>
      <c r="BE67" s="400"/>
      <c r="BF67" s="401"/>
      <c r="BG67" s="400"/>
      <c r="BH67" s="401"/>
      <c r="BI67" s="400"/>
      <c r="BJ67" s="401"/>
      <c r="BK67" s="400"/>
      <c r="BL67" s="401"/>
      <c r="BM67" s="400"/>
      <c r="BN67" s="401"/>
      <c r="BO67" s="400"/>
      <c r="BP67" s="401"/>
      <c r="BQ67" s="400"/>
      <c r="BR67" s="401"/>
      <c r="BS67" s="400"/>
      <c r="BT67" s="401"/>
      <c r="BU67" s="400"/>
      <c r="BV67" s="401"/>
      <c r="BW67" s="400"/>
      <c r="BX67" s="401"/>
      <c r="BY67" s="400"/>
      <c r="BZ67" s="401"/>
      <c r="CA67" s="400"/>
      <c r="CB67" s="401"/>
      <c r="CC67" s="400"/>
      <c r="CD67" s="401"/>
      <c r="CE67" s="400"/>
      <c r="CF67" s="401"/>
      <c r="CG67" s="400"/>
      <c r="CH67" s="401"/>
      <c r="CI67" s="400"/>
      <c r="CJ67" s="401"/>
      <c r="CK67" s="400"/>
      <c r="CL67" s="401"/>
      <c r="CM67" s="400"/>
      <c r="CN67" s="401"/>
      <c r="CO67" s="400"/>
      <c r="CP67" s="401"/>
      <c r="CQ67" s="400"/>
      <c r="CR67" s="401"/>
      <c r="CS67" s="400"/>
      <c r="CT67" s="401"/>
      <c r="CU67" s="400"/>
      <c r="CV67" s="401"/>
      <c r="CW67" s="400"/>
      <c r="CX67" s="401"/>
      <c r="CY67" s="400"/>
      <c r="CZ67" s="401"/>
      <c r="DA67" s="400"/>
      <c r="DB67" s="401"/>
      <c r="DC67" s="400"/>
      <c r="DD67" s="401"/>
      <c r="DE67" s="400"/>
      <c r="DF67" s="401"/>
      <c r="DG67" s="400"/>
      <c r="DH67" s="401"/>
      <c r="DI67" s="400"/>
      <c r="DJ67" s="401"/>
      <c r="DK67" s="400"/>
      <c r="DL67" s="401"/>
      <c r="DM67" s="400"/>
      <c r="DN67" s="401"/>
      <c r="DO67" s="400"/>
      <c r="DP67" s="401"/>
      <c r="DQ67" s="400"/>
      <c r="DR67" s="401"/>
      <c r="DS67" s="400"/>
      <c r="DT67" s="401"/>
      <c r="DU67" s="400"/>
      <c r="DV67" s="401"/>
      <c r="DW67" s="400"/>
      <c r="DX67" s="401"/>
      <c r="DY67" s="400"/>
      <c r="DZ67" s="401"/>
      <c r="EA67" s="400"/>
      <c r="EB67" s="401"/>
      <c r="EC67" s="400"/>
      <c r="ED67" s="401"/>
      <c r="EE67" s="400"/>
      <c r="EF67" s="401"/>
      <c r="EG67" s="400"/>
      <c r="EH67" s="401"/>
      <c r="EI67" s="400"/>
      <c r="EJ67" s="447"/>
      <c r="EK67" s="511"/>
      <c r="EL67" s="514"/>
      <c r="EM67" s="448"/>
      <c r="EN67" s="344"/>
      <c r="EO67" s="345"/>
      <c r="EP67" s="171">
        <f t="shared" si="22"/>
        <v>17</v>
      </c>
      <c r="EQ67" s="171">
        <f t="shared" si="23"/>
        <v>0</v>
      </c>
      <c r="ER67" s="171">
        <f t="shared" si="24"/>
        <v>0</v>
      </c>
      <c r="ES67" s="171">
        <f t="shared" si="25"/>
        <v>0</v>
      </c>
      <c r="ET67" s="171">
        <f t="shared" si="26"/>
        <v>0</v>
      </c>
      <c r="EU67" s="171">
        <f t="shared" si="27"/>
        <v>0</v>
      </c>
      <c r="EV67" s="172">
        <f t="shared" si="28"/>
        <v>17</v>
      </c>
      <c r="EW67" s="173"/>
      <c r="EX67" s="248">
        <f t="shared" si="85"/>
        <v>0</v>
      </c>
      <c r="EY67" s="174">
        <f>(L67*regular)+(M67*Cadeirantee)</f>
        <v>96.4</v>
      </c>
      <c r="EZ67" s="249">
        <f>SUMIF(FG67:GJ67,"&gt;0")</f>
        <v>0</v>
      </c>
      <c r="FA67" s="249">
        <f>SUMIF(FG67:GJ67,"&lt;0")+SUMIF(GN67:HP67,"&lt;0")</f>
        <v>0</v>
      </c>
      <c r="FB67" s="174">
        <v>0</v>
      </c>
      <c r="FC67" s="126">
        <f>N67*km*'VALORES TABELA'!$B$13</f>
        <v>0</v>
      </c>
      <c r="FD67" s="250">
        <f t="shared" ref="FD67:FD70" si="86">GL67</f>
        <v>0</v>
      </c>
      <c r="FE67" s="105"/>
      <c r="FF67" s="119"/>
      <c r="FG67" s="119"/>
      <c r="FH67" s="119"/>
      <c r="FI67" s="119"/>
      <c r="FJ67" s="119"/>
      <c r="FK67" s="119"/>
      <c r="FL67" s="119"/>
      <c r="FM67" s="119"/>
      <c r="FN67" s="119"/>
      <c r="FO67" s="119"/>
      <c r="FP67" s="119"/>
      <c r="FQ67" s="119"/>
      <c r="FR67" s="119"/>
      <c r="FS67" s="119"/>
      <c r="FT67" s="119"/>
      <c r="FU67" s="119"/>
      <c r="FV67" s="119"/>
      <c r="FW67" s="119"/>
      <c r="FX67" s="119"/>
      <c r="FY67" s="119"/>
      <c r="FZ67" s="119"/>
      <c r="GA67" s="119"/>
      <c r="GB67" s="119"/>
      <c r="GC67" s="119"/>
      <c r="GD67" s="119"/>
      <c r="GE67" s="119"/>
      <c r="GF67" s="119"/>
      <c r="GG67" s="119"/>
      <c r="GH67" s="119"/>
      <c r="GI67" s="119"/>
      <c r="GJ67" s="119"/>
      <c r="GK67" s="251"/>
      <c r="GL67" s="103">
        <f t="shared" si="30"/>
        <v>0</v>
      </c>
      <c r="GM67" s="124"/>
      <c r="GN67" s="104"/>
      <c r="GO67" s="104"/>
      <c r="GP67" s="104"/>
      <c r="GQ67" s="104"/>
      <c r="GR67" s="104"/>
      <c r="GS67" s="104"/>
      <c r="GT67" s="104"/>
      <c r="GU67" s="104"/>
      <c r="GV67" s="104"/>
      <c r="GW67" s="104"/>
      <c r="GX67" s="104"/>
      <c r="GY67" s="104"/>
      <c r="GZ67" s="104"/>
      <c r="HA67" s="104"/>
      <c r="HB67" s="104"/>
      <c r="HC67" s="104"/>
      <c r="HD67" s="104"/>
      <c r="HE67" s="104"/>
      <c r="HF67" s="104"/>
      <c r="HG67" s="104"/>
      <c r="HH67" s="104"/>
      <c r="HI67" s="104"/>
      <c r="HJ67" s="104"/>
      <c r="HK67" s="104"/>
      <c r="HL67" s="104"/>
      <c r="HM67" s="104"/>
      <c r="HN67" s="104"/>
      <c r="HO67" s="104"/>
      <c r="HP67" s="104"/>
      <c r="HQ67" s="64"/>
      <c r="HR67" s="64"/>
      <c r="HS67" s="64"/>
      <c r="HT67" s="64"/>
      <c r="HU67" s="64"/>
      <c r="HV67" s="64"/>
      <c r="HW67" s="105"/>
      <c r="HX67" s="64"/>
      <c r="HY67" s="280">
        <f t="shared" ref="HY67:HY70" si="87">IF(ISTEXT(EM67), VALUE(EM67), EM67)</f>
        <v>0</v>
      </c>
      <c r="HZ67" s="280">
        <f t="shared" ref="HZ67:HZ70" si="88">IF(ISTEXT(EN67), VALUE(EN67), EN67)</f>
        <v>0</v>
      </c>
      <c r="IA67" s="280">
        <f t="shared" ref="IA67:IA70" si="89">IF(ISTEXT(EO67), VALUE(EO67), EO67)</f>
        <v>0</v>
      </c>
      <c r="IB67" s="64"/>
      <c r="IC67" s="64"/>
    </row>
    <row r="68" spans="1:237" s="106" customFormat="1" ht="22.5" customHeight="1" x14ac:dyDescent="0.25">
      <c r="A68" s="368" t="s">
        <v>3238</v>
      </c>
      <c r="B68" s="369" t="s">
        <v>3239</v>
      </c>
      <c r="C68" s="375" t="s">
        <v>3186</v>
      </c>
      <c r="D68" s="371" t="s">
        <v>3240</v>
      </c>
      <c r="E68" s="371" t="s">
        <v>3241</v>
      </c>
      <c r="F68" s="376" t="s">
        <v>3182</v>
      </c>
      <c r="G68" s="376" t="s">
        <v>3183</v>
      </c>
      <c r="H68" s="373" t="s">
        <v>350</v>
      </c>
      <c r="I68" s="374" t="s">
        <v>350</v>
      </c>
      <c r="J68" s="421" t="s">
        <v>3184</v>
      </c>
      <c r="K68" s="422" t="s">
        <v>3188</v>
      </c>
      <c r="L68" s="329">
        <f>CONTINUA!BV68</f>
        <v>0</v>
      </c>
      <c r="M68" s="329">
        <f>CONTINUA!BW68</f>
        <v>0</v>
      </c>
      <c r="N68" s="895"/>
      <c r="O68" s="896" t="s">
        <v>3286</v>
      </c>
      <c r="P68" s="897">
        <v>0</v>
      </c>
      <c r="Q68" s="400"/>
      <c r="R68" s="401"/>
      <c r="S68" s="400"/>
      <c r="T68" s="401"/>
      <c r="U68" s="400"/>
      <c r="V68" s="401"/>
      <c r="W68" s="400"/>
      <c r="X68" s="401"/>
      <c r="Y68" s="400"/>
      <c r="Z68" s="401"/>
      <c r="AA68" s="400"/>
      <c r="AB68" s="401"/>
      <c r="AC68" s="400"/>
      <c r="AD68" s="401"/>
      <c r="AE68" s="400"/>
      <c r="AF68" s="401"/>
      <c r="AG68" s="400"/>
      <c r="AH68" s="401"/>
      <c r="AI68" s="400"/>
      <c r="AJ68" s="401"/>
      <c r="AK68" s="400"/>
      <c r="AL68" s="401"/>
      <c r="AM68" s="400"/>
      <c r="AN68" s="401"/>
      <c r="AO68" s="400"/>
      <c r="AP68" s="401"/>
      <c r="AQ68" s="400"/>
      <c r="AR68" s="401"/>
      <c r="AS68" s="400"/>
      <c r="AT68" s="401"/>
      <c r="AU68" s="400"/>
      <c r="AV68" s="401"/>
      <c r="AW68" s="400"/>
      <c r="AX68" s="401"/>
      <c r="AY68" s="400"/>
      <c r="AZ68" s="401"/>
      <c r="BA68" s="400"/>
      <c r="BB68" s="401"/>
      <c r="BC68" s="400"/>
      <c r="BD68" s="401"/>
      <c r="BE68" s="400"/>
      <c r="BF68" s="401"/>
      <c r="BG68" s="400"/>
      <c r="BH68" s="401"/>
      <c r="BI68" s="400"/>
      <c r="BJ68" s="401"/>
      <c r="BK68" s="400"/>
      <c r="BL68" s="401"/>
      <c r="BM68" s="400"/>
      <c r="BN68" s="401"/>
      <c r="BO68" s="400"/>
      <c r="BP68" s="401"/>
      <c r="BQ68" s="400"/>
      <c r="BR68" s="401"/>
      <c r="BS68" s="400"/>
      <c r="BT68" s="401"/>
      <c r="BU68" s="400"/>
      <c r="BV68" s="401"/>
      <c r="BW68" s="400"/>
      <c r="BX68" s="401"/>
      <c r="BY68" s="400"/>
      <c r="BZ68" s="401"/>
      <c r="CA68" s="400"/>
      <c r="CB68" s="401"/>
      <c r="CC68" s="400"/>
      <c r="CD68" s="401"/>
      <c r="CE68" s="400"/>
      <c r="CF68" s="401"/>
      <c r="CG68" s="400"/>
      <c r="CH68" s="401"/>
      <c r="CI68" s="400"/>
      <c r="CJ68" s="401"/>
      <c r="CK68" s="400"/>
      <c r="CL68" s="401"/>
      <c r="CM68" s="400"/>
      <c r="CN68" s="401"/>
      <c r="CO68" s="400"/>
      <c r="CP68" s="401"/>
      <c r="CQ68" s="400"/>
      <c r="CR68" s="401"/>
      <c r="CS68" s="400"/>
      <c r="CT68" s="401"/>
      <c r="CU68" s="400"/>
      <c r="CV68" s="401"/>
      <c r="CW68" s="400"/>
      <c r="CX68" s="401"/>
      <c r="CY68" s="400"/>
      <c r="CZ68" s="401"/>
      <c r="DA68" s="400"/>
      <c r="DB68" s="401"/>
      <c r="DC68" s="400"/>
      <c r="DD68" s="401"/>
      <c r="DE68" s="400"/>
      <c r="DF68" s="401"/>
      <c r="DG68" s="400"/>
      <c r="DH68" s="401"/>
      <c r="DI68" s="400"/>
      <c r="DJ68" s="401"/>
      <c r="DK68" s="400"/>
      <c r="DL68" s="401"/>
      <c r="DM68" s="400"/>
      <c r="DN68" s="401"/>
      <c r="DO68" s="400"/>
      <c r="DP68" s="401"/>
      <c r="DQ68" s="400"/>
      <c r="DR68" s="401"/>
      <c r="DS68" s="400"/>
      <c r="DT68" s="401"/>
      <c r="DU68" s="400"/>
      <c r="DV68" s="401"/>
      <c r="DW68" s="400"/>
      <c r="DX68" s="401"/>
      <c r="DY68" s="400"/>
      <c r="DZ68" s="401"/>
      <c r="EA68" s="400"/>
      <c r="EB68" s="401"/>
      <c r="EC68" s="400"/>
      <c r="ED68" s="401"/>
      <c r="EE68" s="400"/>
      <c r="EF68" s="401"/>
      <c r="EG68" s="400"/>
      <c r="EH68" s="401"/>
      <c r="EI68" s="400"/>
      <c r="EJ68" s="447"/>
      <c r="EK68" s="511"/>
      <c r="EL68" s="514"/>
      <c r="EM68" s="448"/>
      <c r="EN68" s="344"/>
      <c r="EO68" s="345"/>
      <c r="EP68" s="171">
        <f t="shared" si="22"/>
        <v>0</v>
      </c>
      <c r="EQ68" s="171">
        <f t="shared" si="23"/>
        <v>0</v>
      </c>
      <c r="ER68" s="171">
        <f t="shared" si="24"/>
        <v>0</v>
      </c>
      <c r="ES68" s="171">
        <f t="shared" si="25"/>
        <v>0</v>
      </c>
      <c r="ET68" s="171">
        <f t="shared" si="26"/>
        <v>0</v>
      </c>
      <c r="EU68" s="171">
        <f t="shared" si="27"/>
        <v>0</v>
      </c>
      <c r="EV68" s="172">
        <f t="shared" si="28"/>
        <v>0</v>
      </c>
      <c r="EW68" s="125"/>
      <c r="EX68" s="248">
        <f t="shared" si="85"/>
        <v>0</v>
      </c>
      <c r="EY68" s="174">
        <f>(L68*regular)+(M68*Cadeirantee)</f>
        <v>0</v>
      </c>
      <c r="EZ68" s="249">
        <f>SUMIF(FG68:GJ68,"&gt;0")</f>
        <v>0</v>
      </c>
      <c r="FA68" s="249">
        <f>SUMIF(FG68:GJ68,"&lt;0")+SUMIF(GN68:HP68,"&lt;0")</f>
        <v>0</v>
      </c>
      <c r="FB68" s="174">
        <v>0</v>
      </c>
      <c r="FC68" s="126">
        <f>N68*km*'VALORES TABELA'!$B$13</f>
        <v>0</v>
      </c>
      <c r="FD68" s="250">
        <f t="shared" si="86"/>
        <v>0</v>
      </c>
      <c r="FE68" s="105"/>
      <c r="FF68" s="108"/>
      <c r="FG68" s="108"/>
      <c r="FH68" s="108"/>
      <c r="FI68" s="108"/>
      <c r="FJ68" s="108"/>
      <c r="FK68" s="108"/>
      <c r="FL68" s="108"/>
      <c r="FM68" s="108"/>
      <c r="FN68" s="108"/>
      <c r="FO68" s="108"/>
      <c r="FP68" s="108"/>
      <c r="FQ68" s="108"/>
      <c r="FR68" s="108"/>
      <c r="FS68" s="108"/>
      <c r="FT68" s="108"/>
      <c r="FU68" s="108"/>
      <c r="FV68" s="108"/>
      <c r="FW68" s="108"/>
      <c r="FX68" s="108"/>
      <c r="FY68" s="108"/>
      <c r="FZ68" s="108"/>
      <c r="GA68" s="108"/>
      <c r="GB68" s="108"/>
      <c r="GC68" s="108"/>
      <c r="GD68" s="108"/>
      <c r="GE68" s="108"/>
      <c r="GF68" s="108"/>
      <c r="GG68" s="108"/>
      <c r="GH68" s="108"/>
      <c r="GI68" s="108"/>
      <c r="GJ68" s="108"/>
      <c r="GK68" s="251"/>
      <c r="GL68" s="103">
        <f t="shared" si="30"/>
        <v>0</v>
      </c>
      <c r="GM68" s="124"/>
      <c r="GN68" s="104"/>
      <c r="GO68" s="104"/>
      <c r="GP68" s="104"/>
      <c r="GQ68" s="104"/>
      <c r="GR68" s="104"/>
      <c r="GS68" s="104"/>
      <c r="GT68" s="104"/>
      <c r="GU68" s="104"/>
      <c r="GV68" s="104"/>
      <c r="GW68" s="104"/>
      <c r="GX68" s="104"/>
      <c r="GY68" s="104"/>
      <c r="GZ68" s="104"/>
      <c r="HA68" s="104"/>
      <c r="HB68" s="104"/>
      <c r="HC68" s="104"/>
      <c r="HD68" s="104"/>
      <c r="HE68" s="104"/>
      <c r="HF68" s="104"/>
      <c r="HG68" s="104"/>
      <c r="HH68" s="104"/>
      <c r="HI68" s="104"/>
      <c r="HJ68" s="104"/>
      <c r="HK68" s="104"/>
      <c r="HL68" s="104"/>
      <c r="HM68" s="104"/>
      <c r="HN68" s="104"/>
      <c r="HO68" s="104"/>
      <c r="HP68" s="104"/>
      <c r="HQ68" s="64"/>
      <c r="HR68" s="64"/>
      <c r="HS68" s="64"/>
      <c r="HT68" s="64"/>
      <c r="HU68" s="64"/>
      <c r="HV68" s="64"/>
      <c r="HW68" s="105"/>
      <c r="HX68" s="64"/>
      <c r="HY68" s="280">
        <f t="shared" si="87"/>
        <v>0</v>
      </c>
      <c r="HZ68" s="280">
        <f t="shared" si="88"/>
        <v>0</v>
      </c>
      <c r="IA68" s="280">
        <f t="shared" si="89"/>
        <v>0</v>
      </c>
      <c r="IB68" s="64"/>
      <c r="IC68" s="64"/>
    </row>
    <row r="69" spans="1:237" s="106" customFormat="1" ht="22.5" customHeight="1" x14ac:dyDescent="0.25">
      <c r="A69" s="368" t="s">
        <v>3238</v>
      </c>
      <c r="B69" s="369" t="s">
        <v>3239</v>
      </c>
      <c r="C69" s="375" t="s">
        <v>3186</v>
      </c>
      <c r="D69" s="371" t="s">
        <v>3240</v>
      </c>
      <c r="E69" s="371" t="s">
        <v>3241</v>
      </c>
      <c r="F69" s="376" t="s">
        <v>3182</v>
      </c>
      <c r="G69" s="376" t="s">
        <v>3183</v>
      </c>
      <c r="H69" s="373" t="s">
        <v>350</v>
      </c>
      <c r="I69" s="374" t="s">
        <v>350</v>
      </c>
      <c r="J69" s="421" t="s">
        <v>3184</v>
      </c>
      <c r="K69" s="423" t="s">
        <v>3189</v>
      </c>
      <c r="L69" s="329">
        <f>CONTINUA!BV69</f>
        <v>0</v>
      </c>
      <c r="M69" s="329">
        <f>CONTINUA!BW69</f>
        <v>0</v>
      </c>
      <c r="N69" s="895"/>
      <c r="O69" s="896" t="s">
        <v>3286</v>
      </c>
      <c r="P69" s="897">
        <v>0</v>
      </c>
      <c r="Q69" s="400"/>
      <c r="R69" s="401"/>
      <c r="S69" s="400"/>
      <c r="T69" s="401"/>
      <c r="U69" s="400"/>
      <c r="V69" s="401"/>
      <c r="W69" s="400"/>
      <c r="X69" s="401"/>
      <c r="Y69" s="400"/>
      <c r="Z69" s="401"/>
      <c r="AA69" s="400"/>
      <c r="AB69" s="401"/>
      <c r="AC69" s="400"/>
      <c r="AD69" s="401"/>
      <c r="AE69" s="400"/>
      <c r="AF69" s="401"/>
      <c r="AG69" s="400"/>
      <c r="AH69" s="401"/>
      <c r="AI69" s="400"/>
      <c r="AJ69" s="401"/>
      <c r="AK69" s="400"/>
      <c r="AL69" s="401"/>
      <c r="AM69" s="400"/>
      <c r="AN69" s="401"/>
      <c r="AO69" s="400"/>
      <c r="AP69" s="401"/>
      <c r="AQ69" s="400"/>
      <c r="AR69" s="401"/>
      <c r="AS69" s="400"/>
      <c r="AT69" s="401"/>
      <c r="AU69" s="400"/>
      <c r="AV69" s="401"/>
      <c r="AW69" s="400"/>
      <c r="AX69" s="401"/>
      <c r="AY69" s="400"/>
      <c r="AZ69" s="401"/>
      <c r="BA69" s="400"/>
      <c r="BB69" s="401"/>
      <c r="BC69" s="400"/>
      <c r="BD69" s="401"/>
      <c r="BE69" s="400"/>
      <c r="BF69" s="401"/>
      <c r="BG69" s="400"/>
      <c r="BH69" s="401"/>
      <c r="BI69" s="400"/>
      <c r="BJ69" s="401"/>
      <c r="BK69" s="400"/>
      <c r="BL69" s="401"/>
      <c r="BM69" s="400"/>
      <c r="BN69" s="401"/>
      <c r="BO69" s="400"/>
      <c r="BP69" s="401"/>
      <c r="BQ69" s="400"/>
      <c r="BR69" s="401"/>
      <c r="BS69" s="400"/>
      <c r="BT69" s="401"/>
      <c r="BU69" s="400"/>
      <c r="BV69" s="401"/>
      <c r="BW69" s="400"/>
      <c r="BX69" s="401"/>
      <c r="BY69" s="400"/>
      <c r="BZ69" s="401"/>
      <c r="CA69" s="400"/>
      <c r="CB69" s="401"/>
      <c r="CC69" s="400"/>
      <c r="CD69" s="401"/>
      <c r="CE69" s="400"/>
      <c r="CF69" s="401"/>
      <c r="CG69" s="400"/>
      <c r="CH69" s="401"/>
      <c r="CI69" s="400"/>
      <c r="CJ69" s="401"/>
      <c r="CK69" s="400"/>
      <c r="CL69" s="401"/>
      <c r="CM69" s="400"/>
      <c r="CN69" s="401"/>
      <c r="CO69" s="400"/>
      <c r="CP69" s="401"/>
      <c r="CQ69" s="400"/>
      <c r="CR69" s="401"/>
      <c r="CS69" s="400"/>
      <c r="CT69" s="401"/>
      <c r="CU69" s="400"/>
      <c r="CV69" s="401"/>
      <c r="CW69" s="400"/>
      <c r="CX69" s="401"/>
      <c r="CY69" s="400"/>
      <c r="CZ69" s="401"/>
      <c r="DA69" s="400"/>
      <c r="DB69" s="401"/>
      <c r="DC69" s="400"/>
      <c r="DD69" s="401"/>
      <c r="DE69" s="400"/>
      <c r="DF69" s="401"/>
      <c r="DG69" s="400"/>
      <c r="DH69" s="401"/>
      <c r="DI69" s="400"/>
      <c r="DJ69" s="401"/>
      <c r="DK69" s="400"/>
      <c r="DL69" s="401"/>
      <c r="DM69" s="400"/>
      <c r="DN69" s="401"/>
      <c r="DO69" s="400"/>
      <c r="DP69" s="401"/>
      <c r="DQ69" s="400"/>
      <c r="DR69" s="401"/>
      <c r="DS69" s="400"/>
      <c r="DT69" s="401"/>
      <c r="DU69" s="400"/>
      <c r="DV69" s="401"/>
      <c r="DW69" s="400"/>
      <c r="DX69" s="401"/>
      <c r="DY69" s="400"/>
      <c r="DZ69" s="401"/>
      <c r="EA69" s="400"/>
      <c r="EB69" s="401"/>
      <c r="EC69" s="400"/>
      <c r="ED69" s="401"/>
      <c r="EE69" s="400"/>
      <c r="EF69" s="401"/>
      <c r="EG69" s="400"/>
      <c r="EH69" s="401"/>
      <c r="EI69" s="400"/>
      <c r="EJ69" s="447"/>
      <c r="EK69" s="511"/>
      <c r="EL69" s="514"/>
      <c r="EM69" s="448"/>
      <c r="EN69" s="344"/>
      <c r="EO69" s="345"/>
      <c r="EP69" s="171">
        <f t="shared" si="22"/>
        <v>0</v>
      </c>
      <c r="EQ69" s="171">
        <f t="shared" si="23"/>
        <v>0</v>
      </c>
      <c r="ER69" s="171">
        <f t="shared" si="24"/>
        <v>0</v>
      </c>
      <c r="ES69" s="171">
        <f t="shared" si="25"/>
        <v>0</v>
      </c>
      <c r="ET69" s="171">
        <f t="shared" si="26"/>
        <v>0</v>
      </c>
      <c r="EU69" s="171">
        <f t="shared" si="27"/>
        <v>0</v>
      </c>
      <c r="EV69" s="172">
        <f t="shared" si="28"/>
        <v>0</v>
      </c>
      <c r="EW69" s="127"/>
      <c r="EX69" s="248">
        <f t="shared" si="85"/>
        <v>0</v>
      </c>
      <c r="EY69" s="174">
        <f>(L69*regular)+(M69*Cadeirantee)</f>
        <v>0</v>
      </c>
      <c r="EZ69" s="249">
        <f>SUMIF(FG69:GJ69,"&gt;0")</f>
        <v>0</v>
      </c>
      <c r="FA69" s="249">
        <f>SUMIF(FG69:GJ69,"&lt;0")+SUMIF(GN69:HP69,"&lt;0")</f>
        <v>0</v>
      </c>
      <c r="FB69" s="174">
        <v>0</v>
      </c>
      <c r="FC69" s="126">
        <f>N69*km*'VALORES TABELA'!$B$13</f>
        <v>0</v>
      </c>
      <c r="FD69" s="250">
        <f t="shared" si="86"/>
        <v>0</v>
      </c>
      <c r="FE69" s="105"/>
      <c r="FF69" s="118"/>
      <c r="FG69" s="118"/>
      <c r="FH69" s="118"/>
      <c r="FI69" s="118"/>
      <c r="FJ69" s="118"/>
      <c r="FK69" s="118"/>
      <c r="FL69" s="118"/>
      <c r="FM69" s="118"/>
      <c r="FN69" s="118"/>
      <c r="FO69" s="118"/>
      <c r="FP69" s="118"/>
      <c r="FQ69" s="118"/>
      <c r="FR69" s="118"/>
      <c r="FS69" s="118"/>
      <c r="FT69" s="118"/>
      <c r="FU69" s="118"/>
      <c r="FV69" s="118"/>
      <c r="FW69" s="118"/>
      <c r="FX69" s="118"/>
      <c r="FY69" s="118"/>
      <c r="FZ69" s="118"/>
      <c r="GA69" s="118"/>
      <c r="GB69" s="118"/>
      <c r="GC69" s="118"/>
      <c r="GD69" s="118"/>
      <c r="GE69" s="118"/>
      <c r="GF69" s="118"/>
      <c r="GG69" s="118"/>
      <c r="GH69" s="118"/>
      <c r="GI69" s="118"/>
      <c r="GJ69" s="118"/>
      <c r="GK69" s="252"/>
      <c r="GL69" s="103">
        <f t="shared" si="30"/>
        <v>0</v>
      </c>
      <c r="GM69" s="124"/>
      <c r="GN69" s="104"/>
      <c r="GO69" s="104"/>
      <c r="GP69" s="104"/>
      <c r="GQ69" s="104"/>
      <c r="GR69" s="104"/>
      <c r="GS69" s="104"/>
      <c r="GT69" s="104"/>
      <c r="GU69" s="104"/>
      <c r="GV69" s="104"/>
      <c r="GW69" s="104"/>
      <c r="GX69" s="104"/>
      <c r="GY69" s="104"/>
      <c r="GZ69" s="104"/>
      <c r="HA69" s="104"/>
      <c r="HB69" s="104"/>
      <c r="HC69" s="104"/>
      <c r="HD69" s="104"/>
      <c r="HE69" s="104"/>
      <c r="HF69" s="104"/>
      <c r="HG69" s="104"/>
      <c r="HH69" s="104"/>
      <c r="HI69" s="104"/>
      <c r="HJ69" s="104"/>
      <c r="HK69" s="104"/>
      <c r="HL69" s="104"/>
      <c r="HM69" s="104"/>
      <c r="HN69" s="104"/>
      <c r="HO69" s="104"/>
      <c r="HP69" s="104"/>
      <c r="HQ69" s="64"/>
      <c r="HR69" s="65"/>
      <c r="HS69" s="65"/>
      <c r="HT69" s="65"/>
      <c r="HU69" s="65"/>
      <c r="HV69" s="65"/>
      <c r="HW69" s="105"/>
      <c r="HX69" s="65"/>
      <c r="HY69" s="280">
        <f t="shared" si="87"/>
        <v>0</v>
      </c>
      <c r="HZ69" s="280">
        <f t="shared" si="88"/>
        <v>0</v>
      </c>
      <c r="IA69" s="280">
        <f t="shared" si="89"/>
        <v>0</v>
      </c>
      <c r="IB69" s="65"/>
      <c r="IC69" s="65"/>
    </row>
    <row r="70" spans="1:237" s="106" customFormat="1" ht="22.5" customHeight="1" thickBot="1" x14ac:dyDescent="0.3">
      <c r="A70" s="377" t="s">
        <v>3238</v>
      </c>
      <c r="B70" s="378" t="s">
        <v>3239</v>
      </c>
      <c r="C70" s="379" t="s">
        <v>3186</v>
      </c>
      <c r="D70" s="380" t="s">
        <v>3240</v>
      </c>
      <c r="E70" s="380" t="s">
        <v>3241</v>
      </c>
      <c r="F70" s="381" t="s">
        <v>3182</v>
      </c>
      <c r="G70" s="381" t="s">
        <v>3183</v>
      </c>
      <c r="H70" s="382" t="s">
        <v>350</v>
      </c>
      <c r="I70" s="383" t="s">
        <v>350</v>
      </c>
      <c r="J70" s="421" t="s">
        <v>3184</v>
      </c>
      <c r="K70" s="424" t="s">
        <v>60</v>
      </c>
      <c r="L70" s="329">
        <f>CONTINUA!BV70</f>
        <v>0</v>
      </c>
      <c r="M70" s="329">
        <f>CONTINUA!BW70</f>
        <v>0</v>
      </c>
      <c r="N70" s="895"/>
      <c r="O70" s="896" t="s">
        <v>3286</v>
      </c>
      <c r="P70" s="897">
        <v>0</v>
      </c>
      <c r="Q70" s="400">
        <v>1</v>
      </c>
      <c r="R70" s="401"/>
      <c r="S70" s="400"/>
      <c r="T70" s="401"/>
      <c r="U70" s="400"/>
      <c r="V70" s="401"/>
      <c r="W70" s="400"/>
      <c r="X70" s="401"/>
      <c r="Y70" s="400"/>
      <c r="Z70" s="401"/>
      <c r="AA70" s="400"/>
      <c r="AB70" s="401"/>
      <c r="AC70" s="400"/>
      <c r="AD70" s="401"/>
      <c r="AE70" s="400"/>
      <c r="AF70" s="401"/>
      <c r="AG70" s="400"/>
      <c r="AH70" s="401"/>
      <c r="AI70" s="400"/>
      <c r="AJ70" s="401"/>
      <c r="AK70" s="400"/>
      <c r="AL70" s="401"/>
      <c r="AM70" s="400"/>
      <c r="AN70" s="401"/>
      <c r="AO70" s="400"/>
      <c r="AP70" s="401"/>
      <c r="AQ70" s="400"/>
      <c r="AR70" s="401"/>
      <c r="AS70" s="400"/>
      <c r="AT70" s="401"/>
      <c r="AU70" s="400"/>
      <c r="AV70" s="401"/>
      <c r="AW70" s="400"/>
      <c r="AX70" s="401"/>
      <c r="AY70" s="400"/>
      <c r="AZ70" s="401"/>
      <c r="BA70" s="400"/>
      <c r="BB70" s="401"/>
      <c r="BC70" s="400"/>
      <c r="BD70" s="401"/>
      <c r="BE70" s="400"/>
      <c r="BF70" s="401"/>
      <c r="BG70" s="400"/>
      <c r="BH70" s="401"/>
      <c r="BI70" s="400"/>
      <c r="BJ70" s="401"/>
      <c r="BK70" s="400"/>
      <c r="BL70" s="401"/>
      <c r="BM70" s="400"/>
      <c r="BN70" s="401"/>
      <c r="BO70" s="400"/>
      <c r="BP70" s="401"/>
      <c r="BQ70" s="400"/>
      <c r="BR70" s="401"/>
      <c r="BS70" s="400"/>
      <c r="BT70" s="401"/>
      <c r="BU70" s="400"/>
      <c r="BV70" s="401"/>
      <c r="BW70" s="400"/>
      <c r="BX70" s="401"/>
      <c r="BY70" s="400"/>
      <c r="BZ70" s="401"/>
      <c r="CA70" s="400"/>
      <c r="CB70" s="401"/>
      <c r="CC70" s="400"/>
      <c r="CD70" s="401"/>
      <c r="CE70" s="400"/>
      <c r="CF70" s="401"/>
      <c r="CG70" s="400"/>
      <c r="CH70" s="401"/>
      <c r="CI70" s="400"/>
      <c r="CJ70" s="401"/>
      <c r="CK70" s="400"/>
      <c r="CL70" s="401"/>
      <c r="CM70" s="400"/>
      <c r="CN70" s="401"/>
      <c r="CO70" s="400"/>
      <c r="CP70" s="401"/>
      <c r="CQ70" s="400"/>
      <c r="CR70" s="401"/>
      <c r="CS70" s="400"/>
      <c r="CT70" s="401"/>
      <c r="CU70" s="400"/>
      <c r="CV70" s="401"/>
      <c r="CW70" s="400"/>
      <c r="CX70" s="401"/>
      <c r="CY70" s="400"/>
      <c r="CZ70" s="401"/>
      <c r="DA70" s="400"/>
      <c r="DB70" s="401"/>
      <c r="DC70" s="400"/>
      <c r="DD70" s="401"/>
      <c r="DE70" s="400">
        <v>1</v>
      </c>
      <c r="DF70" s="401"/>
      <c r="DG70" s="400"/>
      <c r="DH70" s="401"/>
      <c r="DI70" s="400"/>
      <c r="DJ70" s="401"/>
      <c r="DK70" s="400"/>
      <c r="DL70" s="401"/>
      <c r="DM70" s="400"/>
      <c r="DN70" s="401"/>
      <c r="DO70" s="400"/>
      <c r="DP70" s="401"/>
      <c r="DQ70" s="400"/>
      <c r="DR70" s="401"/>
      <c r="DS70" s="400"/>
      <c r="DT70" s="401"/>
      <c r="DU70" s="400"/>
      <c r="DV70" s="401"/>
      <c r="DW70" s="400"/>
      <c r="DX70" s="401"/>
      <c r="DY70" s="400"/>
      <c r="DZ70" s="401"/>
      <c r="EA70" s="400"/>
      <c r="EB70" s="401"/>
      <c r="EC70" s="400"/>
      <c r="ED70" s="401"/>
      <c r="EE70" s="400"/>
      <c r="EF70" s="401"/>
      <c r="EG70" s="400"/>
      <c r="EH70" s="401"/>
      <c r="EI70" s="400"/>
      <c r="EJ70" s="447"/>
      <c r="EK70" s="512"/>
      <c r="EL70" s="515"/>
      <c r="EM70" s="450"/>
      <c r="EN70" s="348"/>
      <c r="EO70" s="348"/>
      <c r="EP70" s="179">
        <f t="shared" si="22"/>
        <v>1</v>
      </c>
      <c r="EQ70" s="179">
        <f t="shared" si="23"/>
        <v>1</v>
      </c>
      <c r="ER70" s="179">
        <f t="shared" si="24"/>
        <v>0</v>
      </c>
      <c r="ES70" s="179">
        <f t="shared" si="25"/>
        <v>0</v>
      </c>
      <c r="ET70" s="179">
        <f t="shared" si="26"/>
        <v>0</v>
      </c>
      <c r="EU70" s="179">
        <f t="shared" si="27"/>
        <v>0</v>
      </c>
      <c r="EV70" s="172">
        <f t="shared" si="28"/>
        <v>2</v>
      </c>
      <c r="EW70" s="253"/>
      <c r="EX70" s="254">
        <v>0</v>
      </c>
      <c r="EY70" s="180">
        <v>0</v>
      </c>
      <c r="EZ70" s="255">
        <v>0</v>
      </c>
      <c r="FA70" s="255">
        <v>0</v>
      </c>
      <c r="FB70" s="180">
        <f>SUM(FF70:GI70)/2</f>
        <v>237.55850000000001</v>
      </c>
      <c r="FC70" s="256">
        <f>N70*km*'VALORES TABELA'!$B$13</f>
        <v>0</v>
      </c>
      <c r="FD70" s="250">
        <f t="shared" si="86"/>
        <v>0</v>
      </c>
      <c r="FE70" s="257"/>
      <c r="FF70" s="181">
        <f>((Q70+S70)*Percapita)+((R70+T70)*Cadeirante)</f>
        <v>385.23</v>
      </c>
      <c r="FG70" s="181">
        <f>((U70+W70)*Percapita/30*FG$4)+((V70+X70)*Cadeirante/30*FG$4)</f>
        <v>0</v>
      </c>
      <c r="FH70" s="181">
        <f>((Y70+AA70)*Percapita/30*FH$4)+((Z70+AB70)*Cadeirante/30*FH$4)</f>
        <v>0</v>
      </c>
      <c r="FI70" s="181">
        <f>((AC70+AE70)*Percapita/30*FI$4)+((AD70+AF70)*Cadeirante/30*FI$4)</f>
        <v>0</v>
      </c>
      <c r="FJ70" s="181">
        <f>((AG70+AI70)*Percapita/30*FJ$4)+((AH70+AJ70)*Cadeirante/30*FJ$4)</f>
        <v>0</v>
      </c>
      <c r="FK70" s="181">
        <f>((AK70+AM70)*Percapita/30*FK$4)+((AL70+AN70)*Cadeirante/30*FK$4)</f>
        <v>0</v>
      </c>
      <c r="FL70" s="181">
        <f>((AO70+AQ70)*Percapita/30*FL$4)+((AP70+AR70)*Cadeirante/30*FL$4)</f>
        <v>0</v>
      </c>
      <c r="FM70" s="181">
        <f>((AS70+AU70)*Percapita/30*FM$4)+((AT70+AV70)*Cadeirante/30*FM$4)</f>
        <v>0</v>
      </c>
      <c r="FN70" s="181">
        <f>((AW70+AY70)*Percapita/30*FN$4)+((AX70+AZ70)*Cadeirante/30*FN$4)</f>
        <v>0</v>
      </c>
      <c r="FO70" s="181">
        <f>((BA70+BC70)*Percapita/30*FO$4)+((BB70+BD70)*Cadeirante/30*FO$4)</f>
        <v>0</v>
      </c>
      <c r="FP70" s="181">
        <f>((BE70+BG70)*Percapita/30*FP$4)+((BF70+BH70)*Cadeirante/30*FP$4)</f>
        <v>0</v>
      </c>
      <c r="FQ70" s="181">
        <f>((BI70+BK70)*Percapita/30*FQ$4)+((BJ70+BL70)*Cadeirante/30*FQ$4)</f>
        <v>0</v>
      </c>
      <c r="FR70" s="181">
        <f>((BM70+BO70)*Percapita/30*FR$4)+((BN70+BP70)*Cadeirante/30*FR$4)</f>
        <v>0</v>
      </c>
      <c r="FS70" s="181">
        <f>((BQ70+BS70)*Percapita/30*FS$4)+((BR70+BT70)*Cadeirante/30*FS$4)</f>
        <v>0</v>
      </c>
      <c r="FT70" s="181">
        <f>((BU70+BW70)*Percapita/30*FT$4)+((BV70+BX70)*Cadeirante/30*FT$4)</f>
        <v>0</v>
      </c>
      <c r="FU70" s="181">
        <f>((BY70+CA70)*Percapita/30*FU$4)+((BZ70+CB70)*Cadeirante/30*FU$4)</f>
        <v>0</v>
      </c>
      <c r="FV70" s="181">
        <f>((CC70+CE70)*Percapita/30*FV$4)+((CD70+CF70)*Cadeirante/30*FV$4)</f>
        <v>0</v>
      </c>
      <c r="FW70" s="181">
        <f>((CG70+CI70)*Percapita/30*FW$4)+((CI70+CK70)*Cadeirante/30*FW$4)</f>
        <v>0</v>
      </c>
      <c r="FX70" s="181">
        <f>((CK70+CM70)*Percapita/30*FX$4)+((CL70+CN70)*Cadeirante/30*FX$4)</f>
        <v>0</v>
      </c>
      <c r="FY70" s="181">
        <f>((CO70+CQ70)*Percapita/30*FY$4)+((CP70+CR70)*Cadeirante/30*FY$4)</f>
        <v>0</v>
      </c>
      <c r="FZ70" s="181">
        <f>((CS70+CU70)*Percapita/30*FZ$4)+((CT70+CV70)*Cadeirante/30*FZ$4)</f>
        <v>0</v>
      </c>
      <c r="GA70" s="181">
        <f>((CW70+CY70)*Percapita/30*GA$4)+((CX70+CZ70)*Cadeirante/30*GA$4)</f>
        <v>0</v>
      </c>
      <c r="GB70" s="181">
        <f>((DA70+DC70)*Percapita/30*GB$4)+((DB70+DD70)*Cadeirante/30*GB$4)</f>
        <v>0</v>
      </c>
      <c r="GC70" s="181">
        <f>((DE70+DG70)*Percapita/30*GC$4)+((DF70+DH70)*Cadeirante/30*GC$4)</f>
        <v>89.887</v>
      </c>
      <c r="GD70" s="181">
        <f>((DI70+DK70)*Percapita/30*GD$4)+((DJ70+DL70)*Cadeirante/30*GD$4)</f>
        <v>0</v>
      </c>
      <c r="GE70" s="181">
        <f>((DM70+DO70)*Percapita/30*GE$4)+((DN70+DP70)*Cadeirante/30*GE$4)</f>
        <v>0</v>
      </c>
      <c r="GF70" s="181">
        <f>((DQ70+DS70)*Percapita/30*GF$4)+((DR70+DT70)*Cadeirante/30*GF$4)</f>
        <v>0</v>
      </c>
      <c r="GG70" s="181">
        <f>((DU70+DW70)*Percapita/30*GG$4)+((DV70+DX70)*Cadeirante/30*GG$4)</f>
        <v>0</v>
      </c>
      <c r="GH70" s="181">
        <f>((DY70+EA70)*Percapita/30*GH$4)+((DZ70+EB70)*Cadeirante/30*GH$4)</f>
        <v>0</v>
      </c>
      <c r="GI70" s="181">
        <f>((EC70+EE70)*Percapita/30*GI$4)+((ED70+EF70)*Cadeirante/30*GI$4)</f>
        <v>0</v>
      </c>
      <c r="GJ70" s="181">
        <f>((EG70+EI70)*Percapita)+((EH70+EJ70)*Cadeirante)</f>
        <v>0</v>
      </c>
      <c r="GK70" s="258"/>
      <c r="GL70" s="103">
        <f t="shared" si="30"/>
        <v>0</v>
      </c>
      <c r="GM70" s="124"/>
      <c r="GN70" s="182"/>
      <c r="GO70" s="182"/>
      <c r="GP70" s="182"/>
      <c r="GQ70" s="182"/>
      <c r="GR70" s="182"/>
      <c r="GS70" s="182"/>
      <c r="GT70" s="182"/>
      <c r="GU70" s="182"/>
      <c r="GV70" s="182"/>
      <c r="GW70" s="182"/>
      <c r="GX70" s="182"/>
      <c r="GY70" s="182"/>
      <c r="GZ70" s="182"/>
      <c r="HA70" s="182"/>
      <c r="HB70" s="182"/>
      <c r="HC70" s="182"/>
      <c r="HD70" s="182"/>
      <c r="HE70" s="182"/>
      <c r="HF70" s="182"/>
      <c r="HG70" s="182"/>
      <c r="HH70" s="182"/>
      <c r="HI70" s="182"/>
      <c r="HJ70" s="182"/>
      <c r="HK70" s="182"/>
      <c r="HL70" s="182"/>
      <c r="HM70" s="182"/>
      <c r="HN70" s="182"/>
      <c r="HO70" s="182"/>
      <c r="HP70" s="259"/>
      <c r="HQ70" s="64"/>
      <c r="HW70" s="257"/>
      <c r="HY70" s="280">
        <f t="shared" si="87"/>
        <v>0</v>
      </c>
      <c r="HZ70" s="280">
        <f t="shared" si="88"/>
        <v>0</v>
      </c>
      <c r="IA70" s="280">
        <f t="shared" si="89"/>
        <v>0</v>
      </c>
    </row>
    <row r="71" spans="1:237" s="106" customFormat="1" ht="22.5" customHeight="1" x14ac:dyDescent="0.25">
      <c r="A71" t="s">
        <v>3242</v>
      </c>
      <c r="B71" s="522" t="s">
        <v>3243</v>
      </c>
      <c r="C71" s="523">
        <v>1</v>
      </c>
      <c r="D71" s="524" t="s">
        <v>3244</v>
      </c>
      <c r="E71" s="524" t="s">
        <v>3245</v>
      </c>
      <c r="F71" s="525" t="s">
        <v>3182</v>
      </c>
      <c r="G71" s="525" t="s">
        <v>3183</v>
      </c>
      <c r="H71" s="350" t="s">
        <v>351</v>
      </c>
      <c r="I71" s="351" t="s">
        <v>351</v>
      </c>
      <c r="J71" s="409" t="s">
        <v>3184</v>
      </c>
      <c r="K71" s="410" t="s">
        <v>3185</v>
      </c>
      <c r="L71" s="329">
        <f>CONTINUA!BV71</f>
        <v>0</v>
      </c>
      <c r="M71" s="329">
        <f>CONTINUA!BW71</f>
        <v>0</v>
      </c>
      <c r="N71" s="895"/>
      <c r="O71" s="896" t="s">
        <v>3287</v>
      </c>
      <c r="P71" s="897">
        <v>0</v>
      </c>
      <c r="Q71" s="400"/>
      <c r="R71" s="401"/>
      <c r="S71" s="400"/>
      <c r="T71" s="401"/>
      <c r="U71" s="400"/>
      <c r="V71" s="401"/>
      <c r="W71" s="400"/>
      <c r="X71" s="401"/>
      <c r="Y71" s="400"/>
      <c r="Z71" s="401"/>
      <c r="AA71" s="400"/>
      <c r="AB71" s="401"/>
      <c r="AC71" s="400"/>
      <c r="AD71" s="401"/>
      <c r="AE71" s="400"/>
      <c r="AF71" s="401"/>
      <c r="AG71" s="400"/>
      <c r="AH71" s="401"/>
      <c r="AI71" s="400"/>
      <c r="AJ71" s="401"/>
      <c r="AK71" s="400"/>
      <c r="AL71" s="401"/>
      <c r="AM71" s="400"/>
      <c r="AN71" s="401"/>
      <c r="AO71" s="400"/>
      <c r="AP71" s="401"/>
      <c r="AQ71" s="400"/>
      <c r="AR71" s="401"/>
      <c r="AS71" s="400"/>
      <c r="AT71" s="401"/>
      <c r="AU71" s="400"/>
      <c r="AV71" s="401"/>
      <c r="AW71" s="400"/>
      <c r="AX71" s="401"/>
      <c r="AY71" s="400"/>
      <c r="AZ71" s="401"/>
      <c r="BA71" s="400"/>
      <c r="BB71" s="401"/>
      <c r="BC71" s="400"/>
      <c r="BD71" s="401"/>
      <c r="BE71" s="400"/>
      <c r="BF71" s="401"/>
      <c r="BG71" s="400"/>
      <c r="BH71" s="401"/>
      <c r="BI71" s="400"/>
      <c r="BJ71" s="401"/>
      <c r="BK71" s="400"/>
      <c r="BL71" s="401"/>
      <c r="BM71" s="400"/>
      <c r="BN71" s="401"/>
      <c r="BO71" s="400"/>
      <c r="BP71" s="401"/>
      <c r="BQ71" s="400"/>
      <c r="BR71" s="401"/>
      <c r="BS71" s="400"/>
      <c r="BT71" s="401"/>
      <c r="BU71" s="400"/>
      <c r="BV71" s="401"/>
      <c r="BW71" s="400"/>
      <c r="BX71" s="401"/>
      <c r="BY71" s="400"/>
      <c r="BZ71" s="401"/>
      <c r="CA71" s="400"/>
      <c r="CB71" s="401"/>
      <c r="CC71" s="400"/>
      <c r="CD71" s="401"/>
      <c r="CE71" s="400"/>
      <c r="CF71" s="401"/>
      <c r="CG71" s="400"/>
      <c r="CH71" s="401"/>
      <c r="CI71" s="400"/>
      <c r="CJ71" s="401"/>
      <c r="CK71" s="400"/>
      <c r="CL71" s="401"/>
      <c r="CM71" s="400"/>
      <c r="CN71" s="401"/>
      <c r="CO71" s="400"/>
      <c r="CP71" s="401"/>
      <c r="CQ71" s="400"/>
      <c r="CR71" s="401"/>
      <c r="CS71" s="400"/>
      <c r="CT71" s="401"/>
      <c r="CU71" s="400"/>
      <c r="CV71" s="401"/>
      <c r="CW71" s="400"/>
      <c r="CX71" s="401"/>
      <c r="CY71" s="400"/>
      <c r="CZ71" s="401"/>
      <c r="DA71" s="400"/>
      <c r="DB71" s="401"/>
      <c r="DC71" s="400"/>
      <c r="DD71" s="401"/>
      <c r="DE71" s="400"/>
      <c r="DF71" s="401"/>
      <c r="DG71" s="400"/>
      <c r="DH71" s="401"/>
      <c r="DI71" s="400"/>
      <c r="DJ71" s="401"/>
      <c r="DK71" s="400"/>
      <c r="DL71" s="401"/>
      <c r="DM71" s="400"/>
      <c r="DN71" s="401"/>
      <c r="DO71" s="400"/>
      <c r="DP71" s="401"/>
      <c r="DQ71" s="400"/>
      <c r="DR71" s="401"/>
      <c r="DS71" s="400"/>
      <c r="DT71" s="401"/>
      <c r="DU71" s="400"/>
      <c r="DV71" s="401"/>
      <c r="DW71" s="400"/>
      <c r="DX71" s="401"/>
      <c r="DY71" s="400"/>
      <c r="DZ71" s="401"/>
      <c r="EA71" s="400"/>
      <c r="EB71" s="401"/>
      <c r="EC71" s="400"/>
      <c r="ED71" s="401"/>
      <c r="EE71" s="400"/>
      <c r="EF71" s="401"/>
      <c r="EG71" s="400"/>
      <c r="EH71" s="401"/>
      <c r="EI71" s="400"/>
      <c r="EJ71" s="447"/>
      <c r="EK71" s="510"/>
      <c r="EL71" s="513"/>
      <c r="EM71" s="520"/>
      <c r="EN71" s="520"/>
      <c r="EO71" s="520"/>
      <c r="EP71" s="171">
        <f t="shared" si="22"/>
        <v>0</v>
      </c>
      <c r="EQ71" s="171">
        <f t="shared" si="23"/>
        <v>0</v>
      </c>
      <c r="ER71" s="171">
        <f t="shared" si="24"/>
        <v>0</v>
      </c>
      <c r="ES71" s="171">
        <f t="shared" si="25"/>
        <v>0</v>
      </c>
      <c r="ET71" s="171">
        <f t="shared" si="26"/>
        <v>0</v>
      </c>
      <c r="EU71" s="171">
        <f t="shared" si="27"/>
        <v>0</v>
      </c>
      <c r="EV71" s="172">
        <f t="shared" si="28"/>
        <v>0</v>
      </c>
      <c r="EW71" s="367">
        <f>IF(C71=4,IF(MAX(Q71:EJ73)&gt;0,(Especiall/30*(IF(($G71-$F71)=($G$5-$F$5),30,IF(DAY($G71)=31,($G71-$F71),($G71-$F71)+1)))),0),0)</f>
        <v>0</v>
      </c>
      <c r="EX71" s="248">
        <f t="shared" ref="EX71:EX74" si="90">FF71</f>
        <v>14041.43</v>
      </c>
      <c r="EY71" s="174">
        <f>(L71*regular)+(M71*Cadeirantee)</f>
        <v>0</v>
      </c>
      <c r="EZ71" s="249">
        <f>SUMIF(FG71:GJ71,"&gt;0")</f>
        <v>0</v>
      </c>
      <c r="FA71" s="249">
        <f>SUMIF(FG71:GJ71,"&lt;0")+SUMIF(GN71:HP71,"&lt;0")</f>
        <v>0</v>
      </c>
      <c r="FB71" s="174">
        <v>0</v>
      </c>
      <c r="FC71" s="175">
        <f>N71*km*'VALORES TABELA'!$B$13</f>
        <v>0</v>
      </c>
      <c r="FD71" s="250">
        <f>GL71</f>
        <v>0</v>
      </c>
      <c r="FE71" s="176">
        <f>(EW71+EW72+EW73+EW74+EX71+EX72+EX73+EX74+EY71+EY72+EY73+EY74+EY75+EZ71+EZ72+EZ73+EZ74+FA71+FA72+FA73+FA74+FC71+FC72+FC73+FC74+HY71-HZ71-IA71+FD71+FD72+FD73+FD74+FB75)</f>
        <v>14600.18</v>
      </c>
      <c r="FF71" s="177">
        <f>IF(C71=4,SUM(Q71+Q72+Q73+S71+S72+S73)*Percapita/30*FF$4+(R71+R72+R73+T71+T72+T73)*Cadeirante/30*FF$4,IF(C71=3,IF(Q74+S74=10,Fixo/30*FF$4+(Q71+Q72+Q73+S71+S72+S73)*Percapita/30*FF$4+(R74+T74)*Cadeirante/30*FF$4,IF(Q74+S74&lt;=9,(Q74+S74)*Crechee/30*FF$4)+(R74+T74)*Cadeirante/30*FF$4+(Q71+Q72+Q73+S71+S72+S73)*Percapita/30*FF$4)+IF(Q74+S74&gt;=11,Fixo/30*FF$4+(Q74+S74-10)*Crechee/30*FF$4,0),IF(C71=2,IF(R71+R72+R73+R74+T71+T72+T73+T74=1,Cadeirante/30*FF$4,IF(R71+R72+R73+R74+T71+T72+T73+T74=2,Fixo/30*FF$4,IF(R71+R72+R73+R74+T71+T72+T73+T74&gt;2,Fixo/30*FF$4+(R71+R72+R73+R74+T71+T72+T73+T74-2)*Cadeirante/30*FF$4)))+(Q71+Q72+Q73+S71+S72+S73)*Percapita/30*FF$4+(Q74+S74)*Crechee/30*FF$4,IF(C71=1,IF(Q71+Q72+Q73+R71+R72+R73+S71+S72+S73+T71+T72+T73&lt;=15,(Q71+Q72+Q73+S71+S72+S73)*Percapita/30*FF$4,IF(Q71+Q72+Q73+R71+R72+R73+S71+S72+S73+T71+T72+T73&gt;=16,Fixo/30*FF$4+(Q71+Q72+Q73+R71+R72+R73+S71+S72+S73+T71+T72-16)*Percapita/30*FF$4))))))</f>
        <v>14041.43</v>
      </c>
      <c r="FG71" s="177">
        <f>IF(C71=4,SUM(U71+U72+U73+W71+W72+W73)*Percapita/30*FG$4+(V71+V72+V73+X71+X72+X73)*Cadeirante/30*FG$4,IF(C71=3,IF(U74+W74=10,Fixo/30*FG$4+(U71+U72+U73+W71+W72+W73)*Percapita/30*FG$4+(V74+X74)*Cadeirante/30*FG$4,IF(U74+W74&lt;=9,(U74+W74)*Crechee/30*FG$4)+(V74+X74)*Cadeirante/30*FG$4+(U71+U72+U73+W71+W72+W73)*Percapita/30*FG$4)+IF(U74+W74&gt;=11,Fixo/30*FG$4+(U74+W74-10)*Crechee/30*FG$4,0),IF(C71=2,IF(V71+V72+V73+V74+X71+X72+X73+X74=1,Cadeirante/30*FG$4,IF(V71+V72+V73+V74+X71+X72+X73+X74=2,Fixo/30*FG$4,IF(V71+V72+V73+V74+X71+X72+X73+X74&gt;2,Fixo/30*FG$4+(V71+V72+V73+V74+X71+X72+X73+X74-2)*Cadeirante/30*FG$4)))+(U71+U72+U73+W71+W72+W73)*Percapita/30*FG$4+(U74+W74)*Crechee/30*FG$4,IF(C71=1,IF(U71+U72+U73+V71+V72+V73+W71+W72+W73+X71+X72+X73&lt;=15,(U71+U72+U73+W71+W72+W73)*Percapita/30*FG$4,IF(U71+U72+U73+V71+V72+V73+W71+W72+W73+X71+X72+X73&gt;=16,Fixo/30*FG$4+(U71+U72+U73+V71+V72+V73+W71+W72+W73+X71+X72-16)*Percapita/30*FG$4))))))</f>
        <v>0</v>
      </c>
      <c r="FH71" s="177">
        <f>IF(C71=4,SUM(Y71+Y72+Y73+AA71+AA72+AA73)*Percapita/30*FH$4+(Z71+Z72+Z73+AB71+AB72+AB73)*Cadeirante/30*FH$4,IF(C71=3,IF(Y74+AA74=10,Fixo/30*FH$4+(Y71+Y72+Y73+AA71+AA72+AA73)*Percapita/30*FH$4+(Z74+AB74)*Cadeirante/30*FH$4,IF(Y74+AA74&lt;=9,(Y74+AA74)*Crechee/30*FH$4)+(Z74+AB74)*Cadeirante/30*FH$4+(Y71+Y72+Y73+AA71+AA72+AA73)*Percapita/30*FH$4)+IF(Y74+AA74&gt;=11,Fixo/30*FH$4+(Y74+AA74-10)*Crechee/30*FH$4,0),IF(C71=2,IF(Z71+Z72+Z73+Z74+AB71+AB72+AB73+AB74=1,Cadeirante/30*FH$4,IF(Z71+Z72+Z73+Z74+AB71+AB72+AB73+AB74=2,Fixo/30*FH$4,IF(Z71+Z72+Z73+Z74+AB71+AB72+AB73+AB74&gt;2,Fixo/30*FH$4+(Z71+Z72+Z73+Z74+AB71+AB72+AB73+AB74-2)*Cadeirante/30*FH$4)))+(Y71+Y72+Y73+AA71+AA72+AA73)*Percapita/30*FH$4+(Y74+AA74)*Crechee/30*FH$4,IF(C71=1,IF(Y71+Y72+Y73+Z71+Z72+Z73+AA71+AA72+AA73+AB71+AB72+AB73&lt;=15,(Y71+Y72+Y73+AA71+AA72+AA73)*Percapita/30*FH$4,IF(Y71+Y72+Y73+Z71+Z72+Z73+AA71+AA72+AA73+AB71+AB72+AB73&gt;=16,Fixo/30*FH$4+(Y71+Y72+Y73+Z71+Z72+Z73+AA71+AA72+AA73+AB71+AB72-16)*Percapita/30*FH$4))))))</f>
        <v>0</v>
      </c>
      <c r="FI71" s="177">
        <f>IF(C71=4,SUM(AC71+AC72+AC73+AE71+AE72+AE73)*Percapita/30*FI$4+(AD71+AD72+AD73+AF71+AF72+AF73)*Cadeirante/30*FI$4,IF(C71=3,IF(AC74+AE74=10,Fixo/30*FI$4+(AC71+AC72+AC73+AE71+AE72+AE73)*Percapita/30*FI$4+(AD74+AF74)*Cadeirante/30*FI$4,IF(AC74+AE74&lt;=9,(AC74+AE74)*Crechee/30*FI$4)+(AD74+AF74)*Cadeirante/30*FI$4+(AC71+AC72+AC73+AE71+AE72+AE73)*Percapita/30*FI$4)+IF(AC74+AE74&gt;=11,Fixo/30*FI$4+(AC74+AE74-10)*Crechee/30*FI$4,0),IF(C71=2,IF(AD71+AD72+AD73+AD74+AF71+AF72+AF73+AF74=1,Cadeirante/30*FI$4,IF(AD71+AD72+AD73+AD74+AF71+AF72+AF73+AF74=2,Fixo/30*FI$4,IF(AD71+AD72+AD73+AD74+AF71+AF72+AF73+AF74&gt;2,Fixo/30*FI$4+(AD71+AD72+AD73+AD74+AF71+AF72+AF73+AF74-2)*Cadeirante/30*FI$4)))+(AC71+AC72+AC73+AE71+AE72+AE73)*Percapita/30*FI$4+(AC74+AE74)*Crechee/30*FI$4,IF(C71=1,IF(AC71+AC72+AC73+AD71+AD72+AD73+AE71+AE72+AE73+AF71+AF72+AF73&lt;=15,(AC71+AC72+AC73+AE71+AE72+AE73)*Percapita/30*FI$4,IF(AC71+AC72+AC73+AD71+AD72+AD73+AE71+AE72+AE73+AF71+AF72+AF73&gt;=16,Fixo/30*FI$4+(AC71+AC72+AC73+AD71+AD72+AD73+AE71+AE72+AE73+AF71+AF72-16)*Percapita/30*FI$4))))))</f>
        <v>0</v>
      </c>
      <c r="FJ71" s="177">
        <f>IF(C71=4,SUM(AG71+AG72+AG73+AI71+AI72+AI73)*Percapita/30*FJ$4+(AH71+AH72+AH73+AJ71+AJ72+AJ73)*Cadeirante/30*FJ$4,IF(C71=3,IF(AG74+AI74=10,Fixo/30*FJ$4+(AG71+AG72+AG73+AI71+AI72+AI73)*Percapita/30*FJ$4+(AH74+AJ74)*Cadeirante/30*FJ$4,IF(AG74+AI74&lt;=9,(AG74+AI74)*Crechee/30*FJ$4)+(AH74+AJ74)*Cadeirante/30*FJ$4+(AG71+AG72+AG73+AI71+AI72+AI73)*Percapita/30*FJ$4)+IF(AG74+AI74&gt;=11,Fixo/30*FJ$4+(AG74+AI74-10)*Crechee/30*FJ$4,0),IF(C71=2,IF(AH71+AH72+AH73+AH74+AJ71+AJ72+AJ73+AJ74=1,Cadeirante/30*FJ$4,IF(AH71+AH72+AH73+AH74+AJ71+AJ72+AJ73+AJ74=2,Fixo/30*FJ$4,IF(AH71+AH72+AH73+AH74+AJ71+AJ72+AJ73+AJ74&gt;2,Fixo/30*FJ$4+(AH71+AH72+AH73+AH74+AJ71+AJ72+AJ73+AJ74-2)*Cadeirante/30*FJ$4)))+(AG71+AG72+AG73+AI71+AI72+AI73)*Percapita/30*FJ$4+(AG74+AI74)*Crechee/30*FJ$4,IF(C71=1,IF(AG71+AG72+AG73+AH71+AH72+AH73+AI71+AI72+AI73+AJ71+AJ72+AJ73&lt;=15,(AG71+AG72+AG73+AI71+AI72+AI73)*Percapita/30*FJ$4,IF(AG71+AG72+AG73+AH71+AH72+AH73+AI71+AI72+AI73+AJ71+AJ72+AJ73&gt;=16,Fixo/30*FJ$4+(AG71+AG72+AG73+AH71+AH72+AH73+AI71+AI72+AI73+AJ71+AJ72-16)*Percapita/30*FJ$4))))))</f>
        <v>0</v>
      </c>
      <c r="FK71" s="177">
        <f>IF(C71=4,SUM(AK71+AK72+AK73+AM71+AM72+AM73)*Percapita/30*FK$4+(AL71+AL72+AL73+AN71+AN72+AN73)*Cadeirante/30*FK$4,IF(C71=3,IF(AK74+AM74=10,Fixo/30*FK$4+(AK71+AK72+AK73+AM71+AM72+AM73)*Percapita/30*FK$4+(AL74+AN74)*Cadeirante/30*FK$4,IF(AK74+AM74&lt;=9,(AK74+AM74)*Crechee/30*FK$4)+(AL74+AN74)*Cadeirante/30*FK$4+(AK71+AK72+AK73+AM71+AM72+AM73)*Percapita/30*FK$4)+IF(AK74+AM74&gt;=11,Fixo/30*FK$4+(AK74+AM74-10)*Crechee/30*FK$4,0),IF(C71=2,IF(AL71+AL72+AL73+AL74+AN71+AN72+AN73+AN74=1,Cadeirante/30*FK$4,IF(AL71+AL72+AL73+AL74+AN71+AN72+AN73+AN74=2,Fixo/30*FK$4,IF(AL71+AL72+AL73+AL74+AN71+AN72+AN73+AN74&gt;2,Fixo/30*FK$4+(AL71+AL72+AL73+AL74+AN71+AN72+AN73+AN74-2)*Cadeirante/30*FK$4)))+(AK71+AK72+AK73+AM71+AM72+AM73)*Percapita/30*FK$4+(AK74+AM74)*Crechee/30*FK$4,IF(C71=1,IF(AK71+AK72+AK73+AL71+AL72+AL73+AM71+AM72+AM73+AN71+AN72+AN73&lt;=15,(AK71+AK72+AK73+AM71+AM72+AM73)*Percapita/30*FK$4,IF(AK71+AK72+AK73+AL71+AL72+AL73+AM71+AM72+AM73+AN71+AN72+AN73&gt;=16,Fixo/30*FK$4+(AK71+AK72+AK73+AL71+AL72+AL73+AM71+AM72+AM73+AN71+AN72-16)*Percapita/30*FK$4))))))</f>
        <v>0</v>
      </c>
      <c r="FL71" s="177">
        <f>IF(C71=4,SUM(AO71+AO72+AO73+AQ71+AQ72+AQ73)*Percapita/30*FL$4+(AP71+AP72+AP73+AR71+AR72+AR73)*Cadeirante/30*FL$4,IF(C71=3,IF(AO74+AQ74=10,Fixo/30*FL$4+(AO71+AO72+AO73+AQ71+AQ72+AQ73)*Percapita/30*FL$4+(AP74+AR74)*Cadeirante/30*FL$4,IF(AO74+AQ74&lt;=9,(AO74+AQ74)*Crechee/30*FL$4)+(AP74+AR74)*Cadeirante/30*FL$4+(AO71+AO72+AO73+AQ71+AQ72+AQ73)*Percapita/30*FL$4)+IF(AO74+AQ74&gt;=11,Fixo/30*FL$4+(AO74+AQ74-10)*Crechee/30*FL$4,0),IF(C71=2,IF(AP71+AP72+AP73+AP74+AR71+AR72+AR73+AR74=1,Cadeirante/30*FL$4,IF(AP71+AP72+AP73+AP74+AR71+AR72+AR73+AR74=2,Fixo/30*FL$4,IF(AP71+AP72+AP73+AP74+AR71+AR72+AR73+AR74&gt;2,Fixo/30*FL$4+(AP71+AP72+AP73+AP74+AR71+AR72+AR73+AR74-2)*Cadeirante/30*FL$4)))+(AO71+AO72+AO73+AQ71+AQ72+AQ73)*Percapita/30*FL$4+(AO74+AQ74)*Crechee/30*FL$4,IF(C71=1,IF(AO71+AO72+AO73+AP71+AP72+AP73+AQ71+AQ72+AQ73+AR71+AR72+AR73&lt;=15,(AO71+AO72+AO73+AQ71+AQ72+AQ73)*Percapita/30*FL$4,IF(AO71+AO72+AO73+AP71+AP72+AP73+AQ71+AQ72+AQ73+AR71+AR72+AR73&gt;=16,Fixo/30*FL$4+(AO71+AO72+AO73+AP71+AP72+AP73+AQ71+AQ72+AQ73+AR71+AR72-16)*Percapita/30*FL$4))))))</f>
        <v>0</v>
      </c>
      <c r="FM71" s="177">
        <f>IF(C71=4,SUM(AS71+AS72+AS73+AU71+AU72+AU73)*Percapita/30*FM$4+(AT71+AT72+AT73+AV71+AV72+AV73)*Cadeirante/30*FM$4,IF(C71=3,IF(AS74+AU74=10,Fixo/30*FM$4+(AS71+AS72+AS73+AU71+AU72+AU73)*Percapita/30*FM$4+(AT74+AV74)*Cadeirante/30*FM$4,IF(AS74+AU74&lt;=9,(AS74+AU74)*Crechee/30*FM$4)+(AT74+AV74)*Cadeirante/30*FM$4+(AS71+AS72+AS73+AU71+AU72+AU73)*Percapita/30*FM$4)+IF(AS74+AU74&gt;=11,Fixo/30*FM$4+(AS74+AU74-10)*Crechee/30*FM$4,0),IF(C71=2,IF(AT71+AT72+AT73+AT74+AV71+AV72+AV73+AV74=1,Cadeirante/30*FM$4,IF(AT71+AT72+AT73+AT74+AV71+AV72+AV73+AV74=2,Fixo/30*FM$4,IF(AT71+AT72+AT73+AT74+AV71+AV72+AV73+AV74&gt;2,Fixo/30*FM$4+(AT71+AT72+AT73+AT74+AV71+AV72+AV73+AV74-2)*Cadeirante/30*FM$4)))+(AS71+AS72+AS73+AU71+AU72+AU73)*Percapita/30*FM$4+(AS74+AU74)*Crechee/30*FM$4,IF(C71=1,IF(AS71+AS72+AS73+AT71+AT72+AT73+AU71+AU72+AU73+AV71+AV72+AV73&lt;=15,(AS71+AS72+AS73+AU71+AU72+AU73)*Percapita/30*FM$4,IF(AS71+AS72+AS73+AT71+AT72+AT73+AU71+AU72+AU73+AV71+AV72+AV73&gt;=16,Fixo/30*FM$4+(AS71+AS72+AS73+AT71+AT72+AT73+AU71+AU72+AU73+AV71+AV72-16)*Percapita/30*FM$4))))))</f>
        <v>0</v>
      </c>
      <c r="FN71" s="177">
        <f>IF(C71=4,SUM(AW71+AW72+AW73+AY71+AY72+AY73)*Percapita/30*FN$4+(AX71+AX72+AX73+AZ71+AZ72+AZ73)*Cadeirante/30*FN$4,IF(C71=3,IF(AW74+AY74=10,Fixo/30*FN$4+(AW71+AW72+AW73+AY71+AY72+AY73)*Percapita/30*FN$4+(AX74+AZ74)*Cadeirante/30*FN$4,IF(AW74+AY74&lt;=9,(AW74+AY74)*Crechee/30*FN$4)+(AX74+AZ74)*Cadeirante/30*FN$4+(AW71+AW72+AW73+AY71+AY72+AY73)*Percapita/30*FN$4)+IF(AW74+AY74&gt;=11,Fixo/30*FN$4+(AW74+AY74-10)*Crechee/30*FN$4,0),IF(C71=2,IF(AX71+AX72+AX73+AX74+AZ71+AZ72+AZ73+AZ74=1,Cadeirante/30*FN$4,IF(AX71+AX72+AX73+AX74+AZ71+AZ72+AZ73+AZ74=2,Fixo/30*FN$4,IF(AX71+AX72+AX73+AX74+AZ71+AZ72+AZ73+AZ74&gt;2,Fixo/30*FN$4+(AX71+AX72+AX73+AX74+AZ71+AZ72+AZ73+AZ74-2)*Cadeirante/30*FN$4)))+(AW71+AW72+AW73+AY71+AY72+AY73)*Percapita/30*FN$4+(AW74+AY74)*Crechee/30*FN$4,IF(C71=1,IF(AW71+AW72+AW73+AX71+AX72+AX73+AY71+AY72+AY73+AZ71+AZ72+AZ73&lt;=15,(AW71+AW72+AW73+AY71+AY72+AY73)*Percapita/30*FN$4,IF(AW71+AW72+AW73+AX71+AX72+AX73+AY71+AY72+AY73+AZ71+AZ72+AZ73&gt;=16,Fixo/30*FN$4+(AW71+AW72+AW73+AX71+AX72+AX73+AY71+AY72+AY73+AZ71+AZ72-16)*Percapita/30*FN$4))))))</f>
        <v>0</v>
      </c>
      <c r="FO71" s="177">
        <f>IF(C71=4,SUM(BA71+BA72+BA73+BC71+BC72+BC73)*Percapita/30*FO$4+(BB71+BB72+BB73+BD71+BD72+BD73)*Cadeirante/30*FO$4,IF(C71=3,IF(BA74+BC74=10,Fixo/30*FO$4+(BA71+BA72+BA73+BC71+BC72+BC73)*Percapita/30*FO$4+(BB74+BD74)*Cadeirante/30*FO$4,IF(BA74+BC74&lt;=9,(BA74+BC74)*Crechee/30*FO$4)+(BB74+BD74)*Cadeirante/30*FO$4+(BA71+BA72+BA73+BC71+BC72+BC73)*Percapita/30*FO$4)+IF(BA74+BC74&gt;=11,Fixo/30*FO$4+(BA74+BC74-10)*Crechee/30*FO$4,0),IF(C71=2,IF(BB71+BB72+BB73+BB74+BD71+BD72+BD73+BD74=1,Cadeirante/30*FO$4,IF(BB71+BB72+BB73+BB74+BD71+BD72+BD73+BD74=2,Fixo/30*FO$4,IF(BB71+BB72+BB73+BB74+BD71+BD72+BD73+BD74&gt;2,Fixo/30*FO$4+(BB71+BB72+BB73+BB74+BD71+BD72+BD73+BD74-2)*Cadeirante/30*FO$4)))+(BA71+BA72+BA73+BC71+BC72+BC73)*Percapita/30*FO$4+(BA74+BC74)*Crechee/30*FO$4,IF(C71=1,IF(BA71+BA72+BA73+BB71+BB72+BB73+BC71+BC72+BC73+BD71+BD72+BD73&lt;=15,(BA71+BA72+BA73+BC71+BC72+BC73)*Percapita/30*FO$4,IF(BA71+BA72+BA73+BB71+BB72+BB73+BC71+BC72+BC73+BD71+BD72+BD73&gt;=16,Fixo/30*FO$4+(BA71+BA72+BA73+BB71+BB72+BB73+BC71+BC72+BC73+BD71+BD72-16)*Percapita/30*FO$4))))))</f>
        <v>0</v>
      </c>
      <c r="FP71" s="177">
        <f>IF(C71=4,SUM(BE71+BE72+BE73+BG71+BG72+BG73)*Percapita/30*FP$4+(BF71+BF72+BF73+BH71+BH72+BH73)*Cadeirante/30*FP$4,IF(C71=3,IF(BE74+BG74=10,Fixo/30*FP$4+(BE71+BE72+BE73+BG71+BG72+BG73)*Percapita/30*FP$4+(BF74+BH74)*Cadeirante/30*FP$4,IF(BE74+BG74&lt;=9,(BE74+BG74)*Crechee/30*FP$4)+(BF74+BH74)*Cadeirante/30*FP$4+(BE71+BE72+BE73+BG71+BG72+BG73)*Percapita/30*FP$4)+IF(BE74+BG74&gt;=11,Fixo/30*FP$4+(BE74+BG74-10)*Crechee/30*FP$4,0),IF(C71=2,IF(BF71+BF72+BF73+BF74+BH71+BH72+BH73+BH74=1,Cadeirante/30*FP$4,IF(BF71+BF72+BF73+BF74+BH71+BH72+BH73+BH74=2,Fixo/30*FP$4,IF(BF71+BF72+BF73+BF74+BH71+BH72+BH73+BH74&gt;2,Fixo/30*FP$4+(BF71+BF72+BF73+BF74+BH71+BH72+BH73+BH74-2)*Cadeirante/30*FP$4)))+(BE71+BE72+BE73+BG71+BG72+BG73)*Percapita/30*FP$4+(BE74+BG74)*Crechee/30*FP$4,IF(C71=1,IF(BE71+BE72+BE73+BF71+BF72+BF73+BG71+BG72+BG73+BH71+BH72+BH73&lt;=15,(BE71+BE72+BE73+BG71+BG72+BG73)*Percapita/30*FP$4,IF(BE71+BE72+BE73+BF71+BF72+BF73+BG71+BG72+BG73+BH71+BH72+BH73&gt;=16,Fixo/30*FP$4+(BE71+BE72+BE73+BF71+BF72+BF73+BG71+BG72+BG73+BH71+BH72-16)*Percapita/30*FP$4))))))</f>
        <v>0</v>
      </c>
      <c r="FQ71" s="177">
        <f>IF(C71=4,SUM(BI71+BI72+BI73+BK71+BK72+BK73)*Percapita/30*FQ$4+(BJ71+BJ72+BJ73+BL71+BL72+BL73)*Cadeirante/30*FQ$4,IF(C71=3,IF(BI74+BK74=10,Fixo/30*FQ$4+(BI71+BI72+BI73+BK71+BK72+BK73)*Percapita/30*FQ$4+(BJ74+BL74)*Cadeirante/30*FQ$4,IF(BI74+BK74&lt;=9,(BI74+BK74)*Crechee/30*FQ$4)+(BJ74+BL74)*Cadeirante/30*FQ$4+(BI71+BI72+BI73+BK71+BK72+BK73)*Percapita/30*FQ$4)+IF(BI74+BK74&gt;=11,Fixo/30*FQ$4+(BI74+BK74-10)*Crechee/30*FQ$4,0),IF(C71=2,IF(BJ71+BJ72+BJ73+BJ74+BL71+BL72+BL73+BL74=1,Cadeirante/30*FQ$4,IF(BJ71+BJ72+BJ73+BJ74+BL71+BL72+BL73+BL74=2,Fixo/30*FQ$4,IF(BJ71+BJ72+BJ73+BJ74+BL71+BL72+BL73+BL74&gt;2,Fixo/30*FQ$4+(BJ71+BJ72+BJ73+BJ74+BL71+BL72+BL73+BL74-2)*Cadeirante/30*FQ$4)))+(BI71+BI72+BI73+BK71+BK72+BK73)*Percapita/30*FQ$4+(BI74+BK74)*Crechee/30*FQ$4,IF(C71=1,IF(BI71+BI72+BI73+BJ71+BJ72+BJ73+BK71+BK72+BK73+BL71+BL72+BL73&lt;=15,(BI71+BI72+BI73+BK71+BK72+BK73)*Percapita/30*FQ$4,IF(BI71+BI72+BI73+BJ71+BJ72+BJ73+BK71+BK72+BK73+BL71+BL72+BL73&gt;=16,Fixo/30*FQ$4+(BI71+BI72+BI73+BJ71+BJ72+BJ73+BK71+BK72+BK73+BL71+BL72-16)*Percapita/30*FQ$4))))))</f>
        <v>0</v>
      </c>
      <c r="FR71" s="177">
        <f>IF(C71=4,SUM(BM71+BM72+BM73+BO71+BO72+BO73)*Percapita/30*FR$4+(BN71+BN72+BN73+BP71+BP72+BP73)*Cadeirante/30*FR$4,IF(C71=3,IF(BM74+BO74=10,Fixo/30*FR$4+(BM71+BM72+BM73+BO71+BO72+BO73)*Percapita/30*FR$4+(BN74+BP74)*Cadeirante/30*FR$4,IF(BM74+BO74&lt;=9,(BM74+BO74)*Crechee/30*FR$4)+(BN74+BP74)*Cadeirante/30*FR$4+(BM71+BM72+BM73+BO71+BO72+BO73)*Percapita/30*FR$4)+IF(BM74+BO74&gt;=11,Fixo/30*FR$4+(BM74+BO74-10)*Crechee/30*FR$4,0),IF(C71=2,IF(BN71+BN72+BN73+BN74+BP71+BP72+BP73+BP74=1,Cadeirante/30*FR$4,IF(BN71+BN72+BN73+BN74+BP71+BP72+BP73+BP74=2,Fixo/30*FR$4,IF(BN71+BN72+BN73+BN74+BP71+BP72+BP73+BP74&gt;2,Fixo/30*FR$4+(BN71+BN72+BN73+BN74+BP71+BP72+BP73+BP74-2)*Cadeirante/30*FR$4)))+(BM71+BM72+BM73+BO71+BO72+BO73)*Percapita/30*FR$4+(BM74+BO74)*Crechee/30*FR$4,IF(C71=1,IF(BM71+BM72+BM73+BN71+BN72+BN73+BO71+BO72+BO73+BP71+BP72+BP73&lt;=15,(BM71+BM72+BM73+BO71+BO72+BO73)*Percapita/30*FR$4,IF(BM71+BM72+BM73+BN71+BN72+BN73+BO71+BO72+BO73+BP71+BP72+BP73&gt;=16,Fixo/30*FR$4+(BM71+BM72+BM73+BN71+BN72+BN73+BO71+BO72+BO73+BP71+BP72-16)*Percapita/30*FR$4))))))</f>
        <v>0</v>
      </c>
      <c r="FS71" s="177">
        <f>IF(C71=4,SUM(BQ71+BQ72+BQ73+BS71+BS72+BS73)*Percapita/30*FS$4+(BR71+BR72+BR73+BT71+BT72+BT73)*Cadeirante/30*FS$4,IF(C71=3,IF(BQ74+BS74=10,Fixo/30*FS$4+(BQ71+BQ72+BQ73+BS71+BS72+BS73)*Percapita/30*FS$4+(BR74+BT74)*Cadeirante/30*FS$4,IF(BQ74+BS74&lt;=9,(BQ74+BS74)*Crechee/30*FS$4)+(BR74+BT74)*Cadeirante/30*FS$4+(BQ71+BQ72+BQ73+BS71+BS72+BS73)*Percapita/30*FS$4)+IF(BQ74+BS74&gt;=11,Fixo/30*FS$4+(BQ74+BS74-10)*Crechee/30*FS$4,0),IF(C71=2,IF(BR71+BR72+BR73+BR74+BT71+BT72+BT73+BT74=1,Cadeirante/30*FS$4,IF(BR71+BR72+BR73+BR74+BT71+BT72+BT73+BT74=2,Fixo/30*FS$4,IF(BR71+BR72+BR73+BR74+BT71+BT72+BT73+BT74&gt;2,Fixo/30*FS$4+(BR71+BR72+BR73+BR74+BT71+BT72+BT73+BT74-2)*Cadeirante/30*FS$4)))+(BQ71+BQ72+BQ73+BS71+BS72+BS73)*Percapita/30*FS$4+(BQ74+BS74)*Crechee/30*FS$4,IF(C71=1,IF(BQ71+BQ72+BQ73+BR71+BR72+BR73+BS71+BS72+BS73+BT71+BT72+BT73&lt;=15,(BQ71+BQ72+BQ73+BS71+BS72+BS73)*Percapita/30*FS$4,IF(BQ71+BQ72+BQ73+BR71+BR72+BR73+BS71+BS72+BS73+BT71+BT72+BT73&gt;=16,Fixo/30*FS$4+(BQ71+BQ72+BQ73+BR71+BR72+BR73+BS71+BS72+BS73+BT71+BT72-16)*Percapita/30*FS$4))))))</f>
        <v>0</v>
      </c>
      <c r="FT71" s="177">
        <f>IF(C71=4,SUM(BU71+BU72+BU73+BW71+BW72+BW73)*Percapita/30*FT$4+(BV71+BV72+BV73+BX71+BX72+BX73)*Cadeirante/30*FT$4,IF(C71=3,IF(BU74+BW74=10,Fixo/30*FT$4+(BU71+BU72+BU73+BW71+BW72+BW73)*Percapita/30*FT$4+(BV74+BX74)*Cadeirante/30*FT$4,IF(BU74+BW74&lt;=9,(BU74+BW74)*Crechee/30*FT$4)+(BV74+BX74)*Cadeirante/30*FT$4+(BU71+BU72+BU73+BW71+BW72+BW73)*Percapita/30*FT$4)+IF(BU74+BW74&gt;=11,Fixo/30*FT$4+(BU74+BW74-10)*Crechee/30*FT$4,0),IF(C71=2,IF(BV71+BV72+BV73+BV74+BX71+BX72+BX73+BX74=1,Cadeirante/30*FT$4,IF(BV71+BV72+BV73+BV74+BX71+BX72+BX73+BX74=2,Fixo/30*FT$4,IF(BV71+BV72+BV73+BV74+BX71+BX72+BX73+BX74&gt;2,Fixo/30*FT$4+(BV71+BV72+BV73+BV74+BX71+BX72+BX73+BX74-2)*Cadeirante/30*FT$4)))+(BU71+BU72+BU73+BW71+BW72+BW73)*Percapita/30*FT$4+(BU74+BW74)*Crechee/30*FT$4,IF(C71=1,IF(BU71+BU72+BU73+BV71+BV72+BV73+BW71+BW72+BW73+BX71+BX72+BX73&lt;=15,(BU71+BU72+BU73+BW71+BW72+BW73)*Percapita/30*FT$4,IF(BU71+BU72+BU73+BV71+BV72+BV73+BW71+BW72+BW73+BX71+BX72+BX73&gt;=16,Fixo/30*FT$4+(BU71+BU72+BU73+BV71+BV72+BV73+BW71+BW72+BW73+BX71+BX72-16)*Percapita/30*FT$4))))))</f>
        <v>0</v>
      </c>
      <c r="FU71" s="177">
        <f>IF(C71=4,SUM(BY71+BY72+BY73+CA71+CA72+CA73)*Percapita/30*FU$4+(BZ71+BZ72+BZ73+CB71+CB72+CB73)*Cadeirante/30*FU$4,IF(C71=3,IF(BY74+CA74=10,Fixo/30*FU$4+(BY71+BY72+BY73+CA71+CA72+CA73)*Percapita/30*FU$4+(BZ74+CB74)*Cadeirante/30*FU$4,IF(BY74+CA74&lt;=9,(BY74+CA74)*Crechee/30*FU$4)+(BZ74+CB74)*Cadeirante/30*FU$4+(BY71+BY72+BY73+CA71+CA72+CA73)*Percapita/30*FU$4)+IF(BY74+CA74&gt;=11,Fixo/30*FU$4+(BY74+CA74-10)*Crechee/30*FU$4,0),IF(C71=2,IF(BZ71+BZ72+BZ73+BZ74+CB71+CB72+CB73+CB74=1,Cadeirante/30*FU$4,IF(BZ71+BZ72+BZ73+BZ74+CB71+CB72+CB73+CB74=2,Fixo/30*FU$4,IF(BZ71+BZ72+BZ73+BZ74+CB71+CB72+CB73+CB74&gt;2,Fixo/30*FU$4+(BZ71+BZ72+BZ73+BZ74+CB71+CB72+CB73+CB74-2)*Cadeirante/30*FU$4)))+(BY71+BY72+BY73+CA71+CA72+CA73)*Percapita/30*FU$4+(BY74+CA74)*Crechee/30*FU$4,IF(C71=1,IF(BY71+BY72+BY73+BZ71+BZ72+BZ73+CA71+CA72+CA73+CB71+CB72+CB73&lt;=15,(BY71+BY72+BY73+CA71+CA72+CA73)*Percapita/30*FU$4,IF(BY71+BY72+BY73+BZ71+BZ72+BZ73+CA71+CA72+CA73+CB71+CB72+CB73&gt;=16,Fixo/30*FU$4+(BY71+BY72+BY73+BZ71+BZ72+BZ73+CA71+CA72+CA73+CB71+CB72-16)*Percapita/30*FU$4))))))</f>
        <v>0</v>
      </c>
      <c r="FV71" s="177">
        <f>IF(C71=4,SUM(CC71+CC72+CC73+CE71+CE72+CE73)*Percapita/30*FV$4+(CD71+CD72+CD73+CF71+CF72+CF73)*Cadeirante/30*FV$4,IF(C71=3,IF(CC74+CE74=10,Fixo/30*FV$4+(CC71+CC72+CC73+CE71+CE72+CE73)*Percapita/30*FV$4+(CD74+CF74)*Cadeirante/30*FV$4,IF(CC74+CE74&lt;=9,(CC74+CE74)*Crechee/30*FV$4)+(CD74+CF74)*Cadeirante/30*FV$4+(CC71+CC72+CC73+CE71+CE72+CE73)*Percapita/30*FV$4)+IF(CC74+CE74&gt;=11,Fixo/30*FV$4+(CC74+CE74-10)*Crechee/30*FV$4,0),IF(C71=2,IF(CD71+CD72+CD73+CD74+CF71+CF72+CF73+CF74=1,Cadeirante/30*FV$4,IF(CD71+CD72+CD73+CD74+CF71+CF72+CF73+CF74=2,Fixo/30*FV$4,IF(CD71+CD72+CD73+CD74+CF71+CF72+CF73+CF74&gt;2,Fixo/30*FV$4+(CD71+CD72+CD73+CD74+CF71+CF72+CF73+CF74-2)*Cadeirante/30*FV$4)))+(CC71+CC72+CC73+CE71+CE72+CE73)*Percapita/30*FV$4+(CC74+CE74)*Crechee/30*FV$4,IF(C71=1,IF(CC71+CC72+CC73+CD71+CD72+CD73+CE71+CE72+CE73+CF71+CF72+CF73&lt;=15,(CC71+CC72+CC73+CE71+CE72+CE73)*Percapita/30*FV$4,IF(CC71+CC72+CC73+CD71+CD72+CD73+CE71+CE72+CE73+CF71+CF72+CF73&gt;=16,Fixo/30*FV$4+(CC71+CC72+CC73+CD71+CD72+CD73+CE71+CE72+CE73+CF71+CF72-16)*Percapita/30*FV$4))))))</f>
        <v>0</v>
      </c>
      <c r="FW71" s="177">
        <f>IF(C71=4,SUM(CG71+CG72+CG73+CI71+CI72+CI73)*Percapita/30*FW$4+(CH71+CH72+CH73+CJ71+CJ72+CJ73)*Cadeirante/30*FW$4,IF(C71=3,IF(CG74+CI74=10,Fixo/30*FW$4+(CG71+CG72+CG73+CI71+CI72+CI73)*Percapita/30*FW$4+(CH74+CJ74)*Cadeirante/30*FW$4,IF(CG74+CI74&lt;=9,(CG74+CI74)*Crechee/30*FW$4)+(CH74+CJ74)*Cadeirante/30*FW$4+(CG71+CG72+CG73+CI71+CI72+CI73)*Percapita/30*FW$4)+IF(CG74+CI74&gt;=11,Fixo/30*FW$4+(CG74+CI74-10)*Crechee/30*FW$4,0),IF(C71=2,IF(CH71+CH72+CH73+CH74+CJ71+CJ72+CJ73+CJ74=1,Cadeirante/30*FW$4,IF(CH71+CH72+CH73+CH74+CJ71+CJ72+CJ73+CJ74=2,Fixo/30*FW$4,IF(CH71+CH72+CH73+CH74+CJ71+CJ72+CJ73+CJ74&gt;2,Fixo/30*FW$4+(CH71+CH72+CH73+CH74+CJ71+CJ72+CJ73+CJ74-2)*Cadeirante/30*FW$4)))+(CG71+CG72+CG73+CI71+CI72+CI73)*Percapita/30*FW$4+(CG74+CI74)*Crechee/30*FW$4,IF(C71=1,IF(CG71+CG72+CG73+CH71+CH72+CH73+CI71+CI72+CI73+CJ71+CJ72+CJ73&lt;=15,(CG71+CG72+CG73+CI71+CI72+CI73)*Percapita/30*FW$4,IF(CG71+CG72+CG73+CH71+CH72+CH73+CI71+CI72+CI73+CJ71+CJ72+CJ73&gt;=16,Fixo/30*FW$4+(CG71+CG72+CG73+CH71+CH72+CH73+CI71+CI72+CI73+CJ71+CJ72-16)*Percapita/30*FW$4))))))</f>
        <v>0</v>
      </c>
      <c r="FX71" s="177">
        <f>IF(C71=4,SUM(CK71+CK72+CK73+CM71+CM72+CM73)*Percapita/30*FX$4+(CL71+CL72+CL73+CN71+CN72+CN73)*Cadeirante/30*FX$4,IF(C71=3,IF(CK74+CM74=10,Fixo/30*FX$4+(CK71+CK72+CK73+CM71+CM72+CM73)*Percapita/30*FX$4+(CL74+CN74)*Cadeirante/30*FX$4,IF(CK74+CM74&lt;=9,(CK74+CM74)*Crechee/30*FX$4)+(CL74+CN74)*Cadeirante/30*FX$4+(CK71+CK72+CK73+CM71+CM72+CM73)*Percapita/30*FX$4)+IF(CK74+CM74&gt;=11,Fixo/30*FX$4+(CK74+CM74-10)*Crechee/30*FX$4,0),IF(C71=2,IF(CL71+CL72+CL73+CL74+CN71+CN72+CN73+CN74=1,Cadeirante/30*FX$4,IF(CL71+CL72+CL73+CL74+CN71+CN72+CN73+CN74=2,Fixo/30*FX$4,IF(CL71+CL72+CL73+CL74+CN71+CN72+CN73+CN74&gt;2,Fixo/30*FX$4+(CL71+CL72+CL73+CL74+CN71+CN72+CN73+CN74-2)*Cadeirante/30*FX$4)))+(CK71+CK72+CK73+CM71+CM72+CM73)*Percapita/30*FX$4+(CK74+CM74)*Crechee/30*FX$4,IF(C71=1,IF(CK71+CK72+CK73+CL71+CL72+CL73+CM71+CM72+CM73+CN71+CN72+CN73&lt;=15,(CK71+CK72+CK73+CM71+CM72+CM73)*Percapita/30*FX$4,IF(CK71+CK72+CK73+CL71+CL72+CL73+CM71+CM72+CM73+CN71+CN72+CN73&gt;=16,Fixo/30*FX$4+(CK71+CK72+CK73+CL71+CL72+CL73+CM71+CM72+CM73+CN71+CN72-16)*Percapita/30*FX$4))))))</f>
        <v>0</v>
      </c>
      <c r="FY71" s="177">
        <f>IF(C71=4,SUM(CO71+CO72+CO73+CQ71+CQ72+CQ73)*Percapita/30*FY$4+(CP71+CP72+CP73+CR71+CR72+CR73)*Cadeirante/30*FY$4,IF(C71=3,IF(CO74+CQ74=10,Fixo/30*FY$4+(CO71+CO72+CO73+CQ71+CQ72+CQ73)*Percapita/30*FY$4+(CP74+CR74)*Cadeirante/30*FY$4,IF(CO74+CQ74&lt;=9,(CO74+CQ74)*Crechee/30*FY$4)+(CP74+CR74)*Cadeirante/30*FY$4+(CO71+CO72+CO73+CQ71+CQ72+CQ73)*Percapita/30*FY$4)+IF(CO74+CQ74&gt;=11,Fixo/30*FY$4+(CO74+CQ74-10)*Crechee/30*FY$4,0),IF(C71=2,IF(CP71+CP72+CP73+CP74+CR71+CR72+CR73+CR74=1,Cadeirante/30*FY$4,IF(CP71+CP72+CP73+CP74+CR71+CR72+CR73+CR74=2,Fixo/30*FY$4,IF(CP71+CP72+CP73+CP74+CR71+CR72+CR73+CR74&gt;2,Fixo/30*FY$4+(CP71+CP72+CP73+CP74+CR71+CR72+CR73+CR74-2)*Cadeirante/30*FY$4)))+(CO71+CO72+CO73+CQ71+CQ72+CQ73)*Percapita/30*FY$4+(CO74+CQ74)*Crechee/30*FY$4,IF(C71=1,IF(CO71+CO72+CO73+CP71+CP72+CP73+CQ71+CQ72+CQ73+CR71+CR72+CR73&lt;=15,(CO71+CO72+CO73+CQ71+CQ72+CQ73)*Percapita/30*FY$4,IF(CO71+CO72+CO73+CP71+CP72+CP73+CQ71+CQ72+CQ73+CR71+CR72+CR73&gt;=16,Fixo/30*FY$4+(CO71+CO72+CO73+CP71+CP72+CP73+CQ71+CQ72+CQ73+CR71+CR72-16)*Percapita/30*FY$4))))))</f>
        <v>0</v>
      </c>
      <c r="FZ71" s="177">
        <f>IF(C71=4,SUM(CS71+CS72+CS73+CU71+CU72+CU73)*Percapita/30*FZ$4+(CT71+CT72+CT73+CV71+CV72+CV73)*Cadeirante/30*FZ$4,IF(C71=3,IF(CS74+CU74=10,Fixo/30*FZ$4+(CS71+CS72+CS73+CU71+CU72+CU73)*Percapita/30*FZ$4+(CT74+CV74)*Cadeirante/30*FZ$4,IF(CS74+CU74&lt;=9,(CS74+CU74)*Crechee/30*FZ$4)+(CT74+CV74)*Cadeirante/30*FZ$4+(CS71+CS72+CS73+CU71+CU72+CU73)*Percapita/30*FZ$4)+IF(CS74+CU74&gt;=11,Fixo/30*FZ$4+(CS74+CU74-10)*Crechee/30*FZ$4,0),IF(C71=2,IF(CT71+CT72+CT73+CT74+CV71+CV72+CV73+CV74=1,Cadeirante/30*FZ$4,IF(CT71+CT72+CT73+CT74+CV71+CV72+CV73+CV74=2,Fixo/30*FZ$4,IF(CT71+CT72+CT73+CT74+CV71+CV72+CV73+CV74&gt;2,Fixo/30*FZ$4+(CT71+CT72+CT73+CT74+CV71+CV72+CV73+CV74-2)*Cadeirante/30*FZ$4)))+(CS71+CS72+CS73+CU71+CU72+CU73)*Percapita/30*FZ$4+(CS74+CU74)*Crechee/30*FZ$4,IF(C71=1,IF(CS71+CS72+CS73+CT71+CT72+CT73+CU71+CU72+CU73+CV71+CV72+CV73&lt;=15,(CS71+CS72+CS73+CU71+CU72+CU73)*Percapita/30*FZ$4,IF(CS71+CS72+CS73+CT71+CT72+CT73+CU71+CU72+CU73+CV71+CV72+CV73&gt;=16,Fixo/30*FZ$4+(CS71+CS72+CS73+CT71+CT72+CT73+CU71+CU72+CU73+CV71+CV72-16)*Percapita/30*FZ$4))))))</f>
        <v>0</v>
      </c>
      <c r="GA71" s="177">
        <f>IF(C71=4,SUM(CW71+CW72+CW73+CY71+CY72+CY73)*Percapita/30*GA$4+(CX71+CX72+CX73+CZ71+CZ72+CZ73)*Cadeirante/30*GA$4,IF(C71=3,IF(CW74+CY74=10,Fixo/30*GA$4+(CW71+CW72+CW73+CY71+CY72+CY73)*Percapita/30*GA$4+(CX74+CZ74)*Cadeirante/30*GA$4,IF(CW74+CY74&lt;=9,(CW74+CY74)*Crechee/30*GA$4)+(CX74+CZ74)*Cadeirante/30*GA$4+(CW71+CW72+CW73+CY71+CY72+CY73)*Percapita/30*GA$4)+IF(CW74+CY74&gt;=11,Fixo/30*GA$4+(CW74+CY74-10)*Crechee/30*GA$4,0),IF(C71=2,IF(CX71+CX72+CX73+CX74+CZ71+CZ72+CZ73+CZ74=1,Cadeirante/30*GA$4,IF(CX71+CX72+CX73+CX74+CZ71+CZ72+CZ73+CZ74=2,Fixo/30*GA$4,IF(CX71+CX72+CX73+CX74+CZ71+CZ72+CZ73+CZ74&gt;2,Fixo/30*GA$4+(CX71+CX72+CX73+CX74+CZ71+CZ72+CZ73+CZ74-2)*Cadeirante/30*GA$4)))+(CW71+CW72+CW73+CY71+CY72+CY73)*Percapita/30*GA$4+(CW74+CY74)*Crechee/30*GA$4,IF(C71=1,IF(CW71+CW72+CW73+CX71+CX72+CX73+CY71+CY72+CY73+CZ71+CZ72+CZ73&lt;=15,(CW71+CW72+CW73+CY71+CY72+CY73)*Percapita/30*GA$4,IF(CW71+CW72+CW73+CX71+CX72+CX73+CY71+CY72+CY73+CZ71+CZ72+CZ73&gt;=16,Fixo/30*GA$4+(CW71+CW72+CW73+CX71+CX72+CX73+CY71+CY72+CY73+CZ71+CZ72-16)*Percapita/30*GA$4))))))</f>
        <v>0</v>
      </c>
      <c r="GB71" s="177">
        <f>IF(C71=4,SUM(DA71+DA72+DA73+DC71+DC72+DC73)*Percapita/30*GB$4+(DB71+DB72+DB73+DD71+DD72+DD73)*Cadeirante/30*GB$4,IF(C71=3,IF(DA74+DC74=10,Fixo/30*GB$4+(DA71+DA72+DA73+DC71+DC72+DC73)*Percapita/30*GB$4+(DB74+DD74)*Cadeirante/30*GB$4,IF(DA74+DC74&lt;=9,(DA74+DC74)*Crechee/30*GB$4)+(DB74+DD74)*Cadeirante/30*GB$4+(DA71+DA72+DA73+DC71+DC72+DC73)*Percapita/30*GB$4)+IF(DA74+DC74&gt;=11,Fixo/30*GB$4+(DA74+DC74-10)*Crechee/30*GB$4,0),IF(C71=2,IF(DB71+DB72+DB73+DB74+DD71+DD72+DD73+DD74=1,Cadeirante/30*GB$4,IF(DB71+DB72+DB73+DB74+DD71+DD72+DD73+DD74=2,Fixo/30*GB$4,IF(DB71+DB72+DB73+DB74+DD71+DD72+DD73+DD74&gt;2,Fixo/30*GB$4+(DB71+DB72+DB73+DB74+DD71+DD72+DD73+DD74-2)*Cadeirante/30*GB$4)))+(DA71+DA72+DA73+DC71+DC72+DC73)*Percapita/30*GB$4+(DA74+DC74)*Crechee/30*GB$4,IF(C71=1,IF(DA71+DA72+DA73+DB71+DB72+DB73+DC71+DC72+DC73+DD71+DD72+DD73&lt;=15,(DA71+DA72+DA73+DC71+DC72+DC73)*Percapita/30*GB$4,IF(DA71+DA72+DA73+DB71+DB72+DB73+DC71+DC72+DC73+DD71+DD72+DD73&gt;=16,Fixo/30*GB$4+(DA71+DA72+DA73+DB71+DB72+DB73+DC71+DC72+DC73+DD71+DD72-16)*Percapita/30*GB$4))))))</f>
        <v>0</v>
      </c>
      <c r="GC71" s="177">
        <f>IF(C71=4,SUM(DE71+DE72+DE73+DG71+DG72+DG73)*Percapita/30*GC$4+(DF71+DF72+DF73+DH71+DH72+DH73)*Cadeirante/30*GC$4,IF(C71=3,IF(DE74+DG74=10,Fixo/30*GC$4+(DE71+DE72+DE73+DG71+DG72+DG73)*Percapita/30*GC$4+(DF74+DH74)*Cadeirante/30*GC$4,IF(DE74+DG74&lt;=9,(DE74+DG74)*Crechee/30*GC$4)+(DF74+DH74)*Cadeirante/30*GC$4+(DE71+DE72+DE73+DG71+DG72+DG73)*Percapita/30*GC$4)+IF(DE74+DG74&gt;=11,Fixo/30*GC$4+(DE74+DG74-10)*Crechee/30*GC$4,0),IF(C71=2,IF(DF71+DF72+DF73+DF74+DH71+DH72+DH73+DH74=1,Cadeirante/30*GC$4,IF(DF71+DF72+DF73+DF74+DH71+DH72+DH73+DH74=2,Fixo/30*GC$4,IF(DF71+DF72+DF73+DF74+DH71+DH72+DH73+DH74&gt;2,Fixo/30*GC$4+(DF71+DF72+DF73+DF74+DH71+DH72+DH73+DH74-2)*Cadeirante/30*GC$4)))+(DE71+DE72+DE73+DG71+DG72+DG73)*Percapita/30*GC$4+(DE74+DG74)*Crechee/30*GC$4,IF(C71=1,IF(DE71+DE72+DE73+DF71+DF72+DF73+DG71+DG72+DG73+DH71+DH72+DH73&lt;=15,(DE71+DE72+DE73+DG71+DG72+DG73)*Percapita/30*GC$4,IF(DE71+DE72+DE73+DF71+DF72+DF73+DG71+DG72+DG73+DH71+DH72+DH73&gt;=16,Fixo/30*GC$4+(DE71+DE72+DE73+DF71+DF72+DF73+DG71+DG72+DG73+DH71+DH72-16)*Percapita/30*GC$4))))))</f>
        <v>0</v>
      </c>
      <c r="GD71" s="177">
        <f>IF(C71=4,SUM(DI71+DI72+DI73+DK71+DK72+DK73)*Percapita/30*GD$4+(DJ71+DJ72+DJ73+DL71+DL72+DL73)*Cadeirante/30*GD$4,IF(C71=3,IF(DI74+DK74=10,Fixo/30*GD$4+(DI71+DI72+DI73+DK71+DK72+DK73)*Percapita/30*GD$4+(DJ74+DL74)*Cadeirante/30*GD$4,IF(DI74+DK74&lt;=9,(DI74+DK74)*Crechee/30*GD$4)+(DJ74+DL74)*Cadeirante/30*GD$4+(DI71+DI72+DI73+DK71+DK72+DK73)*Percapita/30*GD$4)+IF(DI74+DK74&gt;=11,Fixo/30*GD$4+(DI74+DK74-10)*Crechee/30*GD$4,0),IF(C71=2,IF(DJ71+DJ72+DJ73+DJ74+DL71+DL72+DL73+DL74=1,Cadeirante/30*GD$4,IF(DJ71+DJ72+DJ73+DJ74+DL71+DL72+DL73+DL74=2,Fixo/30*GD$4,IF(DJ71+DJ72+DJ73+DJ74+DL71+DL72+DL73+DL74&gt;2,Fixo/30*GD$4+(DJ71+DJ72+DJ73+DJ74+DL71+DL72+DL73+DL74-2)*Cadeirante/30*GD$4)))+(DI71+DI72+DI73+DK71+DK72+DK73)*Percapita/30*GD$4+(DI74+DK74)*Crechee/30*GD$4,IF(C71=1,IF(DI71+DI72+DI73+DJ71+DJ72+DJ73+DK71+DK72+DK73+DL71+DL72+DL73&lt;=15,(DI71+DI72+DI73+DK71+DK72+DK73)*Percapita/30*GD$4,IF(DI71+DI72+DI73+DJ71+DJ72+DJ73+DK71+DK72+DK73+DL71+DL72+DL73&gt;=16,Fixo/30*GD$4+(DI71+DI72+DI73+DJ71+DJ72+DJ73+DK71+DK72+DK73+DL71+DL72-16)*Percapita/30*GD$4))))))</f>
        <v>0</v>
      </c>
      <c r="GE71" s="177">
        <f>IF(C71=4,SUM(DM71+DM72+DM73+DO71+DO72+DO73)*Percapita/30*GE$4+(DN71+DN72+DN73+DP71+DP72+DP73)*Cadeirante/30*GE$4,IF(C71=3,IF(DM74+DO74=10,Fixo/30*GE$4+(DM71+DM72+DM73+DO71+DO72+DO73)*Percapita/30*GE$4+(DN74+DP74)*Cadeirante/30*GE$4,IF(DM74+DO74&lt;=9,(DM74+DO74)*Crechee/30*GE$4)+(DN74+DP74)*Cadeirante/30*GE$4+(DM71+DM72+DM73+DO71+DO72+DO73)*Percapita/30*GE$4)+IF(DM74+DO74&gt;=11,Fixo/30*GE$4+(DM74+DO74-10)*Crechee/30*GE$4,0),IF(C71=2,IF(DN71+DN72+DN73+DN74+DP71+DP72+DP73+DP74=1,Cadeirante/30*GE$4,IF(DN71+DN72+DN73+DN74+DP71+DP72+DP73+DP74=2,Fixo/30*GE$4,IF(DN71+DN72+DN73+DN74+DP71+DP72+DP73+DP74&gt;2,Fixo/30*GE$4+(DN71+DN72+DN73+DN74+DP71+DP72+DP73+DP74-2)*Cadeirante/30*GE$4)))+(DM71+DM72+DM73+DO71+DO72+DO73)*Percapita/30*GE$4+(DM74+DO74)*Crechee/30*GE$4,IF(C71=1,IF(DM71+DM72+DM73+DN71+DN72+DN73+DO71+DO72+DO73+DP71+DP72+DP73&lt;=15,(DM71+DM72+DM73+DO71+DO72+DO73)*Percapita/30*GE$4,IF(DM71+DM72+DM73+DN71+DN72+DN73+DO71+DO72+DO73+DP71+DP72+DP73&gt;=16,Fixo/30*GE$4+(DM71+DM72+DM73+DN71+DN72+DN73+DO71+DO72+DO73+DP71+DP72-16)*Percapita/30*GE$4))))))</f>
        <v>0</v>
      </c>
      <c r="GF71" s="177">
        <f>IF(C71=4,SUM(DQ71+DQ72+DQ73+DS71+DS72+DS73)*Percapita/30*GF$4+(DR71+DR72+DR73+DT71+DT72+DT73)*Cadeirante/30*GF$4,IF(C71=3,IF(DQ74+DS74=10,Fixo/30*GF$4+(DQ71+DQ72+DQ73+DS71+DS72+DS73)*Percapita/30*GF$4+(DR74+DT74)*Cadeirante/30*GF$4,IF(DQ74+DS74&lt;=9,(DQ74+DS74)*Crechee/30*GF$4)+(DR74+DT74)*Cadeirante/30*GF$4+(DQ71+DQ72+DQ73+DS71+DS72+DS73)*Percapita/30*GF$4)+IF(DQ74+DS74&gt;=11,Fixo/30*GF$4+(DQ74+DS74-10)*Crechee/30*GF$4,0),IF(C71=2,IF(DR71+DR72+DR73+DR74+DT71+DT72+DT73+DT74=1,Cadeirante/30*GF$4,IF(DR71+DR72+DR73+DR74+DT71+DT72+DT73+DT74=2,Fixo/30*GF$4,IF(DR71+DR72+DR73+DR74+DT71+DT72+DT73+DT74&gt;2,Fixo/30*GF$4+(DR71+DR72+DR73+DR74+DT71+DT72+DT73+DT74-2)*Cadeirante/30*GF$4)))+(DQ71+DQ72+DQ73+DS71+DS72+DS73)*Percapita/30*GF$4+(DQ74+DS74)*Crechee/30*GF$4,IF(C71=1,IF(DQ71+DQ72+DQ73+DR71+DR72+DR73+DS71+DS72+DS73+DT71+DT72+DT73&lt;=15,(DQ71+DQ72+DQ73+DS71+DS72+DS73)*Percapita/30*GF$4,IF(DQ71+DQ72+DQ73+DR71+DR72+DR73+DS71+DS72+DS73+DT71+DT72+DT73&gt;=16,Fixo/30*GF$4+(DQ71+DQ72+DQ73+DR71+DR72+DR73+DS71+DS72+DS73+DT71+DT72-16)*Percapita/30*GF$4))))))</f>
        <v>0</v>
      </c>
      <c r="GG71" s="177">
        <f>IF(C71=4,SUM(DU71+DU72+DU73+DW71+DW72+DW73)*Percapita/30*GG$4+(DV71+DV72+DV73+DX71+DX72+DX73)*Cadeirante/30*GG$4,IF(C71=3,IF(DU74+DW74=10,Fixo/30*GG$4+(DU71+DU72+DU73+DW71+DW72+DW73)*Percapita/30*GG$4+(DV74+DX74)*Cadeirante/30*GG$4,IF(DU74+DW74&lt;=9,(DU74+DW74)*Crechee/30*GG$4)+(DV74+DX74)*Cadeirante/30*GG$4+(DU71+DU72+DU73+DW71+DW72+DW73)*Percapita/30*GG$4)+IF(DU74+DW74&gt;=11,Fixo/30*GG$4+(DU74+DW74-10)*Crechee/30*GG$4,0),IF(C71=2,IF(DV71+DV72+DV73+DV74+DX71+DX72+DX73+DX74=1,Cadeirante/30*GG$4,IF(DV71+DV72+DV73+DV74+DX71+DX72+DX73+DX74=2,Fixo/30*GG$4,IF(DV71+DV72+DV73+DV74+DX71+DX72+DX73+DX74&gt;2,Fixo/30*GG$4+(DV71+DV72+DV73+DV74+DX71+DX72+DX73+DX74-2)*Cadeirante/30*GG$4)))+(DU71+DU72+DU73+DW71+DW72+DW73)*Percapita/30*GG$4+(DU74+DW74)*Crechee/30*GG$4,IF(C71=1,IF(DU71+DU72+DU73+DV71+DV72+DV73+DW71+DW72+DW73+DX71+DX72+DX73&lt;=15,(DU71+DU72+DU73+DW71+DW72+DW73)*Percapita/30*GG$4,IF(DU71+DU72+DU73+DV71+DV72+DV73+DW71+DW72+DW73+DX71+DX72+DX73&gt;=16,Fixo/30*GG$4+(DU71+DU72+DU73+DV71+DV72+DV73+DW71+DW72+DW73+DX71+DX72-16)*Percapita/30*GG$4))))))</f>
        <v>0</v>
      </c>
      <c r="GH71" s="177">
        <f>IF(C71=4,SUM(DY71+DY72+DY73+EA71+EA72+EA73)*Percapita/30*GH$4+(DZ71+DZ72+DZ73+EB71+EB72+EB73)*Cadeirante/30*GH$4,IF(C71=3,IF(DY74+EA74=10,Fixo/30*GH$4+(DY71+DY72+DY73+EA71+EA72+EA73)*Percapita/30*GH$4+(DZ74+EB74)*Cadeirante/30*GH$4,IF(DY74+EA74&lt;=9,(DY74+EA74)*Crechee/30*GH$4)+(DZ74+EB74)*Cadeirante/30*GH$4+(DY71+DY72+DY73+EA71+EA72+EA73)*Percapita/30*GH$4)+IF(DY74+EA74&gt;=11,Fixo/30*GH$4+(DY74+EA74-10)*Crechee/30*GH$4,0),IF(C71=2,IF(DZ71+DZ72+DZ73+DZ74+EB71+EB72+EB73+EB74=1,Cadeirante/30*GH$4,IF(DZ71+DZ72+DZ73+DZ74+EB71+EB72+EB73+EB74=2,Fixo/30*GH$4,IF(DZ71+DZ72+DZ73+DZ74+EB71+EB72+EB73+EB74&gt;2,Fixo/30*GH$4+(DZ71+DZ72+DZ73+DZ74+EB71+EB72+EB73+EB74-2)*Cadeirante/30*GH$4)))+(DY71+DY72+DY73+EA71+EA72+EA73)*Percapita/30*GH$4+(DY74+EA74)*Crechee/30*GH$4,IF(C71=1,IF(DY71+DY72+DY73+DZ71+DZ72+DZ73+EA71+EA72+EA73+EB71+EB72+EB73&lt;=15,(DY71+DY72+DY73+EA71+EA72+EA73)*Percapita/30*GH$4,IF(DY71+DY72+DY73+DZ71+DZ72+DZ73+EA71+EA72+EA73+EB71+EB72+EB73&gt;=16,Fixo/30*GH$4+(DY71+DY72+DY73+DZ71+DZ72+DZ73+EA71+EA72+EA73+EB71+EB72-16)*Percapita/30*GH$4))))))</f>
        <v>0</v>
      </c>
      <c r="GI71" s="177">
        <f>IF(C71=4,SUM(EC71+EC72+EC73+EE71+EE72+EE73)*Percapita/30*GI$4+(ED71+ED72+ED73+EF71+EF72+EF73)*Cadeirante/30*GI$4,IF(C71=3,IF(EC74+EE74=10,Fixo/30*GI$4+(EC71+EC72+EC73+EE71+EE72+EE73)*Percapita/30*GI$4+(ED74+EF74)*Cadeirante/30*GI$4,IF(EC74+EE74&lt;=9,(EC74+EE74)*Crechee/30*GI$4)+(ED74+EF74)*Cadeirante/30*GI$4+(EC71+EC72+EC73+EE71+EE72+EE73)*Percapita/30*GI$4)+IF(EC74+EE74&gt;=11,Fixo/30*GI$4+(EC74+EE74-10)*Crechee/30*GI$4,0),IF(C71=2,IF(ED71+ED72+ED73+ED74+EF71+EF72+EF73+EF74=1,Cadeirante/30*GI$4,IF(ED71+ED72+ED73+ED74+EF71+EF72+EF73+EF74=2,Fixo/30*GI$4,IF(ED71+ED72+ED73+ED74+EF71+EF72+EF73+EF74&gt;2,Fixo/30*GI$4+(ED71+ED72+ED73+ED74+EF71+EF72+EF73+EF74-2)*Cadeirante/30*GI$4)))+(EC71+EC72+EC73+EE71+EE72+EE73)*Percapita/30*GI$4+(EC74+EE74)*Crechee/30*GI$4,IF(C71=1,IF(EC71+EC72+EC73+ED71+ED72+ED73+EE71+EE72+EE73+EF71+EF72+EF73&lt;=15,(EC71+EC72+EC73+EE71+EE72+EE73)*Percapita/30*GI$4,IF(EC71+EC72+EC73+ED71+ED72+ED73+EE71+EE72+EE73+EF71+EF72+EF73&gt;=16,Fixo/30*GI$4+(EC71+EC72+EC73+ED71+ED72+ED73+EE71+EE72+EE73+EF71+EF72-16)*Percapita/30*GI$4))))))</f>
        <v>0</v>
      </c>
      <c r="GJ71" s="177">
        <f>IF(C71=4,SUM(EG71+EG72+EG73+EI71+EI72+EI73)*Percapita/30*GJ$4+(EH71+EH72+EH73+EJ71+EJ72+EJ73)*Cadeirante/30*GJ$4,IF(C71=3,IF(EG74+EI74=10,Fixo/30*GJ$4+(EG71+EG72+EG73+EI71+EI72+EI73)*Percapita/30*GJ$4+(EH74+EJ74)*Cadeirante/30*GJ$4,IF(EG74+EI74&lt;=9,(EG74+EI74)*Crechee/30*GJ$4)+(EH74+EJ74)*Cadeirante/30*GJ$4+(EG71+EG72+EG73+EI71+EI72+EI73)*Percapita/30*GJ$4)+IF(EG74+EI74&gt;=11,Fixo/30*GJ$4+(EG74+EI74-10)*Crechee/30*GJ$4,0),IF(C71=2,IF(EH71+EH72+EH73+EH74+EJ71+EJ72+EJ73+EJ74=1,Cadeirante/30*GJ$4,IF(EH71+EH72+EH73+EH74+EJ71+EJ72+EJ73+EJ74=2,Fixo/30*GJ$4,IF(EH71+EH72+EH73+EH74+EJ71+EJ72+EJ73+EJ74&gt;2,Fixo/30*GJ$4+(EH71+EH72+EH73+EH74+EJ71+EJ72+EJ73+EJ74-2)*Cadeirante/30*GJ$4)))+(EG71+EG72+EG73+EI71+EI72+EI73)*Percapita/30*GJ$4+(EG74+EI74)*Crechee/30*GJ$4,IF(C71=1,IF(EG71+EG72+EG73+EH71+EH72+EH73+EI71+EI72+EI73+EJ71+EJ72+EJ73&lt;=15,(EG71+EG72+EG73+EI71+EI72+EI73)*Percapita/30*GJ$4,IF(EG71+EG72+EG73+EH71+EH72+EH73+EI71+EI72+EI73+EJ71+EJ72+EJ73&gt;=16,Fixo/30*GJ$4+(EG71+EG72+EG73+EH71+EH72+EH73+EI71+EI72+EI73+EJ71+EJ72-16)*Percapita/30*GJ$4))))))</f>
        <v>0</v>
      </c>
      <c r="GK71" s="178"/>
      <c r="GL71" s="103">
        <f t="shared" si="30"/>
        <v>0</v>
      </c>
      <c r="GM71" s="124"/>
      <c r="GN71" s="104">
        <f>SUMIF(V71:V74,"&lt;0")*Cadeirante/30*GN$4+SUMIF(X71:X74,"&lt;0")*Cadeirante/30*GN$4</f>
        <v>0</v>
      </c>
      <c r="GO71" s="104">
        <f>SUMIF(Z71:Z74,"&lt;0")*Cadeirante/30*GO$4+SUMIF(AB71:AB74,"&lt;0")*Cadeirante/30*GO$4</f>
        <v>0</v>
      </c>
      <c r="GP71" s="104">
        <f>SUMIF(AD71:AD74,"&lt;0")*Cadeirante/30*GP$4+SUMIF(AF71:AF74,"&lt;0")*Cadeirante/30*GP$4</f>
        <v>0</v>
      </c>
      <c r="GQ71" s="104">
        <f>SUMIF(AH71:AH74,"&lt;0")*Cadeirante/30*GQ$4+SUMIF(AJ71:AJ74,"&lt;0")*Cadeirante/30*GQ$4</f>
        <v>0</v>
      </c>
      <c r="GR71" s="104">
        <f>SUMIF(AL71:AL74,"&lt;0")*Cadeirante/30*GR$4+SUMIF(AN71:AN74,"&lt;0")*Cadeirante/30*GR$4</f>
        <v>0</v>
      </c>
      <c r="GS71" s="104">
        <f>SUMIF(AP71:AP74,"&lt;0")*Cadeirante/30*GS$4+SUMIF(AR71:AR74,"&lt;0")*Cadeirante/30*GS$4</f>
        <v>0</v>
      </c>
      <c r="GT71" s="104">
        <f>SUMIF(AT71:AT74,"&lt;0")*Cadeirante/30*GT$4+SUMIF(AV71:AV74,"&lt;0")*Cadeirante/30*GT$4</f>
        <v>0</v>
      </c>
      <c r="GU71" s="104">
        <f>SUMIF(AX71:AX74,"&lt;0")*Cadeirante/30*GU$4+SUMIF(AZ71:AZ74,"&lt;0")*Cadeirante/30*GU$4</f>
        <v>0</v>
      </c>
      <c r="GV71" s="104">
        <f>SUMIF(BB71:BB74,"&lt;0")*Cadeirante/30*GV$4+SUMIF(BD71:BD74,"&lt;0")*Cadeirante/30*GV$4</f>
        <v>0</v>
      </c>
      <c r="GW71" s="104">
        <f>SUMIF(BF71:BF74,"&lt;0")*Cadeirante/30*GW$4+SUMIF(BH71:BH74,"&lt;0")*Cadeirante/30*GW$4</f>
        <v>0</v>
      </c>
      <c r="GX71" s="104">
        <f>SUMIF(BJ71:BJ74,"&lt;0")*Cadeirante/30*GX$4+SUMIF(BL71:BL74,"&lt;0")*Cadeirante/30*GX$4</f>
        <v>0</v>
      </c>
      <c r="GY71" s="104">
        <f>SUMIF(BN71:BN74,"&lt;0")*Cadeirante/30*GY$4+SUMIF(BP71:BP74,"&lt;0")*Cadeirante/30*GY$4</f>
        <v>0</v>
      </c>
      <c r="GZ71" s="104">
        <f>SUMIF(BR71:BR74,"&lt;0")*Cadeirante/30*GZ$4+SUMIF(BT71:BT74,"&lt;0")*Cadeirante/30*GZ$4</f>
        <v>0</v>
      </c>
      <c r="HA71" s="104">
        <f>SUMIF(BV71:BV74,"&lt;0")*Cadeirante/30*HA$4+SUMIF(BX71:BX74,"&lt;0")*Cadeirante/30*HA$4</f>
        <v>0</v>
      </c>
      <c r="HB71" s="104">
        <f>SUMIF(BZ71:BZ74,"&lt;0")*Cadeirante/30*HB$4+SUMIF(CB71:CB74,"&lt;0")*Cadeirante/30*HB$4</f>
        <v>0</v>
      </c>
      <c r="HC71" s="104">
        <f>SUMIF(CD71:CD74,"&lt;0")*Cadeirante/30*HC$4+SUMIF(CF71:CF74,"&lt;0")*Cadeirante/30*HC$4</f>
        <v>0</v>
      </c>
      <c r="HD71" s="104">
        <f>SUMIF(CH71:CH74,"&lt;0")*Cadeirante/30*HD$4+SUMIF(CJ71:CJ74,"&lt;0")*Cadeirante/30*HD$4</f>
        <v>0</v>
      </c>
      <c r="HE71" s="104">
        <f>SUMIF(CL71:CL74,"&lt;0")*Cadeirante/30*HE$4+SUMIF(CN71:CN74,"&lt;0")*Cadeirante/30*HE$4</f>
        <v>0</v>
      </c>
      <c r="HF71" s="104">
        <f>SUMIF(CP71:CP74,"&lt;0")*Cadeirante/30*HF$4+SUMIF(CR71:CR74,"&lt;0")*Cadeirante/30*HF$4</f>
        <v>0</v>
      </c>
      <c r="HG71" s="104">
        <f>SUMIF(CT71:CT74,"&lt;0")*Cadeirante/30*HG$4+SUMIF(CV71:CV74,"&lt;0")*Cadeirante/30*HG$4</f>
        <v>0</v>
      </c>
      <c r="HH71" s="104">
        <f>SUMIF(CX71:CX74,"&lt;0")*Cadeirante/30*HH$4+SUMIF(CZ71:CZ74,"&lt;0")*Cadeirante/30*HH$4</f>
        <v>0</v>
      </c>
      <c r="HI71" s="104">
        <f>SUMIF(DB71:DB74,"&lt;0")*Cadeirante/30*HI$4+SUMIF(DD71:DD74,"&lt;0")*Cadeirante/30*HI$4</f>
        <v>0</v>
      </c>
      <c r="HJ71" s="104">
        <f>SUMIF(DF71:DF74,"&lt;0")*Cadeirante/30*HJ$4+SUMIF(DH71:DH74,"&lt;0")*Cadeirante/30*HJ$4</f>
        <v>0</v>
      </c>
      <c r="HK71" s="104">
        <f>SUMIF(DJ71:DJ74,"&lt;0")*Cadeirante/30*HK$4+SUMIF(DL71:DL74,"&lt;0")*Cadeirante/30*HK$4</f>
        <v>0</v>
      </c>
      <c r="HL71" s="104">
        <f>SUMIF(DN71:DN74,"&lt;0")*Cadeirante/30*HL$4+SUMIF(DP71:DP74,"&lt;0")*Cadeirante/30*HL$4</f>
        <v>0</v>
      </c>
      <c r="HM71" s="104">
        <f>SUMIF(DR71:DR74,"&lt;0")*Cadeirante/30*HM$4+SUMIF(DT71:DT74,"&lt;0")*Cadeirante/30*HM$4</f>
        <v>0</v>
      </c>
      <c r="HN71" s="104">
        <f>SUMIF(DV71:DV74,"&lt;0")*Cadeirante/30*HN$4+SUMIF(DX71:DX74,"&lt;0")*Cadeirante/30*HN$4</f>
        <v>0</v>
      </c>
      <c r="HO71" s="104">
        <f>SUMIF(DZ71:DZ74,"&lt;0")*Cadeirante/30*HO$4+SUMIF(EB71:EB74,"&lt;0")*Cadeirante/30*HO$4</f>
        <v>0</v>
      </c>
      <c r="HP71" s="104">
        <f>SUMIF(ED71:ED74,"&lt;0")*Cadeirante/30*HP$4+SUMIF(EF71:EF74,"&lt;0")*Cadeirante/30*HP$4</f>
        <v>0</v>
      </c>
      <c r="HQ71" s="64"/>
      <c r="HR71" s="64"/>
      <c r="HS71" s="64"/>
      <c r="HT71" s="64"/>
      <c r="HU71" s="64"/>
      <c r="HV71" s="64"/>
      <c r="HW71" s="176">
        <v>17629.309999999998</v>
      </c>
      <c r="HX71" s="64"/>
      <c r="HY71" s="280">
        <f>IF(ISTEXT(EM71), VALUE(EM71), EM71)</f>
        <v>0</v>
      </c>
      <c r="HZ71" s="280">
        <f>IF(ISTEXT(EN71), VALUE(EN71), EN71)</f>
        <v>0</v>
      </c>
      <c r="IA71" s="280">
        <f>IF(ISTEXT(EO71), VALUE(EO71), EO71)</f>
        <v>0</v>
      </c>
      <c r="IB71" s="64" t="b">
        <f>HW71=FE71</f>
        <v>0</v>
      </c>
      <c r="IC71" s="64"/>
    </row>
    <row r="72" spans="1:237" s="106" customFormat="1" ht="22.5" customHeight="1" x14ac:dyDescent="0.25">
      <c r="A72" s="368" t="s">
        <v>3242</v>
      </c>
      <c r="B72" s="369" t="s">
        <v>3243</v>
      </c>
      <c r="C72" s="370" t="s">
        <v>3186</v>
      </c>
      <c r="D72" s="371" t="s">
        <v>3244</v>
      </c>
      <c r="E72" s="371" t="s">
        <v>3245</v>
      </c>
      <c r="F72" s="372" t="s">
        <v>3182</v>
      </c>
      <c r="G72" s="372" t="s">
        <v>3183</v>
      </c>
      <c r="H72" s="373" t="s">
        <v>351</v>
      </c>
      <c r="I72" s="374" t="s">
        <v>351</v>
      </c>
      <c r="J72" s="421" t="s">
        <v>3184</v>
      </c>
      <c r="K72" s="421" t="s">
        <v>3187</v>
      </c>
      <c r="L72" s="329">
        <f>CONTINUA!BV72</f>
        <v>18</v>
      </c>
      <c r="M72" s="329">
        <f>CONTINUA!BW72</f>
        <v>0</v>
      </c>
      <c r="N72" s="895"/>
      <c r="O72" s="896" t="s">
        <v>3287</v>
      </c>
      <c r="P72" s="897">
        <v>0</v>
      </c>
      <c r="Q72" s="400">
        <v>33</v>
      </c>
      <c r="R72" s="401"/>
      <c r="S72" s="400"/>
      <c r="T72" s="401"/>
      <c r="U72" s="400"/>
      <c r="V72" s="401"/>
      <c r="W72" s="400"/>
      <c r="X72" s="401"/>
      <c r="Y72" s="400"/>
      <c r="Z72" s="401"/>
      <c r="AA72" s="400"/>
      <c r="AB72" s="401"/>
      <c r="AC72" s="400"/>
      <c r="AD72" s="401"/>
      <c r="AE72" s="400"/>
      <c r="AF72" s="401"/>
      <c r="AG72" s="400"/>
      <c r="AH72" s="401"/>
      <c r="AI72" s="400"/>
      <c r="AJ72" s="401"/>
      <c r="AK72" s="400"/>
      <c r="AL72" s="401"/>
      <c r="AM72" s="400"/>
      <c r="AN72" s="401"/>
      <c r="AO72" s="400"/>
      <c r="AP72" s="401"/>
      <c r="AQ72" s="400"/>
      <c r="AR72" s="401"/>
      <c r="AS72" s="400"/>
      <c r="AT72" s="401"/>
      <c r="AU72" s="400"/>
      <c r="AV72" s="401"/>
      <c r="AW72" s="400"/>
      <c r="AX72" s="401"/>
      <c r="AY72" s="400"/>
      <c r="AZ72" s="401"/>
      <c r="BA72" s="400"/>
      <c r="BB72" s="401"/>
      <c r="BC72" s="400"/>
      <c r="BD72" s="401"/>
      <c r="BE72" s="400"/>
      <c r="BF72" s="401"/>
      <c r="BG72" s="400"/>
      <c r="BH72" s="401"/>
      <c r="BI72" s="400"/>
      <c r="BJ72" s="401"/>
      <c r="BK72" s="400"/>
      <c r="BL72" s="401"/>
      <c r="BM72" s="400"/>
      <c r="BN72" s="401"/>
      <c r="BO72" s="400"/>
      <c r="BP72" s="401"/>
      <c r="BQ72" s="400"/>
      <c r="BR72" s="401"/>
      <c r="BS72" s="400"/>
      <c r="BT72" s="401"/>
      <c r="BU72" s="400"/>
      <c r="BV72" s="401"/>
      <c r="BW72" s="400"/>
      <c r="BX72" s="401"/>
      <c r="BY72" s="400"/>
      <c r="BZ72" s="401"/>
      <c r="CA72" s="400"/>
      <c r="CB72" s="401"/>
      <c r="CC72" s="400"/>
      <c r="CD72" s="401"/>
      <c r="CE72" s="400"/>
      <c r="CF72" s="401"/>
      <c r="CG72" s="400"/>
      <c r="CH72" s="401"/>
      <c r="CI72" s="400"/>
      <c r="CJ72" s="401"/>
      <c r="CK72" s="400"/>
      <c r="CL72" s="401"/>
      <c r="CM72" s="400"/>
      <c r="CN72" s="401"/>
      <c r="CO72" s="400"/>
      <c r="CP72" s="401"/>
      <c r="CQ72" s="400"/>
      <c r="CR72" s="401"/>
      <c r="CS72" s="400"/>
      <c r="CT72" s="401"/>
      <c r="CU72" s="400"/>
      <c r="CV72" s="401"/>
      <c r="CW72" s="400"/>
      <c r="CX72" s="401"/>
      <c r="CY72" s="400"/>
      <c r="CZ72" s="401"/>
      <c r="DA72" s="400"/>
      <c r="DB72" s="401"/>
      <c r="DC72" s="400"/>
      <c r="DD72" s="401"/>
      <c r="DE72" s="400"/>
      <c r="DF72" s="401"/>
      <c r="DG72" s="400"/>
      <c r="DH72" s="401"/>
      <c r="DI72" s="400"/>
      <c r="DJ72" s="401"/>
      <c r="DK72" s="400"/>
      <c r="DL72" s="401"/>
      <c r="DM72" s="400"/>
      <c r="DN72" s="401"/>
      <c r="DO72" s="400"/>
      <c r="DP72" s="401"/>
      <c r="DQ72" s="400"/>
      <c r="DR72" s="401"/>
      <c r="DS72" s="400"/>
      <c r="DT72" s="401"/>
      <c r="DU72" s="400"/>
      <c r="DV72" s="401"/>
      <c r="DW72" s="400"/>
      <c r="DX72" s="401"/>
      <c r="DY72" s="400"/>
      <c r="DZ72" s="401"/>
      <c r="EA72" s="400"/>
      <c r="EB72" s="401"/>
      <c r="EC72" s="400"/>
      <c r="ED72" s="401"/>
      <c r="EE72" s="400"/>
      <c r="EF72" s="401"/>
      <c r="EG72" s="400"/>
      <c r="EH72" s="401"/>
      <c r="EI72" s="400"/>
      <c r="EJ72" s="447"/>
      <c r="EK72" s="511"/>
      <c r="EL72" s="514"/>
      <c r="EM72" s="448"/>
      <c r="EN72" s="344"/>
      <c r="EO72" s="345"/>
      <c r="EP72" s="171">
        <f t="shared" si="22"/>
        <v>33</v>
      </c>
      <c r="EQ72" s="171">
        <f t="shared" si="23"/>
        <v>0</v>
      </c>
      <c r="ER72" s="171">
        <f t="shared" si="24"/>
        <v>0</v>
      </c>
      <c r="ES72" s="171">
        <f t="shared" si="25"/>
        <v>0</v>
      </c>
      <c r="ET72" s="171">
        <f t="shared" si="26"/>
        <v>0</v>
      </c>
      <c r="EU72" s="171">
        <f t="shared" si="27"/>
        <v>0</v>
      </c>
      <c r="EV72" s="172">
        <f t="shared" si="28"/>
        <v>33</v>
      </c>
      <c r="EW72" s="173"/>
      <c r="EX72" s="248">
        <f t="shared" si="90"/>
        <v>0</v>
      </c>
      <c r="EY72" s="174">
        <f>(L72*regular)+(M72*Cadeirantee)</f>
        <v>173.52</v>
      </c>
      <c r="EZ72" s="249">
        <f>SUMIF(FG72:GJ72,"&gt;0")</f>
        <v>0</v>
      </c>
      <c r="FA72" s="249">
        <f>SUMIF(FG72:GJ72,"&lt;0")+SUMIF(GN72:HP72,"&lt;0")</f>
        <v>0</v>
      </c>
      <c r="FB72" s="174">
        <v>0</v>
      </c>
      <c r="FC72" s="126">
        <f>N72*km*'VALORES TABELA'!$B$13</f>
        <v>0</v>
      </c>
      <c r="FD72" s="250">
        <f t="shared" ref="FD72:FD75" si="91">GL72</f>
        <v>0</v>
      </c>
      <c r="FE72" s="105"/>
      <c r="FF72" s="119"/>
      <c r="FG72" s="119"/>
      <c r="FH72" s="119"/>
      <c r="FI72" s="119"/>
      <c r="FJ72" s="119"/>
      <c r="FK72" s="119"/>
      <c r="FL72" s="119"/>
      <c r="FM72" s="119"/>
      <c r="FN72" s="119"/>
      <c r="FO72" s="119"/>
      <c r="FP72" s="119"/>
      <c r="FQ72" s="119"/>
      <c r="FR72" s="119"/>
      <c r="FS72" s="119"/>
      <c r="FT72" s="119"/>
      <c r="FU72" s="119"/>
      <c r="FV72" s="119"/>
      <c r="FW72" s="119"/>
      <c r="FX72" s="119"/>
      <c r="FY72" s="119"/>
      <c r="FZ72" s="119"/>
      <c r="GA72" s="119"/>
      <c r="GB72" s="119"/>
      <c r="GC72" s="119"/>
      <c r="GD72" s="119"/>
      <c r="GE72" s="119"/>
      <c r="GF72" s="119"/>
      <c r="GG72" s="119"/>
      <c r="GH72" s="119"/>
      <c r="GI72" s="119"/>
      <c r="GJ72" s="119"/>
      <c r="GK72" s="251"/>
      <c r="GL72" s="103">
        <f t="shared" si="30"/>
        <v>0</v>
      </c>
      <c r="GM72" s="124"/>
      <c r="GN72" s="104"/>
      <c r="GO72" s="104"/>
      <c r="GP72" s="104"/>
      <c r="GQ72" s="104"/>
      <c r="GR72" s="104"/>
      <c r="GS72" s="104"/>
      <c r="GT72" s="104"/>
      <c r="GU72" s="104"/>
      <c r="GV72" s="104"/>
      <c r="GW72" s="104"/>
      <c r="GX72" s="104"/>
      <c r="GY72" s="104"/>
      <c r="GZ72" s="104"/>
      <c r="HA72" s="104"/>
      <c r="HB72" s="104"/>
      <c r="HC72" s="104"/>
      <c r="HD72" s="104"/>
      <c r="HE72" s="104"/>
      <c r="HF72" s="104"/>
      <c r="HG72" s="104"/>
      <c r="HH72" s="104"/>
      <c r="HI72" s="104"/>
      <c r="HJ72" s="104"/>
      <c r="HK72" s="104"/>
      <c r="HL72" s="104"/>
      <c r="HM72" s="104"/>
      <c r="HN72" s="104"/>
      <c r="HO72" s="104"/>
      <c r="HP72" s="104"/>
      <c r="HQ72" s="64"/>
      <c r="HR72" s="64"/>
      <c r="HS72" s="64"/>
      <c r="HT72" s="64"/>
      <c r="HU72" s="64"/>
      <c r="HV72" s="64"/>
      <c r="HW72" s="105"/>
      <c r="HX72" s="64"/>
      <c r="HY72" s="280">
        <f t="shared" ref="HY72:HY75" si="92">IF(ISTEXT(EM72), VALUE(EM72), EM72)</f>
        <v>0</v>
      </c>
      <c r="HZ72" s="280">
        <f t="shared" ref="HZ72:HZ75" si="93">IF(ISTEXT(EN72), VALUE(EN72), EN72)</f>
        <v>0</v>
      </c>
      <c r="IA72" s="280">
        <f t="shared" ref="IA72:IA75" si="94">IF(ISTEXT(EO72), VALUE(EO72), EO72)</f>
        <v>0</v>
      </c>
      <c r="IB72" s="64"/>
      <c r="IC72" s="64"/>
    </row>
    <row r="73" spans="1:237" s="106" customFormat="1" ht="22.5" customHeight="1" x14ac:dyDescent="0.25">
      <c r="A73" s="368" t="s">
        <v>3242</v>
      </c>
      <c r="B73" s="369" t="s">
        <v>3243</v>
      </c>
      <c r="C73" s="375" t="s">
        <v>3186</v>
      </c>
      <c r="D73" s="371" t="s">
        <v>3244</v>
      </c>
      <c r="E73" s="371" t="s">
        <v>3245</v>
      </c>
      <c r="F73" s="376" t="s">
        <v>3182</v>
      </c>
      <c r="G73" s="376" t="s">
        <v>3183</v>
      </c>
      <c r="H73" s="373" t="s">
        <v>351</v>
      </c>
      <c r="I73" s="374" t="s">
        <v>351</v>
      </c>
      <c r="J73" s="421" t="s">
        <v>3184</v>
      </c>
      <c r="K73" s="422" t="s">
        <v>3188</v>
      </c>
      <c r="L73" s="329">
        <f>CONTINUA!BV73</f>
        <v>0</v>
      </c>
      <c r="M73" s="329">
        <f>CONTINUA!BW73</f>
        <v>0</v>
      </c>
      <c r="N73" s="895"/>
      <c r="O73" s="896" t="s">
        <v>3287</v>
      </c>
      <c r="P73" s="897">
        <v>0</v>
      </c>
      <c r="Q73" s="400"/>
      <c r="R73" s="401"/>
      <c r="S73" s="400"/>
      <c r="T73" s="401"/>
      <c r="U73" s="400"/>
      <c r="V73" s="401"/>
      <c r="W73" s="400"/>
      <c r="X73" s="401"/>
      <c r="Y73" s="400"/>
      <c r="Z73" s="401"/>
      <c r="AA73" s="400"/>
      <c r="AB73" s="401"/>
      <c r="AC73" s="400"/>
      <c r="AD73" s="401"/>
      <c r="AE73" s="400"/>
      <c r="AF73" s="401"/>
      <c r="AG73" s="400"/>
      <c r="AH73" s="401"/>
      <c r="AI73" s="400"/>
      <c r="AJ73" s="401"/>
      <c r="AK73" s="400"/>
      <c r="AL73" s="401"/>
      <c r="AM73" s="400"/>
      <c r="AN73" s="401"/>
      <c r="AO73" s="400"/>
      <c r="AP73" s="401"/>
      <c r="AQ73" s="400"/>
      <c r="AR73" s="401"/>
      <c r="AS73" s="400"/>
      <c r="AT73" s="401"/>
      <c r="AU73" s="400"/>
      <c r="AV73" s="401"/>
      <c r="AW73" s="400"/>
      <c r="AX73" s="401"/>
      <c r="AY73" s="400"/>
      <c r="AZ73" s="401"/>
      <c r="BA73" s="400"/>
      <c r="BB73" s="401"/>
      <c r="BC73" s="400"/>
      <c r="BD73" s="401"/>
      <c r="BE73" s="400"/>
      <c r="BF73" s="401"/>
      <c r="BG73" s="400"/>
      <c r="BH73" s="401"/>
      <c r="BI73" s="400"/>
      <c r="BJ73" s="401"/>
      <c r="BK73" s="400"/>
      <c r="BL73" s="401"/>
      <c r="BM73" s="400"/>
      <c r="BN73" s="401"/>
      <c r="BO73" s="400"/>
      <c r="BP73" s="401"/>
      <c r="BQ73" s="400"/>
      <c r="BR73" s="401"/>
      <c r="BS73" s="400"/>
      <c r="BT73" s="401"/>
      <c r="BU73" s="400"/>
      <c r="BV73" s="401"/>
      <c r="BW73" s="400"/>
      <c r="BX73" s="401"/>
      <c r="BY73" s="400"/>
      <c r="BZ73" s="401"/>
      <c r="CA73" s="400"/>
      <c r="CB73" s="401"/>
      <c r="CC73" s="400"/>
      <c r="CD73" s="401"/>
      <c r="CE73" s="400"/>
      <c r="CF73" s="401"/>
      <c r="CG73" s="400"/>
      <c r="CH73" s="401"/>
      <c r="CI73" s="400"/>
      <c r="CJ73" s="401"/>
      <c r="CK73" s="400"/>
      <c r="CL73" s="401"/>
      <c r="CM73" s="400"/>
      <c r="CN73" s="401"/>
      <c r="CO73" s="400"/>
      <c r="CP73" s="401"/>
      <c r="CQ73" s="400"/>
      <c r="CR73" s="401"/>
      <c r="CS73" s="400"/>
      <c r="CT73" s="401"/>
      <c r="CU73" s="400"/>
      <c r="CV73" s="401"/>
      <c r="CW73" s="400"/>
      <c r="CX73" s="401"/>
      <c r="CY73" s="400"/>
      <c r="CZ73" s="401"/>
      <c r="DA73" s="400"/>
      <c r="DB73" s="401"/>
      <c r="DC73" s="400"/>
      <c r="DD73" s="401"/>
      <c r="DE73" s="400"/>
      <c r="DF73" s="401"/>
      <c r="DG73" s="400"/>
      <c r="DH73" s="401"/>
      <c r="DI73" s="400"/>
      <c r="DJ73" s="401"/>
      <c r="DK73" s="400"/>
      <c r="DL73" s="401"/>
      <c r="DM73" s="400"/>
      <c r="DN73" s="401"/>
      <c r="DO73" s="400"/>
      <c r="DP73" s="401"/>
      <c r="DQ73" s="400"/>
      <c r="DR73" s="401"/>
      <c r="DS73" s="400"/>
      <c r="DT73" s="401"/>
      <c r="DU73" s="400"/>
      <c r="DV73" s="401"/>
      <c r="DW73" s="400"/>
      <c r="DX73" s="401"/>
      <c r="DY73" s="400"/>
      <c r="DZ73" s="401"/>
      <c r="EA73" s="400"/>
      <c r="EB73" s="401"/>
      <c r="EC73" s="400"/>
      <c r="ED73" s="401"/>
      <c r="EE73" s="400"/>
      <c r="EF73" s="401"/>
      <c r="EG73" s="400"/>
      <c r="EH73" s="401"/>
      <c r="EI73" s="400"/>
      <c r="EJ73" s="447"/>
      <c r="EK73" s="511"/>
      <c r="EL73" s="514"/>
      <c r="EM73" s="448"/>
      <c r="EN73" s="344"/>
      <c r="EO73" s="345"/>
      <c r="EP73" s="171">
        <f t="shared" si="22"/>
        <v>0</v>
      </c>
      <c r="EQ73" s="171">
        <f t="shared" si="23"/>
        <v>0</v>
      </c>
      <c r="ER73" s="171">
        <f t="shared" si="24"/>
        <v>0</v>
      </c>
      <c r="ES73" s="171">
        <f t="shared" si="25"/>
        <v>0</v>
      </c>
      <c r="ET73" s="171">
        <f t="shared" si="26"/>
        <v>0</v>
      </c>
      <c r="EU73" s="171">
        <f t="shared" si="27"/>
        <v>0</v>
      </c>
      <c r="EV73" s="172">
        <f t="shared" si="28"/>
        <v>0</v>
      </c>
      <c r="EW73" s="125"/>
      <c r="EX73" s="248">
        <f t="shared" si="90"/>
        <v>0</v>
      </c>
      <c r="EY73" s="174">
        <f>(L73*regular)+(M73*Cadeirantee)</f>
        <v>0</v>
      </c>
      <c r="EZ73" s="249">
        <f>SUMIF(FG73:GJ73,"&gt;0")</f>
        <v>0</v>
      </c>
      <c r="FA73" s="249">
        <f>SUMIF(FG73:GJ73,"&lt;0")+SUMIF(GN73:HP73,"&lt;0")</f>
        <v>0</v>
      </c>
      <c r="FB73" s="174">
        <v>0</v>
      </c>
      <c r="FC73" s="126">
        <f>N73*km*'VALORES TABELA'!$B$13</f>
        <v>0</v>
      </c>
      <c r="FD73" s="250">
        <f t="shared" si="91"/>
        <v>0</v>
      </c>
      <c r="FE73" s="105"/>
      <c r="FF73" s="108"/>
      <c r="FG73" s="108"/>
      <c r="FH73" s="108"/>
      <c r="FI73" s="108"/>
      <c r="FJ73" s="108"/>
      <c r="FK73" s="108"/>
      <c r="FL73" s="108"/>
      <c r="FM73" s="108"/>
      <c r="FN73" s="108"/>
      <c r="FO73" s="108"/>
      <c r="FP73" s="108"/>
      <c r="FQ73" s="108"/>
      <c r="FR73" s="108"/>
      <c r="FS73" s="108"/>
      <c r="FT73" s="108"/>
      <c r="FU73" s="108"/>
      <c r="FV73" s="108"/>
      <c r="FW73" s="108"/>
      <c r="FX73" s="108"/>
      <c r="FY73" s="108"/>
      <c r="FZ73" s="108"/>
      <c r="GA73" s="108"/>
      <c r="GB73" s="108"/>
      <c r="GC73" s="108"/>
      <c r="GD73" s="108"/>
      <c r="GE73" s="108"/>
      <c r="GF73" s="108"/>
      <c r="GG73" s="108"/>
      <c r="GH73" s="108"/>
      <c r="GI73" s="108"/>
      <c r="GJ73" s="108"/>
      <c r="GK73" s="251"/>
      <c r="GL73" s="103">
        <f t="shared" si="30"/>
        <v>0</v>
      </c>
      <c r="GM73" s="124"/>
      <c r="GN73" s="104"/>
      <c r="GO73" s="104"/>
      <c r="GP73" s="104"/>
      <c r="GQ73" s="104"/>
      <c r="GR73" s="104"/>
      <c r="GS73" s="104"/>
      <c r="GT73" s="104"/>
      <c r="GU73" s="104"/>
      <c r="GV73" s="104"/>
      <c r="GW73" s="104"/>
      <c r="GX73" s="104"/>
      <c r="GY73" s="104"/>
      <c r="GZ73" s="104"/>
      <c r="HA73" s="104"/>
      <c r="HB73" s="104"/>
      <c r="HC73" s="104"/>
      <c r="HD73" s="104"/>
      <c r="HE73" s="104"/>
      <c r="HF73" s="104"/>
      <c r="HG73" s="104"/>
      <c r="HH73" s="104"/>
      <c r="HI73" s="104"/>
      <c r="HJ73" s="104"/>
      <c r="HK73" s="104"/>
      <c r="HL73" s="104"/>
      <c r="HM73" s="104"/>
      <c r="HN73" s="104"/>
      <c r="HO73" s="104"/>
      <c r="HP73" s="104"/>
      <c r="HQ73" s="64"/>
      <c r="HR73" s="64"/>
      <c r="HS73" s="64"/>
      <c r="HT73" s="64"/>
      <c r="HU73" s="64"/>
      <c r="HV73" s="64"/>
      <c r="HW73" s="105"/>
      <c r="HX73" s="64"/>
      <c r="HY73" s="280">
        <f t="shared" si="92"/>
        <v>0</v>
      </c>
      <c r="HZ73" s="280">
        <f t="shared" si="93"/>
        <v>0</v>
      </c>
      <c r="IA73" s="280">
        <f t="shared" si="94"/>
        <v>0</v>
      </c>
      <c r="IB73" s="64"/>
      <c r="IC73" s="64"/>
    </row>
    <row r="74" spans="1:237" s="106" customFormat="1" ht="22.5" customHeight="1" x14ac:dyDescent="0.25">
      <c r="A74" s="368" t="s">
        <v>3242</v>
      </c>
      <c r="B74" s="369" t="s">
        <v>3243</v>
      </c>
      <c r="C74" s="375" t="s">
        <v>3186</v>
      </c>
      <c r="D74" s="371" t="s">
        <v>3244</v>
      </c>
      <c r="E74" s="371" t="s">
        <v>3245</v>
      </c>
      <c r="F74" s="376" t="s">
        <v>3182</v>
      </c>
      <c r="G74" s="376" t="s">
        <v>3183</v>
      </c>
      <c r="H74" s="373" t="s">
        <v>351</v>
      </c>
      <c r="I74" s="374" t="s">
        <v>351</v>
      </c>
      <c r="J74" s="421" t="s">
        <v>3184</v>
      </c>
      <c r="K74" s="423" t="s">
        <v>3189</v>
      </c>
      <c r="L74" s="329">
        <f>CONTINUA!BV74</f>
        <v>0</v>
      </c>
      <c r="M74" s="329">
        <f>CONTINUA!BW74</f>
        <v>0</v>
      </c>
      <c r="N74" s="895"/>
      <c r="O74" s="896" t="s">
        <v>3287</v>
      </c>
      <c r="P74" s="897">
        <v>0</v>
      </c>
      <c r="Q74" s="400"/>
      <c r="R74" s="401"/>
      <c r="S74" s="400"/>
      <c r="T74" s="401"/>
      <c r="U74" s="400"/>
      <c r="V74" s="401"/>
      <c r="W74" s="400"/>
      <c r="X74" s="401"/>
      <c r="Y74" s="400"/>
      <c r="Z74" s="401"/>
      <c r="AA74" s="400"/>
      <c r="AB74" s="401"/>
      <c r="AC74" s="400"/>
      <c r="AD74" s="401"/>
      <c r="AE74" s="400"/>
      <c r="AF74" s="401"/>
      <c r="AG74" s="400"/>
      <c r="AH74" s="401"/>
      <c r="AI74" s="400"/>
      <c r="AJ74" s="401"/>
      <c r="AK74" s="400"/>
      <c r="AL74" s="401"/>
      <c r="AM74" s="400"/>
      <c r="AN74" s="401"/>
      <c r="AO74" s="400"/>
      <c r="AP74" s="401"/>
      <c r="AQ74" s="400"/>
      <c r="AR74" s="401"/>
      <c r="AS74" s="400"/>
      <c r="AT74" s="401"/>
      <c r="AU74" s="400"/>
      <c r="AV74" s="401"/>
      <c r="AW74" s="400"/>
      <c r="AX74" s="401"/>
      <c r="AY74" s="400"/>
      <c r="AZ74" s="401"/>
      <c r="BA74" s="400"/>
      <c r="BB74" s="401"/>
      <c r="BC74" s="400"/>
      <c r="BD74" s="401"/>
      <c r="BE74" s="400"/>
      <c r="BF74" s="401"/>
      <c r="BG74" s="400"/>
      <c r="BH74" s="401"/>
      <c r="BI74" s="400"/>
      <c r="BJ74" s="401"/>
      <c r="BK74" s="400"/>
      <c r="BL74" s="401"/>
      <c r="BM74" s="400"/>
      <c r="BN74" s="401"/>
      <c r="BO74" s="400"/>
      <c r="BP74" s="401"/>
      <c r="BQ74" s="400"/>
      <c r="BR74" s="401"/>
      <c r="BS74" s="400"/>
      <c r="BT74" s="401"/>
      <c r="BU74" s="400"/>
      <c r="BV74" s="401"/>
      <c r="BW74" s="400"/>
      <c r="BX74" s="401"/>
      <c r="BY74" s="400"/>
      <c r="BZ74" s="401"/>
      <c r="CA74" s="400"/>
      <c r="CB74" s="401"/>
      <c r="CC74" s="400"/>
      <c r="CD74" s="401"/>
      <c r="CE74" s="400"/>
      <c r="CF74" s="401"/>
      <c r="CG74" s="400"/>
      <c r="CH74" s="401"/>
      <c r="CI74" s="400"/>
      <c r="CJ74" s="401"/>
      <c r="CK74" s="400"/>
      <c r="CL74" s="401"/>
      <c r="CM74" s="400"/>
      <c r="CN74" s="401"/>
      <c r="CO74" s="400"/>
      <c r="CP74" s="401"/>
      <c r="CQ74" s="400"/>
      <c r="CR74" s="401"/>
      <c r="CS74" s="400"/>
      <c r="CT74" s="401"/>
      <c r="CU74" s="400"/>
      <c r="CV74" s="401"/>
      <c r="CW74" s="400"/>
      <c r="CX74" s="401"/>
      <c r="CY74" s="400"/>
      <c r="CZ74" s="401"/>
      <c r="DA74" s="400"/>
      <c r="DB74" s="401"/>
      <c r="DC74" s="400"/>
      <c r="DD74" s="401"/>
      <c r="DE74" s="400"/>
      <c r="DF74" s="401"/>
      <c r="DG74" s="400"/>
      <c r="DH74" s="401"/>
      <c r="DI74" s="400"/>
      <c r="DJ74" s="401"/>
      <c r="DK74" s="400"/>
      <c r="DL74" s="401"/>
      <c r="DM74" s="400"/>
      <c r="DN74" s="401"/>
      <c r="DO74" s="400"/>
      <c r="DP74" s="401"/>
      <c r="DQ74" s="400"/>
      <c r="DR74" s="401"/>
      <c r="DS74" s="400"/>
      <c r="DT74" s="401"/>
      <c r="DU74" s="400"/>
      <c r="DV74" s="401"/>
      <c r="DW74" s="400"/>
      <c r="DX74" s="401"/>
      <c r="DY74" s="400"/>
      <c r="DZ74" s="401"/>
      <c r="EA74" s="400"/>
      <c r="EB74" s="401"/>
      <c r="EC74" s="400"/>
      <c r="ED74" s="401"/>
      <c r="EE74" s="400"/>
      <c r="EF74" s="401"/>
      <c r="EG74" s="400"/>
      <c r="EH74" s="401"/>
      <c r="EI74" s="400"/>
      <c r="EJ74" s="447"/>
      <c r="EK74" s="511"/>
      <c r="EL74" s="514"/>
      <c r="EM74" s="448"/>
      <c r="EN74" s="344"/>
      <c r="EO74" s="345"/>
      <c r="EP74" s="171">
        <f t="shared" si="22"/>
        <v>0</v>
      </c>
      <c r="EQ74" s="171">
        <f t="shared" si="23"/>
        <v>0</v>
      </c>
      <c r="ER74" s="171">
        <f t="shared" si="24"/>
        <v>0</v>
      </c>
      <c r="ES74" s="171">
        <f t="shared" si="25"/>
        <v>0</v>
      </c>
      <c r="ET74" s="171">
        <f t="shared" si="26"/>
        <v>0</v>
      </c>
      <c r="EU74" s="171">
        <f t="shared" si="27"/>
        <v>0</v>
      </c>
      <c r="EV74" s="172">
        <f t="shared" si="28"/>
        <v>0</v>
      </c>
      <c r="EW74" s="127"/>
      <c r="EX74" s="248">
        <f t="shared" si="90"/>
        <v>0</v>
      </c>
      <c r="EY74" s="174">
        <f>(L74*regular)+(M74*Cadeirantee)</f>
        <v>0</v>
      </c>
      <c r="EZ74" s="249">
        <f>SUMIF(FG74:GJ74,"&gt;0")</f>
        <v>0</v>
      </c>
      <c r="FA74" s="249">
        <f>SUMIF(FG74:GJ74,"&lt;0")+SUMIF(GN74:HP74,"&lt;0")</f>
        <v>0</v>
      </c>
      <c r="FB74" s="174">
        <v>0</v>
      </c>
      <c r="FC74" s="126">
        <f>N74*km*'VALORES TABELA'!$B$13</f>
        <v>0</v>
      </c>
      <c r="FD74" s="250">
        <f t="shared" si="91"/>
        <v>0</v>
      </c>
      <c r="FE74" s="105"/>
      <c r="FF74" s="118"/>
      <c r="FG74" s="118"/>
      <c r="FH74" s="118"/>
      <c r="FI74" s="118"/>
      <c r="FJ74" s="118"/>
      <c r="FK74" s="118"/>
      <c r="FL74" s="118"/>
      <c r="FM74" s="118"/>
      <c r="FN74" s="118"/>
      <c r="FO74" s="118"/>
      <c r="FP74" s="118"/>
      <c r="FQ74" s="118"/>
      <c r="FR74" s="118"/>
      <c r="FS74" s="118"/>
      <c r="FT74" s="118"/>
      <c r="FU74" s="118"/>
      <c r="FV74" s="118"/>
      <c r="FW74" s="118"/>
      <c r="FX74" s="118"/>
      <c r="FY74" s="118"/>
      <c r="FZ74" s="118"/>
      <c r="GA74" s="118"/>
      <c r="GB74" s="118"/>
      <c r="GC74" s="118"/>
      <c r="GD74" s="118"/>
      <c r="GE74" s="118"/>
      <c r="GF74" s="118"/>
      <c r="GG74" s="118"/>
      <c r="GH74" s="118"/>
      <c r="GI74" s="118"/>
      <c r="GJ74" s="118"/>
      <c r="GK74" s="252"/>
      <c r="GL74" s="103">
        <f t="shared" si="30"/>
        <v>0</v>
      </c>
      <c r="GM74" s="124"/>
      <c r="GN74" s="104"/>
      <c r="GO74" s="104"/>
      <c r="GP74" s="104"/>
      <c r="GQ74" s="104"/>
      <c r="GR74" s="104"/>
      <c r="GS74" s="104"/>
      <c r="GT74" s="104"/>
      <c r="GU74" s="104"/>
      <c r="GV74" s="104"/>
      <c r="GW74" s="104"/>
      <c r="GX74" s="104"/>
      <c r="GY74" s="104"/>
      <c r="GZ74" s="104"/>
      <c r="HA74" s="104"/>
      <c r="HB74" s="104"/>
      <c r="HC74" s="104"/>
      <c r="HD74" s="104"/>
      <c r="HE74" s="104"/>
      <c r="HF74" s="104"/>
      <c r="HG74" s="104"/>
      <c r="HH74" s="104"/>
      <c r="HI74" s="104"/>
      <c r="HJ74" s="104"/>
      <c r="HK74" s="104"/>
      <c r="HL74" s="104"/>
      <c r="HM74" s="104"/>
      <c r="HN74" s="104"/>
      <c r="HO74" s="104"/>
      <c r="HP74" s="104"/>
      <c r="HQ74" s="64"/>
      <c r="HR74" s="65"/>
      <c r="HS74" s="65"/>
      <c r="HT74" s="65"/>
      <c r="HU74" s="65"/>
      <c r="HV74" s="65"/>
      <c r="HW74" s="105"/>
      <c r="HX74" s="65"/>
      <c r="HY74" s="280">
        <f t="shared" si="92"/>
        <v>0</v>
      </c>
      <c r="HZ74" s="280">
        <f t="shared" si="93"/>
        <v>0</v>
      </c>
      <c r="IA74" s="280">
        <f t="shared" si="94"/>
        <v>0</v>
      </c>
      <c r="IB74" s="65"/>
      <c r="IC74" s="65"/>
    </row>
    <row r="75" spans="1:237" s="106" customFormat="1" ht="22.5" customHeight="1" thickBot="1" x14ac:dyDescent="0.3">
      <c r="A75" s="377" t="s">
        <v>3242</v>
      </c>
      <c r="B75" s="378" t="s">
        <v>3243</v>
      </c>
      <c r="C75" s="379" t="s">
        <v>3186</v>
      </c>
      <c r="D75" s="380" t="s">
        <v>3244</v>
      </c>
      <c r="E75" s="380" t="s">
        <v>3245</v>
      </c>
      <c r="F75" s="381" t="s">
        <v>3182</v>
      </c>
      <c r="G75" s="381" t="s">
        <v>3183</v>
      </c>
      <c r="H75" s="382" t="s">
        <v>351</v>
      </c>
      <c r="I75" s="383" t="s">
        <v>351</v>
      </c>
      <c r="J75" s="421" t="s">
        <v>3184</v>
      </c>
      <c r="K75" s="424" t="s">
        <v>60</v>
      </c>
      <c r="L75" s="329">
        <f>CONTINUA!BV75</f>
        <v>0</v>
      </c>
      <c r="M75" s="329">
        <f>CONTINUA!BW75</f>
        <v>0</v>
      </c>
      <c r="N75" s="895"/>
      <c r="O75" s="896" t="s">
        <v>3287</v>
      </c>
      <c r="P75" s="897">
        <v>0</v>
      </c>
      <c r="Q75" s="400">
        <v>2</v>
      </c>
      <c r="R75" s="401"/>
      <c r="S75" s="400"/>
      <c r="T75" s="401"/>
      <c r="U75" s="400"/>
      <c r="V75" s="401"/>
      <c r="W75" s="400"/>
      <c r="X75" s="401"/>
      <c r="Y75" s="400"/>
      <c r="Z75" s="401"/>
      <c r="AA75" s="400"/>
      <c r="AB75" s="401"/>
      <c r="AC75" s="400"/>
      <c r="AD75" s="401"/>
      <c r="AE75" s="400"/>
      <c r="AF75" s="401"/>
      <c r="AG75" s="400"/>
      <c r="AH75" s="401"/>
      <c r="AI75" s="400"/>
      <c r="AJ75" s="401"/>
      <c r="AK75" s="400"/>
      <c r="AL75" s="401"/>
      <c r="AM75" s="400"/>
      <c r="AN75" s="401"/>
      <c r="AO75" s="400"/>
      <c r="AP75" s="401"/>
      <c r="AQ75" s="400"/>
      <c r="AR75" s="401"/>
      <c r="AS75" s="400"/>
      <c r="AT75" s="401"/>
      <c r="AU75" s="400"/>
      <c r="AV75" s="401"/>
      <c r="AW75" s="400"/>
      <c r="AX75" s="401"/>
      <c r="AY75" s="400"/>
      <c r="AZ75" s="401"/>
      <c r="BA75" s="400"/>
      <c r="BB75" s="401"/>
      <c r="BC75" s="400"/>
      <c r="BD75" s="401"/>
      <c r="BE75" s="400"/>
      <c r="BF75" s="401"/>
      <c r="BG75" s="400"/>
      <c r="BH75" s="401"/>
      <c r="BI75" s="400"/>
      <c r="BJ75" s="401"/>
      <c r="BK75" s="400"/>
      <c r="BL75" s="401"/>
      <c r="BM75" s="400"/>
      <c r="BN75" s="401"/>
      <c r="BO75" s="400"/>
      <c r="BP75" s="401"/>
      <c r="BQ75" s="400"/>
      <c r="BR75" s="401"/>
      <c r="BS75" s="400"/>
      <c r="BT75" s="401"/>
      <c r="BU75" s="400"/>
      <c r="BV75" s="401"/>
      <c r="BW75" s="400"/>
      <c r="BX75" s="401"/>
      <c r="BY75" s="400"/>
      <c r="BZ75" s="401"/>
      <c r="CA75" s="400"/>
      <c r="CB75" s="401"/>
      <c r="CC75" s="400"/>
      <c r="CD75" s="401"/>
      <c r="CE75" s="400"/>
      <c r="CF75" s="401"/>
      <c r="CG75" s="400"/>
      <c r="CH75" s="401"/>
      <c r="CI75" s="400"/>
      <c r="CJ75" s="401"/>
      <c r="CK75" s="400"/>
      <c r="CL75" s="401"/>
      <c r="CM75" s="400"/>
      <c r="CN75" s="401"/>
      <c r="CO75" s="400"/>
      <c r="CP75" s="401"/>
      <c r="CQ75" s="400"/>
      <c r="CR75" s="401"/>
      <c r="CS75" s="400"/>
      <c r="CT75" s="401"/>
      <c r="CU75" s="400"/>
      <c r="CV75" s="401"/>
      <c r="CW75" s="400"/>
      <c r="CX75" s="401"/>
      <c r="CY75" s="400"/>
      <c r="CZ75" s="401"/>
      <c r="DA75" s="400"/>
      <c r="DB75" s="401"/>
      <c r="DC75" s="400"/>
      <c r="DD75" s="401"/>
      <c r="DE75" s="400"/>
      <c r="DF75" s="401"/>
      <c r="DG75" s="400"/>
      <c r="DH75" s="401"/>
      <c r="DI75" s="400"/>
      <c r="DJ75" s="401"/>
      <c r="DK75" s="400"/>
      <c r="DL75" s="401"/>
      <c r="DM75" s="400"/>
      <c r="DN75" s="401"/>
      <c r="DO75" s="400"/>
      <c r="DP75" s="401"/>
      <c r="DQ75" s="400"/>
      <c r="DR75" s="401"/>
      <c r="DS75" s="400"/>
      <c r="DT75" s="401"/>
      <c r="DU75" s="400"/>
      <c r="DV75" s="401"/>
      <c r="DW75" s="400"/>
      <c r="DX75" s="401"/>
      <c r="DY75" s="400"/>
      <c r="DZ75" s="401"/>
      <c r="EA75" s="400"/>
      <c r="EB75" s="401"/>
      <c r="EC75" s="400"/>
      <c r="ED75" s="401"/>
      <c r="EE75" s="400"/>
      <c r="EF75" s="401"/>
      <c r="EG75" s="400"/>
      <c r="EH75" s="401"/>
      <c r="EI75" s="400"/>
      <c r="EJ75" s="447"/>
      <c r="EK75" s="512"/>
      <c r="EL75" s="515"/>
      <c r="EM75" s="450"/>
      <c r="EN75" s="348"/>
      <c r="EO75" s="348"/>
      <c r="EP75" s="179">
        <f t="shared" ref="EP75:EP110" si="95">Q75</f>
        <v>2</v>
      </c>
      <c r="EQ75" s="179">
        <f t="shared" ref="EQ75:EQ110" si="96">U75+Y75+AC75+AG75+AK75+AO75+AS75+AW75+BA75+BE75+BI75+BM75+BQ75+BU75+BY75+CC75+CG75+CK75+CO75+CS75+CW75+DA75+DE75+DI75+DM75+DQ75+DU75+DY75+EC75+EG75</f>
        <v>0</v>
      </c>
      <c r="ER75" s="179">
        <f t="shared" ref="ER75:ER110" si="97">S75+W75+AA75+AE75+AI75+AM75+AQ75+AU75+AY75+BC75+BG75+BK75+BO75+BS75+BW75+CA75+CE75+CI75+CM75+CQ75+CU75+CY75+DC75+DG75+DK75+DO75+DS75+DW75+EA75+EE75+EI75</f>
        <v>0</v>
      </c>
      <c r="ES75" s="179">
        <f t="shared" ref="ES75:ES110" si="98">R75</f>
        <v>0</v>
      </c>
      <c r="ET75" s="179">
        <f t="shared" ref="ET75:ET110" si="99">V75+Z75+AD75+AH75+AL75+AP75+AT75+AX75+BB75+BF75+BJ75+BN75+BR75+BV75+BZ75+CD75+CH75+CL75+CP75+CT75+CX75+DB75+DF75+DJ75+DN75+DR75+DV75+DZ75+ED75+EH75</f>
        <v>0</v>
      </c>
      <c r="EU75" s="179">
        <f t="shared" ref="EU75:EU110" si="100">T75+X75+AB75+AF75+AJ75+AN75+AR75+AV75+AZ75+BD75+BH75+BL75+BP75+BT75+BX75+CB75+CF75+CJ75+CN75+CR75+CV75+CZ75+DD75+DH75+DL75+DP75+DT75+DX75+EB75+EF75+EJ75</f>
        <v>0</v>
      </c>
      <c r="EV75" s="172">
        <f t="shared" ref="EV75:EV110" si="101">EP75+EQ75+ES75+ET75+ER75+EU75</f>
        <v>2</v>
      </c>
      <c r="EW75" s="253"/>
      <c r="EX75" s="254">
        <v>0</v>
      </c>
      <c r="EY75" s="180">
        <v>0</v>
      </c>
      <c r="EZ75" s="255">
        <v>0</v>
      </c>
      <c r="FA75" s="255">
        <v>0</v>
      </c>
      <c r="FB75" s="180">
        <f>SUM(FF75:GI75)/2</f>
        <v>385.23</v>
      </c>
      <c r="FC75" s="256">
        <f>N75*km*'VALORES TABELA'!$B$13</f>
        <v>0</v>
      </c>
      <c r="FD75" s="250">
        <f t="shared" si="91"/>
        <v>0</v>
      </c>
      <c r="FE75" s="257"/>
      <c r="FF75" s="181">
        <f>((Q75+S75)*Percapita)+((R75+T75)*Cadeirante)</f>
        <v>770.46</v>
      </c>
      <c r="FG75" s="181">
        <f>((U75+W75)*Percapita/30*FG$4)+((V75+X75)*Cadeirante/30*FG$4)</f>
        <v>0</v>
      </c>
      <c r="FH75" s="181">
        <f>((Y75+AA75)*Percapita/30*FH$4)+((Z75+AB75)*Cadeirante/30*FH$4)</f>
        <v>0</v>
      </c>
      <c r="FI75" s="181">
        <f>((AC75+AE75)*Percapita/30*FI$4)+((AD75+AF75)*Cadeirante/30*FI$4)</f>
        <v>0</v>
      </c>
      <c r="FJ75" s="181">
        <f>((AG75+AI75)*Percapita/30*FJ$4)+((AH75+AJ75)*Cadeirante/30*FJ$4)</f>
        <v>0</v>
      </c>
      <c r="FK75" s="181">
        <f>((AK75+AM75)*Percapita/30*FK$4)+((AL75+AN75)*Cadeirante/30*FK$4)</f>
        <v>0</v>
      </c>
      <c r="FL75" s="181">
        <f>((AO75+AQ75)*Percapita/30*FL$4)+((AP75+AR75)*Cadeirante/30*FL$4)</f>
        <v>0</v>
      </c>
      <c r="FM75" s="181">
        <f>((AS75+AU75)*Percapita/30*FM$4)+((AT75+AV75)*Cadeirante/30*FM$4)</f>
        <v>0</v>
      </c>
      <c r="FN75" s="181">
        <f>((AW75+AY75)*Percapita/30*FN$4)+((AX75+AZ75)*Cadeirante/30*FN$4)</f>
        <v>0</v>
      </c>
      <c r="FO75" s="181">
        <f>((BA75+BC75)*Percapita/30*FO$4)+((BB75+BD75)*Cadeirante/30*FO$4)</f>
        <v>0</v>
      </c>
      <c r="FP75" s="181">
        <f>((BE75+BG75)*Percapita/30*FP$4)+((BF75+BH75)*Cadeirante/30*FP$4)</f>
        <v>0</v>
      </c>
      <c r="FQ75" s="181">
        <f>((BI75+BK75)*Percapita/30*FQ$4)+((BJ75+BL75)*Cadeirante/30*FQ$4)</f>
        <v>0</v>
      </c>
      <c r="FR75" s="181">
        <f>((BM75+BO75)*Percapita/30*FR$4)+((BN75+BP75)*Cadeirante/30*FR$4)</f>
        <v>0</v>
      </c>
      <c r="FS75" s="181">
        <f>((BQ75+BS75)*Percapita/30*FS$4)+((BR75+BT75)*Cadeirante/30*FS$4)</f>
        <v>0</v>
      </c>
      <c r="FT75" s="181">
        <f>((BU75+BW75)*Percapita/30*FT$4)+((BV75+BX75)*Cadeirante/30*FT$4)</f>
        <v>0</v>
      </c>
      <c r="FU75" s="181">
        <f>((BY75+CA75)*Percapita/30*FU$4)+((BZ75+CB75)*Cadeirante/30*FU$4)</f>
        <v>0</v>
      </c>
      <c r="FV75" s="181">
        <f>((CC75+CE75)*Percapita/30*FV$4)+((CD75+CF75)*Cadeirante/30*FV$4)</f>
        <v>0</v>
      </c>
      <c r="FW75" s="181">
        <f>((CG75+CI75)*Percapita/30*FW$4)+((CI75+CK75)*Cadeirante/30*FW$4)</f>
        <v>0</v>
      </c>
      <c r="FX75" s="181">
        <f>((CK75+CM75)*Percapita/30*FX$4)+((CL75+CN75)*Cadeirante/30*FX$4)</f>
        <v>0</v>
      </c>
      <c r="FY75" s="181">
        <f>((CO75+CQ75)*Percapita/30*FY$4)+((CP75+CR75)*Cadeirante/30*FY$4)</f>
        <v>0</v>
      </c>
      <c r="FZ75" s="181">
        <f>((CS75+CU75)*Percapita/30*FZ$4)+((CT75+CV75)*Cadeirante/30*FZ$4)</f>
        <v>0</v>
      </c>
      <c r="GA75" s="181">
        <f>((CW75+CY75)*Percapita/30*GA$4)+((CX75+CZ75)*Cadeirante/30*GA$4)</f>
        <v>0</v>
      </c>
      <c r="GB75" s="181">
        <f>((DA75+DC75)*Percapita/30*GB$4)+((DB75+DD75)*Cadeirante/30*GB$4)</f>
        <v>0</v>
      </c>
      <c r="GC75" s="181">
        <f>((DE75+DG75)*Percapita/30*GC$4)+((DF75+DH75)*Cadeirante/30*GC$4)</f>
        <v>0</v>
      </c>
      <c r="GD75" s="181">
        <f>((DI75+DK75)*Percapita/30*GD$4)+((DJ75+DL75)*Cadeirante/30*GD$4)</f>
        <v>0</v>
      </c>
      <c r="GE75" s="181">
        <f>((DM75+DO75)*Percapita/30*GE$4)+((DN75+DP75)*Cadeirante/30*GE$4)</f>
        <v>0</v>
      </c>
      <c r="GF75" s="181">
        <f>((DQ75+DS75)*Percapita/30*GF$4)+((DR75+DT75)*Cadeirante/30*GF$4)</f>
        <v>0</v>
      </c>
      <c r="GG75" s="181">
        <f>((DU75+DW75)*Percapita/30*GG$4)+((DV75+DX75)*Cadeirante/30*GG$4)</f>
        <v>0</v>
      </c>
      <c r="GH75" s="181">
        <f>((DY75+EA75)*Percapita/30*GH$4)+((DZ75+EB75)*Cadeirante/30*GH$4)</f>
        <v>0</v>
      </c>
      <c r="GI75" s="181">
        <f>((EC75+EE75)*Percapita/30*GI$4)+((ED75+EF75)*Cadeirante/30*GI$4)</f>
        <v>0</v>
      </c>
      <c r="GJ75" s="181">
        <f>((EG75+EI75)*Percapita)+((EH75+EJ75)*Cadeirante)</f>
        <v>0</v>
      </c>
      <c r="GK75" s="258"/>
      <c r="GL75" s="103">
        <f t="shared" ref="GL75:GL110" si="102">IF(J75="ADAPTADO",T75*Cadeirante/30*GM75+S75*Percapita/30*GM75,IF(J75="NORMAL",(S75+T75)*Percapita/30*GM75,IF(J75="CRECHE",0)))*-1</f>
        <v>0</v>
      </c>
      <c r="GM75" s="124"/>
      <c r="GN75" s="182"/>
      <c r="GO75" s="182"/>
      <c r="GP75" s="182"/>
      <c r="GQ75" s="182"/>
      <c r="GR75" s="182"/>
      <c r="GS75" s="182"/>
      <c r="GT75" s="182"/>
      <c r="GU75" s="182"/>
      <c r="GV75" s="182"/>
      <c r="GW75" s="182"/>
      <c r="GX75" s="182"/>
      <c r="GY75" s="182"/>
      <c r="GZ75" s="182"/>
      <c r="HA75" s="182"/>
      <c r="HB75" s="182"/>
      <c r="HC75" s="182"/>
      <c r="HD75" s="182"/>
      <c r="HE75" s="182"/>
      <c r="HF75" s="182"/>
      <c r="HG75" s="182"/>
      <c r="HH75" s="182"/>
      <c r="HI75" s="182"/>
      <c r="HJ75" s="182"/>
      <c r="HK75" s="182"/>
      <c r="HL75" s="182"/>
      <c r="HM75" s="182"/>
      <c r="HN75" s="182"/>
      <c r="HO75" s="182"/>
      <c r="HP75" s="259"/>
      <c r="HQ75" s="64"/>
      <c r="HW75" s="257"/>
      <c r="HY75" s="280">
        <f t="shared" si="92"/>
        <v>0</v>
      </c>
      <c r="HZ75" s="280">
        <f t="shared" si="93"/>
        <v>0</v>
      </c>
      <c r="IA75" s="280">
        <f t="shared" si="94"/>
        <v>0</v>
      </c>
    </row>
    <row r="76" spans="1:237" s="106" customFormat="1" ht="22.5" customHeight="1" x14ac:dyDescent="0.25">
      <c r="A76" t="s">
        <v>3246</v>
      </c>
      <c r="B76" s="522" t="s">
        <v>3247</v>
      </c>
      <c r="C76" s="523">
        <v>1</v>
      </c>
      <c r="D76" s="524" t="s">
        <v>3248</v>
      </c>
      <c r="E76" s="524" t="s">
        <v>3249</v>
      </c>
      <c r="F76" s="525" t="s">
        <v>3182</v>
      </c>
      <c r="G76" s="525" t="s">
        <v>3183</v>
      </c>
      <c r="H76" s="350" t="s">
        <v>352</v>
      </c>
      <c r="I76" s="351" t="s">
        <v>352</v>
      </c>
      <c r="J76" s="409" t="s">
        <v>3184</v>
      </c>
      <c r="K76" s="410" t="s">
        <v>3185</v>
      </c>
      <c r="L76" s="329">
        <f>CONTINUA!BV76</f>
        <v>0</v>
      </c>
      <c r="M76" s="329">
        <f>CONTINUA!BW76</f>
        <v>0</v>
      </c>
      <c r="N76" s="895"/>
      <c r="O76" s="896" t="s">
        <v>3288</v>
      </c>
      <c r="P76" s="897">
        <v>0</v>
      </c>
      <c r="Q76" s="400">
        <v>2</v>
      </c>
      <c r="R76" s="401"/>
      <c r="S76" s="400"/>
      <c r="T76" s="401"/>
      <c r="U76" s="400"/>
      <c r="V76" s="401"/>
      <c r="W76" s="400"/>
      <c r="X76" s="401"/>
      <c r="Y76" s="400"/>
      <c r="Z76" s="401"/>
      <c r="AA76" s="400"/>
      <c r="AB76" s="401"/>
      <c r="AC76" s="400"/>
      <c r="AD76" s="401"/>
      <c r="AE76" s="400"/>
      <c r="AF76" s="401"/>
      <c r="AG76" s="400"/>
      <c r="AH76" s="401"/>
      <c r="AI76" s="400"/>
      <c r="AJ76" s="401"/>
      <c r="AK76" s="400"/>
      <c r="AL76" s="401"/>
      <c r="AM76" s="400"/>
      <c r="AN76" s="401"/>
      <c r="AO76" s="400"/>
      <c r="AP76" s="401"/>
      <c r="AQ76" s="400"/>
      <c r="AR76" s="401"/>
      <c r="AS76" s="400"/>
      <c r="AT76" s="401"/>
      <c r="AU76" s="400"/>
      <c r="AV76" s="401"/>
      <c r="AW76" s="400"/>
      <c r="AX76" s="401"/>
      <c r="AY76" s="400"/>
      <c r="AZ76" s="401"/>
      <c r="BA76" s="400"/>
      <c r="BB76" s="401"/>
      <c r="BC76" s="400"/>
      <c r="BD76" s="401"/>
      <c r="BE76" s="400"/>
      <c r="BF76" s="401"/>
      <c r="BG76" s="400"/>
      <c r="BH76" s="401"/>
      <c r="BI76" s="400"/>
      <c r="BJ76" s="401"/>
      <c r="BK76" s="400"/>
      <c r="BL76" s="401"/>
      <c r="BM76" s="400"/>
      <c r="BN76" s="401"/>
      <c r="BO76" s="400"/>
      <c r="BP76" s="401"/>
      <c r="BQ76" s="400"/>
      <c r="BR76" s="401"/>
      <c r="BS76" s="400"/>
      <c r="BT76" s="401"/>
      <c r="BU76" s="400"/>
      <c r="BV76" s="401"/>
      <c r="BW76" s="400"/>
      <c r="BX76" s="401"/>
      <c r="BY76" s="400"/>
      <c r="BZ76" s="401"/>
      <c r="CA76" s="400"/>
      <c r="CB76" s="401"/>
      <c r="CC76" s="400"/>
      <c r="CD76" s="401"/>
      <c r="CE76" s="400"/>
      <c r="CF76" s="401"/>
      <c r="CG76" s="400"/>
      <c r="CH76" s="401"/>
      <c r="CI76" s="400"/>
      <c r="CJ76" s="401"/>
      <c r="CK76" s="400"/>
      <c r="CL76" s="401"/>
      <c r="CM76" s="400"/>
      <c r="CN76" s="401"/>
      <c r="CO76" s="400"/>
      <c r="CP76" s="401"/>
      <c r="CQ76" s="400"/>
      <c r="CR76" s="401"/>
      <c r="CS76" s="400"/>
      <c r="CT76" s="401"/>
      <c r="CU76" s="400"/>
      <c r="CV76" s="401"/>
      <c r="CW76" s="400"/>
      <c r="CX76" s="401"/>
      <c r="CY76" s="400"/>
      <c r="CZ76" s="401"/>
      <c r="DA76" s="400"/>
      <c r="DB76" s="401"/>
      <c r="DC76" s="400"/>
      <c r="DD76" s="401"/>
      <c r="DE76" s="400"/>
      <c r="DF76" s="401"/>
      <c r="DG76" s="400"/>
      <c r="DH76" s="401"/>
      <c r="DI76" s="400"/>
      <c r="DJ76" s="401"/>
      <c r="DK76" s="400"/>
      <c r="DL76" s="401"/>
      <c r="DM76" s="400"/>
      <c r="DN76" s="401"/>
      <c r="DO76" s="400"/>
      <c r="DP76" s="401"/>
      <c r="DQ76" s="400"/>
      <c r="DR76" s="401"/>
      <c r="DS76" s="400"/>
      <c r="DT76" s="401"/>
      <c r="DU76" s="400"/>
      <c r="DV76" s="401"/>
      <c r="DW76" s="400"/>
      <c r="DX76" s="401"/>
      <c r="DY76" s="400"/>
      <c r="DZ76" s="401"/>
      <c r="EA76" s="400"/>
      <c r="EB76" s="401"/>
      <c r="EC76" s="400"/>
      <c r="ED76" s="401"/>
      <c r="EE76" s="400"/>
      <c r="EF76" s="401"/>
      <c r="EG76" s="400"/>
      <c r="EH76" s="401"/>
      <c r="EI76" s="400"/>
      <c r="EJ76" s="447"/>
      <c r="EK76" s="510"/>
      <c r="EL76" s="513"/>
      <c r="EM76" s="520"/>
      <c r="EN76" s="520"/>
      <c r="EO76" s="520"/>
      <c r="EP76" s="171">
        <f t="shared" si="95"/>
        <v>2</v>
      </c>
      <c r="EQ76" s="171">
        <f t="shared" si="96"/>
        <v>0</v>
      </c>
      <c r="ER76" s="171">
        <f t="shared" si="97"/>
        <v>0</v>
      </c>
      <c r="ES76" s="171">
        <f t="shared" si="98"/>
        <v>0</v>
      </c>
      <c r="ET76" s="171">
        <f t="shared" si="99"/>
        <v>0</v>
      </c>
      <c r="EU76" s="171">
        <f t="shared" si="100"/>
        <v>0</v>
      </c>
      <c r="EV76" s="172">
        <f t="shared" si="101"/>
        <v>2</v>
      </c>
      <c r="EW76" s="367">
        <f>IF(C76=4,IF(MAX(Q76:EJ78)&gt;0,(Especiall/30*(IF(($G76-$F76)=($G$5-$F$5),30,IF(DAY($G76)=31,($G76-$F76),($G76-$F76)+1)))),0),0)</f>
        <v>0</v>
      </c>
      <c r="EX76" s="248">
        <f t="shared" ref="EX76:EX79" si="103">FF76</f>
        <v>17508.5</v>
      </c>
      <c r="EY76" s="174">
        <f>(L76*regular)+(M76*Cadeirantee)</f>
        <v>0</v>
      </c>
      <c r="EZ76" s="249">
        <f>SUMIF(FG76:GJ76,"&gt;0")</f>
        <v>0</v>
      </c>
      <c r="FA76" s="249">
        <f>SUMIF(FG76:GJ76,"&lt;0")+SUMIF(GN76:HP76,"&lt;0")</f>
        <v>0</v>
      </c>
      <c r="FB76" s="174">
        <v>0</v>
      </c>
      <c r="FC76" s="175">
        <f>N76*km*'VALORES TABELA'!$B$13</f>
        <v>0</v>
      </c>
      <c r="FD76" s="250">
        <f>GL76</f>
        <v>0</v>
      </c>
      <c r="FE76" s="176">
        <f>(EW76+EW77+EW78+EW79+EX76+EX77+EX78+EX79+EY76+EY77+EY78+EY79+EY80+EZ76+EZ77+EZ78+EZ79+FA76+FA77+FA78+FA79+FC76+FC77+FC78+FC79+HY76-HZ76-IA76+FD76+FD77+FD78+FD79+FB80)</f>
        <v>17855.54</v>
      </c>
      <c r="FF76" s="177">
        <f>IF(C76=4,SUM(Q76+Q77+Q78+S76+S77+S78)*Percapita/30*FF$4+(R76+R77+R78+T76+T77+T78)*Cadeirante/30*FF$4,IF(C76=3,IF(Q79+S79=10,Fixo/30*FF$4+(Q76+Q77+Q78+S76+S77+S78)*Percapita/30*FF$4+(R79+T79)*Cadeirante/30*FF$4,IF(Q79+S79&lt;=9,(Q79+S79)*Crechee/30*FF$4)+(R79+T79)*Cadeirante/30*FF$4+(Q76+Q77+Q78+S76+S77+S78)*Percapita/30*FF$4)+IF(Q79+S79&gt;=11,Fixo/30*FF$4+(Q79+S79-10)*Crechee/30*FF$4,0),IF(C76=2,IF(R76+R77+R78+R79+T76+T77+T78+T79=1,Cadeirante/30*FF$4,IF(R76+R77+R78+R79+T76+T77+T78+T79=2,Fixo/30*FF$4,IF(R76+R77+R78+R79+T76+T77+T78+T79&gt;2,Fixo/30*FF$4+(R76+R77+R78+R79+T76+T77+T78+T79-2)*Cadeirante/30*FF$4)))+(Q76+Q77+Q78+S76+S77+S78)*Percapita/30*FF$4+(Q79+S79)*Crechee/30*FF$4,IF(C76=1,IF(Q76+Q77+Q78+R76+R77+R78+S76+S77+S78+T76+T77+T78&lt;=15,(Q76+Q77+Q78+S76+S77+S78)*Percapita/30*FF$4,IF(Q76+Q77+Q78+R76+R77+R78+S76+S77+S78+T76+T77+T78&gt;=16,Fixo/30*FF$4+(Q76+Q77+Q78+R76+R77+R78+S76+S77+S78+T76+T77-16)*Percapita/30*FF$4))))))</f>
        <v>17508.5</v>
      </c>
      <c r="FG76" s="177">
        <f>IF(C76=4,SUM(U76+U77+U78+W76+W77+W78)*Percapita/30*FG$4+(V76+V77+V78+X76+X77+X78)*Cadeirante/30*FG$4,IF(C76=3,IF(U79+W79=10,Fixo/30*FG$4+(U76+U77+U78+W76+W77+W78)*Percapita/30*FG$4+(V79+X79)*Cadeirante/30*FG$4,IF(U79+W79&lt;=9,(U79+W79)*Crechee/30*FG$4)+(V79+X79)*Cadeirante/30*FG$4+(U76+U77+U78+W76+W77+W78)*Percapita/30*FG$4)+IF(U79+W79&gt;=11,Fixo/30*FG$4+(U79+W79-10)*Crechee/30*FG$4,0),IF(C76=2,IF(V76+V77+V78+V79+X76+X77+X78+X79=1,Cadeirante/30*FG$4,IF(V76+V77+V78+V79+X76+X77+X78+X79=2,Fixo/30*FG$4,IF(V76+V77+V78+V79+X76+X77+X78+X79&gt;2,Fixo/30*FG$4+(V76+V77+V78+V79+X76+X77+X78+X79-2)*Cadeirante/30*FG$4)))+(U76+U77+U78+W76+W77+W78)*Percapita/30*FG$4+(U79+W79)*Crechee/30*FG$4,IF(C76=1,IF(U76+U77+U78+V76+V77+V78+W76+W77+W78+X76+X77+X78&lt;=15,(U76+U77+U78+W76+W77+W78)*Percapita/30*FG$4,IF(U76+U77+U78+V76+V77+V78+W76+W77+W78+X76+X77+X78&gt;=16,Fixo/30*FG$4+(U76+U77+U78+V76+V77+V78+W76+W77+W78+X76+X77-16)*Percapita/30*FG$4))))))</f>
        <v>0</v>
      </c>
      <c r="FH76" s="177">
        <f>IF(C76=4,SUM(Y76+Y77+Y78+AA76+AA77+AA78)*Percapita/30*FH$4+(Z76+Z77+Z78+AB76+AB77+AB78)*Cadeirante/30*FH$4,IF(C76=3,IF(Y79+AA79=10,Fixo/30*FH$4+(Y76+Y77+Y78+AA76+AA77+AA78)*Percapita/30*FH$4+(Z79+AB79)*Cadeirante/30*FH$4,IF(Y79+AA79&lt;=9,(Y79+AA79)*Crechee/30*FH$4)+(Z79+AB79)*Cadeirante/30*FH$4+(Y76+Y77+Y78+AA76+AA77+AA78)*Percapita/30*FH$4)+IF(Y79+AA79&gt;=11,Fixo/30*FH$4+(Y79+AA79-10)*Crechee/30*FH$4,0),IF(C76=2,IF(Z76+Z77+Z78+Z79+AB76+AB77+AB78+AB79=1,Cadeirante/30*FH$4,IF(Z76+Z77+Z78+Z79+AB76+AB77+AB78+AB79=2,Fixo/30*FH$4,IF(Z76+Z77+Z78+Z79+AB76+AB77+AB78+AB79&gt;2,Fixo/30*FH$4+(Z76+Z77+Z78+Z79+AB76+AB77+AB78+AB79-2)*Cadeirante/30*FH$4)))+(Y76+Y77+Y78+AA76+AA77+AA78)*Percapita/30*FH$4+(Y79+AA79)*Crechee/30*FH$4,IF(C76=1,IF(Y76+Y77+Y78+Z76+Z77+Z78+AA76+AA77+AA78+AB76+AB77+AB78&lt;=15,(Y76+Y77+Y78+AA76+AA77+AA78)*Percapita/30*FH$4,IF(Y76+Y77+Y78+Z76+Z77+Z78+AA76+AA77+AA78+AB76+AB77+AB78&gt;=16,Fixo/30*FH$4+(Y76+Y77+Y78+Z76+Z77+Z78+AA76+AA77+AA78+AB76+AB77-16)*Percapita/30*FH$4))))))</f>
        <v>0</v>
      </c>
      <c r="FI76" s="177">
        <f>IF(C76=4,SUM(AC76+AC77+AC78+AE76+AE77+AE78)*Percapita/30*FI$4+(AD76+AD77+AD78+AF76+AF77+AF78)*Cadeirante/30*FI$4,IF(C76=3,IF(AC79+AE79=10,Fixo/30*FI$4+(AC76+AC77+AC78+AE76+AE77+AE78)*Percapita/30*FI$4+(AD79+AF79)*Cadeirante/30*FI$4,IF(AC79+AE79&lt;=9,(AC79+AE79)*Crechee/30*FI$4)+(AD79+AF79)*Cadeirante/30*FI$4+(AC76+AC77+AC78+AE76+AE77+AE78)*Percapita/30*FI$4)+IF(AC79+AE79&gt;=11,Fixo/30*FI$4+(AC79+AE79-10)*Crechee/30*FI$4,0),IF(C76=2,IF(AD76+AD77+AD78+AD79+AF76+AF77+AF78+AF79=1,Cadeirante/30*FI$4,IF(AD76+AD77+AD78+AD79+AF76+AF77+AF78+AF79=2,Fixo/30*FI$4,IF(AD76+AD77+AD78+AD79+AF76+AF77+AF78+AF79&gt;2,Fixo/30*FI$4+(AD76+AD77+AD78+AD79+AF76+AF77+AF78+AF79-2)*Cadeirante/30*FI$4)))+(AC76+AC77+AC78+AE76+AE77+AE78)*Percapita/30*FI$4+(AC79+AE79)*Crechee/30*FI$4,IF(C76=1,IF(AC76+AC77+AC78+AD76+AD77+AD78+AE76+AE77+AE78+AF76+AF77+AF78&lt;=15,(AC76+AC77+AC78+AE76+AE77+AE78)*Percapita/30*FI$4,IF(AC76+AC77+AC78+AD76+AD77+AD78+AE76+AE77+AE78+AF76+AF77+AF78&gt;=16,Fixo/30*FI$4+(AC76+AC77+AC78+AD76+AD77+AD78+AE76+AE77+AE78+AF76+AF77-16)*Percapita/30*FI$4))))))</f>
        <v>0</v>
      </c>
      <c r="FJ76" s="177">
        <f>IF(C76=4,SUM(AG76+AG77+AG78+AI76+AI77+AI78)*Percapita/30*FJ$4+(AH76+AH77+AH78+AJ76+AJ77+AJ78)*Cadeirante/30*FJ$4,IF(C76=3,IF(AG79+AI79=10,Fixo/30*FJ$4+(AG76+AG77+AG78+AI76+AI77+AI78)*Percapita/30*FJ$4+(AH79+AJ79)*Cadeirante/30*FJ$4,IF(AG79+AI79&lt;=9,(AG79+AI79)*Crechee/30*FJ$4)+(AH79+AJ79)*Cadeirante/30*FJ$4+(AG76+AG77+AG78+AI76+AI77+AI78)*Percapita/30*FJ$4)+IF(AG79+AI79&gt;=11,Fixo/30*FJ$4+(AG79+AI79-10)*Crechee/30*FJ$4,0),IF(C76=2,IF(AH76+AH77+AH78+AH79+AJ76+AJ77+AJ78+AJ79=1,Cadeirante/30*FJ$4,IF(AH76+AH77+AH78+AH79+AJ76+AJ77+AJ78+AJ79=2,Fixo/30*FJ$4,IF(AH76+AH77+AH78+AH79+AJ76+AJ77+AJ78+AJ79&gt;2,Fixo/30*FJ$4+(AH76+AH77+AH78+AH79+AJ76+AJ77+AJ78+AJ79-2)*Cadeirante/30*FJ$4)))+(AG76+AG77+AG78+AI76+AI77+AI78)*Percapita/30*FJ$4+(AG79+AI79)*Crechee/30*FJ$4,IF(C76=1,IF(AG76+AG77+AG78+AH76+AH77+AH78+AI76+AI77+AI78+AJ76+AJ77+AJ78&lt;=15,(AG76+AG77+AG78+AI76+AI77+AI78)*Percapita/30*FJ$4,IF(AG76+AG77+AG78+AH76+AH77+AH78+AI76+AI77+AI78+AJ76+AJ77+AJ78&gt;=16,Fixo/30*FJ$4+(AG76+AG77+AG78+AH76+AH77+AH78+AI76+AI77+AI78+AJ76+AJ77-16)*Percapita/30*FJ$4))))))</f>
        <v>0</v>
      </c>
      <c r="FK76" s="177">
        <f>IF(C76=4,SUM(AK76+AK77+AK78+AM76+AM77+AM78)*Percapita/30*FK$4+(AL76+AL77+AL78+AN76+AN77+AN78)*Cadeirante/30*FK$4,IF(C76=3,IF(AK79+AM79=10,Fixo/30*FK$4+(AK76+AK77+AK78+AM76+AM77+AM78)*Percapita/30*FK$4+(AL79+AN79)*Cadeirante/30*FK$4,IF(AK79+AM79&lt;=9,(AK79+AM79)*Crechee/30*FK$4)+(AL79+AN79)*Cadeirante/30*FK$4+(AK76+AK77+AK78+AM76+AM77+AM78)*Percapita/30*FK$4)+IF(AK79+AM79&gt;=11,Fixo/30*FK$4+(AK79+AM79-10)*Crechee/30*FK$4,0),IF(C76=2,IF(AL76+AL77+AL78+AL79+AN76+AN77+AN78+AN79=1,Cadeirante/30*FK$4,IF(AL76+AL77+AL78+AL79+AN76+AN77+AN78+AN79=2,Fixo/30*FK$4,IF(AL76+AL77+AL78+AL79+AN76+AN77+AN78+AN79&gt;2,Fixo/30*FK$4+(AL76+AL77+AL78+AL79+AN76+AN77+AN78+AN79-2)*Cadeirante/30*FK$4)))+(AK76+AK77+AK78+AM76+AM77+AM78)*Percapita/30*FK$4+(AK79+AM79)*Crechee/30*FK$4,IF(C76=1,IF(AK76+AK77+AK78+AL76+AL77+AL78+AM76+AM77+AM78+AN76+AN77+AN78&lt;=15,(AK76+AK77+AK78+AM76+AM77+AM78)*Percapita/30*FK$4,IF(AK76+AK77+AK78+AL76+AL77+AL78+AM76+AM77+AM78+AN76+AN77+AN78&gt;=16,Fixo/30*FK$4+(AK76+AK77+AK78+AL76+AL77+AL78+AM76+AM77+AM78+AN76+AN77-16)*Percapita/30*FK$4))))))</f>
        <v>0</v>
      </c>
      <c r="FL76" s="177">
        <f>IF(C76=4,SUM(AO76+AO77+AO78+AQ76+AQ77+AQ78)*Percapita/30*FL$4+(AP76+AP77+AP78+AR76+AR77+AR78)*Cadeirante/30*FL$4,IF(C76=3,IF(AO79+AQ79=10,Fixo/30*FL$4+(AO76+AO77+AO78+AQ76+AQ77+AQ78)*Percapita/30*FL$4+(AP79+AR79)*Cadeirante/30*FL$4,IF(AO79+AQ79&lt;=9,(AO79+AQ79)*Crechee/30*FL$4)+(AP79+AR79)*Cadeirante/30*FL$4+(AO76+AO77+AO78+AQ76+AQ77+AQ78)*Percapita/30*FL$4)+IF(AO79+AQ79&gt;=11,Fixo/30*FL$4+(AO79+AQ79-10)*Crechee/30*FL$4,0),IF(C76=2,IF(AP76+AP77+AP78+AP79+AR76+AR77+AR78+AR79=1,Cadeirante/30*FL$4,IF(AP76+AP77+AP78+AP79+AR76+AR77+AR78+AR79=2,Fixo/30*FL$4,IF(AP76+AP77+AP78+AP79+AR76+AR77+AR78+AR79&gt;2,Fixo/30*FL$4+(AP76+AP77+AP78+AP79+AR76+AR77+AR78+AR79-2)*Cadeirante/30*FL$4)))+(AO76+AO77+AO78+AQ76+AQ77+AQ78)*Percapita/30*FL$4+(AO79+AQ79)*Crechee/30*FL$4,IF(C76=1,IF(AO76+AO77+AO78+AP76+AP77+AP78+AQ76+AQ77+AQ78+AR76+AR77+AR78&lt;=15,(AO76+AO77+AO78+AQ76+AQ77+AQ78)*Percapita/30*FL$4,IF(AO76+AO77+AO78+AP76+AP77+AP78+AQ76+AQ77+AQ78+AR76+AR77+AR78&gt;=16,Fixo/30*FL$4+(AO76+AO77+AO78+AP76+AP77+AP78+AQ76+AQ77+AQ78+AR76+AR77-16)*Percapita/30*FL$4))))))</f>
        <v>0</v>
      </c>
      <c r="FM76" s="177">
        <f>IF(C76=4,SUM(AS76+AS77+AS78+AU76+AU77+AU78)*Percapita/30*FM$4+(AT76+AT77+AT78+AV76+AV77+AV78)*Cadeirante/30*FM$4,IF(C76=3,IF(AS79+AU79=10,Fixo/30*FM$4+(AS76+AS77+AS78+AU76+AU77+AU78)*Percapita/30*FM$4+(AT79+AV79)*Cadeirante/30*FM$4,IF(AS79+AU79&lt;=9,(AS79+AU79)*Crechee/30*FM$4)+(AT79+AV79)*Cadeirante/30*FM$4+(AS76+AS77+AS78+AU76+AU77+AU78)*Percapita/30*FM$4)+IF(AS79+AU79&gt;=11,Fixo/30*FM$4+(AS79+AU79-10)*Crechee/30*FM$4,0),IF(C76=2,IF(AT76+AT77+AT78+AT79+AV76+AV77+AV78+AV79=1,Cadeirante/30*FM$4,IF(AT76+AT77+AT78+AT79+AV76+AV77+AV78+AV79=2,Fixo/30*FM$4,IF(AT76+AT77+AT78+AT79+AV76+AV77+AV78+AV79&gt;2,Fixo/30*FM$4+(AT76+AT77+AT78+AT79+AV76+AV77+AV78+AV79-2)*Cadeirante/30*FM$4)))+(AS76+AS77+AS78+AU76+AU77+AU78)*Percapita/30*FM$4+(AS79+AU79)*Crechee/30*FM$4,IF(C76=1,IF(AS76+AS77+AS78+AT76+AT77+AT78+AU76+AU77+AU78+AV76+AV77+AV78&lt;=15,(AS76+AS77+AS78+AU76+AU77+AU78)*Percapita/30*FM$4,IF(AS76+AS77+AS78+AT76+AT77+AT78+AU76+AU77+AU78+AV76+AV77+AV78&gt;=16,Fixo/30*FM$4+(AS76+AS77+AS78+AT76+AT77+AT78+AU76+AU77+AU78+AV76+AV77-16)*Percapita/30*FM$4))))))</f>
        <v>0</v>
      </c>
      <c r="FN76" s="177">
        <f>IF(C76=4,SUM(AW76+AW77+AW78+AY76+AY77+AY78)*Percapita/30*FN$4+(AX76+AX77+AX78+AZ76+AZ77+AZ78)*Cadeirante/30*FN$4,IF(C76=3,IF(AW79+AY79=10,Fixo/30*FN$4+(AW76+AW77+AW78+AY76+AY77+AY78)*Percapita/30*FN$4+(AX79+AZ79)*Cadeirante/30*FN$4,IF(AW79+AY79&lt;=9,(AW79+AY79)*Crechee/30*FN$4)+(AX79+AZ79)*Cadeirante/30*FN$4+(AW76+AW77+AW78+AY76+AY77+AY78)*Percapita/30*FN$4)+IF(AW79+AY79&gt;=11,Fixo/30*FN$4+(AW79+AY79-10)*Crechee/30*FN$4,0),IF(C76=2,IF(AX76+AX77+AX78+AX79+AZ76+AZ77+AZ78+AZ79=1,Cadeirante/30*FN$4,IF(AX76+AX77+AX78+AX79+AZ76+AZ77+AZ78+AZ79=2,Fixo/30*FN$4,IF(AX76+AX77+AX78+AX79+AZ76+AZ77+AZ78+AZ79&gt;2,Fixo/30*FN$4+(AX76+AX77+AX78+AX79+AZ76+AZ77+AZ78+AZ79-2)*Cadeirante/30*FN$4)))+(AW76+AW77+AW78+AY76+AY77+AY78)*Percapita/30*FN$4+(AW79+AY79)*Crechee/30*FN$4,IF(C76=1,IF(AW76+AW77+AW78+AX76+AX77+AX78+AY76+AY77+AY78+AZ76+AZ77+AZ78&lt;=15,(AW76+AW77+AW78+AY76+AY77+AY78)*Percapita/30*FN$4,IF(AW76+AW77+AW78+AX76+AX77+AX78+AY76+AY77+AY78+AZ76+AZ77+AZ78&gt;=16,Fixo/30*FN$4+(AW76+AW77+AW78+AX76+AX77+AX78+AY76+AY77+AY78+AZ76+AZ77-16)*Percapita/30*FN$4))))))</f>
        <v>0</v>
      </c>
      <c r="FO76" s="177">
        <f>IF(C76=4,SUM(BA76+BA77+BA78+BC76+BC77+BC78)*Percapita/30*FO$4+(BB76+BB77+BB78+BD76+BD77+BD78)*Cadeirante/30*FO$4,IF(C76=3,IF(BA79+BC79=10,Fixo/30*FO$4+(BA76+BA77+BA78+BC76+BC77+BC78)*Percapita/30*FO$4+(BB79+BD79)*Cadeirante/30*FO$4,IF(BA79+BC79&lt;=9,(BA79+BC79)*Crechee/30*FO$4)+(BB79+BD79)*Cadeirante/30*FO$4+(BA76+BA77+BA78+BC76+BC77+BC78)*Percapita/30*FO$4)+IF(BA79+BC79&gt;=11,Fixo/30*FO$4+(BA79+BC79-10)*Crechee/30*FO$4,0),IF(C76=2,IF(BB76+BB77+BB78+BB79+BD76+BD77+BD78+BD79=1,Cadeirante/30*FO$4,IF(BB76+BB77+BB78+BB79+BD76+BD77+BD78+BD79=2,Fixo/30*FO$4,IF(BB76+BB77+BB78+BB79+BD76+BD77+BD78+BD79&gt;2,Fixo/30*FO$4+(BB76+BB77+BB78+BB79+BD76+BD77+BD78+BD79-2)*Cadeirante/30*FO$4)))+(BA76+BA77+BA78+BC76+BC77+BC78)*Percapita/30*FO$4+(BA79+BC79)*Crechee/30*FO$4,IF(C76=1,IF(BA76+BA77+BA78+BB76+BB77+BB78+BC76+BC77+BC78+BD76+BD77+BD78&lt;=15,(BA76+BA77+BA78+BC76+BC77+BC78)*Percapita/30*FO$4,IF(BA76+BA77+BA78+BB76+BB77+BB78+BC76+BC77+BC78+BD76+BD77+BD78&gt;=16,Fixo/30*FO$4+(BA76+BA77+BA78+BB76+BB77+BB78+BC76+BC77+BC78+BD76+BD77-16)*Percapita/30*FO$4))))))</f>
        <v>0</v>
      </c>
      <c r="FP76" s="177">
        <f>IF(C76=4,SUM(BE76+BE77+BE78+BG76+BG77+BG78)*Percapita/30*FP$4+(BF76+BF77+BF78+BH76+BH77+BH78)*Cadeirante/30*FP$4,IF(C76=3,IF(BE79+BG79=10,Fixo/30*FP$4+(BE76+BE77+BE78+BG76+BG77+BG78)*Percapita/30*FP$4+(BF79+BH79)*Cadeirante/30*FP$4,IF(BE79+BG79&lt;=9,(BE79+BG79)*Crechee/30*FP$4)+(BF79+BH79)*Cadeirante/30*FP$4+(BE76+BE77+BE78+BG76+BG77+BG78)*Percapita/30*FP$4)+IF(BE79+BG79&gt;=11,Fixo/30*FP$4+(BE79+BG79-10)*Crechee/30*FP$4,0),IF(C76=2,IF(BF76+BF77+BF78+BF79+BH76+BH77+BH78+BH79=1,Cadeirante/30*FP$4,IF(BF76+BF77+BF78+BF79+BH76+BH77+BH78+BH79=2,Fixo/30*FP$4,IF(BF76+BF77+BF78+BF79+BH76+BH77+BH78+BH79&gt;2,Fixo/30*FP$4+(BF76+BF77+BF78+BF79+BH76+BH77+BH78+BH79-2)*Cadeirante/30*FP$4)))+(BE76+BE77+BE78+BG76+BG77+BG78)*Percapita/30*FP$4+(BE79+BG79)*Crechee/30*FP$4,IF(C76=1,IF(BE76+BE77+BE78+BF76+BF77+BF78+BG76+BG77+BG78+BH76+BH77+BH78&lt;=15,(BE76+BE77+BE78+BG76+BG77+BG78)*Percapita/30*FP$4,IF(BE76+BE77+BE78+BF76+BF77+BF78+BG76+BG77+BG78+BH76+BH77+BH78&gt;=16,Fixo/30*FP$4+(BE76+BE77+BE78+BF76+BF77+BF78+BG76+BG77+BG78+BH76+BH77-16)*Percapita/30*FP$4))))))</f>
        <v>0</v>
      </c>
      <c r="FQ76" s="177">
        <f>IF(C76=4,SUM(BI76+BI77+BI78+BK76+BK77+BK78)*Percapita/30*FQ$4+(BJ76+BJ77+BJ78+BL76+BL77+BL78)*Cadeirante/30*FQ$4,IF(C76=3,IF(BI79+BK79=10,Fixo/30*FQ$4+(BI76+BI77+BI78+BK76+BK77+BK78)*Percapita/30*FQ$4+(BJ79+BL79)*Cadeirante/30*FQ$4,IF(BI79+BK79&lt;=9,(BI79+BK79)*Crechee/30*FQ$4)+(BJ79+BL79)*Cadeirante/30*FQ$4+(BI76+BI77+BI78+BK76+BK77+BK78)*Percapita/30*FQ$4)+IF(BI79+BK79&gt;=11,Fixo/30*FQ$4+(BI79+BK79-10)*Crechee/30*FQ$4,0),IF(C76=2,IF(BJ76+BJ77+BJ78+BJ79+BL76+BL77+BL78+BL79=1,Cadeirante/30*FQ$4,IF(BJ76+BJ77+BJ78+BJ79+BL76+BL77+BL78+BL79=2,Fixo/30*FQ$4,IF(BJ76+BJ77+BJ78+BJ79+BL76+BL77+BL78+BL79&gt;2,Fixo/30*FQ$4+(BJ76+BJ77+BJ78+BJ79+BL76+BL77+BL78+BL79-2)*Cadeirante/30*FQ$4)))+(BI76+BI77+BI78+BK76+BK77+BK78)*Percapita/30*FQ$4+(BI79+BK79)*Crechee/30*FQ$4,IF(C76=1,IF(BI76+BI77+BI78+BJ76+BJ77+BJ78+BK76+BK77+BK78+BL76+BL77+BL78&lt;=15,(BI76+BI77+BI78+BK76+BK77+BK78)*Percapita/30*FQ$4,IF(BI76+BI77+BI78+BJ76+BJ77+BJ78+BK76+BK77+BK78+BL76+BL77+BL78&gt;=16,Fixo/30*FQ$4+(BI76+BI77+BI78+BJ76+BJ77+BJ78+BK76+BK77+BK78+BL76+BL77-16)*Percapita/30*FQ$4))))))</f>
        <v>0</v>
      </c>
      <c r="FR76" s="177">
        <f>IF(C76=4,SUM(BM76+BM77+BM78+BO76+BO77+BO78)*Percapita/30*FR$4+(BN76+BN77+BN78+BP76+BP77+BP78)*Cadeirante/30*FR$4,IF(C76=3,IF(BM79+BO79=10,Fixo/30*FR$4+(BM76+BM77+BM78+BO76+BO77+BO78)*Percapita/30*FR$4+(BN79+BP79)*Cadeirante/30*FR$4,IF(BM79+BO79&lt;=9,(BM79+BO79)*Crechee/30*FR$4)+(BN79+BP79)*Cadeirante/30*FR$4+(BM76+BM77+BM78+BO76+BO77+BO78)*Percapita/30*FR$4)+IF(BM79+BO79&gt;=11,Fixo/30*FR$4+(BM79+BO79-10)*Crechee/30*FR$4,0),IF(C76=2,IF(BN76+BN77+BN78+BN79+BP76+BP77+BP78+BP79=1,Cadeirante/30*FR$4,IF(BN76+BN77+BN78+BN79+BP76+BP77+BP78+BP79=2,Fixo/30*FR$4,IF(BN76+BN77+BN78+BN79+BP76+BP77+BP78+BP79&gt;2,Fixo/30*FR$4+(BN76+BN77+BN78+BN79+BP76+BP77+BP78+BP79-2)*Cadeirante/30*FR$4)))+(BM76+BM77+BM78+BO76+BO77+BO78)*Percapita/30*FR$4+(BM79+BO79)*Crechee/30*FR$4,IF(C76=1,IF(BM76+BM77+BM78+BN76+BN77+BN78+BO76+BO77+BO78+BP76+BP77+BP78&lt;=15,(BM76+BM77+BM78+BO76+BO77+BO78)*Percapita/30*FR$4,IF(BM76+BM77+BM78+BN76+BN77+BN78+BO76+BO77+BO78+BP76+BP77+BP78&gt;=16,Fixo/30*FR$4+(BM76+BM77+BM78+BN76+BN77+BN78+BO76+BO77+BO78+BP76+BP77-16)*Percapita/30*FR$4))))))</f>
        <v>0</v>
      </c>
      <c r="FS76" s="177">
        <f>IF(C76=4,SUM(BQ76+BQ77+BQ78+BS76+BS77+BS78)*Percapita/30*FS$4+(BR76+BR77+BR78+BT76+BT77+BT78)*Cadeirante/30*FS$4,IF(C76=3,IF(BQ79+BS79=10,Fixo/30*FS$4+(BQ76+BQ77+BQ78+BS76+BS77+BS78)*Percapita/30*FS$4+(BR79+BT79)*Cadeirante/30*FS$4,IF(BQ79+BS79&lt;=9,(BQ79+BS79)*Crechee/30*FS$4)+(BR79+BT79)*Cadeirante/30*FS$4+(BQ76+BQ77+BQ78+BS76+BS77+BS78)*Percapita/30*FS$4)+IF(BQ79+BS79&gt;=11,Fixo/30*FS$4+(BQ79+BS79-10)*Crechee/30*FS$4,0),IF(C76=2,IF(BR76+BR77+BR78+BR79+BT76+BT77+BT78+BT79=1,Cadeirante/30*FS$4,IF(BR76+BR77+BR78+BR79+BT76+BT77+BT78+BT79=2,Fixo/30*FS$4,IF(BR76+BR77+BR78+BR79+BT76+BT77+BT78+BT79&gt;2,Fixo/30*FS$4+(BR76+BR77+BR78+BR79+BT76+BT77+BT78+BT79-2)*Cadeirante/30*FS$4)))+(BQ76+BQ77+BQ78+BS76+BS77+BS78)*Percapita/30*FS$4+(BQ79+BS79)*Crechee/30*FS$4,IF(C76=1,IF(BQ76+BQ77+BQ78+BR76+BR77+BR78+BS76+BS77+BS78+BT76+BT77+BT78&lt;=15,(BQ76+BQ77+BQ78+BS76+BS77+BS78)*Percapita/30*FS$4,IF(BQ76+BQ77+BQ78+BR76+BR77+BR78+BS76+BS77+BS78+BT76+BT77+BT78&gt;=16,Fixo/30*FS$4+(BQ76+BQ77+BQ78+BR76+BR77+BR78+BS76+BS77+BS78+BT76+BT77-16)*Percapita/30*FS$4))))))</f>
        <v>0</v>
      </c>
      <c r="FT76" s="177">
        <f>IF(C76=4,SUM(BU76+BU77+BU78+BW76+BW77+BW78)*Percapita/30*FT$4+(BV76+BV77+BV78+BX76+BX77+BX78)*Cadeirante/30*FT$4,IF(C76=3,IF(BU79+BW79=10,Fixo/30*FT$4+(BU76+BU77+BU78+BW76+BW77+BW78)*Percapita/30*FT$4+(BV79+BX79)*Cadeirante/30*FT$4,IF(BU79+BW79&lt;=9,(BU79+BW79)*Crechee/30*FT$4)+(BV79+BX79)*Cadeirante/30*FT$4+(BU76+BU77+BU78+BW76+BW77+BW78)*Percapita/30*FT$4)+IF(BU79+BW79&gt;=11,Fixo/30*FT$4+(BU79+BW79-10)*Crechee/30*FT$4,0),IF(C76=2,IF(BV76+BV77+BV78+BV79+BX76+BX77+BX78+BX79=1,Cadeirante/30*FT$4,IF(BV76+BV77+BV78+BV79+BX76+BX77+BX78+BX79=2,Fixo/30*FT$4,IF(BV76+BV77+BV78+BV79+BX76+BX77+BX78+BX79&gt;2,Fixo/30*FT$4+(BV76+BV77+BV78+BV79+BX76+BX77+BX78+BX79-2)*Cadeirante/30*FT$4)))+(BU76+BU77+BU78+BW76+BW77+BW78)*Percapita/30*FT$4+(BU79+BW79)*Crechee/30*FT$4,IF(C76=1,IF(BU76+BU77+BU78+BV76+BV77+BV78+BW76+BW77+BW78+BX76+BX77+BX78&lt;=15,(BU76+BU77+BU78+BW76+BW77+BW78)*Percapita/30*FT$4,IF(BU76+BU77+BU78+BV76+BV77+BV78+BW76+BW77+BW78+BX76+BX77+BX78&gt;=16,Fixo/30*FT$4+(BU76+BU77+BU78+BV76+BV77+BV78+BW76+BW77+BW78+BX76+BX77-16)*Percapita/30*FT$4))))))</f>
        <v>0</v>
      </c>
      <c r="FU76" s="177">
        <f>IF(C76=4,SUM(BY76+BY77+BY78+CA76+CA77+CA78)*Percapita/30*FU$4+(BZ76+BZ77+BZ78+CB76+CB77+CB78)*Cadeirante/30*FU$4,IF(C76=3,IF(BY79+CA79=10,Fixo/30*FU$4+(BY76+BY77+BY78+CA76+CA77+CA78)*Percapita/30*FU$4+(BZ79+CB79)*Cadeirante/30*FU$4,IF(BY79+CA79&lt;=9,(BY79+CA79)*Crechee/30*FU$4)+(BZ79+CB79)*Cadeirante/30*FU$4+(BY76+BY77+BY78+CA76+CA77+CA78)*Percapita/30*FU$4)+IF(BY79+CA79&gt;=11,Fixo/30*FU$4+(BY79+CA79-10)*Crechee/30*FU$4,0),IF(C76=2,IF(BZ76+BZ77+BZ78+BZ79+CB76+CB77+CB78+CB79=1,Cadeirante/30*FU$4,IF(BZ76+BZ77+BZ78+BZ79+CB76+CB77+CB78+CB79=2,Fixo/30*FU$4,IF(BZ76+BZ77+BZ78+BZ79+CB76+CB77+CB78+CB79&gt;2,Fixo/30*FU$4+(BZ76+BZ77+BZ78+BZ79+CB76+CB77+CB78+CB79-2)*Cadeirante/30*FU$4)))+(BY76+BY77+BY78+CA76+CA77+CA78)*Percapita/30*FU$4+(BY79+CA79)*Crechee/30*FU$4,IF(C76=1,IF(BY76+BY77+BY78+BZ76+BZ77+BZ78+CA76+CA77+CA78+CB76+CB77+CB78&lt;=15,(BY76+BY77+BY78+CA76+CA77+CA78)*Percapita/30*FU$4,IF(BY76+BY77+BY78+BZ76+BZ77+BZ78+CA76+CA77+CA78+CB76+CB77+CB78&gt;=16,Fixo/30*FU$4+(BY76+BY77+BY78+BZ76+BZ77+BZ78+CA76+CA77+CA78+CB76+CB77-16)*Percapita/30*FU$4))))))</f>
        <v>0</v>
      </c>
      <c r="FV76" s="177">
        <f>IF(C76=4,SUM(CC76+CC77+CC78+CE76+CE77+CE78)*Percapita/30*FV$4+(CD76+CD77+CD78+CF76+CF77+CF78)*Cadeirante/30*FV$4,IF(C76=3,IF(CC79+CE79=10,Fixo/30*FV$4+(CC76+CC77+CC78+CE76+CE77+CE78)*Percapita/30*FV$4+(CD79+CF79)*Cadeirante/30*FV$4,IF(CC79+CE79&lt;=9,(CC79+CE79)*Crechee/30*FV$4)+(CD79+CF79)*Cadeirante/30*FV$4+(CC76+CC77+CC78+CE76+CE77+CE78)*Percapita/30*FV$4)+IF(CC79+CE79&gt;=11,Fixo/30*FV$4+(CC79+CE79-10)*Crechee/30*FV$4,0),IF(C76=2,IF(CD76+CD77+CD78+CD79+CF76+CF77+CF78+CF79=1,Cadeirante/30*FV$4,IF(CD76+CD77+CD78+CD79+CF76+CF77+CF78+CF79=2,Fixo/30*FV$4,IF(CD76+CD77+CD78+CD79+CF76+CF77+CF78+CF79&gt;2,Fixo/30*FV$4+(CD76+CD77+CD78+CD79+CF76+CF77+CF78+CF79-2)*Cadeirante/30*FV$4)))+(CC76+CC77+CC78+CE76+CE77+CE78)*Percapita/30*FV$4+(CC79+CE79)*Crechee/30*FV$4,IF(C76=1,IF(CC76+CC77+CC78+CD76+CD77+CD78+CE76+CE77+CE78+CF76+CF77+CF78&lt;=15,(CC76+CC77+CC78+CE76+CE77+CE78)*Percapita/30*FV$4,IF(CC76+CC77+CC78+CD76+CD77+CD78+CE76+CE77+CE78+CF76+CF77+CF78&gt;=16,Fixo/30*FV$4+(CC76+CC77+CC78+CD76+CD77+CD78+CE76+CE77+CE78+CF76+CF77-16)*Percapita/30*FV$4))))))</f>
        <v>0</v>
      </c>
      <c r="FW76" s="177">
        <f>IF(C76=4,SUM(CG76+CG77+CG78+CI76+CI77+CI78)*Percapita/30*FW$4+(CH76+CH77+CH78+CJ76+CJ77+CJ78)*Cadeirante/30*FW$4,IF(C76=3,IF(CG79+CI79=10,Fixo/30*FW$4+(CG76+CG77+CG78+CI76+CI77+CI78)*Percapita/30*FW$4+(CH79+CJ79)*Cadeirante/30*FW$4,IF(CG79+CI79&lt;=9,(CG79+CI79)*Crechee/30*FW$4)+(CH79+CJ79)*Cadeirante/30*FW$4+(CG76+CG77+CG78+CI76+CI77+CI78)*Percapita/30*FW$4)+IF(CG79+CI79&gt;=11,Fixo/30*FW$4+(CG79+CI79-10)*Crechee/30*FW$4,0),IF(C76=2,IF(CH76+CH77+CH78+CH79+CJ76+CJ77+CJ78+CJ79=1,Cadeirante/30*FW$4,IF(CH76+CH77+CH78+CH79+CJ76+CJ77+CJ78+CJ79=2,Fixo/30*FW$4,IF(CH76+CH77+CH78+CH79+CJ76+CJ77+CJ78+CJ79&gt;2,Fixo/30*FW$4+(CH76+CH77+CH78+CH79+CJ76+CJ77+CJ78+CJ79-2)*Cadeirante/30*FW$4)))+(CG76+CG77+CG78+CI76+CI77+CI78)*Percapita/30*FW$4+(CG79+CI79)*Crechee/30*FW$4,IF(C76=1,IF(CG76+CG77+CG78+CH76+CH77+CH78+CI76+CI77+CI78+CJ76+CJ77+CJ78&lt;=15,(CG76+CG77+CG78+CI76+CI77+CI78)*Percapita/30*FW$4,IF(CG76+CG77+CG78+CH76+CH77+CH78+CI76+CI77+CI78+CJ76+CJ77+CJ78&gt;=16,Fixo/30*FW$4+(CG76+CG77+CG78+CH76+CH77+CH78+CI76+CI77+CI78+CJ76+CJ77-16)*Percapita/30*FW$4))))))</f>
        <v>0</v>
      </c>
      <c r="FX76" s="177">
        <f>IF(C76=4,SUM(CK76+CK77+CK78+CM76+CM77+CM78)*Percapita/30*FX$4+(CL76+CL77+CL78+CN76+CN77+CN78)*Cadeirante/30*FX$4,IF(C76=3,IF(CK79+CM79=10,Fixo/30*FX$4+(CK76+CK77+CK78+CM76+CM77+CM78)*Percapita/30*FX$4+(CL79+CN79)*Cadeirante/30*FX$4,IF(CK79+CM79&lt;=9,(CK79+CM79)*Crechee/30*FX$4)+(CL79+CN79)*Cadeirante/30*FX$4+(CK76+CK77+CK78+CM76+CM77+CM78)*Percapita/30*FX$4)+IF(CK79+CM79&gt;=11,Fixo/30*FX$4+(CK79+CM79-10)*Crechee/30*FX$4,0),IF(C76=2,IF(CL76+CL77+CL78+CL79+CN76+CN77+CN78+CN79=1,Cadeirante/30*FX$4,IF(CL76+CL77+CL78+CL79+CN76+CN77+CN78+CN79=2,Fixo/30*FX$4,IF(CL76+CL77+CL78+CL79+CN76+CN77+CN78+CN79&gt;2,Fixo/30*FX$4+(CL76+CL77+CL78+CL79+CN76+CN77+CN78+CN79-2)*Cadeirante/30*FX$4)))+(CK76+CK77+CK78+CM76+CM77+CM78)*Percapita/30*FX$4+(CK79+CM79)*Crechee/30*FX$4,IF(C76=1,IF(CK76+CK77+CK78+CL76+CL77+CL78+CM76+CM77+CM78+CN76+CN77+CN78&lt;=15,(CK76+CK77+CK78+CM76+CM77+CM78)*Percapita/30*FX$4,IF(CK76+CK77+CK78+CL76+CL77+CL78+CM76+CM77+CM78+CN76+CN77+CN78&gt;=16,Fixo/30*FX$4+(CK76+CK77+CK78+CL76+CL77+CL78+CM76+CM77+CM78+CN76+CN77-16)*Percapita/30*FX$4))))))</f>
        <v>0</v>
      </c>
      <c r="FY76" s="177">
        <f>IF(C76=4,SUM(CO76+CO77+CO78+CQ76+CQ77+CQ78)*Percapita/30*FY$4+(CP76+CP77+CP78+CR76+CR77+CR78)*Cadeirante/30*FY$4,IF(C76=3,IF(CO79+CQ79=10,Fixo/30*FY$4+(CO76+CO77+CO78+CQ76+CQ77+CQ78)*Percapita/30*FY$4+(CP79+CR79)*Cadeirante/30*FY$4,IF(CO79+CQ79&lt;=9,(CO79+CQ79)*Crechee/30*FY$4)+(CP79+CR79)*Cadeirante/30*FY$4+(CO76+CO77+CO78+CQ76+CQ77+CQ78)*Percapita/30*FY$4)+IF(CO79+CQ79&gt;=11,Fixo/30*FY$4+(CO79+CQ79-10)*Crechee/30*FY$4,0),IF(C76=2,IF(CP76+CP77+CP78+CP79+CR76+CR77+CR78+CR79=1,Cadeirante/30*FY$4,IF(CP76+CP77+CP78+CP79+CR76+CR77+CR78+CR79=2,Fixo/30*FY$4,IF(CP76+CP77+CP78+CP79+CR76+CR77+CR78+CR79&gt;2,Fixo/30*FY$4+(CP76+CP77+CP78+CP79+CR76+CR77+CR78+CR79-2)*Cadeirante/30*FY$4)))+(CO76+CO77+CO78+CQ76+CQ77+CQ78)*Percapita/30*FY$4+(CO79+CQ79)*Crechee/30*FY$4,IF(C76=1,IF(CO76+CO77+CO78+CP76+CP77+CP78+CQ76+CQ77+CQ78+CR76+CR77+CR78&lt;=15,(CO76+CO77+CO78+CQ76+CQ77+CQ78)*Percapita/30*FY$4,IF(CO76+CO77+CO78+CP76+CP77+CP78+CQ76+CQ77+CQ78+CR76+CR77+CR78&gt;=16,Fixo/30*FY$4+(CO76+CO77+CO78+CP76+CP77+CP78+CQ76+CQ77+CQ78+CR76+CR77-16)*Percapita/30*FY$4))))))</f>
        <v>0</v>
      </c>
      <c r="FZ76" s="177">
        <f>IF(C76=4,SUM(CS76+CS77+CS78+CU76+CU77+CU78)*Percapita/30*FZ$4+(CT76+CT77+CT78+CV76+CV77+CV78)*Cadeirante/30*FZ$4,IF(C76=3,IF(CS79+CU79=10,Fixo/30*FZ$4+(CS76+CS77+CS78+CU76+CU77+CU78)*Percapita/30*FZ$4+(CT79+CV79)*Cadeirante/30*FZ$4,IF(CS79+CU79&lt;=9,(CS79+CU79)*Crechee/30*FZ$4)+(CT79+CV79)*Cadeirante/30*FZ$4+(CS76+CS77+CS78+CU76+CU77+CU78)*Percapita/30*FZ$4)+IF(CS79+CU79&gt;=11,Fixo/30*FZ$4+(CS79+CU79-10)*Crechee/30*FZ$4,0),IF(C76=2,IF(CT76+CT77+CT78+CT79+CV76+CV77+CV78+CV79=1,Cadeirante/30*FZ$4,IF(CT76+CT77+CT78+CT79+CV76+CV77+CV78+CV79=2,Fixo/30*FZ$4,IF(CT76+CT77+CT78+CT79+CV76+CV77+CV78+CV79&gt;2,Fixo/30*FZ$4+(CT76+CT77+CT78+CT79+CV76+CV77+CV78+CV79-2)*Cadeirante/30*FZ$4)))+(CS76+CS77+CS78+CU76+CU77+CU78)*Percapita/30*FZ$4+(CS79+CU79)*Crechee/30*FZ$4,IF(C76=1,IF(CS76+CS77+CS78+CT76+CT77+CT78+CU76+CU77+CU78+CV76+CV77+CV78&lt;=15,(CS76+CS77+CS78+CU76+CU77+CU78)*Percapita/30*FZ$4,IF(CS76+CS77+CS78+CT76+CT77+CT78+CU76+CU77+CU78+CV76+CV77+CV78&gt;=16,Fixo/30*FZ$4+(CS76+CS77+CS78+CT76+CT77+CT78+CU76+CU77+CU78+CV76+CV77-16)*Percapita/30*FZ$4))))))</f>
        <v>0</v>
      </c>
      <c r="GA76" s="177">
        <f>IF(C76=4,SUM(CW76+CW77+CW78+CY76+CY77+CY78)*Percapita/30*GA$4+(CX76+CX77+CX78+CZ76+CZ77+CZ78)*Cadeirante/30*GA$4,IF(C76=3,IF(CW79+CY79=10,Fixo/30*GA$4+(CW76+CW77+CW78+CY76+CY77+CY78)*Percapita/30*GA$4+(CX79+CZ79)*Cadeirante/30*GA$4,IF(CW79+CY79&lt;=9,(CW79+CY79)*Crechee/30*GA$4)+(CX79+CZ79)*Cadeirante/30*GA$4+(CW76+CW77+CW78+CY76+CY77+CY78)*Percapita/30*GA$4)+IF(CW79+CY79&gt;=11,Fixo/30*GA$4+(CW79+CY79-10)*Crechee/30*GA$4,0),IF(C76=2,IF(CX76+CX77+CX78+CX79+CZ76+CZ77+CZ78+CZ79=1,Cadeirante/30*GA$4,IF(CX76+CX77+CX78+CX79+CZ76+CZ77+CZ78+CZ79=2,Fixo/30*GA$4,IF(CX76+CX77+CX78+CX79+CZ76+CZ77+CZ78+CZ79&gt;2,Fixo/30*GA$4+(CX76+CX77+CX78+CX79+CZ76+CZ77+CZ78+CZ79-2)*Cadeirante/30*GA$4)))+(CW76+CW77+CW78+CY76+CY77+CY78)*Percapita/30*GA$4+(CW79+CY79)*Crechee/30*GA$4,IF(C76=1,IF(CW76+CW77+CW78+CX76+CX77+CX78+CY76+CY77+CY78+CZ76+CZ77+CZ78&lt;=15,(CW76+CW77+CW78+CY76+CY77+CY78)*Percapita/30*GA$4,IF(CW76+CW77+CW78+CX76+CX77+CX78+CY76+CY77+CY78+CZ76+CZ77+CZ78&gt;=16,Fixo/30*GA$4+(CW76+CW77+CW78+CX76+CX77+CX78+CY76+CY77+CY78+CZ76+CZ77-16)*Percapita/30*GA$4))))))</f>
        <v>0</v>
      </c>
      <c r="GB76" s="177">
        <f>IF(C76=4,SUM(DA76+DA77+DA78+DC76+DC77+DC78)*Percapita/30*GB$4+(DB76+DB77+DB78+DD76+DD77+DD78)*Cadeirante/30*GB$4,IF(C76=3,IF(DA79+DC79=10,Fixo/30*GB$4+(DA76+DA77+DA78+DC76+DC77+DC78)*Percapita/30*GB$4+(DB79+DD79)*Cadeirante/30*GB$4,IF(DA79+DC79&lt;=9,(DA79+DC79)*Crechee/30*GB$4)+(DB79+DD79)*Cadeirante/30*GB$4+(DA76+DA77+DA78+DC76+DC77+DC78)*Percapita/30*GB$4)+IF(DA79+DC79&gt;=11,Fixo/30*GB$4+(DA79+DC79-10)*Crechee/30*GB$4,0),IF(C76=2,IF(DB76+DB77+DB78+DB79+DD76+DD77+DD78+DD79=1,Cadeirante/30*GB$4,IF(DB76+DB77+DB78+DB79+DD76+DD77+DD78+DD79=2,Fixo/30*GB$4,IF(DB76+DB77+DB78+DB79+DD76+DD77+DD78+DD79&gt;2,Fixo/30*GB$4+(DB76+DB77+DB78+DB79+DD76+DD77+DD78+DD79-2)*Cadeirante/30*GB$4)))+(DA76+DA77+DA78+DC76+DC77+DC78)*Percapita/30*GB$4+(DA79+DC79)*Crechee/30*GB$4,IF(C76=1,IF(DA76+DA77+DA78+DB76+DB77+DB78+DC76+DC77+DC78+DD76+DD77+DD78&lt;=15,(DA76+DA77+DA78+DC76+DC77+DC78)*Percapita/30*GB$4,IF(DA76+DA77+DA78+DB76+DB77+DB78+DC76+DC77+DC78+DD76+DD77+DD78&gt;=16,Fixo/30*GB$4+(DA76+DA77+DA78+DB76+DB77+DB78+DC76+DC77+DC78+DD76+DD77-16)*Percapita/30*GB$4))))))</f>
        <v>0</v>
      </c>
      <c r="GC76" s="177">
        <f>IF(C76=4,SUM(DE76+DE77+DE78+DG76+DG77+DG78)*Percapita/30*GC$4+(DF76+DF77+DF78+DH76+DH77+DH78)*Cadeirante/30*GC$4,IF(C76=3,IF(DE79+DG79=10,Fixo/30*GC$4+(DE76+DE77+DE78+DG76+DG77+DG78)*Percapita/30*GC$4+(DF79+DH79)*Cadeirante/30*GC$4,IF(DE79+DG79&lt;=9,(DE79+DG79)*Crechee/30*GC$4)+(DF79+DH79)*Cadeirante/30*GC$4+(DE76+DE77+DE78+DG76+DG77+DG78)*Percapita/30*GC$4)+IF(DE79+DG79&gt;=11,Fixo/30*GC$4+(DE79+DG79-10)*Crechee/30*GC$4,0),IF(C76=2,IF(DF76+DF77+DF78+DF79+DH76+DH77+DH78+DH79=1,Cadeirante/30*GC$4,IF(DF76+DF77+DF78+DF79+DH76+DH77+DH78+DH79=2,Fixo/30*GC$4,IF(DF76+DF77+DF78+DF79+DH76+DH77+DH78+DH79&gt;2,Fixo/30*GC$4+(DF76+DF77+DF78+DF79+DH76+DH77+DH78+DH79-2)*Cadeirante/30*GC$4)))+(DE76+DE77+DE78+DG76+DG77+DG78)*Percapita/30*GC$4+(DE79+DG79)*Crechee/30*GC$4,IF(C76=1,IF(DE76+DE77+DE78+DF76+DF77+DF78+DG76+DG77+DG78+DH76+DH77+DH78&lt;=15,(DE76+DE77+DE78+DG76+DG77+DG78)*Percapita/30*GC$4,IF(DE76+DE77+DE78+DF76+DF77+DF78+DG76+DG77+DG78+DH76+DH77+DH78&gt;=16,Fixo/30*GC$4+(DE76+DE77+DE78+DF76+DF77+DF78+DG76+DG77+DG78+DH76+DH77-16)*Percapita/30*GC$4))))))</f>
        <v>0</v>
      </c>
      <c r="GD76" s="177">
        <f>IF(C76=4,SUM(DI76+DI77+DI78+DK76+DK77+DK78)*Percapita/30*GD$4+(DJ76+DJ77+DJ78+DL76+DL77+DL78)*Cadeirante/30*GD$4,IF(C76=3,IF(DI79+DK79=10,Fixo/30*GD$4+(DI76+DI77+DI78+DK76+DK77+DK78)*Percapita/30*GD$4+(DJ79+DL79)*Cadeirante/30*GD$4,IF(DI79+DK79&lt;=9,(DI79+DK79)*Crechee/30*GD$4)+(DJ79+DL79)*Cadeirante/30*GD$4+(DI76+DI77+DI78+DK76+DK77+DK78)*Percapita/30*GD$4)+IF(DI79+DK79&gt;=11,Fixo/30*GD$4+(DI79+DK79-10)*Crechee/30*GD$4,0),IF(C76=2,IF(DJ76+DJ77+DJ78+DJ79+DL76+DL77+DL78+DL79=1,Cadeirante/30*GD$4,IF(DJ76+DJ77+DJ78+DJ79+DL76+DL77+DL78+DL79=2,Fixo/30*GD$4,IF(DJ76+DJ77+DJ78+DJ79+DL76+DL77+DL78+DL79&gt;2,Fixo/30*GD$4+(DJ76+DJ77+DJ78+DJ79+DL76+DL77+DL78+DL79-2)*Cadeirante/30*GD$4)))+(DI76+DI77+DI78+DK76+DK77+DK78)*Percapita/30*GD$4+(DI79+DK79)*Crechee/30*GD$4,IF(C76=1,IF(DI76+DI77+DI78+DJ76+DJ77+DJ78+DK76+DK77+DK78+DL76+DL77+DL78&lt;=15,(DI76+DI77+DI78+DK76+DK77+DK78)*Percapita/30*GD$4,IF(DI76+DI77+DI78+DJ76+DJ77+DJ78+DK76+DK77+DK78+DL76+DL77+DL78&gt;=16,Fixo/30*GD$4+(DI76+DI77+DI78+DJ76+DJ77+DJ78+DK76+DK77+DK78+DL76+DL77-16)*Percapita/30*GD$4))))))</f>
        <v>0</v>
      </c>
      <c r="GE76" s="177">
        <f>IF(C76=4,SUM(DM76+DM77+DM78+DO76+DO77+DO78)*Percapita/30*GE$4+(DN76+DN77+DN78+DP76+DP77+DP78)*Cadeirante/30*GE$4,IF(C76=3,IF(DM79+DO79=10,Fixo/30*GE$4+(DM76+DM77+DM78+DO76+DO77+DO78)*Percapita/30*GE$4+(DN79+DP79)*Cadeirante/30*GE$4,IF(DM79+DO79&lt;=9,(DM79+DO79)*Crechee/30*GE$4)+(DN79+DP79)*Cadeirante/30*GE$4+(DM76+DM77+DM78+DO76+DO77+DO78)*Percapita/30*GE$4)+IF(DM79+DO79&gt;=11,Fixo/30*GE$4+(DM79+DO79-10)*Crechee/30*GE$4,0),IF(C76=2,IF(DN76+DN77+DN78+DN79+DP76+DP77+DP78+DP79=1,Cadeirante/30*GE$4,IF(DN76+DN77+DN78+DN79+DP76+DP77+DP78+DP79=2,Fixo/30*GE$4,IF(DN76+DN77+DN78+DN79+DP76+DP77+DP78+DP79&gt;2,Fixo/30*GE$4+(DN76+DN77+DN78+DN79+DP76+DP77+DP78+DP79-2)*Cadeirante/30*GE$4)))+(DM76+DM77+DM78+DO76+DO77+DO78)*Percapita/30*GE$4+(DM79+DO79)*Crechee/30*GE$4,IF(C76=1,IF(DM76+DM77+DM78+DN76+DN77+DN78+DO76+DO77+DO78+DP76+DP77+DP78&lt;=15,(DM76+DM77+DM78+DO76+DO77+DO78)*Percapita/30*GE$4,IF(DM76+DM77+DM78+DN76+DN77+DN78+DO76+DO77+DO78+DP76+DP77+DP78&gt;=16,Fixo/30*GE$4+(DM76+DM77+DM78+DN76+DN77+DN78+DO76+DO77+DO78+DP76+DP77-16)*Percapita/30*GE$4))))))</f>
        <v>0</v>
      </c>
      <c r="GF76" s="177">
        <f>IF(C76=4,SUM(DQ76+DQ77+DQ78+DS76+DS77+DS78)*Percapita/30*GF$4+(DR76+DR77+DR78+DT76+DT77+DT78)*Cadeirante/30*GF$4,IF(C76=3,IF(DQ79+DS79=10,Fixo/30*GF$4+(DQ76+DQ77+DQ78+DS76+DS77+DS78)*Percapita/30*GF$4+(DR79+DT79)*Cadeirante/30*GF$4,IF(DQ79+DS79&lt;=9,(DQ79+DS79)*Crechee/30*GF$4)+(DR79+DT79)*Cadeirante/30*GF$4+(DQ76+DQ77+DQ78+DS76+DS77+DS78)*Percapita/30*GF$4)+IF(DQ79+DS79&gt;=11,Fixo/30*GF$4+(DQ79+DS79-10)*Crechee/30*GF$4,0),IF(C76=2,IF(DR76+DR77+DR78+DR79+DT76+DT77+DT78+DT79=1,Cadeirante/30*GF$4,IF(DR76+DR77+DR78+DR79+DT76+DT77+DT78+DT79=2,Fixo/30*GF$4,IF(DR76+DR77+DR78+DR79+DT76+DT77+DT78+DT79&gt;2,Fixo/30*GF$4+(DR76+DR77+DR78+DR79+DT76+DT77+DT78+DT79-2)*Cadeirante/30*GF$4)))+(DQ76+DQ77+DQ78+DS76+DS77+DS78)*Percapita/30*GF$4+(DQ79+DS79)*Crechee/30*GF$4,IF(C76=1,IF(DQ76+DQ77+DQ78+DR76+DR77+DR78+DS76+DS77+DS78+DT76+DT77+DT78&lt;=15,(DQ76+DQ77+DQ78+DS76+DS77+DS78)*Percapita/30*GF$4,IF(DQ76+DQ77+DQ78+DR76+DR77+DR78+DS76+DS77+DS78+DT76+DT77+DT78&gt;=16,Fixo/30*GF$4+(DQ76+DQ77+DQ78+DR76+DR77+DR78+DS76+DS77+DS78+DT76+DT77-16)*Percapita/30*GF$4))))))</f>
        <v>0</v>
      </c>
      <c r="GG76" s="177">
        <f>IF(C76=4,SUM(DU76+DU77+DU78+DW76+DW77+DW78)*Percapita/30*GG$4+(DV76+DV77+DV78+DX76+DX77+DX78)*Cadeirante/30*GG$4,IF(C76=3,IF(DU79+DW79=10,Fixo/30*GG$4+(DU76+DU77+DU78+DW76+DW77+DW78)*Percapita/30*GG$4+(DV79+DX79)*Cadeirante/30*GG$4,IF(DU79+DW79&lt;=9,(DU79+DW79)*Crechee/30*GG$4)+(DV79+DX79)*Cadeirante/30*GG$4+(DU76+DU77+DU78+DW76+DW77+DW78)*Percapita/30*GG$4)+IF(DU79+DW79&gt;=11,Fixo/30*GG$4+(DU79+DW79-10)*Crechee/30*GG$4,0),IF(C76=2,IF(DV76+DV77+DV78+DV79+DX76+DX77+DX78+DX79=1,Cadeirante/30*GG$4,IF(DV76+DV77+DV78+DV79+DX76+DX77+DX78+DX79=2,Fixo/30*GG$4,IF(DV76+DV77+DV78+DV79+DX76+DX77+DX78+DX79&gt;2,Fixo/30*GG$4+(DV76+DV77+DV78+DV79+DX76+DX77+DX78+DX79-2)*Cadeirante/30*GG$4)))+(DU76+DU77+DU78+DW76+DW77+DW78)*Percapita/30*GG$4+(DU79+DW79)*Crechee/30*GG$4,IF(C76=1,IF(DU76+DU77+DU78+DV76+DV77+DV78+DW76+DW77+DW78+DX76+DX77+DX78&lt;=15,(DU76+DU77+DU78+DW76+DW77+DW78)*Percapita/30*GG$4,IF(DU76+DU77+DU78+DV76+DV77+DV78+DW76+DW77+DW78+DX76+DX77+DX78&gt;=16,Fixo/30*GG$4+(DU76+DU77+DU78+DV76+DV77+DV78+DW76+DW77+DW78+DX76+DX77-16)*Percapita/30*GG$4))))))</f>
        <v>0</v>
      </c>
      <c r="GH76" s="177">
        <f>IF(C76=4,SUM(DY76+DY77+DY78+EA76+EA77+EA78)*Percapita/30*GH$4+(DZ76+DZ77+DZ78+EB76+EB77+EB78)*Cadeirante/30*GH$4,IF(C76=3,IF(DY79+EA79=10,Fixo/30*GH$4+(DY76+DY77+DY78+EA76+EA77+EA78)*Percapita/30*GH$4+(DZ79+EB79)*Cadeirante/30*GH$4,IF(DY79+EA79&lt;=9,(DY79+EA79)*Crechee/30*GH$4)+(DZ79+EB79)*Cadeirante/30*GH$4+(DY76+DY77+DY78+EA76+EA77+EA78)*Percapita/30*GH$4)+IF(DY79+EA79&gt;=11,Fixo/30*GH$4+(DY79+EA79-10)*Crechee/30*GH$4,0),IF(C76=2,IF(DZ76+DZ77+DZ78+DZ79+EB76+EB77+EB78+EB79=1,Cadeirante/30*GH$4,IF(DZ76+DZ77+DZ78+DZ79+EB76+EB77+EB78+EB79=2,Fixo/30*GH$4,IF(DZ76+DZ77+DZ78+DZ79+EB76+EB77+EB78+EB79&gt;2,Fixo/30*GH$4+(DZ76+DZ77+DZ78+DZ79+EB76+EB77+EB78+EB79-2)*Cadeirante/30*GH$4)))+(DY76+DY77+DY78+EA76+EA77+EA78)*Percapita/30*GH$4+(DY79+EA79)*Crechee/30*GH$4,IF(C76=1,IF(DY76+DY77+DY78+DZ76+DZ77+DZ78+EA76+EA77+EA78+EB76+EB77+EB78&lt;=15,(DY76+DY77+DY78+EA76+EA77+EA78)*Percapita/30*GH$4,IF(DY76+DY77+DY78+DZ76+DZ77+DZ78+EA76+EA77+EA78+EB76+EB77+EB78&gt;=16,Fixo/30*GH$4+(DY76+DY77+DY78+DZ76+DZ77+DZ78+EA76+EA77+EA78+EB76+EB77-16)*Percapita/30*GH$4))))))</f>
        <v>0</v>
      </c>
      <c r="GI76" s="177">
        <f>IF(C76=4,SUM(EC76+EC77+EC78+EE76+EE77+EE78)*Percapita/30*GI$4+(ED76+ED77+ED78+EF76+EF77+EF78)*Cadeirante/30*GI$4,IF(C76=3,IF(EC79+EE79=10,Fixo/30*GI$4+(EC76+EC77+EC78+EE76+EE77+EE78)*Percapita/30*GI$4+(ED79+EF79)*Cadeirante/30*GI$4,IF(EC79+EE79&lt;=9,(EC79+EE79)*Crechee/30*GI$4)+(ED79+EF79)*Cadeirante/30*GI$4+(EC76+EC77+EC78+EE76+EE77+EE78)*Percapita/30*GI$4)+IF(EC79+EE79&gt;=11,Fixo/30*GI$4+(EC79+EE79-10)*Crechee/30*GI$4,0),IF(C76=2,IF(ED76+ED77+ED78+ED79+EF76+EF77+EF78+EF79=1,Cadeirante/30*GI$4,IF(ED76+ED77+ED78+ED79+EF76+EF77+EF78+EF79=2,Fixo/30*GI$4,IF(ED76+ED77+ED78+ED79+EF76+EF77+EF78+EF79&gt;2,Fixo/30*GI$4+(ED76+ED77+ED78+ED79+EF76+EF77+EF78+EF79-2)*Cadeirante/30*GI$4)))+(EC76+EC77+EC78+EE76+EE77+EE78)*Percapita/30*GI$4+(EC79+EE79)*Crechee/30*GI$4,IF(C76=1,IF(EC76+EC77+EC78+ED76+ED77+ED78+EE76+EE77+EE78+EF76+EF77+EF78&lt;=15,(EC76+EC77+EC78+EE76+EE77+EE78)*Percapita/30*GI$4,IF(EC76+EC77+EC78+ED76+ED77+ED78+EE76+EE77+EE78+EF76+EF77+EF78&gt;=16,Fixo/30*GI$4+(EC76+EC77+EC78+ED76+ED77+ED78+EE76+EE77+EE78+EF76+EF77-16)*Percapita/30*GI$4))))))</f>
        <v>0</v>
      </c>
      <c r="GJ76" s="177">
        <f>IF(C76=4,SUM(EG76+EG77+EG78+EI76+EI77+EI78)*Percapita/30*GJ$4+(EH76+EH77+EH78+EJ76+EJ77+EJ78)*Cadeirante/30*GJ$4,IF(C76=3,IF(EG79+EI79=10,Fixo/30*GJ$4+(EG76+EG77+EG78+EI76+EI77+EI78)*Percapita/30*GJ$4+(EH79+EJ79)*Cadeirante/30*GJ$4,IF(EG79+EI79&lt;=9,(EG79+EI79)*Crechee/30*GJ$4)+(EH79+EJ79)*Cadeirante/30*GJ$4+(EG76+EG77+EG78+EI76+EI77+EI78)*Percapita/30*GJ$4)+IF(EG79+EI79&gt;=11,Fixo/30*GJ$4+(EG79+EI79-10)*Crechee/30*GJ$4,0),IF(C76=2,IF(EH76+EH77+EH78+EH79+EJ76+EJ77+EJ78+EJ79=1,Cadeirante/30*GJ$4,IF(EH76+EH77+EH78+EH79+EJ76+EJ77+EJ78+EJ79=2,Fixo/30*GJ$4,IF(EH76+EH77+EH78+EH79+EJ76+EJ77+EJ78+EJ79&gt;2,Fixo/30*GJ$4+(EH76+EH77+EH78+EH79+EJ76+EJ77+EJ78+EJ79-2)*Cadeirante/30*GJ$4)))+(EG76+EG77+EG78+EI76+EI77+EI78)*Percapita/30*GJ$4+(EG79+EI79)*Crechee/30*GJ$4,IF(C76=1,IF(EG76+EG77+EG78+EH76+EH77+EH78+EI76+EI77+EI78+EJ76+EJ77+EJ78&lt;=15,(EG76+EG77+EG78+EI76+EI77+EI78)*Percapita/30*GJ$4,IF(EG76+EG77+EG78+EH76+EH77+EH78+EI76+EI77+EI78+EJ76+EJ77+EJ78&gt;=16,Fixo/30*GJ$4+(EG76+EG77+EG78+EH76+EH77+EH78+EI76+EI77+EI78+EJ76+EJ77-16)*Percapita/30*GJ$4))))))</f>
        <v>0</v>
      </c>
      <c r="GK76" s="178"/>
      <c r="GL76" s="103">
        <f t="shared" si="102"/>
        <v>0</v>
      </c>
      <c r="GM76" s="124"/>
      <c r="GN76" s="104">
        <f>SUMIF(V76:V79,"&lt;0")*Cadeirante/30*GN$4+SUMIF(X76:X79,"&lt;0")*Cadeirante/30*GN$4</f>
        <v>0</v>
      </c>
      <c r="GO76" s="104">
        <f>SUMIF(Z76:Z79,"&lt;0")*Cadeirante/30*GO$4+SUMIF(AB76:AB79,"&lt;0")*Cadeirante/30*GO$4</f>
        <v>0</v>
      </c>
      <c r="GP76" s="104">
        <f>SUMIF(AD76:AD79,"&lt;0")*Cadeirante/30*GP$4+SUMIF(AF76:AF79,"&lt;0")*Cadeirante/30*GP$4</f>
        <v>0</v>
      </c>
      <c r="GQ76" s="104">
        <f>SUMIF(AH76:AH79,"&lt;0")*Cadeirante/30*GQ$4+SUMIF(AJ76:AJ79,"&lt;0")*Cadeirante/30*GQ$4</f>
        <v>0</v>
      </c>
      <c r="GR76" s="104">
        <f>SUMIF(AL76:AL79,"&lt;0")*Cadeirante/30*GR$4+SUMIF(AN76:AN79,"&lt;0")*Cadeirante/30*GR$4</f>
        <v>0</v>
      </c>
      <c r="GS76" s="104">
        <f>SUMIF(AP76:AP79,"&lt;0")*Cadeirante/30*GS$4+SUMIF(AR76:AR79,"&lt;0")*Cadeirante/30*GS$4</f>
        <v>0</v>
      </c>
      <c r="GT76" s="104">
        <f>SUMIF(AT76:AT79,"&lt;0")*Cadeirante/30*GT$4+SUMIF(AV76:AV79,"&lt;0")*Cadeirante/30*GT$4</f>
        <v>0</v>
      </c>
      <c r="GU76" s="104">
        <f>SUMIF(AX76:AX79,"&lt;0")*Cadeirante/30*GU$4+SUMIF(AZ76:AZ79,"&lt;0")*Cadeirante/30*GU$4</f>
        <v>0</v>
      </c>
      <c r="GV76" s="104">
        <f>SUMIF(BB76:BB79,"&lt;0")*Cadeirante/30*GV$4+SUMIF(BD76:BD79,"&lt;0")*Cadeirante/30*GV$4</f>
        <v>0</v>
      </c>
      <c r="GW76" s="104">
        <f>SUMIF(BF76:BF79,"&lt;0")*Cadeirante/30*GW$4+SUMIF(BH76:BH79,"&lt;0")*Cadeirante/30*GW$4</f>
        <v>0</v>
      </c>
      <c r="GX76" s="104">
        <f>SUMIF(BJ76:BJ79,"&lt;0")*Cadeirante/30*GX$4+SUMIF(BL76:BL79,"&lt;0")*Cadeirante/30*GX$4</f>
        <v>0</v>
      </c>
      <c r="GY76" s="104">
        <f>SUMIF(BN76:BN79,"&lt;0")*Cadeirante/30*GY$4+SUMIF(BP76:BP79,"&lt;0")*Cadeirante/30*GY$4</f>
        <v>0</v>
      </c>
      <c r="GZ76" s="104">
        <f>SUMIF(BR76:BR79,"&lt;0")*Cadeirante/30*GZ$4+SUMIF(BT76:BT79,"&lt;0")*Cadeirante/30*GZ$4</f>
        <v>0</v>
      </c>
      <c r="HA76" s="104">
        <f>SUMIF(BV76:BV79,"&lt;0")*Cadeirante/30*HA$4+SUMIF(BX76:BX79,"&lt;0")*Cadeirante/30*HA$4</f>
        <v>0</v>
      </c>
      <c r="HB76" s="104">
        <f>SUMIF(BZ76:BZ79,"&lt;0")*Cadeirante/30*HB$4+SUMIF(CB76:CB79,"&lt;0")*Cadeirante/30*HB$4</f>
        <v>0</v>
      </c>
      <c r="HC76" s="104">
        <f>SUMIF(CD76:CD79,"&lt;0")*Cadeirante/30*HC$4+SUMIF(CF76:CF79,"&lt;0")*Cadeirante/30*HC$4</f>
        <v>0</v>
      </c>
      <c r="HD76" s="104">
        <f>SUMIF(CH76:CH79,"&lt;0")*Cadeirante/30*HD$4+SUMIF(CJ76:CJ79,"&lt;0")*Cadeirante/30*HD$4</f>
        <v>0</v>
      </c>
      <c r="HE76" s="104">
        <f>SUMIF(CL76:CL79,"&lt;0")*Cadeirante/30*HE$4+SUMIF(CN76:CN79,"&lt;0")*Cadeirante/30*HE$4</f>
        <v>0</v>
      </c>
      <c r="HF76" s="104">
        <f>SUMIF(CP76:CP79,"&lt;0")*Cadeirante/30*HF$4+SUMIF(CR76:CR79,"&lt;0")*Cadeirante/30*HF$4</f>
        <v>0</v>
      </c>
      <c r="HG76" s="104">
        <f>SUMIF(CT76:CT79,"&lt;0")*Cadeirante/30*HG$4+SUMIF(CV76:CV79,"&lt;0")*Cadeirante/30*HG$4</f>
        <v>0</v>
      </c>
      <c r="HH76" s="104">
        <f>SUMIF(CX76:CX79,"&lt;0")*Cadeirante/30*HH$4+SUMIF(CZ76:CZ79,"&lt;0")*Cadeirante/30*HH$4</f>
        <v>0</v>
      </c>
      <c r="HI76" s="104">
        <f>SUMIF(DB76:DB79,"&lt;0")*Cadeirante/30*HI$4+SUMIF(DD76:DD79,"&lt;0")*Cadeirante/30*HI$4</f>
        <v>0</v>
      </c>
      <c r="HJ76" s="104">
        <f>SUMIF(DF76:DF79,"&lt;0")*Cadeirante/30*HJ$4+SUMIF(DH76:DH79,"&lt;0")*Cadeirante/30*HJ$4</f>
        <v>0</v>
      </c>
      <c r="HK76" s="104">
        <f>SUMIF(DJ76:DJ79,"&lt;0")*Cadeirante/30*HK$4+SUMIF(DL76:DL79,"&lt;0")*Cadeirante/30*HK$4</f>
        <v>0</v>
      </c>
      <c r="HL76" s="104">
        <f>SUMIF(DN76:DN79,"&lt;0")*Cadeirante/30*HL$4+SUMIF(DP76:DP79,"&lt;0")*Cadeirante/30*HL$4</f>
        <v>0</v>
      </c>
      <c r="HM76" s="104">
        <f>SUMIF(DR76:DR79,"&lt;0")*Cadeirante/30*HM$4+SUMIF(DT76:DT79,"&lt;0")*Cadeirante/30*HM$4</f>
        <v>0</v>
      </c>
      <c r="HN76" s="104">
        <f>SUMIF(DV76:DV79,"&lt;0")*Cadeirante/30*HN$4+SUMIF(DX76:DX79,"&lt;0")*Cadeirante/30*HN$4</f>
        <v>0</v>
      </c>
      <c r="HO76" s="104">
        <f>SUMIF(DZ76:DZ79,"&lt;0")*Cadeirante/30*HO$4+SUMIF(EB76:EB79,"&lt;0")*Cadeirante/30*HO$4</f>
        <v>0</v>
      </c>
      <c r="HP76" s="104">
        <f>SUMIF(ED76:ED79,"&lt;0")*Cadeirante/30*HP$4+SUMIF(EF76:EF79,"&lt;0")*Cadeirante/30*HP$4</f>
        <v>0</v>
      </c>
      <c r="HQ76" s="64"/>
      <c r="HR76" s="64"/>
      <c r="HS76" s="64"/>
      <c r="HT76" s="64"/>
      <c r="HU76" s="64"/>
      <c r="HV76" s="64"/>
      <c r="HW76" s="176">
        <v>17629.309999999998</v>
      </c>
      <c r="HX76" s="64"/>
      <c r="HY76" s="280">
        <f>IF(ISTEXT(EM76), VALUE(EM76), EM76)</f>
        <v>0</v>
      </c>
      <c r="HZ76" s="280">
        <f>IF(ISTEXT(EN76), VALUE(EN76), EN76)</f>
        <v>0</v>
      </c>
      <c r="IA76" s="280">
        <f>IF(ISTEXT(EO76), VALUE(EO76), EO76)</f>
        <v>0</v>
      </c>
      <c r="IB76" s="64" t="b">
        <f>HW76=FE76</f>
        <v>0</v>
      </c>
      <c r="IC76" s="64"/>
    </row>
    <row r="77" spans="1:237" s="106" customFormat="1" ht="22.5" customHeight="1" x14ac:dyDescent="0.25">
      <c r="A77" s="368" t="s">
        <v>3246</v>
      </c>
      <c r="B77" s="369" t="s">
        <v>3247</v>
      </c>
      <c r="C77" s="370" t="s">
        <v>3186</v>
      </c>
      <c r="D77" s="371" t="s">
        <v>3248</v>
      </c>
      <c r="E77" s="371" t="s">
        <v>3249</v>
      </c>
      <c r="F77" s="372" t="s">
        <v>3182</v>
      </c>
      <c r="G77" s="372" t="s">
        <v>3183</v>
      </c>
      <c r="H77" s="373" t="s">
        <v>352</v>
      </c>
      <c r="I77" s="374" t="s">
        <v>352</v>
      </c>
      <c r="J77" s="421" t="s">
        <v>3184</v>
      </c>
      <c r="K77" s="421" t="s">
        <v>3187</v>
      </c>
      <c r="L77" s="329">
        <f>CONTINUA!BV77</f>
        <v>36</v>
      </c>
      <c r="M77" s="329">
        <f>CONTINUA!BW77</f>
        <v>0</v>
      </c>
      <c r="N77" s="895"/>
      <c r="O77" s="896" t="s">
        <v>3288</v>
      </c>
      <c r="P77" s="897">
        <v>0</v>
      </c>
      <c r="Q77" s="400">
        <v>40</v>
      </c>
      <c r="R77" s="401"/>
      <c r="S77" s="400"/>
      <c r="T77" s="401"/>
      <c r="U77" s="400"/>
      <c r="V77" s="401"/>
      <c r="W77" s="400"/>
      <c r="X77" s="401"/>
      <c r="Y77" s="400"/>
      <c r="Z77" s="401"/>
      <c r="AA77" s="400"/>
      <c r="AB77" s="401"/>
      <c r="AC77" s="400"/>
      <c r="AD77" s="401"/>
      <c r="AE77" s="400"/>
      <c r="AF77" s="401"/>
      <c r="AG77" s="400"/>
      <c r="AH77" s="401"/>
      <c r="AI77" s="400"/>
      <c r="AJ77" s="401"/>
      <c r="AK77" s="400"/>
      <c r="AL77" s="401"/>
      <c r="AM77" s="400"/>
      <c r="AN77" s="401"/>
      <c r="AO77" s="400"/>
      <c r="AP77" s="401"/>
      <c r="AQ77" s="400"/>
      <c r="AR77" s="401"/>
      <c r="AS77" s="400"/>
      <c r="AT77" s="401"/>
      <c r="AU77" s="400"/>
      <c r="AV77" s="401"/>
      <c r="AW77" s="400"/>
      <c r="AX77" s="401"/>
      <c r="AY77" s="400"/>
      <c r="AZ77" s="401"/>
      <c r="BA77" s="400"/>
      <c r="BB77" s="401"/>
      <c r="BC77" s="400"/>
      <c r="BD77" s="401"/>
      <c r="BE77" s="400"/>
      <c r="BF77" s="401"/>
      <c r="BG77" s="400"/>
      <c r="BH77" s="401"/>
      <c r="BI77" s="400"/>
      <c r="BJ77" s="401"/>
      <c r="BK77" s="400"/>
      <c r="BL77" s="401"/>
      <c r="BM77" s="400"/>
      <c r="BN77" s="401"/>
      <c r="BO77" s="400"/>
      <c r="BP77" s="401"/>
      <c r="BQ77" s="400"/>
      <c r="BR77" s="401"/>
      <c r="BS77" s="400"/>
      <c r="BT77" s="401"/>
      <c r="BU77" s="400"/>
      <c r="BV77" s="401"/>
      <c r="BW77" s="400"/>
      <c r="BX77" s="401"/>
      <c r="BY77" s="400"/>
      <c r="BZ77" s="401"/>
      <c r="CA77" s="400"/>
      <c r="CB77" s="401"/>
      <c r="CC77" s="400"/>
      <c r="CD77" s="401"/>
      <c r="CE77" s="400"/>
      <c r="CF77" s="401"/>
      <c r="CG77" s="400"/>
      <c r="CH77" s="401"/>
      <c r="CI77" s="400"/>
      <c r="CJ77" s="401"/>
      <c r="CK77" s="400"/>
      <c r="CL77" s="401"/>
      <c r="CM77" s="400"/>
      <c r="CN77" s="401"/>
      <c r="CO77" s="400"/>
      <c r="CP77" s="401"/>
      <c r="CQ77" s="400"/>
      <c r="CR77" s="401"/>
      <c r="CS77" s="400"/>
      <c r="CT77" s="401"/>
      <c r="CU77" s="400"/>
      <c r="CV77" s="401"/>
      <c r="CW77" s="400"/>
      <c r="CX77" s="401"/>
      <c r="CY77" s="400"/>
      <c r="CZ77" s="401"/>
      <c r="DA77" s="400"/>
      <c r="DB77" s="401"/>
      <c r="DC77" s="400"/>
      <c r="DD77" s="401"/>
      <c r="DE77" s="400"/>
      <c r="DF77" s="401"/>
      <c r="DG77" s="400"/>
      <c r="DH77" s="401"/>
      <c r="DI77" s="400"/>
      <c r="DJ77" s="401"/>
      <c r="DK77" s="400"/>
      <c r="DL77" s="401"/>
      <c r="DM77" s="400"/>
      <c r="DN77" s="401"/>
      <c r="DO77" s="400"/>
      <c r="DP77" s="401"/>
      <c r="DQ77" s="400"/>
      <c r="DR77" s="401"/>
      <c r="DS77" s="400"/>
      <c r="DT77" s="401"/>
      <c r="DU77" s="400"/>
      <c r="DV77" s="401"/>
      <c r="DW77" s="400"/>
      <c r="DX77" s="401"/>
      <c r="DY77" s="400"/>
      <c r="DZ77" s="401"/>
      <c r="EA77" s="400"/>
      <c r="EB77" s="401"/>
      <c r="EC77" s="400"/>
      <c r="ED77" s="401"/>
      <c r="EE77" s="400"/>
      <c r="EF77" s="401"/>
      <c r="EG77" s="400"/>
      <c r="EH77" s="401"/>
      <c r="EI77" s="400"/>
      <c r="EJ77" s="447"/>
      <c r="EK77" s="511"/>
      <c r="EL77" s="514"/>
      <c r="EM77" s="448"/>
      <c r="EN77" s="344"/>
      <c r="EO77" s="345"/>
      <c r="EP77" s="171">
        <f t="shared" si="95"/>
        <v>40</v>
      </c>
      <c r="EQ77" s="171">
        <f t="shared" si="96"/>
        <v>0</v>
      </c>
      <c r="ER77" s="171">
        <f t="shared" si="97"/>
        <v>0</v>
      </c>
      <c r="ES77" s="171">
        <f t="shared" si="98"/>
        <v>0</v>
      </c>
      <c r="ET77" s="171">
        <f t="shared" si="99"/>
        <v>0</v>
      </c>
      <c r="EU77" s="171">
        <f t="shared" si="100"/>
        <v>0</v>
      </c>
      <c r="EV77" s="172">
        <f t="shared" si="101"/>
        <v>40</v>
      </c>
      <c r="EW77" s="173"/>
      <c r="EX77" s="248">
        <f t="shared" si="103"/>
        <v>0</v>
      </c>
      <c r="EY77" s="174">
        <f>(L77*regular)+(M77*Cadeirantee)</f>
        <v>347.04</v>
      </c>
      <c r="EZ77" s="249">
        <f>SUMIF(FG77:GJ77,"&gt;0")</f>
        <v>0</v>
      </c>
      <c r="FA77" s="249">
        <f>SUMIF(FG77:GJ77,"&lt;0")+SUMIF(GN77:HP77,"&lt;0")</f>
        <v>0</v>
      </c>
      <c r="FB77" s="174">
        <v>0</v>
      </c>
      <c r="FC77" s="126">
        <f>N77*km*'VALORES TABELA'!$B$13</f>
        <v>0</v>
      </c>
      <c r="FD77" s="250">
        <f t="shared" ref="FD77:FD80" si="104">GL77</f>
        <v>0</v>
      </c>
      <c r="FE77" s="105"/>
      <c r="FF77" s="119"/>
      <c r="FG77" s="119"/>
      <c r="FH77" s="119"/>
      <c r="FI77" s="119"/>
      <c r="FJ77" s="119"/>
      <c r="FK77" s="119"/>
      <c r="FL77" s="119"/>
      <c r="FM77" s="119"/>
      <c r="FN77" s="119"/>
      <c r="FO77" s="119"/>
      <c r="FP77" s="119"/>
      <c r="FQ77" s="119"/>
      <c r="FR77" s="119"/>
      <c r="FS77" s="119"/>
      <c r="FT77" s="119"/>
      <c r="FU77" s="119"/>
      <c r="FV77" s="119"/>
      <c r="FW77" s="119"/>
      <c r="FX77" s="119"/>
      <c r="FY77" s="119"/>
      <c r="FZ77" s="119"/>
      <c r="GA77" s="119"/>
      <c r="GB77" s="119"/>
      <c r="GC77" s="119"/>
      <c r="GD77" s="119"/>
      <c r="GE77" s="119"/>
      <c r="GF77" s="119"/>
      <c r="GG77" s="119"/>
      <c r="GH77" s="119"/>
      <c r="GI77" s="119"/>
      <c r="GJ77" s="119"/>
      <c r="GK77" s="251"/>
      <c r="GL77" s="103">
        <f t="shared" si="102"/>
        <v>0</v>
      </c>
      <c r="GM77" s="124"/>
      <c r="GN77" s="104"/>
      <c r="GO77" s="104"/>
      <c r="GP77" s="104"/>
      <c r="GQ77" s="104"/>
      <c r="GR77" s="104"/>
      <c r="GS77" s="104"/>
      <c r="GT77" s="104"/>
      <c r="GU77" s="104"/>
      <c r="GV77" s="104"/>
      <c r="GW77" s="104"/>
      <c r="GX77" s="104"/>
      <c r="GY77" s="104"/>
      <c r="GZ77" s="104"/>
      <c r="HA77" s="104"/>
      <c r="HB77" s="104"/>
      <c r="HC77" s="104"/>
      <c r="HD77" s="104"/>
      <c r="HE77" s="104"/>
      <c r="HF77" s="104"/>
      <c r="HG77" s="104"/>
      <c r="HH77" s="104"/>
      <c r="HI77" s="104"/>
      <c r="HJ77" s="104"/>
      <c r="HK77" s="104"/>
      <c r="HL77" s="104"/>
      <c r="HM77" s="104"/>
      <c r="HN77" s="104"/>
      <c r="HO77" s="104"/>
      <c r="HP77" s="104"/>
      <c r="HQ77" s="64"/>
      <c r="HR77" s="64"/>
      <c r="HS77" s="64"/>
      <c r="HT77" s="64"/>
      <c r="HU77" s="64"/>
      <c r="HV77" s="64"/>
      <c r="HW77" s="105"/>
      <c r="HX77" s="64"/>
      <c r="HY77" s="280">
        <f t="shared" ref="HY77:HY80" si="105">IF(ISTEXT(EM77), VALUE(EM77), EM77)</f>
        <v>0</v>
      </c>
      <c r="HZ77" s="280">
        <f t="shared" ref="HZ77:HZ80" si="106">IF(ISTEXT(EN77), VALUE(EN77), EN77)</f>
        <v>0</v>
      </c>
      <c r="IA77" s="280">
        <f t="shared" ref="IA77:IA80" si="107">IF(ISTEXT(EO77), VALUE(EO77), EO77)</f>
        <v>0</v>
      </c>
      <c r="IB77" s="64"/>
      <c r="IC77" s="64"/>
    </row>
    <row r="78" spans="1:237" s="106" customFormat="1" ht="22.5" customHeight="1" x14ac:dyDescent="0.25">
      <c r="A78" s="368" t="s">
        <v>3246</v>
      </c>
      <c r="B78" s="369" t="s">
        <v>3247</v>
      </c>
      <c r="C78" s="375" t="s">
        <v>3186</v>
      </c>
      <c r="D78" s="371" t="s">
        <v>3248</v>
      </c>
      <c r="E78" s="371" t="s">
        <v>3249</v>
      </c>
      <c r="F78" s="376" t="s">
        <v>3182</v>
      </c>
      <c r="G78" s="376" t="s">
        <v>3183</v>
      </c>
      <c r="H78" s="373" t="s">
        <v>352</v>
      </c>
      <c r="I78" s="374" t="s">
        <v>352</v>
      </c>
      <c r="J78" s="421" t="s">
        <v>3184</v>
      </c>
      <c r="K78" s="422" t="s">
        <v>3188</v>
      </c>
      <c r="L78" s="329">
        <f>CONTINUA!BV78</f>
        <v>0</v>
      </c>
      <c r="M78" s="329">
        <f>CONTINUA!BW78</f>
        <v>0</v>
      </c>
      <c r="N78" s="895"/>
      <c r="O78" s="896" t="s">
        <v>3288</v>
      </c>
      <c r="P78" s="897">
        <v>0</v>
      </c>
      <c r="Q78" s="400"/>
      <c r="R78" s="401"/>
      <c r="S78" s="400"/>
      <c r="T78" s="401"/>
      <c r="U78" s="400"/>
      <c r="V78" s="401"/>
      <c r="W78" s="400"/>
      <c r="X78" s="401"/>
      <c r="Y78" s="400"/>
      <c r="Z78" s="401"/>
      <c r="AA78" s="400"/>
      <c r="AB78" s="401"/>
      <c r="AC78" s="400"/>
      <c r="AD78" s="401"/>
      <c r="AE78" s="400"/>
      <c r="AF78" s="401"/>
      <c r="AG78" s="400"/>
      <c r="AH78" s="401"/>
      <c r="AI78" s="400"/>
      <c r="AJ78" s="401"/>
      <c r="AK78" s="400"/>
      <c r="AL78" s="401"/>
      <c r="AM78" s="400"/>
      <c r="AN78" s="401"/>
      <c r="AO78" s="400"/>
      <c r="AP78" s="401"/>
      <c r="AQ78" s="400"/>
      <c r="AR78" s="401"/>
      <c r="AS78" s="400"/>
      <c r="AT78" s="401"/>
      <c r="AU78" s="400"/>
      <c r="AV78" s="401"/>
      <c r="AW78" s="400"/>
      <c r="AX78" s="401"/>
      <c r="AY78" s="400"/>
      <c r="AZ78" s="401"/>
      <c r="BA78" s="400"/>
      <c r="BB78" s="401"/>
      <c r="BC78" s="400"/>
      <c r="BD78" s="401"/>
      <c r="BE78" s="400"/>
      <c r="BF78" s="401"/>
      <c r="BG78" s="400"/>
      <c r="BH78" s="401"/>
      <c r="BI78" s="400"/>
      <c r="BJ78" s="401"/>
      <c r="BK78" s="400"/>
      <c r="BL78" s="401"/>
      <c r="BM78" s="400"/>
      <c r="BN78" s="401"/>
      <c r="BO78" s="400"/>
      <c r="BP78" s="401"/>
      <c r="BQ78" s="400"/>
      <c r="BR78" s="401"/>
      <c r="BS78" s="400"/>
      <c r="BT78" s="401"/>
      <c r="BU78" s="400"/>
      <c r="BV78" s="401"/>
      <c r="BW78" s="400"/>
      <c r="BX78" s="401"/>
      <c r="BY78" s="400"/>
      <c r="BZ78" s="401"/>
      <c r="CA78" s="400"/>
      <c r="CB78" s="401"/>
      <c r="CC78" s="400"/>
      <c r="CD78" s="401"/>
      <c r="CE78" s="400"/>
      <c r="CF78" s="401"/>
      <c r="CG78" s="400"/>
      <c r="CH78" s="401"/>
      <c r="CI78" s="400"/>
      <c r="CJ78" s="401"/>
      <c r="CK78" s="400"/>
      <c r="CL78" s="401"/>
      <c r="CM78" s="400"/>
      <c r="CN78" s="401"/>
      <c r="CO78" s="400"/>
      <c r="CP78" s="401"/>
      <c r="CQ78" s="400"/>
      <c r="CR78" s="401"/>
      <c r="CS78" s="400"/>
      <c r="CT78" s="401"/>
      <c r="CU78" s="400"/>
      <c r="CV78" s="401"/>
      <c r="CW78" s="400"/>
      <c r="CX78" s="401"/>
      <c r="CY78" s="400"/>
      <c r="CZ78" s="401"/>
      <c r="DA78" s="400"/>
      <c r="DB78" s="401"/>
      <c r="DC78" s="400"/>
      <c r="DD78" s="401"/>
      <c r="DE78" s="400"/>
      <c r="DF78" s="401"/>
      <c r="DG78" s="400"/>
      <c r="DH78" s="401"/>
      <c r="DI78" s="400"/>
      <c r="DJ78" s="401"/>
      <c r="DK78" s="400"/>
      <c r="DL78" s="401"/>
      <c r="DM78" s="400"/>
      <c r="DN78" s="401"/>
      <c r="DO78" s="400"/>
      <c r="DP78" s="401"/>
      <c r="DQ78" s="400"/>
      <c r="DR78" s="401"/>
      <c r="DS78" s="400"/>
      <c r="DT78" s="401"/>
      <c r="DU78" s="400"/>
      <c r="DV78" s="401"/>
      <c r="DW78" s="400"/>
      <c r="DX78" s="401"/>
      <c r="DY78" s="400"/>
      <c r="DZ78" s="401"/>
      <c r="EA78" s="400"/>
      <c r="EB78" s="401"/>
      <c r="EC78" s="400"/>
      <c r="ED78" s="401"/>
      <c r="EE78" s="400"/>
      <c r="EF78" s="401"/>
      <c r="EG78" s="400"/>
      <c r="EH78" s="401"/>
      <c r="EI78" s="400"/>
      <c r="EJ78" s="447"/>
      <c r="EK78" s="511"/>
      <c r="EL78" s="514"/>
      <c r="EM78" s="448"/>
      <c r="EN78" s="344"/>
      <c r="EO78" s="345"/>
      <c r="EP78" s="171">
        <f t="shared" si="95"/>
        <v>0</v>
      </c>
      <c r="EQ78" s="171">
        <f t="shared" si="96"/>
        <v>0</v>
      </c>
      <c r="ER78" s="171">
        <f t="shared" si="97"/>
        <v>0</v>
      </c>
      <c r="ES78" s="171">
        <f t="shared" si="98"/>
        <v>0</v>
      </c>
      <c r="ET78" s="171">
        <f t="shared" si="99"/>
        <v>0</v>
      </c>
      <c r="EU78" s="171">
        <f t="shared" si="100"/>
        <v>0</v>
      </c>
      <c r="EV78" s="172">
        <f t="shared" si="101"/>
        <v>0</v>
      </c>
      <c r="EW78" s="125"/>
      <c r="EX78" s="248">
        <f t="shared" si="103"/>
        <v>0</v>
      </c>
      <c r="EY78" s="174">
        <f>(L78*regular)+(M78*Cadeirantee)</f>
        <v>0</v>
      </c>
      <c r="EZ78" s="249">
        <f>SUMIF(FG78:GJ78,"&gt;0")</f>
        <v>0</v>
      </c>
      <c r="FA78" s="249">
        <f>SUMIF(FG78:GJ78,"&lt;0")+SUMIF(GN78:HP78,"&lt;0")</f>
        <v>0</v>
      </c>
      <c r="FB78" s="174">
        <v>0</v>
      </c>
      <c r="FC78" s="126">
        <f>N78*km*'VALORES TABELA'!$B$13</f>
        <v>0</v>
      </c>
      <c r="FD78" s="250">
        <f t="shared" si="104"/>
        <v>0</v>
      </c>
      <c r="FE78" s="105"/>
      <c r="FF78" s="108"/>
      <c r="FG78" s="108"/>
      <c r="FH78" s="108"/>
      <c r="FI78" s="108"/>
      <c r="FJ78" s="108"/>
      <c r="FK78" s="108"/>
      <c r="FL78" s="108"/>
      <c r="FM78" s="108"/>
      <c r="FN78" s="108"/>
      <c r="FO78" s="108"/>
      <c r="FP78" s="108"/>
      <c r="FQ78" s="108"/>
      <c r="FR78" s="108"/>
      <c r="FS78" s="108"/>
      <c r="FT78" s="108"/>
      <c r="FU78" s="108"/>
      <c r="FV78" s="108"/>
      <c r="FW78" s="108"/>
      <c r="FX78" s="108"/>
      <c r="FY78" s="108"/>
      <c r="FZ78" s="108"/>
      <c r="GA78" s="108"/>
      <c r="GB78" s="108"/>
      <c r="GC78" s="108"/>
      <c r="GD78" s="108"/>
      <c r="GE78" s="108"/>
      <c r="GF78" s="108"/>
      <c r="GG78" s="108"/>
      <c r="GH78" s="108"/>
      <c r="GI78" s="108"/>
      <c r="GJ78" s="108"/>
      <c r="GK78" s="251"/>
      <c r="GL78" s="103">
        <f t="shared" si="102"/>
        <v>0</v>
      </c>
      <c r="GM78" s="124"/>
      <c r="GN78" s="104"/>
      <c r="GO78" s="104"/>
      <c r="GP78" s="104"/>
      <c r="GQ78" s="104"/>
      <c r="GR78" s="104"/>
      <c r="GS78" s="104"/>
      <c r="GT78" s="104"/>
      <c r="GU78" s="104"/>
      <c r="GV78" s="104"/>
      <c r="GW78" s="104"/>
      <c r="GX78" s="104"/>
      <c r="GY78" s="104"/>
      <c r="GZ78" s="104"/>
      <c r="HA78" s="104"/>
      <c r="HB78" s="104"/>
      <c r="HC78" s="104"/>
      <c r="HD78" s="104"/>
      <c r="HE78" s="104"/>
      <c r="HF78" s="104"/>
      <c r="HG78" s="104"/>
      <c r="HH78" s="104"/>
      <c r="HI78" s="104"/>
      <c r="HJ78" s="104"/>
      <c r="HK78" s="104"/>
      <c r="HL78" s="104"/>
      <c r="HM78" s="104"/>
      <c r="HN78" s="104"/>
      <c r="HO78" s="104"/>
      <c r="HP78" s="104"/>
      <c r="HQ78" s="64"/>
      <c r="HR78" s="64"/>
      <c r="HS78" s="64"/>
      <c r="HT78" s="64"/>
      <c r="HU78" s="64"/>
      <c r="HV78" s="64"/>
      <c r="HW78" s="105"/>
      <c r="HX78" s="64"/>
      <c r="HY78" s="280">
        <f t="shared" si="105"/>
        <v>0</v>
      </c>
      <c r="HZ78" s="280">
        <f t="shared" si="106"/>
        <v>0</v>
      </c>
      <c r="IA78" s="280">
        <f t="shared" si="107"/>
        <v>0</v>
      </c>
      <c r="IB78" s="64"/>
      <c r="IC78" s="64"/>
    </row>
    <row r="79" spans="1:237" s="106" customFormat="1" ht="22.5" customHeight="1" x14ac:dyDescent="0.25">
      <c r="A79" s="368" t="s">
        <v>3246</v>
      </c>
      <c r="B79" s="369" t="s">
        <v>3247</v>
      </c>
      <c r="C79" s="375" t="s">
        <v>3186</v>
      </c>
      <c r="D79" s="371" t="s">
        <v>3248</v>
      </c>
      <c r="E79" s="371" t="s">
        <v>3249</v>
      </c>
      <c r="F79" s="376" t="s">
        <v>3182</v>
      </c>
      <c r="G79" s="376" t="s">
        <v>3183</v>
      </c>
      <c r="H79" s="373" t="s">
        <v>352</v>
      </c>
      <c r="I79" s="374" t="s">
        <v>352</v>
      </c>
      <c r="J79" s="421" t="s">
        <v>3184</v>
      </c>
      <c r="K79" s="423" t="s">
        <v>3189</v>
      </c>
      <c r="L79" s="329">
        <f>CONTINUA!BV79</f>
        <v>0</v>
      </c>
      <c r="M79" s="329">
        <f>CONTINUA!BW79</f>
        <v>0</v>
      </c>
      <c r="N79" s="895"/>
      <c r="O79" s="896" t="s">
        <v>3288</v>
      </c>
      <c r="P79" s="897">
        <v>0</v>
      </c>
      <c r="Q79" s="400"/>
      <c r="R79" s="401"/>
      <c r="S79" s="400"/>
      <c r="T79" s="401"/>
      <c r="U79" s="400"/>
      <c r="V79" s="401"/>
      <c r="W79" s="400"/>
      <c r="X79" s="401"/>
      <c r="Y79" s="400"/>
      <c r="Z79" s="401"/>
      <c r="AA79" s="400"/>
      <c r="AB79" s="401"/>
      <c r="AC79" s="400"/>
      <c r="AD79" s="401"/>
      <c r="AE79" s="400"/>
      <c r="AF79" s="401"/>
      <c r="AG79" s="400"/>
      <c r="AH79" s="401"/>
      <c r="AI79" s="400"/>
      <c r="AJ79" s="401"/>
      <c r="AK79" s="400"/>
      <c r="AL79" s="401"/>
      <c r="AM79" s="400"/>
      <c r="AN79" s="401"/>
      <c r="AO79" s="400"/>
      <c r="AP79" s="401"/>
      <c r="AQ79" s="400"/>
      <c r="AR79" s="401"/>
      <c r="AS79" s="400"/>
      <c r="AT79" s="401"/>
      <c r="AU79" s="400"/>
      <c r="AV79" s="401"/>
      <c r="AW79" s="400"/>
      <c r="AX79" s="401"/>
      <c r="AY79" s="400"/>
      <c r="AZ79" s="401"/>
      <c r="BA79" s="400"/>
      <c r="BB79" s="401"/>
      <c r="BC79" s="400"/>
      <c r="BD79" s="401"/>
      <c r="BE79" s="400"/>
      <c r="BF79" s="401"/>
      <c r="BG79" s="400"/>
      <c r="BH79" s="401"/>
      <c r="BI79" s="400"/>
      <c r="BJ79" s="401"/>
      <c r="BK79" s="400"/>
      <c r="BL79" s="401"/>
      <c r="BM79" s="400"/>
      <c r="BN79" s="401"/>
      <c r="BO79" s="400"/>
      <c r="BP79" s="401"/>
      <c r="BQ79" s="400"/>
      <c r="BR79" s="401"/>
      <c r="BS79" s="400"/>
      <c r="BT79" s="401"/>
      <c r="BU79" s="400"/>
      <c r="BV79" s="401"/>
      <c r="BW79" s="400"/>
      <c r="BX79" s="401"/>
      <c r="BY79" s="400"/>
      <c r="BZ79" s="401"/>
      <c r="CA79" s="400"/>
      <c r="CB79" s="401"/>
      <c r="CC79" s="400"/>
      <c r="CD79" s="401"/>
      <c r="CE79" s="400"/>
      <c r="CF79" s="401"/>
      <c r="CG79" s="400"/>
      <c r="CH79" s="401"/>
      <c r="CI79" s="400"/>
      <c r="CJ79" s="401"/>
      <c r="CK79" s="400"/>
      <c r="CL79" s="401"/>
      <c r="CM79" s="400"/>
      <c r="CN79" s="401"/>
      <c r="CO79" s="400"/>
      <c r="CP79" s="401"/>
      <c r="CQ79" s="400"/>
      <c r="CR79" s="401"/>
      <c r="CS79" s="400"/>
      <c r="CT79" s="401"/>
      <c r="CU79" s="400"/>
      <c r="CV79" s="401"/>
      <c r="CW79" s="400"/>
      <c r="CX79" s="401"/>
      <c r="CY79" s="400"/>
      <c r="CZ79" s="401"/>
      <c r="DA79" s="400"/>
      <c r="DB79" s="401"/>
      <c r="DC79" s="400"/>
      <c r="DD79" s="401"/>
      <c r="DE79" s="400"/>
      <c r="DF79" s="401"/>
      <c r="DG79" s="400"/>
      <c r="DH79" s="401"/>
      <c r="DI79" s="400"/>
      <c r="DJ79" s="401"/>
      <c r="DK79" s="400"/>
      <c r="DL79" s="401"/>
      <c r="DM79" s="400"/>
      <c r="DN79" s="401"/>
      <c r="DO79" s="400"/>
      <c r="DP79" s="401"/>
      <c r="DQ79" s="400"/>
      <c r="DR79" s="401"/>
      <c r="DS79" s="400"/>
      <c r="DT79" s="401"/>
      <c r="DU79" s="400"/>
      <c r="DV79" s="401"/>
      <c r="DW79" s="400"/>
      <c r="DX79" s="401"/>
      <c r="DY79" s="400"/>
      <c r="DZ79" s="401"/>
      <c r="EA79" s="400"/>
      <c r="EB79" s="401"/>
      <c r="EC79" s="400"/>
      <c r="ED79" s="401"/>
      <c r="EE79" s="400"/>
      <c r="EF79" s="401"/>
      <c r="EG79" s="400"/>
      <c r="EH79" s="401"/>
      <c r="EI79" s="400"/>
      <c r="EJ79" s="447"/>
      <c r="EK79" s="511"/>
      <c r="EL79" s="514"/>
      <c r="EM79" s="448"/>
      <c r="EN79" s="344"/>
      <c r="EO79" s="345"/>
      <c r="EP79" s="171">
        <f t="shared" si="95"/>
        <v>0</v>
      </c>
      <c r="EQ79" s="171">
        <f t="shared" si="96"/>
        <v>0</v>
      </c>
      <c r="ER79" s="171">
        <f t="shared" si="97"/>
        <v>0</v>
      </c>
      <c r="ES79" s="171">
        <f t="shared" si="98"/>
        <v>0</v>
      </c>
      <c r="ET79" s="171">
        <f t="shared" si="99"/>
        <v>0</v>
      </c>
      <c r="EU79" s="171">
        <f t="shared" si="100"/>
        <v>0</v>
      </c>
      <c r="EV79" s="172">
        <f t="shared" si="101"/>
        <v>0</v>
      </c>
      <c r="EW79" s="127"/>
      <c r="EX79" s="248">
        <f t="shared" si="103"/>
        <v>0</v>
      </c>
      <c r="EY79" s="174">
        <f>(L79*regular)+(M79*Cadeirantee)</f>
        <v>0</v>
      </c>
      <c r="EZ79" s="249">
        <f>SUMIF(FG79:GJ79,"&gt;0")</f>
        <v>0</v>
      </c>
      <c r="FA79" s="249">
        <f>SUMIF(FG79:GJ79,"&lt;0")+SUMIF(GN79:HP79,"&lt;0")</f>
        <v>0</v>
      </c>
      <c r="FB79" s="174">
        <v>0</v>
      </c>
      <c r="FC79" s="126">
        <f>N79*km*'VALORES TABELA'!$B$13</f>
        <v>0</v>
      </c>
      <c r="FD79" s="250">
        <f t="shared" si="104"/>
        <v>0</v>
      </c>
      <c r="FE79" s="105"/>
      <c r="FF79" s="118"/>
      <c r="FG79" s="118"/>
      <c r="FH79" s="118"/>
      <c r="FI79" s="118"/>
      <c r="FJ79" s="118"/>
      <c r="FK79" s="118"/>
      <c r="FL79" s="118"/>
      <c r="FM79" s="118"/>
      <c r="FN79" s="118"/>
      <c r="FO79" s="118"/>
      <c r="FP79" s="118"/>
      <c r="FQ79" s="118"/>
      <c r="FR79" s="118"/>
      <c r="FS79" s="118"/>
      <c r="FT79" s="118"/>
      <c r="FU79" s="118"/>
      <c r="FV79" s="118"/>
      <c r="FW79" s="118"/>
      <c r="FX79" s="118"/>
      <c r="FY79" s="118"/>
      <c r="FZ79" s="118"/>
      <c r="GA79" s="118"/>
      <c r="GB79" s="118"/>
      <c r="GC79" s="118"/>
      <c r="GD79" s="118"/>
      <c r="GE79" s="118"/>
      <c r="GF79" s="118"/>
      <c r="GG79" s="118"/>
      <c r="GH79" s="118"/>
      <c r="GI79" s="118"/>
      <c r="GJ79" s="118"/>
      <c r="GK79" s="252"/>
      <c r="GL79" s="103">
        <f t="shared" si="102"/>
        <v>0</v>
      </c>
      <c r="GM79" s="124"/>
      <c r="GN79" s="104"/>
      <c r="GO79" s="104"/>
      <c r="GP79" s="104"/>
      <c r="GQ79" s="104"/>
      <c r="GR79" s="104"/>
      <c r="GS79" s="104"/>
      <c r="GT79" s="104"/>
      <c r="GU79" s="104"/>
      <c r="GV79" s="104"/>
      <c r="GW79" s="104"/>
      <c r="GX79" s="104"/>
      <c r="GY79" s="104"/>
      <c r="GZ79" s="104"/>
      <c r="HA79" s="104"/>
      <c r="HB79" s="104"/>
      <c r="HC79" s="104"/>
      <c r="HD79" s="104"/>
      <c r="HE79" s="104"/>
      <c r="HF79" s="104"/>
      <c r="HG79" s="104"/>
      <c r="HH79" s="104"/>
      <c r="HI79" s="104"/>
      <c r="HJ79" s="104"/>
      <c r="HK79" s="104"/>
      <c r="HL79" s="104"/>
      <c r="HM79" s="104"/>
      <c r="HN79" s="104"/>
      <c r="HO79" s="104"/>
      <c r="HP79" s="104"/>
      <c r="HQ79" s="64"/>
      <c r="HR79" s="65"/>
      <c r="HS79" s="65"/>
      <c r="HT79" s="65"/>
      <c r="HU79" s="65"/>
      <c r="HV79" s="65"/>
      <c r="HW79" s="105"/>
      <c r="HX79" s="65"/>
      <c r="HY79" s="280">
        <f t="shared" si="105"/>
        <v>0</v>
      </c>
      <c r="HZ79" s="280">
        <f t="shared" si="106"/>
        <v>0</v>
      </c>
      <c r="IA79" s="280">
        <f t="shared" si="107"/>
        <v>0</v>
      </c>
      <c r="IB79" s="65"/>
      <c r="IC79" s="65"/>
    </row>
    <row r="80" spans="1:237" s="106" customFormat="1" ht="22.5" customHeight="1" thickBot="1" x14ac:dyDescent="0.3">
      <c r="A80" s="377" t="s">
        <v>3246</v>
      </c>
      <c r="B80" s="378" t="s">
        <v>3247</v>
      </c>
      <c r="C80" s="379" t="s">
        <v>3186</v>
      </c>
      <c r="D80" s="380" t="s">
        <v>3248</v>
      </c>
      <c r="E80" s="380" t="s">
        <v>3249</v>
      </c>
      <c r="F80" s="381" t="s">
        <v>3182</v>
      </c>
      <c r="G80" s="381" t="s">
        <v>3183</v>
      </c>
      <c r="H80" s="382" t="s">
        <v>352</v>
      </c>
      <c r="I80" s="383" t="s">
        <v>352</v>
      </c>
      <c r="J80" s="421" t="s">
        <v>3184</v>
      </c>
      <c r="K80" s="424" t="s">
        <v>60</v>
      </c>
      <c r="L80" s="329">
        <f>CONTINUA!BV80</f>
        <v>0</v>
      </c>
      <c r="M80" s="329">
        <f>CONTINUA!BW80</f>
        <v>0</v>
      </c>
      <c r="N80" s="895"/>
      <c r="O80" s="896" t="s">
        <v>3288</v>
      </c>
      <c r="P80" s="897">
        <v>0</v>
      </c>
      <c r="Q80" s="400"/>
      <c r="R80" s="401"/>
      <c r="S80" s="400"/>
      <c r="T80" s="401"/>
      <c r="U80" s="400"/>
      <c r="V80" s="401"/>
      <c r="W80" s="400"/>
      <c r="X80" s="401"/>
      <c r="Y80" s="400"/>
      <c r="Z80" s="401"/>
      <c r="AA80" s="400"/>
      <c r="AB80" s="401"/>
      <c r="AC80" s="400"/>
      <c r="AD80" s="401"/>
      <c r="AE80" s="400"/>
      <c r="AF80" s="401"/>
      <c r="AG80" s="400"/>
      <c r="AH80" s="401"/>
      <c r="AI80" s="400"/>
      <c r="AJ80" s="401"/>
      <c r="AK80" s="400"/>
      <c r="AL80" s="401"/>
      <c r="AM80" s="400"/>
      <c r="AN80" s="401"/>
      <c r="AO80" s="400"/>
      <c r="AP80" s="401"/>
      <c r="AQ80" s="400"/>
      <c r="AR80" s="401"/>
      <c r="AS80" s="400"/>
      <c r="AT80" s="401"/>
      <c r="AU80" s="400"/>
      <c r="AV80" s="401"/>
      <c r="AW80" s="400"/>
      <c r="AX80" s="401"/>
      <c r="AY80" s="400"/>
      <c r="AZ80" s="401"/>
      <c r="BA80" s="400"/>
      <c r="BB80" s="401"/>
      <c r="BC80" s="400"/>
      <c r="BD80" s="401"/>
      <c r="BE80" s="400"/>
      <c r="BF80" s="401"/>
      <c r="BG80" s="400"/>
      <c r="BH80" s="401"/>
      <c r="BI80" s="400"/>
      <c r="BJ80" s="401"/>
      <c r="BK80" s="400"/>
      <c r="BL80" s="401"/>
      <c r="BM80" s="400"/>
      <c r="BN80" s="401"/>
      <c r="BO80" s="400"/>
      <c r="BP80" s="401"/>
      <c r="BQ80" s="400"/>
      <c r="BR80" s="401"/>
      <c r="BS80" s="400"/>
      <c r="BT80" s="401"/>
      <c r="BU80" s="400"/>
      <c r="BV80" s="401"/>
      <c r="BW80" s="400"/>
      <c r="BX80" s="401"/>
      <c r="BY80" s="400"/>
      <c r="BZ80" s="401"/>
      <c r="CA80" s="400"/>
      <c r="CB80" s="401"/>
      <c r="CC80" s="400"/>
      <c r="CD80" s="401"/>
      <c r="CE80" s="400"/>
      <c r="CF80" s="401"/>
      <c r="CG80" s="400"/>
      <c r="CH80" s="401"/>
      <c r="CI80" s="400"/>
      <c r="CJ80" s="401"/>
      <c r="CK80" s="400"/>
      <c r="CL80" s="401"/>
      <c r="CM80" s="400"/>
      <c r="CN80" s="401"/>
      <c r="CO80" s="400"/>
      <c r="CP80" s="401"/>
      <c r="CQ80" s="400"/>
      <c r="CR80" s="401"/>
      <c r="CS80" s="400"/>
      <c r="CT80" s="401"/>
      <c r="CU80" s="400"/>
      <c r="CV80" s="401"/>
      <c r="CW80" s="400"/>
      <c r="CX80" s="401"/>
      <c r="CY80" s="400"/>
      <c r="CZ80" s="401"/>
      <c r="DA80" s="400"/>
      <c r="DB80" s="401"/>
      <c r="DC80" s="400"/>
      <c r="DD80" s="401"/>
      <c r="DE80" s="400"/>
      <c r="DF80" s="401"/>
      <c r="DG80" s="400"/>
      <c r="DH80" s="401"/>
      <c r="DI80" s="400"/>
      <c r="DJ80" s="401"/>
      <c r="DK80" s="400"/>
      <c r="DL80" s="401"/>
      <c r="DM80" s="400"/>
      <c r="DN80" s="401"/>
      <c r="DO80" s="400"/>
      <c r="DP80" s="401"/>
      <c r="DQ80" s="400"/>
      <c r="DR80" s="401"/>
      <c r="DS80" s="400"/>
      <c r="DT80" s="401"/>
      <c r="DU80" s="400"/>
      <c r="DV80" s="401"/>
      <c r="DW80" s="400"/>
      <c r="DX80" s="401"/>
      <c r="DY80" s="400"/>
      <c r="DZ80" s="401"/>
      <c r="EA80" s="400"/>
      <c r="EB80" s="401"/>
      <c r="EC80" s="400"/>
      <c r="ED80" s="401"/>
      <c r="EE80" s="400"/>
      <c r="EF80" s="401"/>
      <c r="EG80" s="400"/>
      <c r="EH80" s="401"/>
      <c r="EI80" s="400"/>
      <c r="EJ80" s="447"/>
      <c r="EK80" s="512"/>
      <c r="EL80" s="515"/>
      <c r="EM80" s="450"/>
      <c r="EN80" s="348"/>
      <c r="EO80" s="348"/>
      <c r="EP80" s="179">
        <f t="shared" si="95"/>
        <v>0</v>
      </c>
      <c r="EQ80" s="179">
        <f t="shared" si="96"/>
        <v>0</v>
      </c>
      <c r="ER80" s="179">
        <f t="shared" si="97"/>
        <v>0</v>
      </c>
      <c r="ES80" s="179">
        <f t="shared" si="98"/>
        <v>0</v>
      </c>
      <c r="ET80" s="179">
        <f t="shared" si="99"/>
        <v>0</v>
      </c>
      <c r="EU80" s="179">
        <f t="shared" si="100"/>
        <v>0</v>
      </c>
      <c r="EV80" s="172">
        <f t="shared" si="101"/>
        <v>0</v>
      </c>
      <c r="EW80" s="253"/>
      <c r="EX80" s="254">
        <v>0</v>
      </c>
      <c r="EY80" s="180">
        <v>0</v>
      </c>
      <c r="EZ80" s="255">
        <v>0</v>
      </c>
      <c r="FA80" s="255">
        <v>0</v>
      </c>
      <c r="FB80" s="180">
        <f>SUM(FF80:GI80)/2</f>
        <v>0</v>
      </c>
      <c r="FC80" s="256">
        <f>N80*km*'VALORES TABELA'!$B$13</f>
        <v>0</v>
      </c>
      <c r="FD80" s="250">
        <f t="shared" si="104"/>
        <v>0</v>
      </c>
      <c r="FE80" s="257"/>
      <c r="FF80" s="181">
        <f>((Q80+S80)*Percapita)+((R80+T80)*Cadeirante)</f>
        <v>0</v>
      </c>
      <c r="FG80" s="181">
        <f>((U80+W80)*Percapita/30*FG$4)+((V80+X80)*Cadeirante/30*FG$4)</f>
        <v>0</v>
      </c>
      <c r="FH80" s="181">
        <f>((Y80+AA80)*Percapita/30*FH$4)+((Z80+AB80)*Cadeirante/30*FH$4)</f>
        <v>0</v>
      </c>
      <c r="FI80" s="181">
        <f>((AC80+AE80)*Percapita/30*FI$4)+((AD80+AF80)*Cadeirante/30*FI$4)</f>
        <v>0</v>
      </c>
      <c r="FJ80" s="181">
        <f>((AG80+AI80)*Percapita/30*FJ$4)+((AH80+AJ80)*Cadeirante/30*FJ$4)</f>
        <v>0</v>
      </c>
      <c r="FK80" s="181">
        <f>((AK80+AM80)*Percapita/30*FK$4)+((AL80+AN80)*Cadeirante/30*FK$4)</f>
        <v>0</v>
      </c>
      <c r="FL80" s="181">
        <f>((AO80+AQ80)*Percapita/30*FL$4)+((AP80+AR80)*Cadeirante/30*FL$4)</f>
        <v>0</v>
      </c>
      <c r="FM80" s="181">
        <f>((AS80+AU80)*Percapita/30*FM$4)+((AT80+AV80)*Cadeirante/30*FM$4)</f>
        <v>0</v>
      </c>
      <c r="FN80" s="181">
        <f>((AW80+AY80)*Percapita/30*FN$4)+((AX80+AZ80)*Cadeirante/30*FN$4)</f>
        <v>0</v>
      </c>
      <c r="FO80" s="181">
        <f>((BA80+BC80)*Percapita/30*FO$4)+((BB80+BD80)*Cadeirante/30*FO$4)</f>
        <v>0</v>
      </c>
      <c r="FP80" s="181">
        <f>((BE80+BG80)*Percapita/30*FP$4)+((BF80+BH80)*Cadeirante/30*FP$4)</f>
        <v>0</v>
      </c>
      <c r="FQ80" s="181">
        <f>((BI80+BK80)*Percapita/30*FQ$4)+((BJ80+BL80)*Cadeirante/30*FQ$4)</f>
        <v>0</v>
      </c>
      <c r="FR80" s="181">
        <f>((BM80+BO80)*Percapita/30*FR$4)+((BN80+BP80)*Cadeirante/30*FR$4)</f>
        <v>0</v>
      </c>
      <c r="FS80" s="181">
        <f>((BQ80+BS80)*Percapita/30*FS$4)+((BR80+BT80)*Cadeirante/30*FS$4)</f>
        <v>0</v>
      </c>
      <c r="FT80" s="181">
        <f>((BU80+BW80)*Percapita/30*FT$4)+((BV80+BX80)*Cadeirante/30*FT$4)</f>
        <v>0</v>
      </c>
      <c r="FU80" s="181">
        <f>((BY80+CA80)*Percapita/30*FU$4)+((BZ80+CB80)*Cadeirante/30*FU$4)</f>
        <v>0</v>
      </c>
      <c r="FV80" s="181">
        <f>((CC80+CE80)*Percapita/30*FV$4)+((CD80+CF80)*Cadeirante/30*FV$4)</f>
        <v>0</v>
      </c>
      <c r="FW80" s="181">
        <f>((CG80+CI80)*Percapita/30*FW$4)+((CI80+CK80)*Cadeirante/30*FW$4)</f>
        <v>0</v>
      </c>
      <c r="FX80" s="181">
        <f>((CK80+CM80)*Percapita/30*FX$4)+((CL80+CN80)*Cadeirante/30*FX$4)</f>
        <v>0</v>
      </c>
      <c r="FY80" s="181">
        <f>((CO80+CQ80)*Percapita/30*FY$4)+((CP80+CR80)*Cadeirante/30*FY$4)</f>
        <v>0</v>
      </c>
      <c r="FZ80" s="181">
        <f>((CS80+CU80)*Percapita/30*FZ$4)+((CT80+CV80)*Cadeirante/30*FZ$4)</f>
        <v>0</v>
      </c>
      <c r="GA80" s="181">
        <f>((CW80+CY80)*Percapita/30*GA$4)+((CX80+CZ80)*Cadeirante/30*GA$4)</f>
        <v>0</v>
      </c>
      <c r="GB80" s="181">
        <f>((DA80+DC80)*Percapita/30*GB$4)+((DB80+DD80)*Cadeirante/30*GB$4)</f>
        <v>0</v>
      </c>
      <c r="GC80" s="181">
        <f>((DE80+DG80)*Percapita/30*GC$4)+((DF80+DH80)*Cadeirante/30*GC$4)</f>
        <v>0</v>
      </c>
      <c r="GD80" s="181">
        <f>((DI80+DK80)*Percapita/30*GD$4)+((DJ80+DL80)*Cadeirante/30*GD$4)</f>
        <v>0</v>
      </c>
      <c r="GE80" s="181">
        <f>((DM80+DO80)*Percapita/30*GE$4)+((DN80+DP80)*Cadeirante/30*GE$4)</f>
        <v>0</v>
      </c>
      <c r="GF80" s="181">
        <f>((DQ80+DS80)*Percapita/30*GF$4)+((DR80+DT80)*Cadeirante/30*GF$4)</f>
        <v>0</v>
      </c>
      <c r="GG80" s="181">
        <f>((DU80+DW80)*Percapita/30*GG$4)+((DV80+DX80)*Cadeirante/30*GG$4)</f>
        <v>0</v>
      </c>
      <c r="GH80" s="181">
        <f>((DY80+EA80)*Percapita/30*GH$4)+((DZ80+EB80)*Cadeirante/30*GH$4)</f>
        <v>0</v>
      </c>
      <c r="GI80" s="181">
        <f>((EC80+EE80)*Percapita/30*GI$4)+((ED80+EF80)*Cadeirante/30*GI$4)</f>
        <v>0</v>
      </c>
      <c r="GJ80" s="181">
        <f>((EG80+EI80)*Percapita)+((EH80+EJ80)*Cadeirante)</f>
        <v>0</v>
      </c>
      <c r="GK80" s="258"/>
      <c r="GL80" s="103">
        <f t="shared" si="102"/>
        <v>0</v>
      </c>
      <c r="GM80" s="124"/>
      <c r="GN80" s="182"/>
      <c r="GO80" s="182"/>
      <c r="GP80" s="182"/>
      <c r="GQ80" s="182"/>
      <c r="GR80" s="182"/>
      <c r="GS80" s="182"/>
      <c r="GT80" s="182"/>
      <c r="GU80" s="182"/>
      <c r="GV80" s="182"/>
      <c r="GW80" s="182"/>
      <c r="GX80" s="182"/>
      <c r="GY80" s="182"/>
      <c r="GZ80" s="182"/>
      <c r="HA80" s="182"/>
      <c r="HB80" s="182"/>
      <c r="HC80" s="182"/>
      <c r="HD80" s="182"/>
      <c r="HE80" s="182"/>
      <c r="HF80" s="182"/>
      <c r="HG80" s="182"/>
      <c r="HH80" s="182"/>
      <c r="HI80" s="182"/>
      <c r="HJ80" s="182"/>
      <c r="HK80" s="182"/>
      <c r="HL80" s="182"/>
      <c r="HM80" s="182"/>
      <c r="HN80" s="182"/>
      <c r="HO80" s="182"/>
      <c r="HP80" s="259"/>
      <c r="HQ80" s="64"/>
      <c r="HW80" s="257"/>
      <c r="HY80" s="280">
        <f t="shared" si="105"/>
        <v>0</v>
      </c>
      <c r="HZ80" s="280">
        <f t="shared" si="106"/>
        <v>0</v>
      </c>
      <c r="IA80" s="280">
        <f t="shared" si="107"/>
        <v>0</v>
      </c>
    </row>
    <row r="81" spans="1:237" s="106" customFormat="1" ht="22.5" customHeight="1" x14ac:dyDescent="0.25">
      <c r="A81" t="s">
        <v>3250</v>
      </c>
      <c r="B81" s="522" t="s">
        <v>3251</v>
      </c>
      <c r="C81" s="523">
        <v>1</v>
      </c>
      <c r="D81" s="524" t="s">
        <v>3252</v>
      </c>
      <c r="E81" s="524" t="s">
        <v>3253</v>
      </c>
      <c r="F81" s="525" t="s">
        <v>3182</v>
      </c>
      <c r="G81" s="525" t="s">
        <v>3183</v>
      </c>
      <c r="H81" s="350" t="s">
        <v>354</v>
      </c>
      <c r="I81" s="351" t="s">
        <v>354</v>
      </c>
      <c r="J81" s="409" t="s">
        <v>3184</v>
      </c>
      <c r="K81" s="410" t="s">
        <v>3185</v>
      </c>
      <c r="L81" s="329">
        <f>CONTINUA!BV81</f>
        <v>0</v>
      </c>
      <c r="M81" s="329">
        <f>CONTINUA!BW81</f>
        <v>0</v>
      </c>
      <c r="N81" s="895"/>
      <c r="O81" s="896" t="s">
        <v>3289</v>
      </c>
      <c r="P81" s="897">
        <v>0</v>
      </c>
      <c r="Q81" s="400"/>
      <c r="R81" s="401"/>
      <c r="S81" s="400"/>
      <c r="T81" s="401"/>
      <c r="U81" s="400"/>
      <c r="V81" s="401"/>
      <c r="W81" s="400"/>
      <c r="X81" s="401"/>
      <c r="Y81" s="400"/>
      <c r="Z81" s="401"/>
      <c r="AA81" s="400"/>
      <c r="AB81" s="401"/>
      <c r="AC81" s="400"/>
      <c r="AD81" s="401"/>
      <c r="AE81" s="400"/>
      <c r="AF81" s="401"/>
      <c r="AG81" s="400"/>
      <c r="AH81" s="401"/>
      <c r="AI81" s="400"/>
      <c r="AJ81" s="401"/>
      <c r="AK81" s="400"/>
      <c r="AL81" s="401"/>
      <c r="AM81" s="400"/>
      <c r="AN81" s="401"/>
      <c r="AO81" s="400"/>
      <c r="AP81" s="401"/>
      <c r="AQ81" s="400"/>
      <c r="AR81" s="401"/>
      <c r="AS81" s="400"/>
      <c r="AT81" s="401"/>
      <c r="AU81" s="400"/>
      <c r="AV81" s="401"/>
      <c r="AW81" s="400"/>
      <c r="AX81" s="401"/>
      <c r="AY81" s="400"/>
      <c r="AZ81" s="401"/>
      <c r="BA81" s="400"/>
      <c r="BB81" s="401"/>
      <c r="BC81" s="400"/>
      <c r="BD81" s="401"/>
      <c r="BE81" s="400"/>
      <c r="BF81" s="401"/>
      <c r="BG81" s="400"/>
      <c r="BH81" s="401"/>
      <c r="BI81" s="400"/>
      <c r="BJ81" s="401"/>
      <c r="BK81" s="400"/>
      <c r="BL81" s="401"/>
      <c r="BM81" s="400"/>
      <c r="BN81" s="401"/>
      <c r="BO81" s="400"/>
      <c r="BP81" s="401"/>
      <c r="BQ81" s="400"/>
      <c r="BR81" s="401"/>
      <c r="BS81" s="400"/>
      <c r="BT81" s="401"/>
      <c r="BU81" s="400"/>
      <c r="BV81" s="401"/>
      <c r="BW81" s="400"/>
      <c r="BX81" s="401"/>
      <c r="BY81" s="400"/>
      <c r="BZ81" s="401"/>
      <c r="CA81" s="400"/>
      <c r="CB81" s="401"/>
      <c r="CC81" s="400"/>
      <c r="CD81" s="401"/>
      <c r="CE81" s="400"/>
      <c r="CF81" s="401"/>
      <c r="CG81" s="400"/>
      <c r="CH81" s="401"/>
      <c r="CI81" s="400"/>
      <c r="CJ81" s="401"/>
      <c r="CK81" s="400"/>
      <c r="CL81" s="401"/>
      <c r="CM81" s="400"/>
      <c r="CN81" s="401"/>
      <c r="CO81" s="400"/>
      <c r="CP81" s="401"/>
      <c r="CQ81" s="400"/>
      <c r="CR81" s="401"/>
      <c r="CS81" s="400"/>
      <c r="CT81" s="401"/>
      <c r="CU81" s="400"/>
      <c r="CV81" s="401"/>
      <c r="CW81" s="400"/>
      <c r="CX81" s="401"/>
      <c r="CY81" s="400"/>
      <c r="CZ81" s="401"/>
      <c r="DA81" s="400"/>
      <c r="DB81" s="401"/>
      <c r="DC81" s="400"/>
      <c r="DD81" s="401"/>
      <c r="DE81" s="400"/>
      <c r="DF81" s="401"/>
      <c r="DG81" s="400"/>
      <c r="DH81" s="401"/>
      <c r="DI81" s="400"/>
      <c r="DJ81" s="401"/>
      <c r="DK81" s="400"/>
      <c r="DL81" s="401"/>
      <c r="DM81" s="400"/>
      <c r="DN81" s="401"/>
      <c r="DO81" s="400"/>
      <c r="DP81" s="401"/>
      <c r="DQ81" s="400"/>
      <c r="DR81" s="401"/>
      <c r="DS81" s="400"/>
      <c r="DT81" s="401"/>
      <c r="DU81" s="400"/>
      <c r="DV81" s="401"/>
      <c r="DW81" s="400"/>
      <c r="DX81" s="401"/>
      <c r="DY81" s="400"/>
      <c r="DZ81" s="401"/>
      <c r="EA81" s="400"/>
      <c r="EB81" s="401"/>
      <c r="EC81" s="400"/>
      <c r="ED81" s="401"/>
      <c r="EE81" s="400"/>
      <c r="EF81" s="401"/>
      <c r="EG81" s="400"/>
      <c r="EH81" s="401"/>
      <c r="EI81" s="400"/>
      <c r="EJ81" s="447"/>
      <c r="EK81" s="510"/>
      <c r="EL81" s="513"/>
      <c r="EM81" s="520"/>
      <c r="EN81" s="520"/>
      <c r="EO81" s="520"/>
      <c r="EP81" s="171">
        <f t="shared" si="95"/>
        <v>0</v>
      </c>
      <c r="EQ81" s="171">
        <f t="shared" si="96"/>
        <v>0</v>
      </c>
      <c r="ER81" s="171">
        <f t="shared" si="97"/>
        <v>0</v>
      </c>
      <c r="ES81" s="171">
        <f t="shared" si="98"/>
        <v>0</v>
      </c>
      <c r="ET81" s="171">
        <f t="shared" si="99"/>
        <v>0</v>
      </c>
      <c r="EU81" s="171">
        <f t="shared" si="100"/>
        <v>0</v>
      </c>
      <c r="EV81" s="172">
        <f t="shared" si="101"/>
        <v>0</v>
      </c>
      <c r="EW81" s="367">
        <f>IF(C81=4,IF(MAX(Q81:EJ83)&gt;0,(Especiall/30*(IF(($G81-$F81)=($G$5-$F$5),30,IF(DAY($G81)=31,($G81-$F81),($G81-$F81)+1)))),0),0)</f>
        <v>0</v>
      </c>
      <c r="EX81" s="248">
        <f t="shared" ref="EX81:EX84" si="108">FF81</f>
        <v>9803.9000000000015</v>
      </c>
      <c r="EY81" s="174">
        <f>(L81*regular)+(M81*Cadeirantee)</f>
        <v>0</v>
      </c>
      <c r="EZ81" s="249">
        <f>SUMIF(FG81:GJ81,"&gt;0")</f>
        <v>0</v>
      </c>
      <c r="FA81" s="249">
        <f>SUMIF(FG81:GJ81,"&lt;0")+SUMIF(GN81:HP81,"&lt;0")</f>
        <v>0</v>
      </c>
      <c r="FB81" s="174">
        <v>0</v>
      </c>
      <c r="FC81" s="175">
        <f>N81*km*'VALORES TABELA'!$B$13</f>
        <v>0</v>
      </c>
      <c r="FD81" s="250">
        <f>GL81</f>
        <v>0</v>
      </c>
      <c r="FE81" s="176">
        <f>(EW81+EW82+EW83+EW84+EX81+EX82+EX83+EX84+EY81+EY82+EY83+EY84+EY85+EZ81+EZ82+EZ83+EZ84+FA81+FA82+FA83+FA84+FC81+FC82+FC83+FC84+HY81-HZ81-IA81+FD81+FD82+FD83+FD84+FB85)</f>
        <v>9861.7400000000016</v>
      </c>
      <c r="FF81" s="177">
        <f>IF(C81=4,SUM(Q81+Q82+Q83+S81+S82+S83)*Percapita/30*FF$4+(R81+R82+R83+T81+T82+T83)*Cadeirante/30*FF$4,IF(C81=3,IF(Q84+S84=10,Fixo/30*FF$4+(Q81+Q82+Q83+S81+S82+S83)*Percapita/30*FF$4+(R84+T84)*Cadeirante/30*FF$4,IF(Q84+S84&lt;=9,(Q84+S84)*Crechee/30*FF$4)+(R84+T84)*Cadeirante/30*FF$4+(Q81+Q82+Q83+S81+S82+S83)*Percapita/30*FF$4)+IF(Q84+S84&gt;=11,Fixo/30*FF$4+(Q84+S84-10)*Crechee/30*FF$4,0),IF(C81=2,IF(R81+R82+R83+R84+T81+T82+T83+T84=1,Cadeirante/30*FF$4,IF(R81+R82+R83+R84+T81+T82+T83+T84=2,Fixo/30*FF$4,IF(R81+R82+R83+R84+T81+T82+T83+T84&gt;2,Fixo/30*FF$4+(R81+R82+R83+R84+T81+T82+T83+T84-2)*Cadeirante/30*FF$4)))+(Q81+Q82+Q83+S81+S82+S83)*Percapita/30*FF$4+(Q84+S84)*Crechee/30*FF$4,IF(C81=1,IF(Q81+Q82+Q83+R81+R82+R83+S81+S82+S83+T81+T82+T83&lt;=15,(Q81+Q82+Q83+S81+S82+S83)*Percapita/30*FF$4,IF(Q81+Q82+Q83+R81+R82+R83+S81+S82+S83+T81+T82+T83&gt;=16,Fixo/30*FF$4+(Q81+Q82+Q83+R81+R82+R83+S81+S82+S83+T81+T82-16)*Percapita/30*FF$4))))))</f>
        <v>9803.9000000000015</v>
      </c>
      <c r="FG81" s="177">
        <f>IF(C81=4,SUM(U81+U82+U83+W81+W82+W83)*Percapita/30*FG$4+(V81+V82+V83+X81+X82+X83)*Cadeirante/30*FG$4,IF(C81=3,IF(U84+W84=10,Fixo/30*FG$4+(U81+U82+U83+W81+W82+W83)*Percapita/30*FG$4+(V84+X84)*Cadeirante/30*FG$4,IF(U84+W84&lt;=9,(U84+W84)*Crechee/30*FG$4)+(V84+X84)*Cadeirante/30*FG$4+(U81+U82+U83+W81+W82+W83)*Percapita/30*FG$4)+IF(U84+W84&gt;=11,Fixo/30*FG$4+(U84+W84-10)*Crechee/30*FG$4,0),IF(C81=2,IF(V81+V82+V83+V84+X81+X82+X83+X84=1,Cadeirante/30*FG$4,IF(V81+V82+V83+V84+X81+X82+X83+X84=2,Fixo/30*FG$4,IF(V81+V82+V83+V84+X81+X82+X83+X84&gt;2,Fixo/30*FG$4+(V81+V82+V83+V84+X81+X82+X83+X84-2)*Cadeirante/30*FG$4)))+(U81+U82+U83+W81+W82+W83)*Percapita/30*FG$4+(U84+W84)*Crechee/30*FG$4,IF(C81=1,IF(U81+U82+U83+V81+V82+V83+W81+W82+W83+X81+X82+X83&lt;=15,(U81+U82+U83+W81+W82+W83)*Percapita/30*FG$4,IF(U81+U82+U83+V81+V82+V83+W81+W82+W83+X81+X82+X83&gt;=16,Fixo/30*FG$4+(U81+U82+U83+V81+V82+V83+W81+W82+W83+X81+X82-16)*Percapita/30*FG$4))))))</f>
        <v>0</v>
      </c>
      <c r="FH81" s="177">
        <f>IF(C81=4,SUM(Y81+Y82+Y83+AA81+AA82+AA83)*Percapita/30*FH$4+(Z81+Z82+Z83+AB81+AB82+AB83)*Cadeirante/30*FH$4,IF(C81=3,IF(Y84+AA84=10,Fixo/30*FH$4+(Y81+Y82+Y83+AA81+AA82+AA83)*Percapita/30*FH$4+(Z84+AB84)*Cadeirante/30*FH$4,IF(Y84+AA84&lt;=9,(Y84+AA84)*Crechee/30*FH$4)+(Z84+AB84)*Cadeirante/30*FH$4+(Y81+Y82+Y83+AA81+AA82+AA83)*Percapita/30*FH$4)+IF(Y84+AA84&gt;=11,Fixo/30*FH$4+(Y84+AA84-10)*Crechee/30*FH$4,0),IF(C81=2,IF(Z81+Z82+Z83+Z84+AB81+AB82+AB83+AB84=1,Cadeirante/30*FH$4,IF(Z81+Z82+Z83+Z84+AB81+AB82+AB83+AB84=2,Fixo/30*FH$4,IF(Z81+Z82+Z83+Z84+AB81+AB82+AB83+AB84&gt;2,Fixo/30*FH$4+(Z81+Z82+Z83+Z84+AB81+AB82+AB83+AB84-2)*Cadeirante/30*FH$4)))+(Y81+Y82+Y83+AA81+AA82+AA83)*Percapita/30*FH$4+(Y84+AA84)*Crechee/30*FH$4,IF(C81=1,IF(Y81+Y82+Y83+Z81+Z82+Z83+AA81+AA82+AA83+AB81+AB82+AB83&lt;=15,(Y81+Y82+Y83+AA81+AA82+AA83)*Percapita/30*FH$4,IF(Y81+Y82+Y83+Z81+Z82+Z83+AA81+AA82+AA83+AB81+AB82+AB83&gt;=16,Fixo/30*FH$4+(Y81+Y82+Y83+Z81+Z82+Z83+AA81+AA82+AA83+AB81+AB82-16)*Percapita/30*FH$4))))))</f>
        <v>0</v>
      </c>
      <c r="FI81" s="177">
        <f>IF(C81=4,SUM(AC81+AC82+AC83+AE81+AE82+AE83)*Percapita/30*FI$4+(AD81+AD82+AD83+AF81+AF82+AF83)*Cadeirante/30*FI$4,IF(C81=3,IF(AC84+AE84=10,Fixo/30*FI$4+(AC81+AC82+AC83+AE81+AE82+AE83)*Percapita/30*FI$4+(AD84+AF84)*Cadeirante/30*FI$4,IF(AC84+AE84&lt;=9,(AC84+AE84)*Crechee/30*FI$4)+(AD84+AF84)*Cadeirante/30*FI$4+(AC81+AC82+AC83+AE81+AE82+AE83)*Percapita/30*FI$4)+IF(AC84+AE84&gt;=11,Fixo/30*FI$4+(AC84+AE84-10)*Crechee/30*FI$4,0),IF(C81=2,IF(AD81+AD82+AD83+AD84+AF81+AF82+AF83+AF84=1,Cadeirante/30*FI$4,IF(AD81+AD82+AD83+AD84+AF81+AF82+AF83+AF84=2,Fixo/30*FI$4,IF(AD81+AD82+AD83+AD84+AF81+AF82+AF83+AF84&gt;2,Fixo/30*FI$4+(AD81+AD82+AD83+AD84+AF81+AF82+AF83+AF84-2)*Cadeirante/30*FI$4)))+(AC81+AC82+AC83+AE81+AE82+AE83)*Percapita/30*FI$4+(AC84+AE84)*Crechee/30*FI$4,IF(C81=1,IF(AC81+AC82+AC83+AD81+AD82+AD83+AE81+AE82+AE83+AF81+AF82+AF83&lt;=15,(AC81+AC82+AC83+AE81+AE82+AE83)*Percapita/30*FI$4,IF(AC81+AC82+AC83+AD81+AD82+AD83+AE81+AE82+AE83+AF81+AF82+AF83&gt;=16,Fixo/30*FI$4+(AC81+AC82+AC83+AD81+AD82+AD83+AE81+AE82+AE83+AF81+AF82-16)*Percapita/30*FI$4))))))</f>
        <v>0</v>
      </c>
      <c r="FJ81" s="177">
        <f>IF(C81=4,SUM(AG81+AG82+AG83+AI81+AI82+AI83)*Percapita/30*FJ$4+(AH81+AH82+AH83+AJ81+AJ82+AJ83)*Cadeirante/30*FJ$4,IF(C81=3,IF(AG84+AI84=10,Fixo/30*FJ$4+(AG81+AG82+AG83+AI81+AI82+AI83)*Percapita/30*FJ$4+(AH84+AJ84)*Cadeirante/30*FJ$4,IF(AG84+AI84&lt;=9,(AG84+AI84)*Crechee/30*FJ$4)+(AH84+AJ84)*Cadeirante/30*FJ$4+(AG81+AG82+AG83+AI81+AI82+AI83)*Percapita/30*FJ$4)+IF(AG84+AI84&gt;=11,Fixo/30*FJ$4+(AG84+AI84-10)*Crechee/30*FJ$4,0),IF(C81=2,IF(AH81+AH82+AH83+AH84+AJ81+AJ82+AJ83+AJ84=1,Cadeirante/30*FJ$4,IF(AH81+AH82+AH83+AH84+AJ81+AJ82+AJ83+AJ84=2,Fixo/30*FJ$4,IF(AH81+AH82+AH83+AH84+AJ81+AJ82+AJ83+AJ84&gt;2,Fixo/30*FJ$4+(AH81+AH82+AH83+AH84+AJ81+AJ82+AJ83+AJ84-2)*Cadeirante/30*FJ$4)))+(AG81+AG82+AG83+AI81+AI82+AI83)*Percapita/30*FJ$4+(AG84+AI84)*Crechee/30*FJ$4,IF(C81=1,IF(AG81+AG82+AG83+AH81+AH82+AH83+AI81+AI82+AI83+AJ81+AJ82+AJ83&lt;=15,(AG81+AG82+AG83+AI81+AI82+AI83)*Percapita/30*FJ$4,IF(AG81+AG82+AG83+AH81+AH82+AH83+AI81+AI82+AI83+AJ81+AJ82+AJ83&gt;=16,Fixo/30*FJ$4+(AG81+AG82+AG83+AH81+AH82+AH83+AI81+AI82+AI83+AJ81+AJ82-16)*Percapita/30*FJ$4))))))</f>
        <v>0</v>
      </c>
      <c r="FK81" s="177">
        <f>IF(C81=4,SUM(AK81+AK82+AK83+AM81+AM82+AM83)*Percapita/30*FK$4+(AL81+AL82+AL83+AN81+AN82+AN83)*Cadeirante/30*FK$4,IF(C81=3,IF(AK84+AM84=10,Fixo/30*FK$4+(AK81+AK82+AK83+AM81+AM82+AM83)*Percapita/30*FK$4+(AL84+AN84)*Cadeirante/30*FK$4,IF(AK84+AM84&lt;=9,(AK84+AM84)*Crechee/30*FK$4)+(AL84+AN84)*Cadeirante/30*FK$4+(AK81+AK82+AK83+AM81+AM82+AM83)*Percapita/30*FK$4)+IF(AK84+AM84&gt;=11,Fixo/30*FK$4+(AK84+AM84-10)*Crechee/30*FK$4,0),IF(C81=2,IF(AL81+AL82+AL83+AL84+AN81+AN82+AN83+AN84=1,Cadeirante/30*FK$4,IF(AL81+AL82+AL83+AL84+AN81+AN82+AN83+AN84=2,Fixo/30*FK$4,IF(AL81+AL82+AL83+AL84+AN81+AN82+AN83+AN84&gt;2,Fixo/30*FK$4+(AL81+AL82+AL83+AL84+AN81+AN82+AN83+AN84-2)*Cadeirante/30*FK$4)))+(AK81+AK82+AK83+AM81+AM82+AM83)*Percapita/30*FK$4+(AK84+AM84)*Crechee/30*FK$4,IF(C81=1,IF(AK81+AK82+AK83+AL81+AL82+AL83+AM81+AM82+AM83+AN81+AN82+AN83&lt;=15,(AK81+AK82+AK83+AM81+AM82+AM83)*Percapita/30*FK$4,IF(AK81+AK82+AK83+AL81+AL82+AL83+AM81+AM82+AM83+AN81+AN82+AN83&gt;=16,Fixo/30*FK$4+(AK81+AK82+AK83+AL81+AL82+AL83+AM81+AM82+AM83+AN81+AN82-16)*Percapita/30*FK$4))))))</f>
        <v>0</v>
      </c>
      <c r="FL81" s="177">
        <f>IF(C81=4,SUM(AO81+AO82+AO83+AQ81+AQ82+AQ83)*Percapita/30*FL$4+(AP81+AP82+AP83+AR81+AR82+AR83)*Cadeirante/30*FL$4,IF(C81=3,IF(AO84+AQ84=10,Fixo/30*FL$4+(AO81+AO82+AO83+AQ81+AQ82+AQ83)*Percapita/30*FL$4+(AP84+AR84)*Cadeirante/30*FL$4,IF(AO84+AQ84&lt;=9,(AO84+AQ84)*Crechee/30*FL$4)+(AP84+AR84)*Cadeirante/30*FL$4+(AO81+AO82+AO83+AQ81+AQ82+AQ83)*Percapita/30*FL$4)+IF(AO84+AQ84&gt;=11,Fixo/30*FL$4+(AO84+AQ84-10)*Crechee/30*FL$4,0),IF(C81=2,IF(AP81+AP82+AP83+AP84+AR81+AR82+AR83+AR84=1,Cadeirante/30*FL$4,IF(AP81+AP82+AP83+AP84+AR81+AR82+AR83+AR84=2,Fixo/30*FL$4,IF(AP81+AP82+AP83+AP84+AR81+AR82+AR83+AR84&gt;2,Fixo/30*FL$4+(AP81+AP82+AP83+AP84+AR81+AR82+AR83+AR84-2)*Cadeirante/30*FL$4)))+(AO81+AO82+AO83+AQ81+AQ82+AQ83)*Percapita/30*FL$4+(AO84+AQ84)*Crechee/30*FL$4,IF(C81=1,IF(AO81+AO82+AO83+AP81+AP82+AP83+AQ81+AQ82+AQ83+AR81+AR82+AR83&lt;=15,(AO81+AO82+AO83+AQ81+AQ82+AQ83)*Percapita/30*FL$4,IF(AO81+AO82+AO83+AP81+AP82+AP83+AQ81+AQ82+AQ83+AR81+AR82+AR83&gt;=16,Fixo/30*FL$4+(AO81+AO82+AO83+AP81+AP82+AP83+AQ81+AQ82+AQ83+AR81+AR82-16)*Percapita/30*FL$4))))))</f>
        <v>0</v>
      </c>
      <c r="FM81" s="177">
        <f>IF(C81=4,SUM(AS81+AS82+AS83+AU81+AU82+AU83)*Percapita/30*FM$4+(AT81+AT82+AT83+AV81+AV82+AV83)*Cadeirante/30*FM$4,IF(C81=3,IF(AS84+AU84=10,Fixo/30*FM$4+(AS81+AS82+AS83+AU81+AU82+AU83)*Percapita/30*FM$4+(AT84+AV84)*Cadeirante/30*FM$4,IF(AS84+AU84&lt;=9,(AS84+AU84)*Crechee/30*FM$4)+(AT84+AV84)*Cadeirante/30*FM$4+(AS81+AS82+AS83+AU81+AU82+AU83)*Percapita/30*FM$4)+IF(AS84+AU84&gt;=11,Fixo/30*FM$4+(AS84+AU84-10)*Crechee/30*FM$4,0),IF(C81=2,IF(AT81+AT82+AT83+AT84+AV81+AV82+AV83+AV84=1,Cadeirante/30*FM$4,IF(AT81+AT82+AT83+AT84+AV81+AV82+AV83+AV84=2,Fixo/30*FM$4,IF(AT81+AT82+AT83+AT84+AV81+AV82+AV83+AV84&gt;2,Fixo/30*FM$4+(AT81+AT82+AT83+AT84+AV81+AV82+AV83+AV84-2)*Cadeirante/30*FM$4)))+(AS81+AS82+AS83+AU81+AU82+AU83)*Percapita/30*FM$4+(AS84+AU84)*Crechee/30*FM$4,IF(C81=1,IF(AS81+AS82+AS83+AT81+AT82+AT83+AU81+AU82+AU83+AV81+AV82+AV83&lt;=15,(AS81+AS82+AS83+AU81+AU82+AU83)*Percapita/30*FM$4,IF(AS81+AS82+AS83+AT81+AT82+AT83+AU81+AU82+AU83+AV81+AV82+AV83&gt;=16,Fixo/30*FM$4+(AS81+AS82+AS83+AT81+AT82+AT83+AU81+AU82+AU83+AV81+AV82-16)*Percapita/30*FM$4))))))</f>
        <v>0</v>
      </c>
      <c r="FN81" s="177">
        <f>IF(C81=4,SUM(AW81+AW82+AW83+AY81+AY82+AY83)*Percapita/30*FN$4+(AX81+AX82+AX83+AZ81+AZ82+AZ83)*Cadeirante/30*FN$4,IF(C81=3,IF(AW84+AY84=10,Fixo/30*FN$4+(AW81+AW82+AW83+AY81+AY82+AY83)*Percapita/30*FN$4+(AX84+AZ84)*Cadeirante/30*FN$4,IF(AW84+AY84&lt;=9,(AW84+AY84)*Crechee/30*FN$4)+(AX84+AZ84)*Cadeirante/30*FN$4+(AW81+AW82+AW83+AY81+AY82+AY83)*Percapita/30*FN$4)+IF(AW84+AY84&gt;=11,Fixo/30*FN$4+(AW84+AY84-10)*Crechee/30*FN$4,0),IF(C81=2,IF(AX81+AX82+AX83+AX84+AZ81+AZ82+AZ83+AZ84=1,Cadeirante/30*FN$4,IF(AX81+AX82+AX83+AX84+AZ81+AZ82+AZ83+AZ84=2,Fixo/30*FN$4,IF(AX81+AX82+AX83+AX84+AZ81+AZ82+AZ83+AZ84&gt;2,Fixo/30*FN$4+(AX81+AX82+AX83+AX84+AZ81+AZ82+AZ83+AZ84-2)*Cadeirante/30*FN$4)))+(AW81+AW82+AW83+AY81+AY82+AY83)*Percapita/30*FN$4+(AW84+AY84)*Crechee/30*FN$4,IF(C81=1,IF(AW81+AW82+AW83+AX81+AX82+AX83+AY81+AY82+AY83+AZ81+AZ82+AZ83&lt;=15,(AW81+AW82+AW83+AY81+AY82+AY83)*Percapita/30*FN$4,IF(AW81+AW82+AW83+AX81+AX82+AX83+AY81+AY82+AY83+AZ81+AZ82+AZ83&gt;=16,Fixo/30*FN$4+(AW81+AW82+AW83+AX81+AX82+AX83+AY81+AY82+AY83+AZ81+AZ82-16)*Percapita/30*FN$4))))))</f>
        <v>0</v>
      </c>
      <c r="FO81" s="177">
        <f>IF(C81=4,SUM(BA81+BA82+BA83+BC81+BC82+BC83)*Percapita/30*FO$4+(BB81+BB82+BB83+BD81+BD82+BD83)*Cadeirante/30*FO$4,IF(C81=3,IF(BA84+BC84=10,Fixo/30*FO$4+(BA81+BA82+BA83+BC81+BC82+BC83)*Percapita/30*FO$4+(BB84+BD84)*Cadeirante/30*FO$4,IF(BA84+BC84&lt;=9,(BA84+BC84)*Crechee/30*FO$4)+(BB84+BD84)*Cadeirante/30*FO$4+(BA81+BA82+BA83+BC81+BC82+BC83)*Percapita/30*FO$4)+IF(BA84+BC84&gt;=11,Fixo/30*FO$4+(BA84+BC84-10)*Crechee/30*FO$4,0),IF(C81=2,IF(BB81+BB82+BB83+BB84+BD81+BD82+BD83+BD84=1,Cadeirante/30*FO$4,IF(BB81+BB82+BB83+BB84+BD81+BD82+BD83+BD84=2,Fixo/30*FO$4,IF(BB81+BB82+BB83+BB84+BD81+BD82+BD83+BD84&gt;2,Fixo/30*FO$4+(BB81+BB82+BB83+BB84+BD81+BD82+BD83+BD84-2)*Cadeirante/30*FO$4)))+(BA81+BA82+BA83+BC81+BC82+BC83)*Percapita/30*FO$4+(BA84+BC84)*Crechee/30*FO$4,IF(C81=1,IF(BA81+BA82+BA83+BB81+BB82+BB83+BC81+BC82+BC83+BD81+BD82+BD83&lt;=15,(BA81+BA82+BA83+BC81+BC82+BC83)*Percapita/30*FO$4,IF(BA81+BA82+BA83+BB81+BB82+BB83+BC81+BC82+BC83+BD81+BD82+BD83&gt;=16,Fixo/30*FO$4+(BA81+BA82+BA83+BB81+BB82+BB83+BC81+BC82+BC83+BD81+BD82-16)*Percapita/30*FO$4))))))</f>
        <v>0</v>
      </c>
      <c r="FP81" s="177">
        <f>IF(C81=4,SUM(BE81+BE82+BE83+BG81+BG82+BG83)*Percapita/30*FP$4+(BF81+BF82+BF83+BH81+BH82+BH83)*Cadeirante/30*FP$4,IF(C81=3,IF(BE84+BG84=10,Fixo/30*FP$4+(BE81+BE82+BE83+BG81+BG82+BG83)*Percapita/30*FP$4+(BF84+BH84)*Cadeirante/30*FP$4,IF(BE84+BG84&lt;=9,(BE84+BG84)*Crechee/30*FP$4)+(BF84+BH84)*Cadeirante/30*FP$4+(BE81+BE82+BE83+BG81+BG82+BG83)*Percapita/30*FP$4)+IF(BE84+BG84&gt;=11,Fixo/30*FP$4+(BE84+BG84-10)*Crechee/30*FP$4,0),IF(C81=2,IF(BF81+BF82+BF83+BF84+BH81+BH82+BH83+BH84=1,Cadeirante/30*FP$4,IF(BF81+BF82+BF83+BF84+BH81+BH82+BH83+BH84=2,Fixo/30*FP$4,IF(BF81+BF82+BF83+BF84+BH81+BH82+BH83+BH84&gt;2,Fixo/30*FP$4+(BF81+BF82+BF83+BF84+BH81+BH82+BH83+BH84-2)*Cadeirante/30*FP$4)))+(BE81+BE82+BE83+BG81+BG82+BG83)*Percapita/30*FP$4+(BE84+BG84)*Crechee/30*FP$4,IF(C81=1,IF(BE81+BE82+BE83+BF81+BF82+BF83+BG81+BG82+BG83+BH81+BH82+BH83&lt;=15,(BE81+BE82+BE83+BG81+BG82+BG83)*Percapita/30*FP$4,IF(BE81+BE82+BE83+BF81+BF82+BF83+BG81+BG82+BG83+BH81+BH82+BH83&gt;=16,Fixo/30*FP$4+(BE81+BE82+BE83+BF81+BF82+BF83+BG81+BG82+BG83+BH81+BH82-16)*Percapita/30*FP$4))))))</f>
        <v>0</v>
      </c>
      <c r="FQ81" s="177">
        <f>IF(C81=4,SUM(BI81+BI82+BI83+BK81+BK82+BK83)*Percapita/30*FQ$4+(BJ81+BJ82+BJ83+BL81+BL82+BL83)*Cadeirante/30*FQ$4,IF(C81=3,IF(BI84+BK84=10,Fixo/30*FQ$4+(BI81+BI82+BI83+BK81+BK82+BK83)*Percapita/30*FQ$4+(BJ84+BL84)*Cadeirante/30*FQ$4,IF(BI84+BK84&lt;=9,(BI84+BK84)*Crechee/30*FQ$4)+(BJ84+BL84)*Cadeirante/30*FQ$4+(BI81+BI82+BI83+BK81+BK82+BK83)*Percapita/30*FQ$4)+IF(BI84+BK84&gt;=11,Fixo/30*FQ$4+(BI84+BK84-10)*Crechee/30*FQ$4,0),IF(C81=2,IF(BJ81+BJ82+BJ83+BJ84+BL81+BL82+BL83+BL84=1,Cadeirante/30*FQ$4,IF(BJ81+BJ82+BJ83+BJ84+BL81+BL82+BL83+BL84=2,Fixo/30*FQ$4,IF(BJ81+BJ82+BJ83+BJ84+BL81+BL82+BL83+BL84&gt;2,Fixo/30*FQ$4+(BJ81+BJ82+BJ83+BJ84+BL81+BL82+BL83+BL84-2)*Cadeirante/30*FQ$4)))+(BI81+BI82+BI83+BK81+BK82+BK83)*Percapita/30*FQ$4+(BI84+BK84)*Crechee/30*FQ$4,IF(C81=1,IF(BI81+BI82+BI83+BJ81+BJ82+BJ83+BK81+BK82+BK83+BL81+BL82+BL83&lt;=15,(BI81+BI82+BI83+BK81+BK82+BK83)*Percapita/30*FQ$4,IF(BI81+BI82+BI83+BJ81+BJ82+BJ83+BK81+BK82+BK83+BL81+BL82+BL83&gt;=16,Fixo/30*FQ$4+(BI81+BI82+BI83+BJ81+BJ82+BJ83+BK81+BK82+BK83+BL81+BL82-16)*Percapita/30*FQ$4))))))</f>
        <v>0</v>
      </c>
      <c r="FR81" s="177">
        <f>IF(C81=4,SUM(BM81+BM82+BM83+BO81+BO82+BO83)*Percapita/30*FR$4+(BN81+BN82+BN83+BP81+BP82+BP83)*Cadeirante/30*FR$4,IF(C81=3,IF(BM84+BO84=10,Fixo/30*FR$4+(BM81+BM82+BM83+BO81+BO82+BO83)*Percapita/30*FR$4+(BN84+BP84)*Cadeirante/30*FR$4,IF(BM84+BO84&lt;=9,(BM84+BO84)*Crechee/30*FR$4)+(BN84+BP84)*Cadeirante/30*FR$4+(BM81+BM82+BM83+BO81+BO82+BO83)*Percapita/30*FR$4)+IF(BM84+BO84&gt;=11,Fixo/30*FR$4+(BM84+BO84-10)*Crechee/30*FR$4,0),IF(C81=2,IF(BN81+BN82+BN83+BN84+BP81+BP82+BP83+BP84=1,Cadeirante/30*FR$4,IF(BN81+BN82+BN83+BN84+BP81+BP82+BP83+BP84=2,Fixo/30*FR$4,IF(BN81+BN82+BN83+BN84+BP81+BP82+BP83+BP84&gt;2,Fixo/30*FR$4+(BN81+BN82+BN83+BN84+BP81+BP82+BP83+BP84-2)*Cadeirante/30*FR$4)))+(BM81+BM82+BM83+BO81+BO82+BO83)*Percapita/30*FR$4+(BM84+BO84)*Crechee/30*FR$4,IF(C81=1,IF(BM81+BM82+BM83+BN81+BN82+BN83+BO81+BO82+BO83+BP81+BP82+BP83&lt;=15,(BM81+BM82+BM83+BO81+BO82+BO83)*Percapita/30*FR$4,IF(BM81+BM82+BM83+BN81+BN82+BN83+BO81+BO82+BO83+BP81+BP82+BP83&gt;=16,Fixo/30*FR$4+(BM81+BM82+BM83+BN81+BN82+BN83+BO81+BO82+BO83+BP81+BP82-16)*Percapita/30*FR$4))))))</f>
        <v>0</v>
      </c>
      <c r="FS81" s="177">
        <f>IF(C81=4,SUM(BQ81+BQ82+BQ83+BS81+BS82+BS83)*Percapita/30*FS$4+(BR81+BR82+BR83+BT81+BT82+BT83)*Cadeirante/30*FS$4,IF(C81=3,IF(BQ84+BS84=10,Fixo/30*FS$4+(BQ81+BQ82+BQ83+BS81+BS82+BS83)*Percapita/30*FS$4+(BR84+BT84)*Cadeirante/30*FS$4,IF(BQ84+BS84&lt;=9,(BQ84+BS84)*Crechee/30*FS$4)+(BR84+BT84)*Cadeirante/30*FS$4+(BQ81+BQ82+BQ83+BS81+BS82+BS83)*Percapita/30*FS$4)+IF(BQ84+BS84&gt;=11,Fixo/30*FS$4+(BQ84+BS84-10)*Crechee/30*FS$4,0),IF(C81=2,IF(BR81+BR82+BR83+BR84+BT81+BT82+BT83+BT84=1,Cadeirante/30*FS$4,IF(BR81+BR82+BR83+BR84+BT81+BT82+BT83+BT84=2,Fixo/30*FS$4,IF(BR81+BR82+BR83+BR84+BT81+BT82+BT83+BT84&gt;2,Fixo/30*FS$4+(BR81+BR82+BR83+BR84+BT81+BT82+BT83+BT84-2)*Cadeirante/30*FS$4)))+(BQ81+BQ82+BQ83+BS81+BS82+BS83)*Percapita/30*FS$4+(BQ84+BS84)*Crechee/30*FS$4,IF(C81=1,IF(BQ81+BQ82+BQ83+BR81+BR82+BR83+BS81+BS82+BS83+BT81+BT82+BT83&lt;=15,(BQ81+BQ82+BQ83+BS81+BS82+BS83)*Percapita/30*FS$4,IF(BQ81+BQ82+BQ83+BR81+BR82+BR83+BS81+BS82+BS83+BT81+BT82+BT83&gt;=16,Fixo/30*FS$4+(BQ81+BQ82+BQ83+BR81+BR82+BR83+BS81+BS82+BS83+BT81+BT82-16)*Percapita/30*FS$4))))))</f>
        <v>0</v>
      </c>
      <c r="FT81" s="177">
        <f>IF(C81=4,SUM(BU81+BU82+BU83+BW81+BW82+BW83)*Percapita/30*FT$4+(BV81+BV82+BV83+BX81+BX82+BX83)*Cadeirante/30*FT$4,IF(C81=3,IF(BU84+BW84=10,Fixo/30*FT$4+(BU81+BU82+BU83+BW81+BW82+BW83)*Percapita/30*FT$4+(BV84+BX84)*Cadeirante/30*FT$4,IF(BU84+BW84&lt;=9,(BU84+BW84)*Crechee/30*FT$4)+(BV84+BX84)*Cadeirante/30*FT$4+(BU81+BU82+BU83+BW81+BW82+BW83)*Percapita/30*FT$4)+IF(BU84+BW84&gt;=11,Fixo/30*FT$4+(BU84+BW84-10)*Crechee/30*FT$4,0),IF(C81=2,IF(BV81+BV82+BV83+BV84+BX81+BX82+BX83+BX84=1,Cadeirante/30*FT$4,IF(BV81+BV82+BV83+BV84+BX81+BX82+BX83+BX84=2,Fixo/30*FT$4,IF(BV81+BV82+BV83+BV84+BX81+BX82+BX83+BX84&gt;2,Fixo/30*FT$4+(BV81+BV82+BV83+BV84+BX81+BX82+BX83+BX84-2)*Cadeirante/30*FT$4)))+(BU81+BU82+BU83+BW81+BW82+BW83)*Percapita/30*FT$4+(BU84+BW84)*Crechee/30*FT$4,IF(C81=1,IF(BU81+BU82+BU83+BV81+BV82+BV83+BW81+BW82+BW83+BX81+BX82+BX83&lt;=15,(BU81+BU82+BU83+BW81+BW82+BW83)*Percapita/30*FT$4,IF(BU81+BU82+BU83+BV81+BV82+BV83+BW81+BW82+BW83+BX81+BX82+BX83&gt;=16,Fixo/30*FT$4+(BU81+BU82+BU83+BV81+BV82+BV83+BW81+BW82+BW83+BX81+BX82-16)*Percapita/30*FT$4))))))</f>
        <v>0</v>
      </c>
      <c r="FU81" s="177">
        <f>IF(C81=4,SUM(BY81+BY82+BY83+CA81+CA82+CA83)*Percapita/30*FU$4+(BZ81+BZ82+BZ83+CB81+CB82+CB83)*Cadeirante/30*FU$4,IF(C81=3,IF(BY84+CA84=10,Fixo/30*FU$4+(BY81+BY82+BY83+CA81+CA82+CA83)*Percapita/30*FU$4+(BZ84+CB84)*Cadeirante/30*FU$4,IF(BY84+CA84&lt;=9,(BY84+CA84)*Crechee/30*FU$4)+(BZ84+CB84)*Cadeirante/30*FU$4+(BY81+BY82+BY83+CA81+CA82+CA83)*Percapita/30*FU$4)+IF(BY84+CA84&gt;=11,Fixo/30*FU$4+(BY84+CA84-10)*Crechee/30*FU$4,0),IF(C81=2,IF(BZ81+BZ82+BZ83+BZ84+CB81+CB82+CB83+CB84=1,Cadeirante/30*FU$4,IF(BZ81+BZ82+BZ83+BZ84+CB81+CB82+CB83+CB84=2,Fixo/30*FU$4,IF(BZ81+BZ82+BZ83+BZ84+CB81+CB82+CB83+CB84&gt;2,Fixo/30*FU$4+(BZ81+BZ82+BZ83+BZ84+CB81+CB82+CB83+CB84-2)*Cadeirante/30*FU$4)))+(BY81+BY82+BY83+CA81+CA82+CA83)*Percapita/30*FU$4+(BY84+CA84)*Crechee/30*FU$4,IF(C81=1,IF(BY81+BY82+BY83+BZ81+BZ82+BZ83+CA81+CA82+CA83+CB81+CB82+CB83&lt;=15,(BY81+BY82+BY83+CA81+CA82+CA83)*Percapita/30*FU$4,IF(BY81+BY82+BY83+BZ81+BZ82+BZ83+CA81+CA82+CA83+CB81+CB82+CB83&gt;=16,Fixo/30*FU$4+(BY81+BY82+BY83+BZ81+BZ82+BZ83+CA81+CA82+CA83+CB81+CB82-16)*Percapita/30*FU$4))))))</f>
        <v>0</v>
      </c>
      <c r="FV81" s="177">
        <f>IF(C81=4,SUM(CC81+CC82+CC83+CE81+CE82+CE83)*Percapita/30*FV$4+(CD81+CD82+CD83+CF81+CF82+CF83)*Cadeirante/30*FV$4,IF(C81=3,IF(CC84+CE84=10,Fixo/30*FV$4+(CC81+CC82+CC83+CE81+CE82+CE83)*Percapita/30*FV$4+(CD84+CF84)*Cadeirante/30*FV$4,IF(CC84+CE84&lt;=9,(CC84+CE84)*Crechee/30*FV$4)+(CD84+CF84)*Cadeirante/30*FV$4+(CC81+CC82+CC83+CE81+CE82+CE83)*Percapita/30*FV$4)+IF(CC84+CE84&gt;=11,Fixo/30*FV$4+(CC84+CE84-10)*Crechee/30*FV$4,0),IF(C81=2,IF(CD81+CD82+CD83+CD84+CF81+CF82+CF83+CF84=1,Cadeirante/30*FV$4,IF(CD81+CD82+CD83+CD84+CF81+CF82+CF83+CF84=2,Fixo/30*FV$4,IF(CD81+CD82+CD83+CD84+CF81+CF82+CF83+CF84&gt;2,Fixo/30*FV$4+(CD81+CD82+CD83+CD84+CF81+CF82+CF83+CF84-2)*Cadeirante/30*FV$4)))+(CC81+CC82+CC83+CE81+CE82+CE83)*Percapita/30*FV$4+(CC84+CE84)*Crechee/30*FV$4,IF(C81=1,IF(CC81+CC82+CC83+CD81+CD82+CD83+CE81+CE82+CE83+CF81+CF82+CF83&lt;=15,(CC81+CC82+CC83+CE81+CE82+CE83)*Percapita/30*FV$4,IF(CC81+CC82+CC83+CD81+CD82+CD83+CE81+CE82+CE83+CF81+CF82+CF83&gt;=16,Fixo/30*FV$4+(CC81+CC82+CC83+CD81+CD82+CD83+CE81+CE82+CE83+CF81+CF82-16)*Percapita/30*FV$4))))))</f>
        <v>0</v>
      </c>
      <c r="FW81" s="177">
        <f>IF(C81=4,SUM(CG81+CG82+CG83+CI81+CI82+CI83)*Percapita/30*FW$4+(CH81+CH82+CH83+CJ81+CJ82+CJ83)*Cadeirante/30*FW$4,IF(C81=3,IF(CG84+CI84=10,Fixo/30*FW$4+(CG81+CG82+CG83+CI81+CI82+CI83)*Percapita/30*FW$4+(CH84+CJ84)*Cadeirante/30*FW$4,IF(CG84+CI84&lt;=9,(CG84+CI84)*Crechee/30*FW$4)+(CH84+CJ84)*Cadeirante/30*FW$4+(CG81+CG82+CG83+CI81+CI82+CI83)*Percapita/30*FW$4)+IF(CG84+CI84&gt;=11,Fixo/30*FW$4+(CG84+CI84-10)*Crechee/30*FW$4,0),IF(C81=2,IF(CH81+CH82+CH83+CH84+CJ81+CJ82+CJ83+CJ84=1,Cadeirante/30*FW$4,IF(CH81+CH82+CH83+CH84+CJ81+CJ82+CJ83+CJ84=2,Fixo/30*FW$4,IF(CH81+CH82+CH83+CH84+CJ81+CJ82+CJ83+CJ84&gt;2,Fixo/30*FW$4+(CH81+CH82+CH83+CH84+CJ81+CJ82+CJ83+CJ84-2)*Cadeirante/30*FW$4)))+(CG81+CG82+CG83+CI81+CI82+CI83)*Percapita/30*FW$4+(CG84+CI84)*Crechee/30*FW$4,IF(C81=1,IF(CG81+CG82+CG83+CH81+CH82+CH83+CI81+CI82+CI83+CJ81+CJ82+CJ83&lt;=15,(CG81+CG82+CG83+CI81+CI82+CI83)*Percapita/30*FW$4,IF(CG81+CG82+CG83+CH81+CH82+CH83+CI81+CI82+CI83+CJ81+CJ82+CJ83&gt;=16,Fixo/30*FW$4+(CG81+CG82+CG83+CH81+CH82+CH83+CI81+CI82+CI83+CJ81+CJ82-16)*Percapita/30*FW$4))))))</f>
        <v>0</v>
      </c>
      <c r="FX81" s="177">
        <f>IF(C81=4,SUM(CK81+CK82+CK83+CM81+CM82+CM83)*Percapita/30*FX$4+(CL81+CL82+CL83+CN81+CN82+CN83)*Cadeirante/30*FX$4,IF(C81=3,IF(CK84+CM84=10,Fixo/30*FX$4+(CK81+CK82+CK83+CM81+CM82+CM83)*Percapita/30*FX$4+(CL84+CN84)*Cadeirante/30*FX$4,IF(CK84+CM84&lt;=9,(CK84+CM84)*Crechee/30*FX$4)+(CL84+CN84)*Cadeirante/30*FX$4+(CK81+CK82+CK83+CM81+CM82+CM83)*Percapita/30*FX$4)+IF(CK84+CM84&gt;=11,Fixo/30*FX$4+(CK84+CM84-10)*Crechee/30*FX$4,0),IF(C81=2,IF(CL81+CL82+CL83+CL84+CN81+CN82+CN83+CN84=1,Cadeirante/30*FX$4,IF(CL81+CL82+CL83+CL84+CN81+CN82+CN83+CN84=2,Fixo/30*FX$4,IF(CL81+CL82+CL83+CL84+CN81+CN82+CN83+CN84&gt;2,Fixo/30*FX$4+(CL81+CL82+CL83+CL84+CN81+CN82+CN83+CN84-2)*Cadeirante/30*FX$4)))+(CK81+CK82+CK83+CM81+CM82+CM83)*Percapita/30*FX$4+(CK84+CM84)*Crechee/30*FX$4,IF(C81=1,IF(CK81+CK82+CK83+CL81+CL82+CL83+CM81+CM82+CM83+CN81+CN82+CN83&lt;=15,(CK81+CK82+CK83+CM81+CM82+CM83)*Percapita/30*FX$4,IF(CK81+CK82+CK83+CL81+CL82+CL83+CM81+CM82+CM83+CN81+CN82+CN83&gt;=16,Fixo/30*FX$4+(CK81+CK82+CK83+CL81+CL82+CL83+CM81+CM82+CM83+CN81+CN82-16)*Percapita/30*FX$4))))))</f>
        <v>0</v>
      </c>
      <c r="FY81" s="177">
        <f>IF(C81=4,SUM(CO81+CO82+CO83+CQ81+CQ82+CQ83)*Percapita/30*FY$4+(CP81+CP82+CP83+CR81+CR82+CR83)*Cadeirante/30*FY$4,IF(C81=3,IF(CO84+CQ84=10,Fixo/30*FY$4+(CO81+CO82+CO83+CQ81+CQ82+CQ83)*Percapita/30*FY$4+(CP84+CR84)*Cadeirante/30*FY$4,IF(CO84+CQ84&lt;=9,(CO84+CQ84)*Crechee/30*FY$4)+(CP84+CR84)*Cadeirante/30*FY$4+(CO81+CO82+CO83+CQ81+CQ82+CQ83)*Percapita/30*FY$4)+IF(CO84+CQ84&gt;=11,Fixo/30*FY$4+(CO84+CQ84-10)*Crechee/30*FY$4,0),IF(C81=2,IF(CP81+CP82+CP83+CP84+CR81+CR82+CR83+CR84=1,Cadeirante/30*FY$4,IF(CP81+CP82+CP83+CP84+CR81+CR82+CR83+CR84=2,Fixo/30*FY$4,IF(CP81+CP82+CP83+CP84+CR81+CR82+CR83+CR84&gt;2,Fixo/30*FY$4+(CP81+CP82+CP83+CP84+CR81+CR82+CR83+CR84-2)*Cadeirante/30*FY$4)))+(CO81+CO82+CO83+CQ81+CQ82+CQ83)*Percapita/30*FY$4+(CO84+CQ84)*Crechee/30*FY$4,IF(C81=1,IF(CO81+CO82+CO83+CP81+CP82+CP83+CQ81+CQ82+CQ83+CR81+CR82+CR83&lt;=15,(CO81+CO82+CO83+CQ81+CQ82+CQ83)*Percapita/30*FY$4,IF(CO81+CO82+CO83+CP81+CP82+CP83+CQ81+CQ82+CQ83+CR81+CR82+CR83&gt;=16,Fixo/30*FY$4+(CO81+CO82+CO83+CP81+CP82+CP83+CQ81+CQ82+CQ83+CR81+CR82-16)*Percapita/30*FY$4))))))</f>
        <v>0</v>
      </c>
      <c r="FZ81" s="177">
        <f>IF(C81=4,SUM(CS81+CS82+CS83+CU81+CU82+CU83)*Percapita/30*FZ$4+(CT81+CT82+CT83+CV81+CV82+CV83)*Cadeirante/30*FZ$4,IF(C81=3,IF(CS84+CU84=10,Fixo/30*FZ$4+(CS81+CS82+CS83+CU81+CU82+CU83)*Percapita/30*FZ$4+(CT84+CV84)*Cadeirante/30*FZ$4,IF(CS84+CU84&lt;=9,(CS84+CU84)*Crechee/30*FZ$4)+(CT84+CV84)*Cadeirante/30*FZ$4+(CS81+CS82+CS83+CU81+CU82+CU83)*Percapita/30*FZ$4)+IF(CS84+CU84&gt;=11,Fixo/30*FZ$4+(CS84+CU84-10)*Crechee/30*FZ$4,0),IF(C81=2,IF(CT81+CT82+CT83+CT84+CV81+CV82+CV83+CV84=1,Cadeirante/30*FZ$4,IF(CT81+CT82+CT83+CT84+CV81+CV82+CV83+CV84=2,Fixo/30*FZ$4,IF(CT81+CT82+CT83+CT84+CV81+CV82+CV83+CV84&gt;2,Fixo/30*FZ$4+(CT81+CT82+CT83+CT84+CV81+CV82+CV83+CV84-2)*Cadeirante/30*FZ$4)))+(CS81+CS82+CS83+CU81+CU82+CU83)*Percapita/30*FZ$4+(CS84+CU84)*Crechee/30*FZ$4,IF(C81=1,IF(CS81+CS82+CS83+CT81+CT82+CT83+CU81+CU82+CU83+CV81+CV82+CV83&lt;=15,(CS81+CS82+CS83+CU81+CU82+CU83)*Percapita/30*FZ$4,IF(CS81+CS82+CS83+CT81+CT82+CT83+CU81+CU82+CU83+CV81+CV82+CV83&gt;=16,Fixo/30*FZ$4+(CS81+CS82+CS83+CT81+CT82+CT83+CU81+CU82+CU83+CV81+CV82-16)*Percapita/30*FZ$4))))))</f>
        <v>0</v>
      </c>
      <c r="GA81" s="177">
        <f>IF(C81=4,SUM(CW81+CW82+CW83+CY81+CY82+CY83)*Percapita/30*GA$4+(CX81+CX82+CX83+CZ81+CZ82+CZ83)*Cadeirante/30*GA$4,IF(C81=3,IF(CW84+CY84=10,Fixo/30*GA$4+(CW81+CW82+CW83+CY81+CY82+CY83)*Percapita/30*GA$4+(CX84+CZ84)*Cadeirante/30*GA$4,IF(CW84+CY84&lt;=9,(CW84+CY84)*Crechee/30*GA$4)+(CX84+CZ84)*Cadeirante/30*GA$4+(CW81+CW82+CW83+CY81+CY82+CY83)*Percapita/30*GA$4)+IF(CW84+CY84&gt;=11,Fixo/30*GA$4+(CW84+CY84-10)*Crechee/30*GA$4,0),IF(C81=2,IF(CX81+CX82+CX83+CX84+CZ81+CZ82+CZ83+CZ84=1,Cadeirante/30*GA$4,IF(CX81+CX82+CX83+CX84+CZ81+CZ82+CZ83+CZ84=2,Fixo/30*GA$4,IF(CX81+CX82+CX83+CX84+CZ81+CZ82+CZ83+CZ84&gt;2,Fixo/30*GA$4+(CX81+CX82+CX83+CX84+CZ81+CZ82+CZ83+CZ84-2)*Cadeirante/30*GA$4)))+(CW81+CW82+CW83+CY81+CY82+CY83)*Percapita/30*GA$4+(CW84+CY84)*Crechee/30*GA$4,IF(C81=1,IF(CW81+CW82+CW83+CX81+CX82+CX83+CY81+CY82+CY83+CZ81+CZ82+CZ83&lt;=15,(CW81+CW82+CW83+CY81+CY82+CY83)*Percapita/30*GA$4,IF(CW81+CW82+CW83+CX81+CX82+CX83+CY81+CY82+CY83+CZ81+CZ82+CZ83&gt;=16,Fixo/30*GA$4+(CW81+CW82+CW83+CX81+CX82+CX83+CY81+CY82+CY83+CZ81+CZ82-16)*Percapita/30*GA$4))))))</f>
        <v>0</v>
      </c>
      <c r="GB81" s="177">
        <f>IF(C81=4,SUM(DA81+DA82+DA83+DC81+DC82+DC83)*Percapita/30*GB$4+(DB81+DB82+DB83+DD81+DD82+DD83)*Cadeirante/30*GB$4,IF(C81=3,IF(DA84+DC84=10,Fixo/30*GB$4+(DA81+DA82+DA83+DC81+DC82+DC83)*Percapita/30*GB$4+(DB84+DD84)*Cadeirante/30*GB$4,IF(DA84+DC84&lt;=9,(DA84+DC84)*Crechee/30*GB$4)+(DB84+DD84)*Cadeirante/30*GB$4+(DA81+DA82+DA83+DC81+DC82+DC83)*Percapita/30*GB$4)+IF(DA84+DC84&gt;=11,Fixo/30*GB$4+(DA84+DC84-10)*Crechee/30*GB$4,0),IF(C81=2,IF(DB81+DB82+DB83+DB84+DD81+DD82+DD83+DD84=1,Cadeirante/30*GB$4,IF(DB81+DB82+DB83+DB84+DD81+DD82+DD83+DD84=2,Fixo/30*GB$4,IF(DB81+DB82+DB83+DB84+DD81+DD82+DD83+DD84&gt;2,Fixo/30*GB$4+(DB81+DB82+DB83+DB84+DD81+DD82+DD83+DD84-2)*Cadeirante/30*GB$4)))+(DA81+DA82+DA83+DC81+DC82+DC83)*Percapita/30*GB$4+(DA84+DC84)*Crechee/30*GB$4,IF(C81=1,IF(DA81+DA82+DA83+DB81+DB82+DB83+DC81+DC82+DC83+DD81+DD82+DD83&lt;=15,(DA81+DA82+DA83+DC81+DC82+DC83)*Percapita/30*GB$4,IF(DA81+DA82+DA83+DB81+DB82+DB83+DC81+DC82+DC83+DD81+DD82+DD83&gt;=16,Fixo/30*GB$4+(DA81+DA82+DA83+DB81+DB82+DB83+DC81+DC82+DC83+DD81+DD82-16)*Percapita/30*GB$4))))))</f>
        <v>0</v>
      </c>
      <c r="GC81" s="177">
        <f>IF(C81=4,SUM(DE81+DE82+DE83+DG81+DG82+DG83)*Percapita/30*GC$4+(DF81+DF82+DF83+DH81+DH82+DH83)*Cadeirante/30*GC$4,IF(C81=3,IF(DE84+DG84=10,Fixo/30*GC$4+(DE81+DE82+DE83+DG81+DG82+DG83)*Percapita/30*GC$4+(DF84+DH84)*Cadeirante/30*GC$4,IF(DE84+DG84&lt;=9,(DE84+DG84)*Crechee/30*GC$4)+(DF84+DH84)*Cadeirante/30*GC$4+(DE81+DE82+DE83+DG81+DG82+DG83)*Percapita/30*GC$4)+IF(DE84+DG84&gt;=11,Fixo/30*GC$4+(DE84+DG84-10)*Crechee/30*GC$4,0),IF(C81=2,IF(DF81+DF82+DF83+DF84+DH81+DH82+DH83+DH84=1,Cadeirante/30*GC$4,IF(DF81+DF82+DF83+DF84+DH81+DH82+DH83+DH84=2,Fixo/30*GC$4,IF(DF81+DF82+DF83+DF84+DH81+DH82+DH83+DH84&gt;2,Fixo/30*GC$4+(DF81+DF82+DF83+DF84+DH81+DH82+DH83+DH84-2)*Cadeirante/30*GC$4)))+(DE81+DE82+DE83+DG81+DG82+DG83)*Percapita/30*GC$4+(DE84+DG84)*Crechee/30*GC$4,IF(C81=1,IF(DE81+DE82+DE83+DF81+DF82+DF83+DG81+DG82+DG83+DH81+DH82+DH83&lt;=15,(DE81+DE82+DE83+DG81+DG82+DG83)*Percapita/30*GC$4,IF(DE81+DE82+DE83+DF81+DF82+DF83+DG81+DG82+DG83+DH81+DH82+DH83&gt;=16,Fixo/30*GC$4+(DE81+DE82+DE83+DF81+DF82+DF83+DG81+DG82+DG83+DH81+DH82-16)*Percapita/30*GC$4))))))</f>
        <v>0</v>
      </c>
      <c r="GD81" s="177">
        <f>IF(C81=4,SUM(DI81+DI82+DI83+DK81+DK82+DK83)*Percapita/30*GD$4+(DJ81+DJ82+DJ83+DL81+DL82+DL83)*Cadeirante/30*GD$4,IF(C81=3,IF(DI84+DK84=10,Fixo/30*GD$4+(DI81+DI82+DI83+DK81+DK82+DK83)*Percapita/30*GD$4+(DJ84+DL84)*Cadeirante/30*GD$4,IF(DI84+DK84&lt;=9,(DI84+DK84)*Crechee/30*GD$4)+(DJ84+DL84)*Cadeirante/30*GD$4+(DI81+DI82+DI83+DK81+DK82+DK83)*Percapita/30*GD$4)+IF(DI84+DK84&gt;=11,Fixo/30*GD$4+(DI84+DK84-10)*Crechee/30*GD$4,0),IF(C81=2,IF(DJ81+DJ82+DJ83+DJ84+DL81+DL82+DL83+DL84=1,Cadeirante/30*GD$4,IF(DJ81+DJ82+DJ83+DJ84+DL81+DL82+DL83+DL84=2,Fixo/30*GD$4,IF(DJ81+DJ82+DJ83+DJ84+DL81+DL82+DL83+DL84&gt;2,Fixo/30*GD$4+(DJ81+DJ82+DJ83+DJ84+DL81+DL82+DL83+DL84-2)*Cadeirante/30*GD$4)))+(DI81+DI82+DI83+DK81+DK82+DK83)*Percapita/30*GD$4+(DI84+DK84)*Crechee/30*GD$4,IF(C81=1,IF(DI81+DI82+DI83+DJ81+DJ82+DJ83+DK81+DK82+DK83+DL81+DL82+DL83&lt;=15,(DI81+DI82+DI83+DK81+DK82+DK83)*Percapita/30*GD$4,IF(DI81+DI82+DI83+DJ81+DJ82+DJ83+DK81+DK82+DK83+DL81+DL82+DL83&gt;=16,Fixo/30*GD$4+(DI81+DI82+DI83+DJ81+DJ82+DJ83+DK81+DK82+DK83+DL81+DL82-16)*Percapita/30*GD$4))))))</f>
        <v>0</v>
      </c>
      <c r="GE81" s="177">
        <f>IF(C81=4,SUM(DM81+DM82+DM83+DO81+DO82+DO83)*Percapita/30*GE$4+(DN81+DN82+DN83+DP81+DP82+DP83)*Cadeirante/30*GE$4,IF(C81=3,IF(DM84+DO84=10,Fixo/30*GE$4+(DM81+DM82+DM83+DO81+DO82+DO83)*Percapita/30*GE$4+(DN84+DP84)*Cadeirante/30*GE$4,IF(DM84+DO84&lt;=9,(DM84+DO84)*Crechee/30*GE$4)+(DN84+DP84)*Cadeirante/30*GE$4+(DM81+DM82+DM83+DO81+DO82+DO83)*Percapita/30*GE$4)+IF(DM84+DO84&gt;=11,Fixo/30*GE$4+(DM84+DO84-10)*Crechee/30*GE$4,0),IF(C81=2,IF(DN81+DN82+DN83+DN84+DP81+DP82+DP83+DP84=1,Cadeirante/30*GE$4,IF(DN81+DN82+DN83+DN84+DP81+DP82+DP83+DP84=2,Fixo/30*GE$4,IF(DN81+DN82+DN83+DN84+DP81+DP82+DP83+DP84&gt;2,Fixo/30*GE$4+(DN81+DN82+DN83+DN84+DP81+DP82+DP83+DP84-2)*Cadeirante/30*GE$4)))+(DM81+DM82+DM83+DO81+DO82+DO83)*Percapita/30*GE$4+(DM84+DO84)*Crechee/30*GE$4,IF(C81=1,IF(DM81+DM82+DM83+DN81+DN82+DN83+DO81+DO82+DO83+DP81+DP82+DP83&lt;=15,(DM81+DM82+DM83+DO81+DO82+DO83)*Percapita/30*GE$4,IF(DM81+DM82+DM83+DN81+DN82+DN83+DO81+DO82+DO83+DP81+DP82+DP83&gt;=16,Fixo/30*GE$4+(DM81+DM82+DM83+DN81+DN82+DN83+DO81+DO82+DO83+DP81+DP82-16)*Percapita/30*GE$4))))))</f>
        <v>0</v>
      </c>
      <c r="GF81" s="177">
        <f>IF(C81=4,SUM(DQ81+DQ82+DQ83+DS81+DS82+DS83)*Percapita/30*GF$4+(DR81+DR82+DR83+DT81+DT82+DT83)*Cadeirante/30*GF$4,IF(C81=3,IF(DQ84+DS84=10,Fixo/30*GF$4+(DQ81+DQ82+DQ83+DS81+DS82+DS83)*Percapita/30*GF$4+(DR84+DT84)*Cadeirante/30*GF$4,IF(DQ84+DS84&lt;=9,(DQ84+DS84)*Crechee/30*GF$4)+(DR84+DT84)*Cadeirante/30*GF$4+(DQ81+DQ82+DQ83+DS81+DS82+DS83)*Percapita/30*GF$4)+IF(DQ84+DS84&gt;=11,Fixo/30*GF$4+(DQ84+DS84-10)*Crechee/30*GF$4,0),IF(C81=2,IF(DR81+DR82+DR83+DR84+DT81+DT82+DT83+DT84=1,Cadeirante/30*GF$4,IF(DR81+DR82+DR83+DR84+DT81+DT82+DT83+DT84=2,Fixo/30*GF$4,IF(DR81+DR82+DR83+DR84+DT81+DT82+DT83+DT84&gt;2,Fixo/30*GF$4+(DR81+DR82+DR83+DR84+DT81+DT82+DT83+DT84-2)*Cadeirante/30*GF$4)))+(DQ81+DQ82+DQ83+DS81+DS82+DS83)*Percapita/30*GF$4+(DQ84+DS84)*Crechee/30*GF$4,IF(C81=1,IF(DQ81+DQ82+DQ83+DR81+DR82+DR83+DS81+DS82+DS83+DT81+DT82+DT83&lt;=15,(DQ81+DQ82+DQ83+DS81+DS82+DS83)*Percapita/30*GF$4,IF(DQ81+DQ82+DQ83+DR81+DR82+DR83+DS81+DS82+DS83+DT81+DT82+DT83&gt;=16,Fixo/30*GF$4+(DQ81+DQ82+DQ83+DR81+DR82+DR83+DS81+DS82+DS83+DT81+DT82-16)*Percapita/30*GF$4))))))</f>
        <v>0</v>
      </c>
      <c r="GG81" s="177">
        <f>IF(C81=4,SUM(DU81+DU82+DU83+DW81+DW82+DW83)*Percapita/30*GG$4+(DV81+DV82+DV83+DX81+DX82+DX83)*Cadeirante/30*GG$4,IF(C81=3,IF(DU84+DW84=10,Fixo/30*GG$4+(DU81+DU82+DU83+DW81+DW82+DW83)*Percapita/30*GG$4+(DV84+DX84)*Cadeirante/30*GG$4,IF(DU84+DW84&lt;=9,(DU84+DW84)*Crechee/30*GG$4)+(DV84+DX84)*Cadeirante/30*GG$4+(DU81+DU82+DU83+DW81+DW82+DW83)*Percapita/30*GG$4)+IF(DU84+DW84&gt;=11,Fixo/30*GG$4+(DU84+DW84-10)*Crechee/30*GG$4,0),IF(C81=2,IF(DV81+DV82+DV83+DV84+DX81+DX82+DX83+DX84=1,Cadeirante/30*GG$4,IF(DV81+DV82+DV83+DV84+DX81+DX82+DX83+DX84=2,Fixo/30*GG$4,IF(DV81+DV82+DV83+DV84+DX81+DX82+DX83+DX84&gt;2,Fixo/30*GG$4+(DV81+DV82+DV83+DV84+DX81+DX82+DX83+DX84-2)*Cadeirante/30*GG$4)))+(DU81+DU82+DU83+DW81+DW82+DW83)*Percapita/30*GG$4+(DU84+DW84)*Crechee/30*GG$4,IF(C81=1,IF(DU81+DU82+DU83+DV81+DV82+DV83+DW81+DW82+DW83+DX81+DX82+DX83&lt;=15,(DU81+DU82+DU83+DW81+DW82+DW83)*Percapita/30*GG$4,IF(DU81+DU82+DU83+DV81+DV82+DV83+DW81+DW82+DW83+DX81+DX82+DX83&gt;=16,Fixo/30*GG$4+(DU81+DU82+DU83+DV81+DV82+DV83+DW81+DW82+DW83+DX81+DX82-16)*Percapita/30*GG$4))))))</f>
        <v>0</v>
      </c>
      <c r="GH81" s="177">
        <f>IF(C81=4,SUM(DY81+DY82+DY83+EA81+EA82+EA83)*Percapita/30*GH$4+(DZ81+DZ82+DZ83+EB81+EB82+EB83)*Cadeirante/30*GH$4,IF(C81=3,IF(DY84+EA84=10,Fixo/30*GH$4+(DY81+DY82+DY83+EA81+EA82+EA83)*Percapita/30*GH$4+(DZ84+EB84)*Cadeirante/30*GH$4,IF(DY84+EA84&lt;=9,(DY84+EA84)*Crechee/30*GH$4)+(DZ84+EB84)*Cadeirante/30*GH$4+(DY81+DY82+DY83+EA81+EA82+EA83)*Percapita/30*GH$4)+IF(DY84+EA84&gt;=11,Fixo/30*GH$4+(DY84+EA84-10)*Crechee/30*GH$4,0),IF(C81=2,IF(DZ81+DZ82+DZ83+DZ84+EB81+EB82+EB83+EB84=1,Cadeirante/30*GH$4,IF(DZ81+DZ82+DZ83+DZ84+EB81+EB82+EB83+EB84=2,Fixo/30*GH$4,IF(DZ81+DZ82+DZ83+DZ84+EB81+EB82+EB83+EB84&gt;2,Fixo/30*GH$4+(DZ81+DZ82+DZ83+DZ84+EB81+EB82+EB83+EB84-2)*Cadeirante/30*GH$4)))+(DY81+DY82+DY83+EA81+EA82+EA83)*Percapita/30*GH$4+(DY84+EA84)*Crechee/30*GH$4,IF(C81=1,IF(DY81+DY82+DY83+DZ81+DZ82+DZ83+EA81+EA82+EA83+EB81+EB82+EB83&lt;=15,(DY81+DY82+DY83+EA81+EA82+EA83)*Percapita/30*GH$4,IF(DY81+DY82+DY83+DZ81+DZ82+DZ83+EA81+EA82+EA83+EB81+EB82+EB83&gt;=16,Fixo/30*GH$4+(DY81+DY82+DY83+DZ81+DZ82+DZ83+EA81+EA82+EA83+EB81+EB82-16)*Percapita/30*GH$4))))))</f>
        <v>0</v>
      </c>
      <c r="GI81" s="177">
        <f>IF(C81=4,SUM(EC81+EC82+EC83+EE81+EE82+EE83)*Percapita/30*GI$4+(ED81+ED82+ED83+EF81+EF82+EF83)*Cadeirante/30*GI$4,IF(C81=3,IF(EC84+EE84=10,Fixo/30*GI$4+(EC81+EC82+EC83+EE81+EE82+EE83)*Percapita/30*GI$4+(ED84+EF84)*Cadeirante/30*GI$4,IF(EC84+EE84&lt;=9,(EC84+EE84)*Crechee/30*GI$4)+(ED84+EF84)*Cadeirante/30*GI$4+(EC81+EC82+EC83+EE81+EE82+EE83)*Percapita/30*GI$4)+IF(EC84+EE84&gt;=11,Fixo/30*GI$4+(EC84+EE84-10)*Crechee/30*GI$4,0),IF(C81=2,IF(ED81+ED82+ED83+ED84+EF81+EF82+EF83+EF84=1,Cadeirante/30*GI$4,IF(ED81+ED82+ED83+ED84+EF81+EF82+EF83+EF84=2,Fixo/30*GI$4,IF(ED81+ED82+ED83+ED84+EF81+EF82+EF83+EF84&gt;2,Fixo/30*GI$4+(ED81+ED82+ED83+ED84+EF81+EF82+EF83+EF84-2)*Cadeirante/30*GI$4)))+(EC81+EC82+EC83+EE81+EE82+EE83)*Percapita/30*GI$4+(EC84+EE84)*Crechee/30*GI$4,IF(C81=1,IF(EC81+EC82+EC83+ED81+ED82+ED83+EE81+EE82+EE83+EF81+EF82+EF83&lt;=15,(EC81+EC82+EC83+EE81+EE82+EE83)*Percapita/30*GI$4,IF(EC81+EC82+EC83+ED81+ED82+ED83+EE81+EE82+EE83+EF81+EF82+EF83&gt;=16,Fixo/30*GI$4+(EC81+EC82+EC83+ED81+ED82+ED83+EE81+EE82+EE83+EF81+EF82-16)*Percapita/30*GI$4))))))</f>
        <v>0</v>
      </c>
      <c r="GJ81" s="177">
        <f>IF(C81=4,SUM(EG81+EG82+EG83+EI81+EI82+EI83)*Percapita/30*GJ$4+(EH81+EH82+EH83+EJ81+EJ82+EJ83)*Cadeirante/30*GJ$4,IF(C81=3,IF(EG84+EI84=10,Fixo/30*GJ$4+(EG81+EG82+EG83+EI81+EI82+EI83)*Percapita/30*GJ$4+(EH84+EJ84)*Cadeirante/30*GJ$4,IF(EG84+EI84&lt;=9,(EG84+EI84)*Crechee/30*GJ$4)+(EH84+EJ84)*Cadeirante/30*GJ$4+(EG81+EG82+EG83+EI81+EI82+EI83)*Percapita/30*GJ$4)+IF(EG84+EI84&gt;=11,Fixo/30*GJ$4+(EG84+EI84-10)*Crechee/30*GJ$4,0),IF(C81=2,IF(EH81+EH82+EH83+EH84+EJ81+EJ82+EJ83+EJ84=1,Cadeirante/30*GJ$4,IF(EH81+EH82+EH83+EH84+EJ81+EJ82+EJ83+EJ84=2,Fixo/30*GJ$4,IF(EH81+EH82+EH83+EH84+EJ81+EJ82+EJ83+EJ84&gt;2,Fixo/30*GJ$4+(EH81+EH82+EH83+EH84+EJ81+EJ82+EJ83+EJ84-2)*Cadeirante/30*GJ$4)))+(EG81+EG82+EG83+EI81+EI82+EI83)*Percapita/30*GJ$4+(EG84+EI84)*Crechee/30*GJ$4,IF(C81=1,IF(EG81+EG82+EG83+EH81+EH82+EH83+EI81+EI82+EI83+EJ81+EJ82+EJ83&lt;=15,(EG81+EG82+EG83+EI81+EI82+EI83)*Percapita/30*GJ$4,IF(EG81+EG82+EG83+EH81+EH82+EH83+EI81+EI82+EI83+EJ81+EJ82+EJ83&gt;=16,Fixo/30*GJ$4+(EG81+EG82+EG83+EH81+EH82+EH83+EI81+EI82+EI83+EJ81+EJ82-16)*Percapita/30*GJ$4))))))</f>
        <v>0</v>
      </c>
      <c r="GK81" s="178"/>
      <c r="GL81" s="103">
        <f t="shared" si="102"/>
        <v>0</v>
      </c>
      <c r="GM81" s="124"/>
      <c r="GN81" s="104">
        <f>SUMIF(V81:V84,"&lt;0")*Cadeirante/30*GN$4+SUMIF(X81:X84,"&lt;0")*Cadeirante/30*GN$4</f>
        <v>0</v>
      </c>
      <c r="GO81" s="104">
        <f>SUMIF(Z81:Z84,"&lt;0")*Cadeirante/30*GO$4+SUMIF(AB81:AB84,"&lt;0")*Cadeirante/30*GO$4</f>
        <v>0</v>
      </c>
      <c r="GP81" s="104">
        <f>SUMIF(AD81:AD84,"&lt;0")*Cadeirante/30*GP$4+SUMIF(AF81:AF84,"&lt;0")*Cadeirante/30*GP$4</f>
        <v>0</v>
      </c>
      <c r="GQ81" s="104">
        <f>SUMIF(AH81:AH84,"&lt;0")*Cadeirante/30*GQ$4+SUMIF(AJ81:AJ84,"&lt;0")*Cadeirante/30*GQ$4</f>
        <v>0</v>
      </c>
      <c r="GR81" s="104">
        <f>SUMIF(AL81:AL84,"&lt;0")*Cadeirante/30*GR$4+SUMIF(AN81:AN84,"&lt;0")*Cadeirante/30*GR$4</f>
        <v>0</v>
      </c>
      <c r="GS81" s="104">
        <f>SUMIF(AP81:AP84,"&lt;0")*Cadeirante/30*GS$4+SUMIF(AR81:AR84,"&lt;0")*Cadeirante/30*GS$4</f>
        <v>0</v>
      </c>
      <c r="GT81" s="104">
        <f>SUMIF(AT81:AT84,"&lt;0")*Cadeirante/30*GT$4+SUMIF(AV81:AV84,"&lt;0")*Cadeirante/30*GT$4</f>
        <v>0</v>
      </c>
      <c r="GU81" s="104">
        <f>SUMIF(AX81:AX84,"&lt;0")*Cadeirante/30*GU$4+SUMIF(AZ81:AZ84,"&lt;0")*Cadeirante/30*GU$4</f>
        <v>0</v>
      </c>
      <c r="GV81" s="104">
        <f>SUMIF(BB81:BB84,"&lt;0")*Cadeirante/30*GV$4+SUMIF(BD81:BD84,"&lt;0")*Cadeirante/30*GV$4</f>
        <v>0</v>
      </c>
      <c r="GW81" s="104">
        <f>SUMIF(BF81:BF84,"&lt;0")*Cadeirante/30*GW$4+SUMIF(BH81:BH84,"&lt;0")*Cadeirante/30*GW$4</f>
        <v>0</v>
      </c>
      <c r="GX81" s="104">
        <f>SUMIF(BJ81:BJ84,"&lt;0")*Cadeirante/30*GX$4+SUMIF(BL81:BL84,"&lt;0")*Cadeirante/30*GX$4</f>
        <v>0</v>
      </c>
      <c r="GY81" s="104">
        <f>SUMIF(BN81:BN84,"&lt;0")*Cadeirante/30*GY$4+SUMIF(BP81:BP84,"&lt;0")*Cadeirante/30*GY$4</f>
        <v>0</v>
      </c>
      <c r="GZ81" s="104">
        <f>SUMIF(BR81:BR84,"&lt;0")*Cadeirante/30*GZ$4+SUMIF(BT81:BT84,"&lt;0")*Cadeirante/30*GZ$4</f>
        <v>0</v>
      </c>
      <c r="HA81" s="104">
        <f>SUMIF(BV81:BV84,"&lt;0")*Cadeirante/30*HA$4+SUMIF(BX81:BX84,"&lt;0")*Cadeirante/30*HA$4</f>
        <v>0</v>
      </c>
      <c r="HB81" s="104">
        <f>SUMIF(BZ81:BZ84,"&lt;0")*Cadeirante/30*HB$4+SUMIF(CB81:CB84,"&lt;0")*Cadeirante/30*HB$4</f>
        <v>0</v>
      </c>
      <c r="HC81" s="104">
        <f>SUMIF(CD81:CD84,"&lt;0")*Cadeirante/30*HC$4+SUMIF(CF81:CF84,"&lt;0")*Cadeirante/30*HC$4</f>
        <v>0</v>
      </c>
      <c r="HD81" s="104">
        <f>SUMIF(CH81:CH84,"&lt;0")*Cadeirante/30*HD$4+SUMIF(CJ81:CJ84,"&lt;0")*Cadeirante/30*HD$4</f>
        <v>0</v>
      </c>
      <c r="HE81" s="104">
        <f>SUMIF(CL81:CL84,"&lt;0")*Cadeirante/30*HE$4+SUMIF(CN81:CN84,"&lt;0")*Cadeirante/30*HE$4</f>
        <v>0</v>
      </c>
      <c r="HF81" s="104">
        <f>SUMIF(CP81:CP84,"&lt;0")*Cadeirante/30*HF$4+SUMIF(CR81:CR84,"&lt;0")*Cadeirante/30*HF$4</f>
        <v>0</v>
      </c>
      <c r="HG81" s="104">
        <f>SUMIF(CT81:CT84,"&lt;0")*Cadeirante/30*HG$4+SUMIF(CV81:CV84,"&lt;0")*Cadeirante/30*HG$4</f>
        <v>0</v>
      </c>
      <c r="HH81" s="104">
        <f>SUMIF(CX81:CX84,"&lt;0")*Cadeirante/30*HH$4+SUMIF(CZ81:CZ84,"&lt;0")*Cadeirante/30*HH$4</f>
        <v>0</v>
      </c>
      <c r="HI81" s="104">
        <f>SUMIF(DB81:DB84,"&lt;0")*Cadeirante/30*HI$4+SUMIF(DD81:DD84,"&lt;0")*Cadeirante/30*HI$4</f>
        <v>0</v>
      </c>
      <c r="HJ81" s="104">
        <f>SUMIF(DF81:DF84,"&lt;0")*Cadeirante/30*HJ$4+SUMIF(DH81:DH84,"&lt;0")*Cadeirante/30*HJ$4</f>
        <v>0</v>
      </c>
      <c r="HK81" s="104">
        <f>SUMIF(DJ81:DJ84,"&lt;0")*Cadeirante/30*HK$4+SUMIF(DL81:DL84,"&lt;0")*Cadeirante/30*HK$4</f>
        <v>0</v>
      </c>
      <c r="HL81" s="104">
        <f>SUMIF(DN81:DN84,"&lt;0")*Cadeirante/30*HL$4+SUMIF(DP81:DP84,"&lt;0")*Cadeirante/30*HL$4</f>
        <v>0</v>
      </c>
      <c r="HM81" s="104">
        <f>SUMIF(DR81:DR84,"&lt;0")*Cadeirante/30*HM$4+SUMIF(DT81:DT84,"&lt;0")*Cadeirante/30*HM$4</f>
        <v>0</v>
      </c>
      <c r="HN81" s="104">
        <f>SUMIF(DV81:DV84,"&lt;0")*Cadeirante/30*HN$4+SUMIF(DX81:DX84,"&lt;0")*Cadeirante/30*HN$4</f>
        <v>0</v>
      </c>
      <c r="HO81" s="104">
        <f>SUMIF(DZ81:DZ84,"&lt;0")*Cadeirante/30*HO$4+SUMIF(EB81:EB84,"&lt;0")*Cadeirante/30*HO$4</f>
        <v>0</v>
      </c>
      <c r="HP81" s="104">
        <f>SUMIF(ED81:ED84,"&lt;0")*Cadeirante/30*HP$4+SUMIF(EF81:EF84,"&lt;0")*Cadeirante/30*HP$4</f>
        <v>0</v>
      </c>
      <c r="HQ81" s="64"/>
      <c r="HR81" s="64"/>
      <c r="HS81" s="64"/>
      <c r="HT81" s="64"/>
      <c r="HU81" s="64"/>
      <c r="HV81" s="64"/>
      <c r="HW81" s="176">
        <v>17629.309999999998</v>
      </c>
      <c r="HX81" s="64"/>
      <c r="HY81" s="280">
        <f>IF(ISTEXT(EM81), VALUE(EM81), EM81)</f>
        <v>0</v>
      </c>
      <c r="HZ81" s="280">
        <f>IF(ISTEXT(EN81), VALUE(EN81), EN81)</f>
        <v>0</v>
      </c>
      <c r="IA81" s="280">
        <f>IF(ISTEXT(EO81), VALUE(EO81), EO81)</f>
        <v>0</v>
      </c>
      <c r="IB81" s="64" t="b">
        <f>HW81=FE81</f>
        <v>0</v>
      </c>
      <c r="IC81" s="64"/>
    </row>
    <row r="82" spans="1:237" s="106" customFormat="1" ht="22.5" customHeight="1" x14ac:dyDescent="0.25">
      <c r="A82" s="368" t="s">
        <v>3250</v>
      </c>
      <c r="B82" s="369" t="s">
        <v>3251</v>
      </c>
      <c r="C82" s="370" t="s">
        <v>3186</v>
      </c>
      <c r="D82" s="371" t="s">
        <v>3252</v>
      </c>
      <c r="E82" s="371" t="s">
        <v>3253</v>
      </c>
      <c r="F82" s="372" t="s">
        <v>3182</v>
      </c>
      <c r="G82" s="372" t="s">
        <v>3183</v>
      </c>
      <c r="H82" s="373" t="s">
        <v>354</v>
      </c>
      <c r="I82" s="374" t="s">
        <v>354</v>
      </c>
      <c r="J82" s="421" t="s">
        <v>3184</v>
      </c>
      <c r="K82" s="421" t="s">
        <v>3187</v>
      </c>
      <c r="L82" s="329">
        <f>CONTINUA!BV82</f>
        <v>6</v>
      </c>
      <c r="M82" s="329">
        <f>CONTINUA!BW82</f>
        <v>0</v>
      </c>
      <c r="N82" s="895"/>
      <c r="O82" s="896" t="s">
        <v>3289</v>
      </c>
      <c r="P82" s="897">
        <v>0</v>
      </c>
      <c r="Q82" s="400">
        <v>22</v>
      </c>
      <c r="R82" s="401"/>
      <c r="S82" s="400"/>
      <c r="T82" s="401"/>
      <c r="U82" s="400"/>
      <c r="V82" s="401"/>
      <c r="W82" s="400"/>
      <c r="X82" s="401"/>
      <c r="Y82" s="400"/>
      <c r="Z82" s="401"/>
      <c r="AA82" s="400"/>
      <c r="AB82" s="401"/>
      <c r="AC82" s="400"/>
      <c r="AD82" s="401"/>
      <c r="AE82" s="400"/>
      <c r="AF82" s="401"/>
      <c r="AG82" s="400"/>
      <c r="AH82" s="401"/>
      <c r="AI82" s="400"/>
      <c r="AJ82" s="401"/>
      <c r="AK82" s="400"/>
      <c r="AL82" s="401"/>
      <c r="AM82" s="400"/>
      <c r="AN82" s="401"/>
      <c r="AO82" s="400"/>
      <c r="AP82" s="401"/>
      <c r="AQ82" s="400"/>
      <c r="AR82" s="401"/>
      <c r="AS82" s="400"/>
      <c r="AT82" s="401"/>
      <c r="AU82" s="400"/>
      <c r="AV82" s="401"/>
      <c r="AW82" s="400"/>
      <c r="AX82" s="401"/>
      <c r="AY82" s="400"/>
      <c r="AZ82" s="401"/>
      <c r="BA82" s="400"/>
      <c r="BB82" s="401"/>
      <c r="BC82" s="400"/>
      <c r="BD82" s="401"/>
      <c r="BE82" s="400"/>
      <c r="BF82" s="401"/>
      <c r="BG82" s="400"/>
      <c r="BH82" s="401"/>
      <c r="BI82" s="400"/>
      <c r="BJ82" s="401"/>
      <c r="BK82" s="400"/>
      <c r="BL82" s="401"/>
      <c r="BM82" s="400"/>
      <c r="BN82" s="401"/>
      <c r="BO82" s="400"/>
      <c r="BP82" s="401"/>
      <c r="BQ82" s="400"/>
      <c r="BR82" s="401"/>
      <c r="BS82" s="400"/>
      <c r="BT82" s="401"/>
      <c r="BU82" s="400"/>
      <c r="BV82" s="401"/>
      <c r="BW82" s="400"/>
      <c r="BX82" s="401"/>
      <c r="BY82" s="400"/>
      <c r="BZ82" s="401"/>
      <c r="CA82" s="400"/>
      <c r="CB82" s="401"/>
      <c r="CC82" s="400"/>
      <c r="CD82" s="401"/>
      <c r="CE82" s="400"/>
      <c r="CF82" s="401"/>
      <c r="CG82" s="400"/>
      <c r="CH82" s="401"/>
      <c r="CI82" s="400"/>
      <c r="CJ82" s="401"/>
      <c r="CK82" s="400"/>
      <c r="CL82" s="401"/>
      <c r="CM82" s="400"/>
      <c r="CN82" s="401"/>
      <c r="CO82" s="400"/>
      <c r="CP82" s="401"/>
      <c r="CQ82" s="400"/>
      <c r="CR82" s="401"/>
      <c r="CS82" s="400"/>
      <c r="CT82" s="401"/>
      <c r="CU82" s="400"/>
      <c r="CV82" s="401"/>
      <c r="CW82" s="400"/>
      <c r="CX82" s="401"/>
      <c r="CY82" s="400"/>
      <c r="CZ82" s="401"/>
      <c r="DA82" s="400"/>
      <c r="DB82" s="401"/>
      <c r="DC82" s="400"/>
      <c r="DD82" s="401"/>
      <c r="DE82" s="400"/>
      <c r="DF82" s="401"/>
      <c r="DG82" s="400"/>
      <c r="DH82" s="401"/>
      <c r="DI82" s="400"/>
      <c r="DJ82" s="401"/>
      <c r="DK82" s="400"/>
      <c r="DL82" s="401"/>
      <c r="DM82" s="400"/>
      <c r="DN82" s="401"/>
      <c r="DO82" s="400"/>
      <c r="DP82" s="401"/>
      <c r="DQ82" s="400"/>
      <c r="DR82" s="401"/>
      <c r="DS82" s="400"/>
      <c r="DT82" s="401"/>
      <c r="DU82" s="400"/>
      <c r="DV82" s="401"/>
      <c r="DW82" s="400"/>
      <c r="DX82" s="401"/>
      <c r="DY82" s="400"/>
      <c r="DZ82" s="401"/>
      <c r="EA82" s="400"/>
      <c r="EB82" s="401"/>
      <c r="EC82" s="400"/>
      <c r="ED82" s="401"/>
      <c r="EE82" s="400"/>
      <c r="EF82" s="401"/>
      <c r="EG82" s="400"/>
      <c r="EH82" s="401"/>
      <c r="EI82" s="400"/>
      <c r="EJ82" s="447"/>
      <c r="EK82" s="511"/>
      <c r="EL82" s="514"/>
      <c r="EM82" s="448"/>
      <c r="EN82" s="344"/>
      <c r="EO82" s="345"/>
      <c r="EP82" s="171">
        <f t="shared" si="95"/>
        <v>22</v>
      </c>
      <c r="EQ82" s="171">
        <f t="shared" si="96"/>
        <v>0</v>
      </c>
      <c r="ER82" s="171">
        <f t="shared" si="97"/>
        <v>0</v>
      </c>
      <c r="ES82" s="171">
        <f t="shared" si="98"/>
        <v>0</v>
      </c>
      <c r="ET82" s="171">
        <f t="shared" si="99"/>
        <v>0</v>
      </c>
      <c r="EU82" s="171">
        <f t="shared" si="100"/>
        <v>0</v>
      </c>
      <c r="EV82" s="172">
        <f t="shared" si="101"/>
        <v>22</v>
      </c>
      <c r="EW82" s="173"/>
      <c r="EX82" s="248">
        <f t="shared" si="108"/>
        <v>0</v>
      </c>
      <c r="EY82" s="174">
        <f>(L82*regular)+(M82*Cadeirantee)</f>
        <v>57.84</v>
      </c>
      <c r="EZ82" s="249">
        <f>SUMIF(FG82:GJ82,"&gt;0")</f>
        <v>0</v>
      </c>
      <c r="FA82" s="249">
        <f>SUMIF(FG82:GJ82,"&lt;0")+SUMIF(GN82:HP82,"&lt;0")</f>
        <v>0</v>
      </c>
      <c r="FB82" s="174">
        <v>0</v>
      </c>
      <c r="FC82" s="126">
        <f>N82*km*'VALORES TABELA'!$B$13</f>
        <v>0</v>
      </c>
      <c r="FD82" s="250">
        <f t="shared" ref="FD82:FD85" si="109">GL82</f>
        <v>0</v>
      </c>
      <c r="FE82" s="105"/>
      <c r="FF82" s="119"/>
      <c r="FG82" s="119"/>
      <c r="FH82" s="119"/>
      <c r="FI82" s="119"/>
      <c r="FJ82" s="119"/>
      <c r="FK82" s="119"/>
      <c r="FL82" s="119"/>
      <c r="FM82" s="119"/>
      <c r="FN82" s="119"/>
      <c r="FO82" s="119"/>
      <c r="FP82" s="119"/>
      <c r="FQ82" s="119"/>
      <c r="FR82" s="119"/>
      <c r="FS82" s="119"/>
      <c r="FT82" s="119"/>
      <c r="FU82" s="119"/>
      <c r="FV82" s="119"/>
      <c r="FW82" s="119"/>
      <c r="FX82" s="119"/>
      <c r="FY82" s="119"/>
      <c r="FZ82" s="119"/>
      <c r="GA82" s="119"/>
      <c r="GB82" s="119"/>
      <c r="GC82" s="119"/>
      <c r="GD82" s="119"/>
      <c r="GE82" s="119"/>
      <c r="GF82" s="119"/>
      <c r="GG82" s="119"/>
      <c r="GH82" s="119"/>
      <c r="GI82" s="119"/>
      <c r="GJ82" s="119"/>
      <c r="GK82" s="251"/>
      <c r="GL82" s="103">
        <f t="shared" si="102"/>
        <v>0</v>
      </c>
      <c r="GM82" s="124"/>
      <c r="GN82" s="104"/>
      <c r="GO82" s="104"/>
      <c r="GP82" s="104"/>
      <c r="GQ82" s="104"/>
      <c r="GR82" s="104"/>
      <c r="GS82" s="104"/>
      <c r="GT82" s="104"/>
      <c r="GU82" s="104"/>
      <c r="GV82" s="104"/>
      <c r="GW82" s="104"/>
      <c r="GX82" s="104"/>
      <c r="GY82" s="104"/>
      <c r="GZ82" s="104"/>
      <c r="HA82" s="104"/>
      <c r="HB82" s="104"/>
      <c r="HC82" s="104"/>
      <c r="HD82" s="104"/>
      <c r="HE82" s="104"/>
      <c r="HF82" s="104"/>
      <c r="HG82" s="104"/>
      <c r="HH82" s="104"/>
      <c r="HI82" s="104"/>
      <c r="HJ82" s="104"/>
      <c r="HK82" s="104"/>
      <c r="HL82" s="104"/>
      <c r="HM82" s="104"/>
      <c r="HN82" s="104"/>
      <c r="HO82" s="104"/>
      <c r="HP82" s="104"/>
      <c r="HQ82" s="64"/>
      <c r="HR82" s="64"/>
      <c r="HS82" s="64"/>
      <c r="HT82" s="64"/>
      <c r="HU82" s="64"/>
      <c r="HV82" s="64"/>
      <c r="HW82" s="105"/>
      <c r="HX82" s="64"/>
      <c r="HY82" s="280">
        <f t="shared" ref="HY82:HY85" si="110">IF(ISTEXT(EM82), VALUE(EM82), EM82)</f>
        <v>0</v>
      </c>
      <c r="HZ82" s="280">
        <f t="shared" ref="HZ82:HZ85" si="111">IF(ISTEXT(EN82), VALUE(EN82), EN82)</f>
        <v>0</v>
      </c>
      <c r="IA82" s="280">
        <f t="shared" ref="IA82:IA85" si="112">IF(ISTEXT(EO82), VALUE(EO82), EO82)</f>
        <v>0</v>
      </c>
      <c r="IB82" s="64"/>
      <c r="IC82" s="64"/>
    </row>
    <row r="83" spans="1:237" s="106" customFormat="1" ht="22.5" customHeight="1" x14ac:dyDescent="0.25">
      <c r="A83" s="368" t="s">
        <v>3250</v>
      </c>
      <c r="B83" s="369" t="s">
        <v>3251</v>
      </c>
      <c r="C83" s="375" t="s">
        <v>3186</v>
      </c>
      <c r="D83" s="371" t="s">
        <v>3252</v>
      </c>
      <c r="E83" s="371" t="s">
        <v>3253</v>
      </c>
      <c r="F83" s="376" t="s">
        <v>3182</v>
      </c>
      <c r="G83" s="376" t="s">
        <v>3183</v>
      </c>
      <c r="H83" s="373" t="s">
        <v>354</v>
      </c>
      <c r="I83" s="374" t="s">
        <v>354</v>
      </c>
      <c r="J83" s="421" t="s">
        <v>3184</v>
      </c>
      <c r="K83" s="422" t="s">
        <v>3188</v>
      </c>
      <c r="L83" s="329">
        <f>CONTINUA!BV83</f>
        <v>0</v>
      </c>
      <c r="M83" s="329">
        <f>CONTINUA!BW83</f>
        <v>0</v>
      </c>
      <c r="N83" s="895"/>
      <c r="O83" s="896" t="s">
        <v>3289</v>
      </c>
      <c r="P83" s="897">
        <v>0</v>
      </c>
      <c r="Q83" s="400"/>
      <c r="R83" s="401"/>
      <c r="S83" s="400"/>
      <c r="T83" s="401"/>
      <c r="U83" s="400"/>
      <c r="V83" s="401"/>
      <c r="W83" s="400"/>
      <c r="X83" s="401"/>
      <c r="Y83" s="400"/>
      <c r="Z83" s="401"/>
      <c r="AA83" s="400"/>
      <c r="AB83" s="401"/>
      <c r="AC83" s="400"/>
      <c r="AD83" s="401"/>
      <c r="AE83" s="400"/>
      <c r="AF83" s="401"/>
      <c r="AG83" s="400"/>
      <c r="AH83" s="401"/>
      <c r="AI83" s="400"/>
      <c r="AJ83" s="401"/>
      <c r="AK83" s="400"/>
      <c r="AL83" s="401"/>
      <c r="AM83" s="400"/>
      <c r="AN83" s="401"/>
      <c r="AO83" s="400"/>
      <c r="AP83" s="401"/>
      <c r="AQ83" s="400"/>
      <c r="AR83" s="401"/>
      <c r="AS83" s="400"/>
      <c r="AT83" s="401"/>
      <c r="AU83" s="400"/>
      <c r="AV83" s="401"/>
      <c r="AW83" s="400"/>
      <c r="AX83" s="401"/>
      <c r="AY83" s="400"/>
      <c r="AZ83" s="401"/>
      <c r="BA83" s="400"/>
      <c r="BB83" s="401"/>
      <c r="BC83" s="400"/>
      <c r="BD83" s="401"/>
      <c r="BE83" s="400"/>
      <c r="BF83" s="401"/>
      <c r="BG83" s="400"/>
      <c r="BH83" s="401"/>
      <c r="BI83" s="400"/>
      <c r="BJ83" s="401"/>
      <c r="BK83" s="400"/>
      <c r="BL83" s="401"/>
      <c r="BM83" s="400"/>
      <c r="BN83" s="401"/>
      <c r="BO83" s="400"/>
      <c r="BP83" s="401"/>
      <c r="BQ83" s="400"/>
      <c r="BR83" s="401"/>
      <c r="BS83" s="400"/>
      <c r="BT83" s="401"/>
      <c r="BU83" s="400"/>
      <c r="BV83" s="401"/>
      <c r="BW83" s="400"/>
      <c r="BX83" s="401"/>
      <c r="BY83" s="400"/>
      <c r="BZ83" s="401"/>
      <c r="CA83" s="400"/>
      <c r="CB83" s="401"/>
      <c r="CC83" s="400"/>
      <c r="CD83" s="401"/>
      <c r="CE83" s="400"/>
      <c r="CF83" s="401"/>
      <c r="CG83" s="400"/>
      <c r="CH83" s="401"/>
      <c r="CI83" s="400"/>
      <c r="CJ83" s="401"/>
      <c r="CK83" s="400"/>
      <c r="CL83" s="401"/>
      <c r="CM83" s="400"/>
      <c r="CN83" s="401"/>
      <c r="CO83" s="400"/>
      <c r="CP83" s="401"/>
      <c r="CQ83" s="400"/>
      <c r="CR83" s="401"/>
      <c r="CS83" s="400"/>
      <c r="CT83" s="401"/>
      <c r="CU83" s="400"/>
      <c r="CV83" s="401"/>
      <c r="CW83" s="400"/>
      <c r="CX83" s="401"/>
      <c r="CY83" s="400"/>
      <c r="CZ83" s="401"/>
      <c r="DA83" s="400"/>
      <c r="DB83" s="401"/>
      <c r="DC83" s="400"/>
      <c r="DD83" s="401"/>
      <c r="DE83" s="400"/>
      <c r="DF83" s="401"/>
      <c r="DG83" s="400"/>
      <c r="DH83" s="401"/>
      <c r="DI83" s="400"/>
      <c r="DJ83" s="401"/>
      <c r="DK83" s="400"/>
      <c r="DL83" s="401"/>
      <c r="DM83" s="400"/>
      <c r="DN83" s="401"/>
      <c r="DO83" s="400"/>
      <c r="DP83" s="401"/>
      <c r="DQ83" s="400"/>
      <c r="DR83" s="401"/>
      <c r="DS83" s="400"/>
      <c r="DT83" s="401"/>
      <c r="DU83" s="400"/>
      <c r="DV83" s="401"/>
      <c r="DW83" s="400"/>
      <c r="DX83" s="401"/>
      <c r="DY83" s="400"/>
      <c r="DZ83" s="401"/>
      <c r="EA83" s="400"/>
      <c r="EB83" s="401"/>
      <c r="EC83" s="400"/>
      <c r="ED83" s="401"/>
      <c r="EE83" s="400"/>
      <c r="EF83" s="401"/>
      <c r="EG83" s="400"/>
      <c r="EH83" s="401"/>
      <c r="EI83" s="400"/>
      <c r="EJ83" s="447"/>
      <c r="EK83" s="511"/>
      <c r="EL83" s="514"/>
      <c r="EM83" s="448"/>
      <c r="EN83" s="344"/>
      <c r="EO83" s="345"/>
      <c r="EP83" s="171">
        <f t="shared" si="95"/>
        <v>0</v>
      </c>
      <c r="EQ83" s="171">
        <f t="shared" si="96"/>
        <v>0</v>
      </c>
      <c r="ER83" s="171">
        <f t="shared" si="97"/>
        <v>0</v>
      </c>
      <c r="ES83" s="171">
        <f t="shared" si="98"/>
        <v>0</v>
      </c>
      <c r="ET83" s="171">
        <f t="shared" si="99"/>
        <v>0</v>
      </c>
      <c r="EU83" s="171">
        <f t="shared" si="100"/>
        <v>0</v>
      </c>
      <c r="EV83" s="172">
        <f t="shared" si="101"/>
        <v>0</v>
      </c>
      <c r="EW83" s="125"/>
      <c r="EX83" s="248">
        <f t="shared" si="108"/>
        <v>0</v>
      </c>
      <c r="EY83" s="174">
        <f>(L83*regular)+(M83*Cadeirantee)</f>
        <v>0</v>
      </c>
      <c r="EZ83" s="249">
        <f>SUMIF(FG83:GJ83,"&gt;0")</f>
        <v>0</v>
      </c>
      <c r="FA83" s="249">
        <f>SUMIF(FG83:GJ83,"&lt;0")+SUMIF(GN83:HP83,"&lt;0")</f>
        <v>0</v>
      </c>
      <c r="FB83" s="174">
        <v>0</v>
      </c>
      <c r="FC83" s="126">
        <f>N83*km*'VALORES TABELA'!$B$13</f>
        <v>0</v>
      </c>
      <c r="FD83" s="250">
        <f t="shared" si="109"/>
        <v>0</v>
      </c>
      <c r="FE83" s="105"/>
      <c r="FF83" s="108"/>
      <c r="FG83" s="108"/>
      <c r="FH83" s="108"/>
      <c r="FI83" s="108"/>
      <c r="FJ83" s="108"/>
      <c r="FK83" s="108"/>
      <c r="FL83" s="108"/>
      <c r="FM83" s="108"/>
      <c r="FN83" s="108"/>
      <c r="FO83" s="108"/>
      <c r="FP83" s="108"/>
      <c r="FQ83" s="108"/>
      <c r="FR83" s="108"/>
      <c r="FS83" s="108"/>
      <c r="FT83" s="108"/>
      <c r="FU83" s="108"/>
      <c r="FV83" s="108"/>
      <c r="FW83" s="108"/>
      <c r="FX83" s="108"/>
      <c r="FY83" s="108"/>
      <c r="FZ83" s="108"/>
      <c r="GA83" s="108"/>
      <c r="GB83" s="108"/>
      <c r="GC83" s="108"/>
      <c r="GD83" s="108"/>
      <c r="GE83" s="108"/>
      <c r="GF83" s="108"/>
      <c r="GG83" s="108"/>
      <c r="GH83" s="108"/>
      <c r="GI83" s="108"/>
      <c r="GJ83" s="108"/>
      <c r="GK83" s="251"/>
      <c r="GL83" s="103">
        <f t="shared" si="102"/>
        <v>0</v>
      </c>
      <c r="GM83" s="124"/>
      <c r="GN83" s="104"/>
      <c r="GO83" s="104"/>
      <c r="GP83" s="104"/>
      <c r="GQ83" s="104"/>
      <c r="GR83" s="104"/>
      <c r="GS83" s="104"/>
      <c r="GT83" s="104"/>
      <c r="GU83" s="104"/>
      <c r="GV83" s="104"/>
      <c r="GW83" s="104"/>
      <c r="GX83" s="104"/>
      <c r="GY83" s="104"/>
      <c r="GZ83" s="104"/>
      <c r="HA83" s="104"/>
      <c r="HB83" s="104"/>
      <c r="HC83" s="104"/>
      <c r="HD83" s="104"/>
      <c r="HE83" s="104"/>
      <c r="HF83" s="104"/>
      <c r="HG83" s="104"/>
      <c r="HH83" s="104"/>
      <c r="HI83" s="104"/>
      <c r="HJ83" s="104"/>
      <c r="HK83" s="104"/>
      <c r="HL83" s="104"/>
      <c r="HM83" s="104"/>
      <c r="HN83" s="104"/>
      <c r="HO83" s="104"/>
      <c r="HP83" s="104"/>
      <c r="HQ83" s="64"/>
      <c r="HR83" s="64"/>
      <c r="HS83" s="64"/>
      <c r="HT83" s="64"/>
      <c r="HU83" s="64"/>
      <c r="HV83" s="64"/>
      <c r="HW83" s="105"/>
      <c r="HX83" s="64"/>
      <c r="HY83" s="280">
        <f t="shared" si="110"/>
        <v>0</v>
      </c>
      <c r="HZ83" s="280">
        <f t="shared" si="111"/>
        <v>0</v>
      </c>
      <c r="IA83" s="280">
        <f t="shared" si="112"/>
        <v>0</v>
      </c>
      <c r="IB83" s="64"/>
      <c r="IC83" s="64"/>
    </row>
    <row r="84" spans="1:237" s="106" customFormat="1" ht="22.5" customHeight="1" x14ac:dyDescent="0.25">
      <c r="A84" s="368" t="s">
        <v>3250</v>
      </c>
      <c r="B84" s="369" t="s">
        <v>3251</v>
      </c>
      <c r="C84" s="375" t="s">
        <v>3186</v>
      </c>
      <c r="D84" s="371" t="s">
        <v>3252</v>
      </c>
      <c r="E84" s="371" t="s">
        <v>3253</v>
      </c>
      <c r="F84" s="376" t="s">
        <v>3182</v>
      </c>
      <c r="G84" s="376" t="s">
        <v>3183</v>
      </c>
      <c r="H84" s="373" t="s">
        <v>354</v>
      </c>
      <c r="I84" s="374" t="s">
        <v>354</v>
      </c>
      <c r="J84" s="421" t="s">
        <v>3184</v>
      </c>
      <c r="K84" s="423" t="s">
        <v>3189</v>
      </c>
      <c r="L84" s="329">
        <f>CONTINUA!BV84</f>
        <v>0</v>
      </c>
      <c r="M84" s="329">
        <f>CONTINUA!BW84</f>
        <v>0</v>
      </c>
      <c r="N84" s="895"/>
      <c r="O84" s="896" t="s">
        <v>3289</v>
      </c>
      <c r="P84" s="897">
        <v>0</v>
      </c>
      <c r="Q84" s="400"/>
      <c r="R84" s="401"/>
      <c r="S84" s="400"/>
      <c r="T84" s="401"/>
      <c r="U84" s="400"/>
      <c r="V84" s="401"/>
      <c r="W84" s="400"/>
      <c r="X84" s="401"/>
      <c r="Y84" s="400"/>
      <c r="Z84" s="401"/>
      <c r="AA84" s="400"/>
      <c r="AB84" s="401"/>
      <c r="AC84" s="400"/>
      <c r="AD84" s="401"/>
      <c r="AE84" s="400"/>
      <c r="AF84" s="401"/>
      <c r="AG84" s="400"/>
      <c r="AH84" s="401"/>
      <c r="AI84" s="400"/>
      <c r="AJ84" s="401"/>
      <c r="AK84" s="400"/>
      <c r="AL84" s="401"/>
      <c r="AM84" s="400"/>
      <c r="AN84" s="401"/>
      <c r="AO84" s="400"/>
      <c r="AP84" s="401"/>
      <c r="AQ84" s="400"/>
      <c r="AR84" s="401"/>
      <c r="AS84" s="400"/>
      <c r="AT84" s="401"/>
      <c r="AU84" s="400"/>
      <c r="AV84" s="401"/>
      <c r="AW84" s="400"/>
      <c r="AX84" s="401"/>
      <c r="AY84" s="400"/>
      <c r="AZ84" s="401"/>
      <c r="BA84" s="400"/>
      <c r="BB84" s="401"/>
      <c r="BC84" s="400"/>
      <c r="BD84" s="401"/>
      <c r="BE84" s="400"/>
      <c r="BF84" s="401"/>
      <c r="BG84" s="400"/>
      <c r="BH84" s="401"/>
      <c r="BI84" s="400"/>
      <c r="BJ84" s="401"/>
      <c r="BK84" s="400"/>
      <c r="BL84" s="401"/>
      <c r="BM84" s="400"/>
      <c r="BN84" s="401"/>
      <c r="BO84" s="400"/>
      <c r="BP84" s="401"/>
      <c r="BQ84" s="400"/>
      <c r="BR84" s="401"/>
      <c r="BS84" s="400"/>
      <c r="BT84" s="401"/>
      <c r="BU84" s="400"/>
      <c r="BV84" s="401"/>
      <c r="BW84" s="400"/>
      <c r="BX84" s="401"/>
      <c r="BY84" s="400"/>
      <c r="BZ84" s="401"/>
      <c r="CA84" s="400"/>
      <c r="CB84" s="401"/>
      <c r="CC84" s="400"/>
      <c r="CD84" s="401"/>
      <c r="CE84" s="400"/>
      <c r="CF84" s="401"/>
      <c r="CG84" s="400"/>
      <c r="CH84" s="401"/>
      <c r="CI84" s="400"/>
      <c r="CJ84" s="401"/>
      <c r="CK84" s="400"/>
      <c r="CL84" s="401"/>
      <c r="CM84" s="400"/>
      <c r="CN84" s="401"/>
      <c r="CO84" s="400"/>
      <c r="CP84" s="401"/>
      <c r="CQ84" s="400"/>
      <c r="CR84" s="401"/>
      <c r="CS84" s="400"/>
      <c r="CT84" s="401"/>
      <c r="CU84" s="400"/>
      <c r="CV84" s="401"/>
      <c r="CW84" s="400"/>
      <c r="CX84" s="401"/>
      <c r="CY84" s="400"/>
      <c r="CZ84" s="401"/>
      <c r="DA84" s="400"/>
      <c r="DB84" s="401"/>
      <c r="DC84" s="400"/>
      <c r="DD84" s="401"/>
      <c r="DE84" s="400"/>
      <c r="DF84" s="401"/>
      <c r="DG84" s="400"/>
      <c r="DH84" s="401"/>
      <c r="DI84" s="400"/>
      <c r="DJ84" s="401"/>
      <c r="DK84" s="400"/>
      <c r="DL84" s="401"/>
      <c r="DM84" s="400"/>
      <c r="DN84" s="401"/>
      <c r="DO84" s="400"/>
      <c r="DP84" s="401"/>
      <c r="DQ84" s="400"/>
      <c r="DR84" s="401"/>
      <c r="DS84" s="400"/>
      <c r="DT84" s="401"/>
      <c r="DU84" s="400"/>
      <c r="DV84" s="401"/>
      <c r="DW84" s="400"/>
      <c r="DX84" s="401"/>
      <c r="DY84" s="400"/>
      <c r="DZ84" s="401"/>
      <c r="EA84" s="400"/>
      <c r="EB84" s="401"/>
      <c r="EC84" s="400"/>
      <c r="ED84" s="401"/>
      <c r="EE84" s="400"/>
      <c r="EF84" s="401"/>
      <c r="EG84" s="400"/>
      <c r="EH84" s="401"/>
      <c r="EI84" s="400"/>
      <c r="EJ84" s="447"/>
      <c r="EK84" s="511"/>
      <c r="EL84" s="514"/>
      <c r="EM84" s="448"/>
      <c r="EN84" s="344"/>
      <c r="EO84" s="345"/>
      <c r="EP84" s="171">
        <f t="shared" si="95"/>
        <v>0</v>
      </c>
      <c r="EQ84" s="171">
        <f t="shared" si="96"/>
        <v>0</v>
      </c>
      <c r="ER84" s="171">
        <f t="shared" si="97"/>
        <v>0</v>
      </c>
      <c r="ES84" s="171">
        <f t="shared" si="98"/>
        <v>0</v>
      </c>
      <c r="ET84" s="171">
        <f t="shared" si="99"/>
        <v>0</v>
      </c>
      <c r="EU84" s="171">
        <f t="shared" si="100"/>
        <v>0</v>
      </c>
      <c r="EV84" s="172">
        <f t="shared" si="101"/>
        <v>0</v>
      </c>
      <c r="EW84" s="127"/>
      <c r="EX84" s="248">
        <f t="shared" si="108"/>
        <v>0</v>
      </c>
      <c r="EY84" s="174">
        <f>(L84*regular)+(M84*Cadeirantee)</f>
        <v>0</v>
      </c>
      <c r="EZ84" s="249">
        <f>SUMIF(FG84:GJ84,"&gt;0")</f>
        <v>0</v>
      </c>
      <c r="FA84" s="249">
        <f>SUMIF(FG84:GJ84,"&lt;0")+SUMIF(GN84:HP84,"&lt;0")</f>
        <v>0</v>
      </c>
      <c r="FB84" s="174">
        <v>0</v>
      </c>
      <c r="FC84" s="126">
        <f>N84*km*'VALORES TABELA'!$B$13</f>
        <v>0</v>
      </c>
      <c r="FD84" s="250">
        <f t="shared" si="109"/>
        <v>0</v>
      </c>
      <c r="FE84" s="105"/>
      <c r="FF84" s="118"/>
      <c r="FG84" s="118"/>
      <c r="FH84" s="118"/>
      <c r="FI84" s="118"/>
      <c r="FJ84" s="118"/>
      <c r="FK84" s="118"/>
      <c r="FL84" s="118"/>
      <c r="FM84" s="118"/>
      <c r="FN84" s="118"/>
      <c r="FO84" s="118"/>
      <c r="FP84" s="118"/>
      <c r="FQ84" s="118"/>
      <c r="FR84" s="118"/>
      <c r="FS84" s="118"/>
      <c r="FT84" s="118"/>
      <c r="FU84" s="118"/>
      <c r="FV84" s="118"/>
      <c r="FW84" s="118"/>
      <c r="FX84" s="118"/>
      <c r="FY84" s="118"/>
      <c r="FZ84" s="118"/>
      <c r="GA84" s="118"/>
      <c r="GB84" s="118"/>
      <c r="GC84" s="118"/>
      <c r="GD84" s="118"/>
      <c r="GE84" s="118"/>
      <c r="GF84" s="118"/>
      <c r="GG84" s="118"/>
      <c r="GH84" s="118"/>
      <c r="GI84" s="118"/>
      <c r="GJ84" s="118"/>
      <c r="GK84" s="252"/>
      <c r="GL84" s="103">
        <f t="shared" si="102"/>
        <v>0</v>
      </c>
      <c r="GM84" s="124"/>
      <c r="GN84" s="104"/>
      <c r="GO84" s="104"/>
      <c r="GP84" s="104"/>
      <c r="GQ84" s="104"/>
      <c r="GR84" s="104"/>
      <c r="GS84" s="104"/>
      <c r="GT84" s="104"/>
      <c r="GU84" s="104"/>
      <c r="GV84" s="104"/>
      <c r="GW84" s="104"/>
      <c r="GX84" s="104"/>
      <c r="GY84" s="104"/>
      <c r="GZ84" s="104"/>
      <c r="HA84" s="104"/>
      <c r="HB84" s="104"/>
      <c r="HC84" s="104"/>
      <c r="HD84" s="104"/>
      <c r="HE84" s="104"/>
      <c r="HF84" s="104"/>
      <c r="HG84" s="104"/>
      <c r="HH84" s="104"/>
      <c r="HI84" s="104"/>
      <c r="HJ84" s="104"/>
      <c r="HK84" s="104"/>
      <c r="HL84" s="104"/>
      <c r="HM84" s="104"/>
      <c r="HN84" s="104"/>
      <c r="HO84" s="104"/>
      <c r="HP84" s="104"/>
      <c r="HQ84" s="64"/>
      <c r="HR84" s="65"/>
      <c r="HS84" s="65"/>
      <c r="HT84" s="65"/>
      <c r="HU84" s="65"/>
      <c r="HV84" s="65"/>
      <c r="HW84" s="105"/>
      <c r="HX84" s="65"/>
      <c r="HY84" s="280">
        <f t="shared" si="110"/>
        <v>0</v>
      </c>
      <c r="HZ84" s="280">
        <f t="shared" si="111"/>
        <v>0</v>
      </c>
      <c r="IA84" s="280">
        <f t="shared" si="112"/>
        <v>0</v>
      </c>
      <c r="IB84" s="65"/>
      <c r="IC84" s="65"/>
    </row>
    <row r="85" spans="1:237" s="106" customFormat="1" ht="22.5" customHeight="1" thickBot="1" x14ac:dyDescent="0.3">
      <c r="A85" s="377" t="s">
        <v>3250</v>
      </c>
      <c r="B85" s="378" t="s">
        <v>3251</v>
      </c>
      <c r="C85" s="379" t="s">
        <v>3186</v>
      </c>
      <c r="D85" s="380" t="s">
        <v>3252</v>
      </c>
      <c r="E85" s="380" t="s">
        <v>3253</v>
      </c>
      <c r="F85" s="381" t="s">
        <v>3182</v>
      </c>
      <c r="G85" s="381" t="s">
        <v>3183</v>
      </c>
      <c r="H85" s="382" t="s">
        <v>354</v>
      </c>
      <c r="I85" s="383" t="s">
        <v>354</v>
      </c>
      <c r="J85" s="421" t="s">
        <v>3184</v>
      </c>
      <c r="K85" s="424" t="s">
        <v>60</v>
      </c>
      <c r="L85" s="329">
        <f>CONTINUA!BV85</f>
        <v>0</v>
      </c>
      <c r="M85" s="329">
        <f>CONTINUA!BW85</f>
        <v>0</v>
      </c>
      <c r="N85" s="895"/>
      <c r="O85" s="896" t="s">
        <v>3289</v>
      </c>
      <c r="P85" s="897">
        <v>0</v>
      </c>
      <c r="Q85" s="400"/>
      <c r="R85" s="401"/>
      <c r="S85" s="400"/>
      <c r="T85" s="401"/>
      <c r="U85" s="400"/>
      <c r="V85" s="401"/>
      <c r="W85" s="400"/>
      <c r="X85" s="401"/>
      <c r="Y85" s="400"/>
      <c r="Z85" s="401"/>
      <c r="AA85" s="400"/>
      <c r="AB85" s="401"/>
      <c r="AC85" s="400"/>
      <c r="AD85" s="401"/>
      <c r="AE85" s="400"/>
      <c r="AF85" s="401"/>
      <c r="AG85" s="400"/>
      <c r="AH85" s="401"/>
      <c r="AI85" s="400"/>
      <c r="AJ85" s="401"/>
      <c r="AK85" s="400"/>
      <c r="AL85" s="401"/>
      <c r="AM85" s="400"/>
      <c r="AN85" s="401"/>
      <c r="AO85" s="400"/>
      <c r="AP85" s="401"/>
      <c r="AQ85" s="400"/>
      <c r="AR85" s="401"/>
      <c r="AS85" s="400"/>
      <c r="AT85" s="401"/>
      <c r="AU85" s="400"/>
      <c r="AV85" s="401"/>
      <c r="AW85" s="400"/>
      <c r="AX85" s="401"/>
      <c r="AY85" s="400"/>
      <c r="AZ85" s="401"/>
      <c r="BA85" s="400"/>
      <c r="BB85" s="401"/>
      <c r="BC85" s="400"/>
      <c r="BD85" s="401"/>
      <c r="BE85" s="400"/>
      <c r="BF85" s="401"/>
      <c r="BG85" s="400"/>
      <c r="BH85" s="401"/>
      <c r="BI85" s="400"/>
      <c r="BJ85" s="401"/>
      <c r="BK85" s="400"/>
      <c r="BL85" s="401"/>
      <c r="BM85" s="400"/>
      <c r="BN85" s="401"/>
      <c r="BO85" s="400"/>
      <c r="BP85" s="401"/>
      <c r="BQ85" s="400"/>
      <c r="BR85" s="401"/>
      <c r="BS85" s="400"/>
      <c r="BT85" s="401"/>
      <c r="BU85" s="400"/>
      <c r="BV85" s="401"/>
      <c r="BW85" s="400"/>
      <c r="BX85" s="401"/>
      <c r="BY85" s="400"/>
      <c r="BZ85" s="401"/>
      <c r="CA85" s="400"/>
      <c r="CB85" s="401"/>
      <c r="CC85" s="400"/>
      <c r="CD85" s="401"/>
      <c r="CE85" s="400"/>
      <c r="CF85" s="401"/>
      <c r="CG85" s="400"/>
      <c r="CH85" s="401"/>
      <c r="CI85" s="400"/>
      <c r="CJ85" s="401"/>
      <c r="CK85" s="400"/>
      <c r="CL85" s="401"/>
      <c r="CM85" s="400"/>
      <c r="CN85" s="401"/>
      <c r="CO85" s="400"/>
      <c r="CP85" s="401"/>
      <c r="CQ85" s="400"/>
      <c r="CR85" s="401"/>
      <c r="CS85" s="400"/>
      <c r="CT85" s="401"/>
      <c r="CU85" s="400"/>
      <c r="CV85" s="401"/>
      <c r="CW85" s="400"/>
      <c r="CX85" s="401"/>
      <c r="CY85" s="400"/>
      <c r="CZ85" s="401"/>
      <c r="DA85" s="400"/>
      <c r="DB85" s="401"/>
      <c r="DC85" s="400"/>
      <c r="DD85" s="401"/>
      <c r="DE85" s="400"/>
      <c r="DF85" s="401"/>
      <c r="DG85" s="400"/>
      <c r="DH85" s="401"/>
      <c r="DI85" s="400"/>
      <c r="DJ85" s="401"/>
      <c r="DK85" s="400"/>
      <c r="DL85" s="401"/>
      <c r="DM85" s="400"/>
      <c r="DN85" s="401"/>
      <c r="DO85" s="400"/>
      <c r="DP85" s="401"/>
      <c r="DQ85" s="400"/>
      <c r="DR85" s="401"/>
      <c r="DS85" s="400"/>
      <c r="DT85" s="401"/>
      <c r="DU85" s="400"/>
      <c r="DV85" s="401"/>
      <c r="DW85" s="400"/>
      <c r="DX85" s="401"/>
      <c r="DY85" s="400"/>
      <c r="DZ85" s="401"/>
      <c r="EA85" s="400"/>
      <c r="EB85" s="401"/>
      <c r="EC85" s="400"/>
      <c r="ED85" s="401"/>
      <c r="EE85" s="400"/>
      <c r="EF85" s="401"/>
      <c r="EG85" s="400"/>
      <c r="EH85" s="401"/>
      <c r="EI85" s="400"/>
      <c r="EJ85" s="447"/>
      <c r="EK85" s="512"/>
      <c r="EL85" s="515"/>
      <c r="EM85" s="450"/>
      <c r="EN85" s="348"/>
      <c r="EO85" s="348"/>
      <c r="EP85" s="179">
        <f t="shared" si="95"/>
        <v>0</v>
      </c>
      <c r="EQ85" s="179">
        <f t="shared" si="96"/>
        <v>0</v>
      </c>
      <c r="ER85" s="179">
        <f t="shared" si="97"/>
        <v>0</v>
      </c>
      <c r="ES85" s="179">
        <f t="shared" si="98"/>
        <v>0</v>
      </c>
      <c r="ET85" s="179">
        <f t="shared" si="99"/>
        <v>0</v>
      </c>
      <c r="EU85" s="179">
        <f t="shared" si="100"/>
        <v>0</v>
      </c>
      <c r="EV85" s="172">
        <f t="shared" si="101"/>
        <v>0</v>
      </c>
      <c r="EW85" s="253"/>
      <c r="EX85" s="254">
        <v>0</v>
      </c>
      <c r="EY85" s="180">
        <v>0</v>
      </c>
      <c r="EZ85" s="255">
        <v>0</v>
      </c>
      <c r="FA85" s="255">
        <v>0</v>
      </c>
      <c r="FB85" s="180">
        <f>SUM(FF85:GI85)/2</f>
        <v>0</v>
      </c>
      <c r="FC85" s="256">
        <f>N85*km*'VALORES TABELA'!$B$13</f>
        <v>0</v>
      </c>
      <c r="FD85" s="250">
        <f t="shared" si="109"/>
        <v>0</v>
      </c>
      <c r="FE85" s="257"/>
      <c r="FF85" s="181">
        <f>((Q85+S85)*Percapita)+((R85+T85)*Cadeirante)</f>
        <v>0</v>
      </c>
      <c r="FG85" s="181">
        <f>((U85+W85)*Percapita/30*FG$4)+((V85+X85)*Cadeirante/30*FG$4)</f>
        <v>0</v>
      </c>
      <c r="FH85" s="181">
        <f>((Y85+AA85)*Percapita/30*FH$4)+((Z85+AB85)*Cadeirante/30*FH$4)</f>
        <v>0</v>
      </c>
      <c r="FI85" s="181">
        <f>((AC85+AE85)*Percapita/30*FI$4)+((AD85+AF85)*Cadeirante/30*FI$4)</f>
        <v>0</v>
      </c>
      <c r="FJ85" s="181">
        <f>((AG85+AI85)*Percapita/30*FJ$4)+((AH85+AJ85)*Cadeirante/30*FJ$4)</f>
        <v>0</v>
      </c>
      <c r="FK85" s="181">
        <f>((AK85+AM85)*Percapita/30*FK$4)+((AL85+AN85)*Cadeirante/30*FK$4)</f>
        <v>0</v>
      </c>
      <c r="FL85" s="181">
        <f>((AO85+AQ85)*Percapita/30*FL$4)+((AP85+AR85)*Cadeirante/30*FL$4)</f>
        <v>0</v>
      </c>
      <c r="FM85" s="181">
        <f>((AS85+AU85)*Percapita/30*FM$4)+((AT85+AV85)*Cadeirante/30*FM$4)</f>
        <v>0</v>
      </c>
      <c r="FN85" s="181">
        <f>((AW85+AY85)*Percapita/30*FN$4)+((AX85+AZ85)*Cadeirante/30*FN$4)</f>
        <v>0</v>
      </c>
      <c r="FO85" s="181">
        <f>((BA85+BC85)*Percapita/30*FO$4)+((BB85+BD85)*Cadeirante/30*FO$4)</f>
        <v>0</v>
      </c>
      <c r="FP85" s="181">
        <f>((BE85+BG85)*Percapita/30*FP$4)+((BF85+BH85)*Cadeirante/30*FP$4)</f>
        <v>0</v>
      </c>
      <c r="FQ85" s="181">
        <f>((BI85+BK85)*Percapita/30*FQ$4)+((BJ85+BL85)*Cadeirante/30*FQ$4)</f>
        <v>0</v>
      </c>
      <c r="FR85" s="181">
        <f>((BM85+BO85)*Percapita/30*FR$4)+((BN85+BP85)*Cadeirante/30*FR$4)</f>
        <v>0</v>
      </c>
      <c r="FS85" s="181">
        <f>((BQ85+BS85)*Percapita/30*FS$4)+((BR85+BT85)*Cadeirante/30*FS$4)</f>
        <v>0</v>
      </c>
      <c r="FT85" s="181">
        <f>((BU85+BW85)*Percapita/30*FT$4)+((BV85+BX85)*Cadeirante/30*FT$4)</f>
        <v>0</v>
      </c>
      <c r="FU85" s="181">
        <f>((BY85+CA85)*Percapita/30*FU$4)+((BZ85+CB85)*Cadeirante/30*FU$4)</f>
        <v>0</v>
      </c>
      <c r="FV85" s="181">
        <f>((CC85+CE85)*Percapita/30*FV$4)+((CD85+CF85)*Cadeirante/30*FV$4)</f>
        <v>0</v>
      </c>
      <c r="FW85" s="181">
        <f>((CG85+CI85)*Percapita/30*FW$4)+((CI85+CK85)*Cadeirante/30*FW$4)</f>
        <v>0</v>
      </c>
      <c r="FX85" s="181">
        <f>((CK85+CM85)*Percapita/30*FX$4)+((CL85+CN85)*Cadeirante/30*FX$4)</f>
        <v>0</v>
      </c>
      <c r="FY85" s="181">
        <f>((CO85+CQ85)*Percapita/30*FY$4)+((CP85+CR85)*Cadeirante/30*FY$4)</f>
        <v>0</v>
      </c>
      <c r="FZ85" s="181">
        <f>((CS85+CU85)*Percapita/30*FZ$4)+((CT85+CV85)*Cadeirante/30*FZ$4)</f>
        <v>0</v>
      </c>
      <c r="GA85" s="181">
        <f>((CW85+CY85)*Percapita/30*GA$4)+((CX85+CZ85)*Cadeirante/30*GA$4)</f>
        <v>0</v>
      </c>
      <c r="GB85" s="181">
        <f>((DA85+DC85)*Percapita/30*GB$4)+((DB85+DD85)*Cadeirante/30*GB$4)</f>
        <v>0</v>
      </c>
      <c r="GC85" s="181">
        <f>((DE85+DG85)*Percapita/30*GC$4)+((DF85+DH85)*Cadeirante/30*GC$4)</f>
        <v>0</v>
      </c>
      <c r="GD85" s="181">
        <f>((DI85+DK85)*Percapita/30*GD$4)+((DJ85+DL85)*Cadeirante/30*GD$4)</f>
        <v>0</v>
      </c>
      <c r="GE85" s="181">
        <f>((DM85+DO85)*Percapita/30*GE$4)+((DN85+DP85)*Cadeirante/30*GE$4)</f>
        <v>0</v>
      </c>
      <c r="GF85" s="181">
        <f>((DQ85+DS85)*Percapita/30*GF$4)+((DR85+DT85)*Cadeirante/30*GF$4)</f>
        <v>0</v>
      </c>
      <c r="GG85" s="181">
        <f>((DU85+DW85)*Percapita/30*GG$4)+((DV85+DX85)*Cadeirante/30*GG$4)</f>
        <v>0</v>
      </c>
      <c r="GH85" s="181">
        <f>((DY85+EA85)*Percapita/30*GH$4)+((DZ85+EB85)*Cadeirante/30*GH$4)</f>
        <v>0</v>
      </c>
      <c r="GI85" s="181">
        <f>((EC85+EE85)*Percapita/30*GI$4)+((ED85+EF85)*Cadeirante/30*GI$4)</f>
        <v>0</v>
      </c>
      <c r="GJ85" s="181">
        <f>((EG85+EI85)*Percapita)+((EH85+EJ85)*Cadeirante)</f>
        <v>0</v>
      </c>
      <c r="GK85" s="258"/>
      <c r="GL85" s="103">
        <f t="shared" si="102"/>
        <v>0</v>
      </c>
      <c r="GM85" s="124"/>
      <c r="GN85" s="182"/>
      <c r="GO85" s="182"/>
      <c r="GP85" s="182"/>
      <c r="GQ85" s="182"/>
      <c r="GR85" s="182"/>
      <c r="GS85" s="182"/>
      <c r="GT85" s="182"/>
      <c r="GU85" s="182"/>
      <c r="GV85" s="182"/>
      <c r="GW85" s="182"/>
      <c r="GX85" s="182"/>
      <c r="GY85" s="182"/>
      <c r="GZ85" s="182"/>
      <c r="HA85" s="182"/>
      <c r="HB85" s="182"/>
      <c r="HC85" s="182"/>
      <c r="HD85" s="182"/>
      <c r="HE85" s="182"/>
      <c r="HF85" s="182"/>
      <c r="HG85" s="182"/>
      <c r="HH85" s="182"/>
      <c r="HI85" s="182"/>
      <c r="HJ85" s="182"/>
      <c r="HK85" s="182"/>
      <c r="HL85" s="182"/>
      <c r="HM85" s="182"/>
      <c r="HN85" s="182"/>
      <c r="HO85" s="182"/>
      <c r="HP85" s="259"/>
      <c r="HQ85" s="64"/>
      <c r="HW85" s="257"/>
      <c r="HY85" s="280">
        <f t="shared" si="110"/>
        <v>0</v>
      </c>
      <c r="HZ85" s="280">
        <f t="shared" si="111"/>
        <v>0</v>
      </c>
      <c r="IA85" s="280">
        <f t="shared" si="112"/>
        <v>0</v>
      </c>
    </row>
    <row r="86" spans="1:237" s="106" customFormat="1" ht="22.5" customHeight="1" x14ac:dyDescent="0.25">
      <c r="A86" t="s">
        <v>3254</v>
      </c>
      <c r="B86" s="522" t="s">
        <v>3255</v>
      </c>
      <c r="C86" s="523">
        <v>1</v>
      </c>
      <c r="D86" s="524" t="s">
        <v>3256</v>
      </c>
      <c r="E86" s="524" t="s">
        <v>3257</v>
      </c>
      <c r="F86" s="525" t="s">
        <v>3182</v>
      </c>
      <c r="G86" s="525" t="s">
        <v>3183</v>
      </c>
      <c r="H86" s="350" t="s">
        <v>356</v>
      </c>
      <c r="I86" s="351" t="s">
        <v>356</v>
      </c>
      <c r="J86" s="409" t="s">
        <v>3184</v>
      </c>
      <c r="K86" s="410" t="s">
        <v>3185</v>
      </c>
      <c r="L86" s="329">
        <f>CONTINUA!BV86</f>
        <v>0</v>
      </c>
      <c r="M86" s="329">
        <f>CONTINUA!BW86</f>
        <v>0</v>
      </c>
      <c r="N86" s="895"/>
      <c r="O86" s="896" t="s">
        <v>3290</v>
      </c>
      <c r="P86" s="897">
        <v>0</v>
      </c>
      <c r="Q86" s="400">
        <v>52</v>
      </c>
      <c r="R86" s="401"/>
      <c r="S86" s="400"/>
      <c r="T86" s="401"/>
      <c r="U86" s="400"/>
      <c r="V86" s="401"/>
      <c r="W86" s="400"/>
      <c r="X86" s="401"/>
      <c r="Y86" s="400"/>
      <c r="Z86" s="401"/>
      <c r="AA86" s="400"/>
      <c r="AB86" s="401"/>
      <c r="AC86" s="400"/>
      <c r="AD86" s="401"/>
      <c r="AE86" s="400"/>
      <c r="AF86" s="401"/>
      <c r="AG86" s="400"/>
      <c r="AH86" s="401"/>
      <c r="AI86" s="400"/>
      <c r="AJ86" s="401"/>
      <c r="AK86" s="400"/>
      <c r="AL86" s="401"/>
      <c r="AM86" s="400"/>
      <c r="AN86" s="401"/>
      <c r="AO86" s="400">
        <v>-1</v>
      </c>
      <c r="AP86" s="401"/>
      <c r="AQ86" s="400"/>
      <c r="AR86" s="401"/>
      <c r="AS86" s="400">
        <v>1</v>
      </c>
      <c r="AT86" s="401"/>
      <c r="AU86" s="400"/>
      <c r="AV86" s="401"/>
      <c r="AW86" s="400"/>
      <c r="AX86" s="401"/>
      <c r="AY86" s="400"/>
      <c r="AZ86" s="401"/>
      <c r="BA86" s="400">
        <v>-1</v>
      </c>
      <c r="BB86" s="401"/>
      <c r="BC86" s="400"/>
      <c r="BD86" s="401"/>
      <c r="BE86" s="400"/>
      <c r="BF86" s="401"/>
      <c r="BG86" s="400"/>
      <c r="BH86" s="401"/>
      <c r="BI86" s="400"/>
      <c r="BJ86" s="401"/>
      <c r="BK86" s="400"/>
      <c r="BL86" s="401"/>
      <c r="BM86" s="400"/>
      <c r="BN86" s="401"/>
      <c r="BO86" s="400"/>
      <c r="BP86" s="401"/>
      <c r="BQ86" s="400"/>
      <c r="BR86" s="401"/>
      <c r="BS86" s="400"/>
      <c r="BT86" s="401"/>
      <c r="BU86" s="400"/>
      <c r="BV86" s="401"/>
      <c r="BW86" s="400"/>
      <c r="BX86" s="401"/>
      <c r="BY86" s="400"/>
      <c r="BZ86" s="401"/>
      <c r="CA86" s="400"/>
      <c r="CB86" s="401"/>
      <c r="CC86" s="400"/>
      <c r="CD86" s="401"/>
      <c r="CE86" s="400"/>
      <c r="CF86" s="401"/>
      <c r="CG86" s="400"/>
      <c r="CH86" s="401"/>
      <c r="CI86" s="400"/>
      <c r="CJ86" s="401"/>
      <c r="CK86" s="400"/>
      <c r="CL86" s="401"/>
      <c r="CM86" s="400"/>
      <c r="CN86" s="401"/>
      <c r="CO86" s="400"/>
      <c r="CP86" s="401"/>
      <c r="CQ86" s="400"/>
      <c r="CR86" s="401"/>
      <c r="CS86" s="400"/>
      <c r="CT86" s="401"/>
      <c r="CU86" s="400"/>
      <c r="CV86" s="401"/>
      <c r="CW86" s="400"/>
      <c r="CX86" s="401"/>
      <c r="CY86" s="400"/>
      <c r="CZ86" s="401"/>
      <c r="DA86" s="400"/>
      <c r="DB86" s="401"/>
      <c r="DC86" s="400"/>
      <c r="DD86" s="401"/>
      <c r="DE86" s="400"/>
      <c r="DF86" s="401"/>
      <c r="DG86" s="400"/>
      <c r="DH86" s="401"/>
      <c r="DI86" s="400"/>
      <c r="DJ86" s="401"/>
      <c r="DK86" s="400"/>
      <c r="DL86" s="401"/>
      <c r="DM86" s="400"/>
      <c r="DN86" s="401"/>
      <c r="DO86" s="400"/>
      <c r="DP86" s="401"/>
      <c r="DQ86" s="400"/>
      <c r="DR86" s="401"/>
      <c r="DS86" s="400"/>
      <c r="DT86" s="401"/>
      <c r="DU86" s="400"/>
      <c r="DV86" s="401"/>
      <c r="DW86" s="400"/>
      <c r="DX86" s="401"/>
      <c r="DY86" s="400"/>
      <c r="DZ86" s="401"/>
      <c r="EA86" s="400"/>
      <c r="EB86" s="401"/>
      <c r="EC86" s="400"/>
      <c r="ED86" s="401"/>
      <c r="EE86" s="400"/>
      <c r="EF86" s="401"/>
      <c r="EG86" s="400"/>
      <c r="EH86" s="401"/>
      <c r="EI86" s="400"/>
      <c r="EJ86" s="447"/>
      <c r="EK86" s="510"/>
      <c r="EL86" s="513"/>
      <c r="EM86" s="520"/>
      <c r="EN86" s="520"/>
      <c r="EO86" s="520"/>
      <c r="EP86" s="171">
        <f t="shared" si="95"/>
        <v>52</v>
      </c>
      <c r="EQ86" s="171">
        <f t="shared" si="96"/>
        <v>-1</v>
      </c>
      <c r="ER86" s="171">
        <f t="shared" si="97"/>
        <v>0</v>
      </c>
      <c r="ES86" s="171">
        <f t="shared" si="98"/>
        <v>0</v>
      </c>
      <c r="ET86" s="171">
        <f t="shared" si="99"/>
        <v>0</v>
      </c>
      <c r="EU86" s="171">
        <f t="shared" si="100"/>
        <v>0</v>
      </c>
      <c r="EV86" s="172">
        <f t="shared" si="101"/>
        <v>51</v>
      </c>
      <c r="EW86" s="367">
        <f>IF(C86=4,IF(MAX(Q86:EJ88)&gt;0,(Especiall/30*(IF(($G86-$F86)=($G$5-$F$5),30,IF(DAY($G86)=31,($G86-$F86),($G86-$F86)+1)))),0),0)</f>
        <v>0</v>
      </c>
      <c r="EX86" s="248">
        <f t="shared" ref="EX86:EX89" si="113">FF86</f>
        <v>21360.800000000003</v>
      </c>
      <c r="EY86" s="174">
        <f>(L86*regular)+(M86*Cadeirantee)</f>
        <v>0</v>
      </c>
      <c r="EZ86" s="249">
        <f>SUMIF(FG86:GJ86,"&gt;0")</f>
        <v>295.34300000000002</v>
      </c>
      <c r="FA86" s="249">
        <f>SUMIF(FG86:GJ86,"&lt;0")+SUMIF(GN86:HP86,"&lt;0")</f>
        <v>-577.84500000000003</v>
      </c>
      <c r="FB86" s="174">
        <v>0</v>
      </c>
      <c r="FC86" s="175">
        <f>N86*km*'VALORES TABELA'!$B$13</f>
        <v>0</v>
      </c>
      <c r="FD86" s="250">
        <f>GL86</f>
        <v>0</v>
      </c>
      <c r="FE86" s="176">
        <f>(EW86+EW87+EW88+EW89+EX86+EX87+EX88+EX89+EY86+EY87+EY88+EY89+EY90+EZ86+EZ87+EZ88+EZ89+FA86+FA87+FA88+FA89+FC86+FC87+FC88+FC89+HY86-HZ86-IA86+FD86+FD87+FD88+FD89+FB90)</f>
        <v>21078.298000000003</v>
      </c>
      <c r="FF86" s="177">
        <f>IF(C86=4,SUM(Q86+Q87+Q88+S86+S87+S88)*Percapita/30*FF$4+(R86+R87+R88+T86+T87+T88)*Cadeirante/30*FF$4,IF(C86=3,IF(Q89+S89=10,Fixo/30*FF$4+(Q86+Q87+Q88+S86+S87+S88)*Percapita/30*FF$4+(R89+T89)*Cadeirante/30*FF$4,IF(Q89+S89&lt;=9,(Q89+S89)*Crechee/30*FF$4)+(R89+T89)*Cadeirante/30*FF$4+(Q86+Q87+Q88+S86+S87+S88)*Percapita/30*FF$4)+IF(Q89+S89&gt;=11,Fixo/30*FF$4+(Q89+S89-10)*Crechee/30*FF$4,0),IF(C86=2,IF(R86+R87+R88+R89+T86+T87+T88+T89=1,Cadeirante/30*FF$4,IF(R86+R87+R88+R89+T86+T87+T88+T89=2,Fixo/30*FF$4,IF(R86+R87+R88+R89+T86+T87+T88+T89&gt;2,Fixo/30*FF$4+(R86+R87+R88+R89+T86+T87+T88+T89-2)*Cadeirante/30*FF$4)))+(Q86+Q87+Q88+S86+S87+S88)*Percapita/30*FF$4+(Q89+S89)*Crechee/30*FF$4,IF(C86=1,IF(Q86+Q87+Q88+R86+R87+R88+S86+S87+S88+T86+T87+T88&lt;=15,(Q86+Q87+Q88+S86+S87+S88)*Percapita/30*FF$4,IF(Q86+Q87+Q88+R86+R87+R88+S86+S87+S88+T86+T87+T88&gt;=16,Fixo/30*FF$4+(Q86+Q87+Q88+R86+R87+R88+S86+S87+S88+T86+T87-16)*Percapita/30*FF$4))))))</f>
        <v>21360.800000000003</v>
      </c>
      <c r="FG86" s="177">
        <f>IF(C86=4,SUM(U86+U87+U88+W86+W87+W88)*Percapita/30*FG$4+(V86+V87+V88+X86+X87+X88)*Cadeirante/30*FG$4,IF(C86=3,IF(U89+W89=10,Fixo/30*FG$4+(U86+U87+U88+W86+W87+W88)*Percapita/30*FG$4+(V89+X89)*Cadeirante/30*FG$4,IF(U89+W89&lt;=9,(U89+W89)*Crechee/30*FG$4)+(V89+X89)*Cadeirante/30*FG$4+(U86+U87+U88+W86+W87+W88)*Percapita/30*FG$4)+IF(U89+W89&gt;=11,Fixo/30*FG$4+(U89+W89-10)*Crechee/30*FG$4,0),IF(C86=2,IF(V86+V87+V88+V89+X86+X87+X88+X89=1,Cadeirante/30*FG$4,IF(V86+V87+V88+V89+X86+X87+X88+X89=2,Fixo/30*FG$4,IF(V86+V87+V88+V89+X86+X87+X88+X89&gt;2,Fixo/30*FG$4+(V86+V87+V88+V89+X86+X87+X88+X89-2)*Cadeirante/30*FG$4)))+(U86+U87+U88+W86+W87+W88)*Percapita/30*FG$4+(U89+W89)*Crechee/30*FG$4,IF(C86=1,IF(U86+U87+U88+V86+V87+V88+W86+W87+W88+X86+X87+X88&lt;=15,(U86+U87+U88+W86+W87+W88)*Percapita/30*FG$4,IF(U86+U87+U88+V86+V87+V88+W86+W87+W88+X86+X87+X88&gt;=16,Fixo/30*FG$4+(U86+U87+U88+V86+V87+V88+W86+W87+W88+X86+X87-16)*Percapita/30*FG$4))))))</f>
        <v>0</v>
      </c>
      <c r="FH86" s="177">
        <f>IF(C86=4,SUM(Y86+Y87+Y88+AA86+AA87+AA88)*Percapita/30*FH$4+(Z86+Z87+Z88+AB86+AB87+AB88)*Cadeirante/30*FH$4,IF(C86=3,IF(Y89+AA89=10,Fixo/30*FH$4+(Y86+Y87+Y88+AA86+AA87+AA88)*Percapita/30*FH$4+(Z89+AB89)*Cadeirante/30*FH$4,IF(Y89+AA89&lt;=9,(Y89+AA89)*Crechee/30*FH$4)+(Z89+AB89)*Cadeirante/30*FH$4+(Y86+Y87+Y88+AA86+AA87+AA88)*Percapita/30*FH$4)+IF(Y89+AA89&gt;=11,Fixo/30*FH$4+(Y89+AA89-10)*Crechee/30*FH$4,0),IF(C86=2,IF(Z86+Z87+Z88+Z89+AB86+AB87+AB88+AB89=1,Cadeirante/30*FH$4,IF(Z86+Z87+Z88+Z89+AB86+AB87+AB88+AB89=2,Fixo/30*FH$4,IF(Z86+Z87+Z88+Z89+AB86+AB87+AB88+AB89&gt;2,Fixo/30*FH$4+(Z86+Z87+Z88+Z89+AB86+AB87+AB88+AB89-2)*Cadeirante/30*FH$4)))+(Y86+Y87+Y88+AA86+AA87+AA88)*Percapita/30*FH$4+(Y89+AA89)*Crechee/30*FH$4,IF(C86=1,IF(Y86+Y87+Y88+Z86+Z87+Z88+AA86+AA87+AA88+AB86+AB87+AB88&lt;=15,(Y86+Y87+Y88+AA86+AA87+AA88)*Percapita/30*FH$4,IF(Y86+Y87+Y88+Z86+Z87+Z88+AA86+AA87+AA88+AB86+AB87+AB88&gt;=16,Fixo/30*FH$4+(Y86+Y87+Y88+Z86+Z87+Z88+AA86+AA87+AA88+AB86+AB87-16)*Percapita/30*FH$4))))))</f>
        <v>0</v>
      </c>
      <c r="FI86" s="177">
        <f>IF(C86=4,SUM(AC86+AC87+AC88+AE86+AE87+AE88)*Percapita/30*FI$4+(AD86+AD87+AD88+AF86+AF87+AF88)*Cadeirante/30*FI$4,IF(C86=3,IF(AC89+AE89=10,Fixo/30*FI$4+(AC86+AC87+AC88+AE86+AE87+AE88)*Percapita/30*FI$4+(AD89+AF89)*Cadeirante/30*FI$4,IF(AC89+AE89&lt;=9,(AC89+AE89)*Crechee/30*FI$4)+(AD89+AF89)*Cadeirante/30*FI$4+(AC86+AC87+AC88+AE86+AE87+AE88)*Percapita/30*FI$4)+IF(AC89+AE89&gt;=11,Fixo/30*FI$4+(AC89+AE89-10)*Crechee/30*FI$4,0),IF(C86=2,IF(AD86+AD87+AD88+AD89+AF86+AF87+AF88+AF89=1,Cadeirante/30*FI$4,IF(AD86+AD87+AD88+AD89+AF86+AF87+AF88+AF89=2,Fixo/30*FI$4,IF(AD86+AD87+AD88+AD89+AF86+AF87+AF88+AF89&gt;2,Fixo/30*FI$4+(AD86+AD87+AD88+AD89+AF86+AF87+AF88+AF89-2)*Cadeirante/30*FI$4)))+(AC86+AC87+AC88+AE86+AE87+AE88)*Percapita/30*FI$4+(AC89+AE89)*Crechee/30*FI$4,IF(C86=1,IF(AC86+AC87+AC88+AD86+AD87+AD88+AE86+AE87+AE88+AF86+AF87+AF88&lt;=15,(AC86+AC87+AC88+AE86+AE87+AE88)*Percapita/30*FI$4,IF(AC86+AC87+AC88+AD86+AD87+AD88+AE86+AE87+AE88+AF86+AF87+AF88&gt;=16,Fixo/30*FI$4+(AC86+AC87+AC88+AD86+AD87+AD88+AE86+AE87+AE88+AF86+AF87-16)*Percapita/30*FI$4))))))</f>
        <v>0</v>
      </c>
      <c r="FJ86" s="177">
        <f>IF(C86=4,SUM(AG86+AG87+AG88+AI86+AI87+AI88)*Percapita/30*FJ$4+(AH86+AH87+AH88+AJ86+AJ87+AJ88)*Cadeirante/30*FJ$4,IF(C86=3,IF(AG89+AI89=10,Fixo/30*FJ$4+(AG86+AG87+AG88+AI86+AI87+AI88)*Percapita/30*FJ$4+(AH89+AJ89)*Cadeirante/30*FJ$4,IF(AG89+AI89&lt;=9,(AG89+AI89)*Crechee/30*FJ$4)+(AH89+AJ89)*Cadeirante/30*FJ$4+(AG86+AG87+AG88+AI86+AI87+AI88)*Percapita/30*FJ$4)+IF(AG89+AI89&gt;=11,Fixo/30*FJ$4+(AG89+AI89-10)*Crechee/30*FJ$4,0),IF(C86=2,IF(AH86+AH87+AH88+AH89+AJ86+AJ87+AJ88+AJ89=1,Cadeirante/30*FJ$4,IF(AH86+AH87+AH88+AH89+AJ86+AJ87+AJ88+AJ89=2,Fixo/30*FJ$4,IF(AH86+AH87+AH88+AH89+AJ86+AJ87+AJ88+AJ89&gt;2,Fixo/30*FJ$4+(AH86+AH87+AH88+AH89+AJ86+AJ87+AJ88+AJ89-2)*Cadeirante/30*FJ$4)))+(AG86+AG87+AG88+AI86+AI87+AI88)*Percapita/30*FJ$4+(AG89+AI89)*Crechee/30*FJ$4,IF(C86=1,IF(AG86+AG87+AG88+AH86+AH87+AH88+AI86+AI87+AI88+AJ86+AJ87+AJ88&lt;=15,(AG86+AG87+AG88+AI86+AI87+AI88)*Percapita/30*FJ$4,IF(AG86+AG87+AG88+AH86+AH87+AH88+AI86+AI87+AI88+AJ86+AJ87+AJ88&gt;=16,Fixo/30*FJ$4+(AG86+AG87+AG88+AH86+AH87+AH88+AI86+AI87+AI88+AJ86+AJ87-16)*Percapita/30*FJ$4))))))</f>
        <v>0</v>
      </c>
      <c r="FK86" s="177">
        <f>IF(C86=4,SUM(AK86+AK87+AK88+AM86+AM87+AM88)*Percapita/30*FK$4+(AL86+AL87+AL88+AN86+AN87+AN88)*Cadeirante/30*FK$4,IF(C86=3,IF(AK89+AM89=10,Fixo/30*FK$4+(AK86+AK87+AK88+AM86+AM87+AM88)*Percapita/30*FK$4+(AL89+AN89)*Cadeirante/30*FK$4,IF(AK89+AM89&lt;=9,(AK89+AM89)*Crechee/30*FK$4)+(AL89+AN89)*Cadeirante/30*FK$4+(AK86+AK87+AK88+AM86+AM87+AM88)*Percapita/30*FK$4)+IF(AK89+AM89&gt;=11,Fixo/30*FK$4+(AK89+AM89-10)*Crechee/30*FK$4,0),IF(C86=2,IF(AL86+AL87+AL88+AL89+AN86+AN87+AN88+AN89=1,Cadeirante/30*FK$4,IF(AL86+AL87+AL88+AL89+AN86+AN87+AN88+AN89=2,Fixo/30*FK$4,IF(AL86+AL87+AL88+AL89+AN86+AN87+AN88+AN89&gt;2,Fixo/30*FK$4+(AL86+AL87+AL88+AL89+AN86+AN87+AN88+AN89-2)*Cadeirante/30*FK$4)))+(AK86+AK87+AK88+AM86+AM87+AM88)*Percapita/30*FK$4+(AK89+AM89)*Crechee/30*FK$4,IF(C86=1,IF(AK86+AK87+AK88+AL86+AL87+AL88+AM86+AM87+AM88+AN86+AN87+AN88&lt;=15,(AK86+AK87+AK88+AM86+AM87+AM88)*Percapita/30*FK$4,IF(AK86+AK87+AK88+AL86+AL87+AL88+AM86+AM87+AM88+AN86+AN87+AN88&gt;=16,Fixo/30*FK$4+(AK86+AK87+AK88+AL86+AL87+AL88+AM86+AM87+AM88+AN86+AN87-16)*Percapita/30*FK$4))))))</f>
        <v>0</v>
      </c>
      <c r="FL86" s="177">
        <f>IF(C86=4,SUM(AO86+AO87+AO88+AQ86+AQ87+AQ88)*Percapita/30*FL$4+(AP86+AP87+AP88+AR86+AR87+AR88)*Cadeirante/30*FL$4,IF(C86=3,IF(AO89+AQ89=10,Fixo/30*FL$4+(AO86+AO87+AO88+AQ86+AQ87+AQ88)*Percapita/30*FL$4+(AP89+AR89)*Cadeirante/30*FL$4,IF(AO89+AQ89&lt;=9,(AO89+AQ89)*Crechee/30*FL$4)+(AP89+AR89)*Cadeirante/30*FL$4+(AO86+AO87+AO88+AQ86+AQ87+AQ88)*Percapita/30*FL$4)+IF(AO89+AQ89&gt;=11,Fixo/30*FL$4+(AO89+AQ89-10)*Crechee/30*FL$4,0),IF(C86=2,IF(AP86+AP87+AP88+AP89+AR86+AR87+AR88+AR89=1,Cadeirante/30*FL$4,IF(AP86+AP87+AP88+AP89+AR86+AR87+AR88+AR89=2,Fixo/30*FL$4,IF(AP86+AP87+AP88+AP89+AR86+AR87+AR88+AR89&gt;2,Fixo/30*FL$4+(AP86+AP87+AP88+AP89+AR86+AR87+AR88+AR89-2)*Cadeirante/30*FL$4)))+(AO86+AO87+AO88+AQ86+AQ87+AQ88)*Percapita/30*FL$4+(AO89+AQ89)*Crechee/30*FL$4,IF(C86=1,IF(AO86+AO87+AO88+AP86+AP87+AP88+AQ86+AQ87+AQ88+AR86+AR87+AR88&lt;=15,(AO86+AO87+AO88+AQ86+AQ87+AQ88)*Percapita/30*FL$4,IF(AO86+AO87+AO88+AP86+AP87+AP88+AQ86+AQ87+AQ88+AR86+AR87+AR88&gt;=16,Fixo/30*FL$4+(AO86+AO87+AO88+AP86+AP87+AP88+AQ86+AQ87+AQ88+AR86+AR87-16)*Percapita/30*FL$4))))))</f>
        <v>-308.18400000000003</v>
      </c>
      <c r="FM86" s="177">
        <f>IF(C86=4,SUM(AS86+AS87+AS88+AU86+AU87+AU88)*Percapita/30*FM$4+(AT86+AT87+AT88+AV86+AV87+AV88)*Cadeirante/30*FM$4,IF(C86=3,IF(AS89+AU89=10,Fixo/30*FM$4+(AS86+AS87+AS88+AU86+AU87+AU88)*Percapita/30*FM$4+(AT89+AV89)*Cadeirante/30*FM$4,IF(AS89+AU89&lt;=9,(AS89+AU89)*Crechee/30*FM$4)+(AT89+AV89)*Cadeirante/30*FM$4+(AS86+AS87+AS88+AU86+AU87+AU88)*Percapita/30*FM$4)+IF(AS89+AU89&gt;=11,Fixo/30*FM$4+(AS89+AU89-10)*Crechee/30*FM$4,0),IF(C86=2,IF(AT86+AT87+AT88+AT89+AV86+AV87+AV88+AV89=1,Cadeirante/30*FM$4,IF(AT86+AT87+AT88+AT89+AV86+AV87+AV88+AV89=2,Fixo/30*FM$4,IF(AT86+AT87+AT88+AT89+AV86+AV87+AV88+AV89&gt;2,Fixo/30*FM$4+(AT86+AT87+AT88+AT89+AV86+AV87+AV88+AV89-2)*Cadeirante/30*FM$4)))+(AS86+AS87+AS88+AU86+AU87+AU88)*Percapita/30*FM$4+(AS89+AU89)*Crechee/30*FM$4,IF(C86=1,IF(AS86+AS87+AS88+AT86+AT87+AT88+AU86+AU87+AU88+AV86+AV87+AV88&lt;=15,(AS86+AS87+AS88+AU86+AU87+AU88)*Percapita/30*FM$4,IF(AS86+AS87+AS88+AT86+AT87+AT88+AU86+AU87+AU88+AV86+AV87+AV88&gt;=16,Fixo/30*FM$4+(AS86+AS87+AS88+AT86+AT87+AT88+AU86+AU87+AU88+AV86+AV87-16)*Percapita/30*FM$4))))))</f>
        <v>295.34300000000002</v>
      </c>
      <c r="FN86" s="177">
        <f>IF(C86=4,SUM(AW86+AW87+AW88+AY86+AY87+AY88)*Percapita/30*FN$4+(AX86+AX87+AX88+AZ86+AZ87+AZ88)*Cadeirante/30*FN$4,IF(C86=3,IF(AW89+AY89=10,Fixo/30*FN$4+(AW86+AW87+AW88+AY86+AY87+AY88)*Percapita/30*FN$4+(AX89+AZ89)*Cadeirante/30*FN$4,IF(AW89+AY89&lt;=9,(AW89+AY89)*Crechee/30*FN$4)+(AX89+AZ89)*Cadeirante/30*FN$4+(AW86+AW87+AW88+AY86+AY87+AY88)*Percapita/30*FN$4)+IF(AW89+AY89&gt;=11,Fixo/30*FN$4+(AW89+AY89-10)*Crechee/30*FN$4,0),IF(C86=2,IF(AX86+AX87+AX88+AX89+AZ86+AZ87+AZ88+AZ89=1,Cadeirante/30*FN$4,IF(AX86+AX87+AX88+AX89+AZ86+AZ87+AZ88+AZ89=2,Fixo/30*FN$4,IF(AX86+AX87+AX88+AX89+AZ86+AZ87+AZ88+AZ89&gt;2,Fixo/30*FN$4+(AX86+AX87+AX88+AX89+AZ86+AZ87+AZ88+AZ89-2)*Cadeirante/30*FN$4)))+(AW86+AW87+AW88+AY86+AY87+AY88)*Percapita/30*FN$4+(AW89+AY89)*Crechee/30*FN$4,IF(C86=1,IF(AW86+AW87+AW88+AX86+AX87+AX88+AY86+AY87+AY88+AZ86+AZ87+AZ88&lt;=15,(AW86+AW87+AW88+AY86+AY87+AY88)*Percapita/30*FN$4,IF(AW86+AW87+AW88+AX86+AX87+AX88+AY86+AY87+AY88+AZ86+AZ87+AZ88&gt;=16,Fixo/30*FN$4+(AW86+AW87+AW88+AX86+AX87+AX88+AY86+AY87+AY88+AZ86+AZ87-16)*Percapita/30*FN$4))))))</f>
        <v>0</v>
      </c>
      <c r="FO86" s="177">
        <f>IF(C86=4,SUM(BA86+BA87+BA88+BC86+BC87+BC88)*Percapita/30*FO$4+(BB86+BB87+BB88+BD86+BD87+BD88)*Cadeirante/30*FO$4,IF(C86=3,IF(BA89+BC89=10,Fixo/30*FO$4+(BA86+BA87+BA88+BC86+BC87+BC88)*Percapita/30*FO$4+(BB89+BD89)*Cadeirante/30*FO$4,IF(BA89+BC89&lt;=9,(BA89+BC89)*Crechee/30*FO$4)+(BB89+BD89)*Cadeirante/30*FO$4+(BA86+BA87+BA88+BC86+BC87+BC88)*Percapita/30*FO$4)+IF(BA89+BC89&gt;=11,Fixo/30*FO$4+(BA89+BC89-10)*Crechee/30*FO$4,0),IF(C86=2,IF(BB86+BB87+BB88+BB89+BD86+BD87+BD88+BD89=1,Cadeirante/30*FO$4,IF(BB86+BB87+BB88+BB89+BD86+BD87+BD88+BD89=2,Fixo/30*FO$4,IF(BB86+BB87+BB88+BB89+BD86+BD87+BD88+BD89&gt;2,Fixo/30*FO$4+(BB86+BB87+BB88+BB89+BD86+BD87+BD88+BD89-2)*Cadeirante/30*FO$4)))+(BA86+BA87+BA88+BC86+BC87+BC88)*Percapita/30*FO$4+(BA89+BC89)*Crechee/30*FO$4,IF(C86=1,IF(BA86+BA87+BA88+BB86+BB87+BB88+BC86+BC87+BC88+BD86+BD87+BD88&lt;=15,(BA86+BA87+BA88+BC86+BC87+BC88)*Percapita/30*FO$4,IF(BA86+BA87+BA88+BB86+BB87+BB88+BC86+BC87+BC88+BD86+BD87+BD88&gt;=16,Fixo/30*FO$4+(BA86+BA87+BA88+BB86+BB87+BB88+BC86+BC87+BC88+BD86+BD87-16)*Percapita/30*FO$4))))))</f>
        <v>-269.661</v>
      </c>
      <c r="FP86" s="177">
        <f>IF(C86=4,SUM(BE86+BE87+BE88+BG86+BG87+BG88)*Percapita/30*FP$4+(BF86+BF87+BF88+BH86+BH87+BH88)*Cadeirante/30*FP$4,IF(C86=3,IF(BE89+BG89=10,Fixo/30*FP$4+(BE86+BE87+BE88+BG86+BG87+BG88)*Percapita/30*FP$4+(BF89+BH89)*Cadeirante/30*FP$4,IF(BE89+BG89&lt;=9,(BE89+BG89)*Crechee/30*FP$4)+(BF89+BH89)*Cadeirante/30*FP$4+(BE86+BE87+BE88+BG86+BG87+BG88)*Percapita/30*FP$4)+IF(BE89+BG89&gt;=11,Fixo/30*FP$4+(BE89+BG89-10)*Crechee/30*FP$4,0),IF(C86=2,IF(BF86+BF87+BF88+BF89+BH86+BH87+BH88+BH89=1,Cadeirante/30*FP$4,IF(BF86+BF87+BF88+BF89+BH86+BH87+BH88+BH89=2,Fixo/30*FP$4,IF(BF86+BF87+BF88+BF89+BH86+BH87+BH88+BH89&gt;2,Fixo/30*FP$4+(BF86+BF87+BF88+BF89+BH86+BH87+BH88+BH89-2)*Cadeirante/30*FP$4)))+(BE86+BE87+BE88+BG86+BG87+BG88)*Percapita/30*FP$4+(BE89+BG89)*Crechee/30*FP$4,IF(C86=1,IF(BE86+BE87+BE88+BF86+BF87+BF88+BG86+BG87+BG88+BH86+BH87+BH88&lt;=15,(BE86+BE87+BE88+BG86+BG87+BG88)*Percapita/30*FP$4,IF(BE86+BE87+BE88+BF86+BF87+BF88+BG86+BG87+BG88+BH86+BH87+BH88&gt;=16,Fixo/30*FP$4+(BE86+BE87+BE88+BF86+BF87+BF88+BG86+BG87+BG88+BH86+BH87-16)*Percapita/30*FP$4))))))</f>
        <v>0</v>
      </c>
      <c r="FQ86" s="177">
        <f>IF(C86=4,SUM(BI86+BI87+BI88+BK86+BK87+BK88)*Percapita/30*FQ$4+(BJ86+BJ87+BJ88+BL86+BL87+BL88)*Cadeirante/30*FQ$4,IF(C86=3,IF(BI89+BK89=10,Fixo/30*FQ$4+(BI86+BI87+BI88+BK86+BK87+BK88)*Percapita/30*FQ$4+(BJ89+BL89)*Cadeirante/30*FQ$4,IF(BI89+BK89&lt;=9,(BI89+BK89)*Crechee/30*FQ$4)+(BJ89+BL89)*Cadeirante/30*FQ$4+(BI86+BI87+BI88+BK86+BK87+BK88)*Percapita/30*FQ$4)+IF(BI89+BK89&gt;=11,Fixo/30*FQ$4+(BI89+BK89-10)*Crechee/30*FQ$4,0),IF(C86=2,IF(BJ86+BJ87+BJ88+BJ89+BL86+BL87+BL88+BL89=1,Cadeirante/30*FQ$4,IF(BJ86+BJ87+BJ88+BJ89+BL86+BL87+BL88+BL89=2,Fixo/30*FQ$4,IF(BJ86+BJ87+BJ88+BJ89+BL86+BL87+BL88+BL89&gt;2,Fixo/30*FQ$4+(BJ86+BJ87+BJ88+BJ89+BL86+BL87+BL88+BL89-2)*Cadeirante/30*FQ$4)))+(BI86+BI87+BI88+BK86+BK87+BK88)*Percapita/30*FQ$4+(BI89+BK89)*Crechee/30*FQ$4,IF(C86=1,IF(BI86+BI87+BI88+BJ86+BJ87+BJ88+BK86+BK87+BK88+BL86+BL87+BL88&lt;=15,(BI86+BI87+BI88+BK86+BK87+BK88)*Percapita/30*FQ$4,IF(BI86+BI87+BI88+BJ86+BJ87+BJ88+BK86+BK87+BK88+BL86+BL87+BL88&gt;=16,Fixo/30*FQ$4+(BI86+BI87+BI88+BJ86+BJ87+BJ88+BK86+BK87+BK88+BL86+BL87-16)*Percapita/30*FQ$4))))))</f>
        <v>0</v>
      </c>
      <c r="FR86" s="177">
        <f>IF(C86=4,SUM(BM86+BM87+BM88+BO86+BO87+BO88)*Percapita/30*FR$4+(BN86+BN87+BN88+BP86+BP87+BP88)*Cadeirante/30*FR$4,IF(C86=3,IF(BM89+BO89=10,Fixo/30*FR$4+(BM86+BM87+BM88+BO86+BO87+BO88)*Percapita/30*FR$4+(BN89+BP89)*Cadeirante/30*FR$4,IF(BM89+BO89&lt;=9,(BM89+BO89)*Crechee/30*FR$4)+(BN89+BP89)*Cadeirante/30*FR$4+(BM86+BM87+BM88+BO86+BO87+BO88)*Percapita/30*FR$4)+IF(BM89+BO89&gt;=11,Fixo/30*FR$4+(BM89+BO89-10)*Crechee/30*FR$4,0),IF(C86=2,IF(BN86+BN87+BN88+BN89+BP86+BP87+BP88+BP89=1,Cadeirante/30*FR$4,IF(BN86+BN87+BN88+BN89+BP86+BP87+BP88+BP89=2,Fixo/30*FR$4,IF(BN86+BN87+BN88+BN89+BP86+BP87+BP88+BP89&gt;2,Fixo/30*FR$4+(BN86+BN87+BN88+BN89+BP86+BP87+BP88+BP89-2)*Cadeirante/30*FR$4)))+(BM86+BM87+BM88+BO86+BO87+BO88)*Percapita/30*FR$4+(BM89+BO89)*Crechee/30*FR$4,IF(C86=1,IF(BM86+BM87+BM88+BN86+BN87+BN88+BO86+BO87+BO88+BP86+BP87+BP88&lt;=15,(BM86+BM87+BM88+BO86+BO87+BO88)*Percapita/30*FR$4,IF(BM86+BM87+BM88+BN86+BN87+BN88+BO86+BO87+BO88+BP86+BP87+BP88&gt;=16,Fixo/30*FR$4+(BM86+BM87+BM88+BN86+BN87+BN88+BO86+BO87+BO88+BP86+BP87-16)*Percapita/30*FR$4))))))</f>
        <v>0</v>
      </c>
      <c r="FS86" s="177">
        <f>IF(C86=4,SUM(BQ86+BQ87+BQ88+BS86+BS87+BS88)*Percapita/30*FS$4+(BR86+BR87+BR88+BT86+BT87+BT88)*Cadeirante/30*FS$4,IF(C86=3,IF(BQ89+BS89=10,Fixo/30*FS$4+(BQ86+BQ87+BQ88+BS86+BS87+BS88)*Percapita/30*FS$4+(BR89+BT89)*Cadeirante/30*FS$4,IF(BQ89+BS89&lt;=9,(BQ89+BS89)*Crechee/30*FS$4)+(BR89+BT89)*Cadeirante/30*FS$4+(BQ86+BQ87+BQ88+BS86+BS87+BS88)*Percapita/30*FS$4)+IF(BQ89+BS89&gt;=11,Fixo/30*FS$4+(BQ89+BS89-10)*Crechee/30*FS$4,0),IF(C86=2,IF(BR86+BR87+BR88+BR89+BT86+BT87+BT88+BT89=1,Cadeirante/30*FS$4,IF(BR86+BR87+BR88+BR89+BT86+BT87+BT88+BT89=2,Fixo/30*FS$4,IF(BR86+BR87+BR88+BR89+BT86+BT87+BT88+BT89&gt;2,Fixo/30*FS$4+(BR86+BR87+BR88+BR89+BT86+BT87+BT88+BT89-2)*Cadeirante/30*FS$4)))+(BQ86+BQ87+BQ88+BS86+BS87+BS88)*Percapita/30*FS$4+(BQ89+BS89)*Crechee/30*FS$4,IF(C86=1,IF(BQ86+BQ87+BQ88+BR86+BR87+BR88+BS86+BS87+BS88+BT86+BT87+BT88&lt;=15,(BQ86+BQ87+BQ88+BS86+BS87+BS88)*Percapita/30*FS$4,IF(BQ86+BQ87+BQ88+BR86+BR87+BR88+BS86+BS87+BS88+BT86+BT87+BT88&gt;=16,Fixo/30*FS$4+(BQ86+BQ87+BQ88+BR86+BR87+BR88+BS86+BS87+BS88+BT86+BT87-16)*Percapita/30*FS$4))))))</f>
        <v>0</v>
      </c>
      <c r="FT86" s="177">
        <f>IF(C86=4,SUM(BU86+BU87+BU88+BW86+BW87+BW88)*Percapita/30*FT$4+(BV86+BV87+BV88+BX86+BX87+BX88)*Cadeirante/30*FT$4,IF(C86=3,IF(BU89+BW89=10,Fixo/30*FT$4+(BU86+BU87+BU88+BW86+BW87+BW88)*Percapita/30*FT$4+(BV89+BX89)*Cadeirante/30*FT$4,IF(BU89+BW89&lt;=9,(BU89+BW89)*Crechee/30*FT$4)+(BV89+BX89)*Cadeirante/30*FT$4+(BU86+BU87+BU88+BW86+BW87+BW88)*Percapita/30*FT$4)+IF(BU89+BW89&gt;=11,Fixo/30*FT$4+(BU89+BW89-10)*Crechee/30*FT$4,0),IF(C86=2,IF(BV86+BV87+BV88+BV89+BX86+BX87+BX88+BX89=1,Cadeirante/30*FT$4,IF(BV86+BV87+BV88+BV89+BX86+BX87+BX88+BX89=2,Fixo/30*FT$4,IF(BV86+BV87+BV88+BV89+BX86+BX87+BX88+BX89&gt;2,Fixo/30*FT$4+(BV86+BV87+BV88+BV89+BX86+BX87+BX88+BX89-2)*Cadeirante/30*FT$4)))+(BU86+BU87+BU88+BW86+BW87+BW88)*Percapita/30*FT$4+(BU89+BW89)*Crechee/30*FT$4,IF(C86=1,IF(BU86+BU87+BU88+BV86+BV87+BV88+BW86+BW87+BW88+BX86+BX87+BX88&lt;=15,(BU86+BU87+BU88+BW86+BW87+BW88)*Percapita/30*FT$4,IF(BU86+BU87+BU88+BV86+BV87+BV88+BW86+BW87+BW88+BX86+BX87+BX88&gt;=16,Fixo/30*FT$4+(BU86+BU87+BU88+BV86+BV87+BV88+BW86+BW87+BW88+BX86+BX87-16)*Percapita/30*FT$4))))))</f>
        <v>0</v>
      </c>
      <c r="FU86" s="177">
        <f>IF(C86=4,SUM(BY86+BY87+BY88+CA86+CA87+CA88)*Percapita/30*FU$4+(BZ86+BZ87+BZ88+CB86+CB87+CB88)*Cadeirante/30*FU$4,IF(C86=3,IF(BY89+CA89=10,Fixo/30*FU$4+(BY86+BY87+BY88+CA86+CA87+CA88)*Percapita/30*FU$4+(BZ89+CB89)*Cadeirante/30*FU$4,IF(BY89+CA89&lt;=9,(BY89+CA89)*Crechee/30*FU$4)+(BZ89+CB89)*Cadeirante/30*FU$4+(BY86+BY87+BY88+CA86+CA87+CA88)*Percapita/30*FU$4)+IF(BY89+CA89&gt;=11,Fixo/30*FU$4+(BY89+CA89-10)*Crechee/30*FU$4,0),IF(C86=2,IF(BZ86+BZ87+BZ88+BZ89+CB86+CB87+CB88+CB89=1,Cadeirante/30*FU$4,IF(BZ86+BZ87+BZ88+BZ89+CB86+CB87+CB88+CB89=2,Fixo/30*FU$4,IF(BZ86+BZ87+BZ88+BZ89+CB86+CB87+CB88+CB89&gt;2,Fixo/30*FU$4+(BZ86+BZ87+BZ88+BZ89+CB86+CB87+CB88+CB89-2)*Cadeirante/30*FU$4)))+(BY86+BY87+BY88+CA86+CA87+CA88)*Percapita/30*FU$4+(BY89+CA89)*Crechee/30*FU$4,IF(C86=1,IF(BY86+BY87+BY88+BZ86+BZ87+BZ88+CA86+CA87+CA88+CB86+CB87+CB88&lt;=15,(BY86+BY87+BY88+CA86+CA87+CA88)*Percapita/30*FU$4,IF(BY86+BY87+BY88+BZ86+BZ87+BZ88+CA86+CA87+CA88+CB86+CB87+CB88&gt;=16,Fixo/30*FU$4+(BY86+BY87+BY88+BZ86+BZ87+BZ88+CA86+CA87+CA88+CB86+CB87-16)*Percapita/30*FU$4))))))</f>
        <v>0</v>
      </c>
      <c r="FV86" s="177">
        <f>IF(C86=4,SUM(CC86+CC87+CC88+CE86+CE87+CE88)*Percapita/30*FV$4+(CD86+CD87+CD88+CF86+CF87+CF88)*Cadeirante/30*FV$4,IF(C86=3,IF(CC89+CE89=10,Fixo/30*FV$4+(CC86+CC87+CC88+CE86+CE87+CE88)*Percapita/30*FV$4+(CD89+CF89)*Cadeirante/30*FV$4,IF(CC89+CE89&lt;=9,(CC89+CE89)*Crechee/30*FV$4)+(CD89+CF89)*Cadeirante/30*FV$4+(CC86+CC87+CC88+CE86+CE87+CE88)*Percapita/30*FV$4)+IF(CC89+CE89&gt;=11,Fixo/30*FV$4+(CC89+CE89-10)*Crechee/30*FV$4,0),IF(C86=2,IF(CD86+CD87+CD88+CD89+CF86+CF87+CF88+CF89=1,Cadeirante/30*FV$4,IF(CD86+CD87+CD88+CD89+CF86+CF87+CF88+CF89=2,Fixo/30*FV$4,IF(CD86+CD87+CD88+CD89+CF86+CF87+CF88+CF89&gt;2,Fixo/30*FV$4+(CD86+CD87+CD88+CD89+CF86+CF87+CF88+CF89-2)*Cadeirante/30*FV$4)))+(CC86+CC87+CC88+CE86+CE87+CE88)*Percapita/30*FV$4+(CC89+CE89)*Crechee/30*FV$4,IF(C86=1,IF(CC86+CC87+CC88+CD86+CD87+CD88+CE86+CE87+CE88+CF86+CF87+CF88&lt;=15,(CC86+CC87+CC88+CE86+CE87+CE88)*Percapita/30*FV$4,IF(CC86+CC87+CC88+CD86+CD87+CD88+CE86+CE87+CE88+CF86+CF87+CF88&gt;=16,Fixo/30*FV$4+(CC86+CC87+CC88+CD86+CD87+CD88+CE86+CE87+CE88+CF86+CF87-16)*Percapita/30*FV$4))))))</f>
        <v>0</v>
      </c>
      <c r="FW86" s="177">
        <f>IF(C86=4,SUM(CG86+CG87+CG88+CI86+CI87+CI88)*Percapita/30*FW$4+(CH86+CH87+CH88+CJ86+CJ87+CJ88)*Cadeirante/30*FW$4,IF(C86=3,IF(CG89+CI89=10,Fixo/30*FW$4+(CG86+CG87+CG88+CI86+CI87+CI88)*Percapita/30*FW$4+(CH89+CJ89)*Cadeirante/30*FW$4,IF(CG89+CI89&lt;=9,(CG89+CI89)*Crechee/30*FW$4)+(CH89+CJ89)*Cadeirante/30*FW$4+(CG86+CG87+CG88+CI86+CI87+CI88)*Percapita/30*FW$4)+IF(CG89+CI89&gt;=11,Fixo/30*FW$4+(CG89+CI89-10)*Crechee/30*FW$4,0),IF(C86=2,IF(CH86+CH87+CH88+CH89+CJ86+CJ87+CJ88+CJ89=1,Cadeirante/30*FW$4,IF(CH86+CH87+CH88+CH89+CJ86+CJ87+CJ88+CJ89=2,Fixo/30*FW$4,IF(CH86+CH87+CH88+CH89+CJ86+CJ87+CJ88+CJ89&gt;2,Fixo/30*FW$4+(CH86+CH87+CH88+CH89+CJ86+CJ87+CJ88+CJ89-2)*Cadeirante/30*FW$4)))+(CG86+CG87+CG88+CI86+CI87+CI88)*Percapita/30*FW$4+(CG89+CI89)*Crechee/30*FW$4,IF(C86=1,IF(CG86+CG87+CG88+CH86+CH87+CH88+CI86+CI87+CI88+CJ86+CJ87+CJ88&lt;=15,(CG86+CG87+CG88+CI86+CI87+CI88)*Percapita/30*FW$4,IF(CG86+CG87+CG88+CH86+CH87+CH88+CI86+CI87+CI88+CJ86+CJ87+CJ88&gt;=16,Fixo/30*FW$4+(CG86+CG87+CG88+CH86+CH87+CH88+CI86+CI87+CI88+CJ86+CJ87-16)*Percapita/30*FW$4))))))</f>
        <v>0</v>
      </c>
      <c r="FX86" s="177">
        <f>IF(C86=4,SUM(CK86+CK87+CK88+CM86+CM87+CM88)*Percapita/30*FX$4+(CL86+CL87+CL88+CN86+CN87+CN88)*Cadeirante/30*FX$4,IF(C86=3,IF(CK89+CM89=10,Fixo/30*FX$4+(CK86+CK87+CK88+CM86+CM87+CM88)*Percapita/30*FX$4+(CL89+CN89)*Cadeirante/30*FX$4,IF(CK89+CM89&lt;=9,(CK89+CM89)*Crechee/30*FX$4)+(CL89+CN89)*Cadeirante/30*FX$4+(CK86+CK87+CK88+CM86+CM87+CM88)*Percapita/30*FX$4)+IF(CK89+CM89&gt;=11,Fixo/30*FX$4+(CK89+CM89-10)*Crechee/30*FX$4,0),IF(C86=2,IF(CL86+CL87+CL88+CL89+CN86+CN87+CN88+CN89=1,Cadeirante/30*FX$4,IF(CL86+CL87+CL88+CL89+CN86+CN87+CN88+CN89=2,Fixo/30*FX$4,IF(CL86+CL87+CL88+CL89+CN86+CN87+CN88+CN89&gt;2,Fixo/30*FX$4+(CL86+CL87+CL88+CL89+CN86+CN87+CN88+CN89-2)*Cadeirante/30*FX$4)))+(CK86+CK87+CK88+CM86+CM87+CM88)*Percapita/30*FX$4+(CK89+CM89)*Crechee/30*FX$4,IF(C86=1,IF(CK86+CK87+CK88+CL86+CL87+CL88+CM86+CM87+CM88+CN86+CN87+CN88&lt;=15,(CK86+CK87+CK88+CM86+CM87+CM88)*Percapita/30*FX$4,IF(CK86+CK87+CK88+CL86+CL87+CL88+CM86+CM87+CM88+CN86+CN87+CN88&gt;=16,Fixo/30*FX$4+(CK86+CK87+CK88+CL86+CL87+CL88+CM86+CM87+CM88+CN86+CN87-16)*Percapita/30*FX$4))))))</f>
        <v>0</v>
      </c>
      <c r="FY86" s="177">
        <f>IF(C86=4,SUM(CO86+CO87+CO88+CQ86+CQ87+CQ88)*Percapita/30*FY$4+(CP86+CP87+CP88+CR86+CR87+CR88)*Cadeirante/30*FY$4,IF(C86=3,IF(CO89+CQ89=10,Fixo/30*FY$4+(CO86+CO87+CO88+CQ86+CQ87+CQ88)*Percapita/30*FY$4+(CP89+CR89)*Cadeirante/30*FY$4,IF(CO89+CQ89&lt;=9,(CO89+CQ89)*Crechee/30*FY$4)+(CP89+CR89)*Cadeirante/30*FY$4+(CO86+CO87+CO88+CQ86+CQ87+CQ88)*Percapita/30*FY$4)+IF(CO89+CQ89&gt;=11,Fixo/30*FY$4+(CO89+CQ89-10)*Crechee/30*FY$4,0),IF(C86=2,IF(CP86+CP87+CP88+CP89+CR86+CR87+CR88+CR89=1,Cadeirante/30*FY$4,IF(CP86+CP87+CP88+CP89+CR86+CR87+CR88+CR89=2,Fixo/30*FY$4,IF(CP86+CP87+CP88+CP89+CR86+CR87+CR88+CR89&gt;2,Fixo/30*FY$4+(CP86+CP87+CP88+CP89+CR86+CR87+CR88+CR89-2)*Cadeirante/30*FY$4)))+(CO86+CO87+CO88+CQ86+CQ87+CQ88)*Percapita/30*FY$4+(CO89+CQ89)*Crechee/30*FY$4,IF(C86=1,IF(CO86+CO87+CO88+CP86+CP87+CP88+CQ86+CQ87+CQ88+CR86+CR87+CR88&lt;=15,(CO86+CO87+CO88+CQ86+CQ87+CQ88)*Percapita/30*FY$4,IF(CO86+CO87+CO88+CP86+CP87+CP88+CQ86+CQ87+CQ88+CR86+CR87+CR88&gt;=16,Fixo/30*FY$4+(CO86+CO87+CO88+CP86+CP87+CP88+CQ86+CQ87+CQ88+CR86+CR87-16)*Percapita/30*FY$4))))))</f>
        <v>0</v>
      </c>
      <c r="FZ86" s="177">
        <f>IF(C86=4,SUM(CS86+CS87+CS88+CU86+CU87+CU88)*Percapita/30*FZ$4+(CT86+CT87+CT88+CV86+CV87+CV88)*Cadeirante/30*FZ$4,IF(C86=3,IF(CS89+CU89=10,Fixo/30*FZ$4+(CS86+CS87+CS88+CU86+CU87+CU88)*Percapita/30*FZ$4+(CT89+CV89)*Cadeirante/30*FZ$4,IF(CS89+CU89&lt;=9,(CS89+CU89)*Crechee/30*FZ$4)+(CT89+CV89)*Cadeirante/30*FZ$4+(CS86+CS87+CS88+CU86+CU87+CU88)*Percapita/30*FZ$4)+IF(CS89+CU89&gt;=11,Fixo/30*FZ$4+(CS89+CU89-10)*Crechee/30*FZ$4,0),IF(C86=2,IF(CT86+CT87+CT88+CT89+CV86+CV87+CV88+CV89=1,Cadeirante/30*FZ$4,IF(CT86+CT87+CT88+CT89+CV86+CV87+CV88+CV89=2,Fixo/30*FZ$4,IF(CT86+CT87+CT88+CT89+CV86+CV87+CV88+CV89&gt;2,Fixo/30*FZ$4+(CT86+CT87+CT88+CT89+CV86+CV87+CV88+CV89-2)*Cadeirante/30*FZ$4)))+(CS86+CS87+CS88+CU86+CU87+CU88)*Percapita/30*FZ$4+(CS89+CU89)*Crechee/30*FZ$4,IF(C86=1,IF(CS86+CS87+CS88+CT86+CT87+CT88+CU86+CU87+CU88+CV86+CV87+CV88&lt;=15,(CS86+CS87+CS88+CU86+CU87+CU88)*Percapita/30*FZ$4,IF(CS86+CS87+CS88+CT86+CT87+CT88+CU86+CU87+CU88+CV86+CV87+CV88&gt;=16,Fixo/30*FZ$4+(CS86+CS87+CS88+CT86+CT87+CT88+CU86+CU87+CU88+CV86+CV87-16)*Percapita/30*FZ$4))))))</f>
        <v>0</v>
      </c>
      <c r="GA86" s="177">
        <f>IF(C86=4,SUM(CW86+CW87+CW88+CY86+CY87+CY88)*Percapita/30*GA$4+(CX86+CX87+CX88+CZ86+CZ87+CZ88)*Cadeirante/30*GA$4,IF(C86=3,IF(CW89+CY89=10,Fixo/30*GA$4+(CW86+CW87+CW88+CY86+CY87+CY88)*Percapita/30*GA$4+(CX89+CZ89)*Cadeirante/30*GA$4,IF(CW89+CY89&lt;=9,(CW89+CY89)*Crechee/30*GA$4)+(CX89+CZ89)*Cadeirante/30*GA$4+(CW86+CW87+CW88+CY86+CY87+CY88)*Percapita/30*GA$4)+IF(CW89+CY89&gt;=11,Fixo/30*GA$4+(CW89+CY89-10)*Crechee/30*GA$4,0),IF(C86=2,IF(CX86+CX87+CX88+CX89+CZ86+CZ87+CZ88+CZ89=1,Cadeirante/30*GA$4,IF(CX86+CX87+CX88+CX89+CZ86+CZ87+CZ88+CZ89=2,Fixo/30*GA$4,IF(CX86+CX87+CX88+CX89+CZ86+CZ87+CZ88+CZ89&gt;2,Fixo/30*GA$4+(CX86+CX87+CX88+CX89+CZ86+CZ87+CZ88+CZ89-2)*Cadeirante/30*GA$4)))+(CW86+CW87+CW88+CY86+CY87+CY88)*Percapita/30*GA$4+(CW89+CY89)*Crechee/30*GA$4,IF(C86=1,IF(CW86+CW87+CW88+CX86+CX87+CX88+CY86+CY87+CY88+CZ86+CZ87+CZ88&lt;=15,(CW86+CW87+CW88+CY86+CY87+CY88)*Percapita/30*GA$4,IF(CW86+CW87+CW88+CX86+CX87+CX88+CY86+CY87+CY88+CZ86+CZ87+CZ88&gt;=16,Fixo/30*GA$4+(CW86+CW87+CW88+CX86+CX87+CX88+CY86+CY87+CY88+CZ86+CZ87-16)*Percapita/30*GA$4))))))</f>
        <v>0</v>
      </c>
      <c r="GB86" s="177">
        <f>IF(C86=4,SUM(DA86+DA87+DA88+DC86+DC87+DC88)*Percapita/30*GB$4+(DB86+DB87+DB88+DD86+DD87+DD88)*Cadeirante/30*GB$4,IF(C86=3,IF(DA89+DC89=10,Fixo/30*GB$4+(DA86+DA87+DA88+DC86+DC87+DC88)*Percapita/30*GB$4+(DB89+DD89)*Cadeirante/30*GB$4,IF(DA89+DC89&lt;=9,(DA89+DC89)*Crechee/30*GB$4)+(DB89+DD89)*Cadeirante/30*GB$4+(DA86+DA87+DA88+DC86+DC87+DC88)*Percapita/30*GB$4)+IF(DA89+DC89&gt;=11,Fixo/30*GB$4+(DA89+DC89-10)*Crechee/30*GB$4,0),IF(C86=2,IF(DB86+DB87+DB88+DB89+DD86+DD87+DD88+DD89=1,Cadeirante/30*GB$4,IF(DB86+DB87+DB88+DB89+DD86+DD87+DD88+DD89=2,Fixo/30*GB$4,IF(DB86+DB87+DB88+DB89+DD86+DD87+DD88+DD89&gt;2,Fixo/30*GB$4+(DB86+DB87+DB88+DB89+DD86+DD87+DD88+DD89-2)*Cadeirante/30*GB$4)))+(DA86+DA87+DA88+DC86+DC87+DC88)*Percapita/30*GB$4+(DA89+DC89)*Crechee/30*GB$4,IF(C86=1,IF(DA86+DA87+DA88+DB86+DB87+DB88+DC86+DC87+DC88+DD86+DD87+DD88&lt;=15,(DA86+DA87+DA88+DC86+DC87+DC88)*Percapita/30*GB$4,IF(DA86+DA87+DA88+DB86+DB87+DB88+DC86+DC87+DC88+DD86+DD87+DD88&gt;=16,Fixo/30*GB$4+(DA86+DA87+DA88+DB86+DB87+DB88+DC86+DC87+DC88+DD86+DD87-16)*Percapita/30*GB$4))))))</f>
        <v>0</v>
      </c>
      <c r="GC86" s="177">
        <f>IF(C86=4,SUM(DE86+DE87+DE88+DG86+DG87+DG88)*Percapita/30*GC$4+(DF86+DF87+DF88+DH86+DH87+DH88)*Cadeirante/30*GC$4,IF(C86=3,IF(DE89+DG89=10,Fixo/30*GC$4+(DE86+DE87+DE88+DG86+DG87+DG88)*Percapita/30*GC$4+(DF89+DH89)*Cadeirante/30*GC$4,IF(DE89+DG89&lt;=9,(DE89+DG89)*Crechee/30*GC$4)+(DF89+DH89)*Cadeirante/30*GC$4+(DE86+DE87+DE88+DG86+DG87+DG88)*Percapita/30*GC$4)+IF(DE89+DG89&gt;=11,Fixo/30*GC$4+(DE89+DG89-10)*Crechee/30*GC$4,0),IF(C86=2,IF(DF86+DF87+DF88+DF89+DH86+DH87+DH88+DH89=1,Cadeirante/30*GC$4,IF(DF86+DF87+DF88+DF89+DH86+DH87+DH88+DH89=2,Fixo/30*GC$4,IF(DF86+DF87+DF88+DF89+DH86+DH87+DH88+DH89&gt;2,Fixo/30*GC$4+(DF86+DF87+DF88+DF89+DH86+DH87+DH88+DH89-2)*Cadeirante/30*GC$4)))+(DE86+DE87+DE88+DG86+DG87+DG88)*Percapita/30*GC$4+(DE89+DG89)*Crechee/30*GC$4,IF(C86=1,IF(DE86+DE87+DE88+DF86+DF87+DF88+DG86+DG87+DG88+DH86+DH87+DH88&lt;=15,(DE86+DE87+DE88+DG86+DG87+DG88)*Percapita/30*GC$4,IF(DE86+DE87+DE88+DF86+DF87+DF88+DG86+DG87+DG88+DH86+DH87+DH88&gt;=16,Fixo/30*GC$4+(DE86+DE87+DE88+DF86+DF87+DF88+DG86+DG87+DG88+DH86+DH87-16)*Percapita/30*GC$4))))))</f>
        <v>0</v>
      </c>
      <c r="GD86" s="177">
        <f>IF(C86=4,SUM(DI86+DI87+DI88+DK86+DK87+DK88)*Percapita/30*GD$4+(DJ86+DJ87+DJ88+DL86+DL87+DL88)*Cadeirante/30*GD$4,IF(C86=3,IF(DI89+DK89=10,Fixo/30*GD$4+(DI86+DI87+DI88+DK86+DK87+DK88)*Percapita/30*GD$4+(DJ89+DL89)*Cadeirante/30*GD$4,IF(DI89+DK89&lt;=9,(DI89+DK89)*Crechee/30*GD$4)+(DJ89+DL89)*Cadeirante/30*GD$4+(DI86+DI87+DI88+DK86+DK87+DK88)*Percapita/30*GD$4)+IF(DI89+DK89&gt;=11,Fixo/30*GD$4+(DI89+DK89-10)*Crechee/30*GD$4,0),IF(C86=2,IF(DJ86+DJ87+DJ88+DJ89+DL86+DL87+DL88+DL89=1,Cadeirante/30*GD$4,IF(DJ86+DJ87+DJ88+DJ89+DL86+DL87+DL88+DL89=2,Fixo/30*GD$4,IF(DJ86+DJ87+DJ88+DJ89+DL86+DL87+DL88+DL89&gt;2,Fixo/30*GD$4+(DJ86+DJ87+DJ88+DJ89+DL86+DL87+DL88+DL89-2)*Cadeirante/30*GD$4)))+(DI86+DI87+DI88+DK86+DK87+DK88)*Percapita/30*GD$4+(DI89+DK89)*Crechee/30*GD$4,IF(C86=1,IF(DI86+DI87+DI88+DJ86+DJ87+DJ88+DK86+DK87+DK88+DL86+DL87+DL88&lt;=15,(DI86+DI87+DI88+DK86+DK87+DK88)*Percapita/30*GD$4,IF(DI86+DI87+DI88+DJ86+DJ87+DJ88+DK86+DK87+DK88+DL86+DL87+DL88&gt;=16,Fixo/30*GD$4+(DI86+DI87+DI88+DJ86+DJ87+DJ88+DK86+DK87+DK88+DL86+DL87-16)*Percapita/30*GD$4))))))</f>
        <v>0</v>
      </c>
      <c r="GE86" s="177">
        <f>IF(C86=4,SUM(DM86+DM87+DM88+DO86+DO87+DO88)*Percapita/30*GE$4+(DN86+DN87+DN88+DP86+DP87+DP88)*Cadeirante/30*GE$4,IF(C86=3,IF(DM89+DO89=10,Fixo/30*GE$4+(DM86+DM87+DM88+DO86+DO87+DO88)*Percapita/30*GE$4+(DN89+DP89)*Cadeirante/30*GE$4,IF(DM89+DO89&lt;=9,(DM89+DO89)*Crechee/30*GE$4)+(DN89+DP89)*Cadeirante/30*GE$4+(DM86+DM87+DM88+DO86+DO87+DO88)*Percapita/30*GE$4)+IF(DM89+DO89&gt;=11,Fixo/30*GE$4+(DM89+DO89-10)*Crechee/30*GE$4,0),IF(C86=2,IF(DN86+DN87+DN88+DN89+DP86+DP87+DP88+DP89=1,Cadeirante/30*GE$4,IF(DN86+DN87+DN88+DN89+DP86+DP87+DP88+DP89=2,Fixo/30*GE$4,IF(DN86+DN87+DN88+DN89+DP86+DP87+DP88+DP89&gt;2,Fixo/30*GE$4+(DN86+DN87+DN88+DN89+DP86+DP87+DP88+DP89-2)*Cadeirante/30*GE$4)))+(DM86+DM87+DM88+DO86+DO87+DO88)*Percapita/30*GE$4+(DM89+DO89)*Crechee/30*GE$4,IF(C86=1,IF(DM86+DM87+DM88+DN86+DN87+DN88+DO86+DO87+DO88+DP86+DP87+DP88&lt;=15,(DM86+DM87+DM88+DO86+DO87+DO88)*Percapita/30*GE$4,IF(DM86+DM87+DM88+DN86+DN87+DN88+DO86+DO87+DO88+DP86+DP87+DP88&gt;=16,Fixo/30*GE$4+(DM86+DM87+DM88+DN86+DN87+DN88+DO86+DO87+DO88+DP86+DP87-16)*Percapita/30*GE$4))))))</f>
        <v>0</v>
      </c>
      <c r="GF86" s="177">
        <f>IF(C86=4,SUM(DQ86+DQ87+DQ88+DS86+DS87+DS88)*Percapita/30*GF$4+(DR86+DR87+DR88+DT86+DT87+DT88)*Cadeirante/30*GF$4,IF(C86=3,IF(DQ89+DS89=10,Fixo/30*GF$4+(DQ86+DQ87+DQ88+DS86+DS87+DS88)*Percapita/30*GF$4+(DR89+DT89)*Cadeirante/30*GF$4,IF(DQ89+DS89&lt;=9,(DQ89+DS89)*Crechee/30*GF$4)+(DR89+DT89)*Cadeirante/30*GF$4+(DQ86+DQ87+DQ88+DS86+DS87+DS88)*Percapita/30*GF$4)+IF(DQ89+DS89&gt;=11,Fixo/30*GF$4+(DQ89+DS89-10)*Crechee/30*GF$4,0),IF(C86=2,IF(DR86+DR87+DR88+DR89+DT86+DT87+DT88+DT89=1,Cadeirante/30*GF$4,IF(DR86+DR87+DR88+DR89+DT86+DT87+DT88+DT89=2,Fixo/30*GF$4,IF(DR86+DR87+DR88+DR89+DT86+DT87+DT88+DT89&gt;2,Fixo/30*GF$4+(DR86+DR87+DR88+DR89+DT86+DT87+DT88+DT89-2)*Cadeirante/30*GF$4)))+(DQ86+DQ87+DQ88+DS86+DS87+DS88)*Percapita/30*GF$4+(DQ89+DS89)*Crechee/30*GF$4,IF(C86=1,IF(DQ86+DQ87+DQ88+DR86+DR87+DR88+DS86+DS87+DS88+DT86+DT87+DT88&lt;=15,(DQ86+DQ87+DQ88+DS86+DS87+DS88)*Percapita/30*GF$4,IF(DQ86+DQ87+DQ88+DR86+DR87+DR88+DS86+DS87+DS88+DT86+DT87+DT88&gt;=16,Fixo/30*GF$4+(DQ86+DQ87+DQ88+DR86+DR87+DR88+DS86+DS87+DS88+DT86+DT87-16)*Percapita/30*GF$4))))))</f>
        <v>0</v>
      </c>
      <c r="GG86" s="177">
        <f>IF(C86=4,SUM(DU86+DU87+DU88+DW86+DW87+DW88)*Percapita/30*GG$4+(DV86+DV87+DV88+DX86+DX87+DX88)*Cadeirante/30*GG$4,IF(C86=3,IF(DU89+DW89=10,Fixo/30*GG$4+(DU86+DU87+DU88+DW86+DW87+DW88)*Percapita/30*GG$4+(DV89+DX89)*Cadeirante/30*GG$4,IF(DU89+DW89&lt;=9,(DU89+DW89)*Crechee/30*GG$4)+(DV89+DX89)*Cadeirante/30*GG$4+(DU86+DU87+DU88+DW86+DW87+DW88)*Percapita/30*GG$4)+IF(DU89+DW89&gt;=11,Fixo/30*GG$4+(DU89+DW89-10)*Crechee/30*GG$4,0),IF(C86=2,IF(DV86+DV87+DV88+DV89+DX86+DX87+DX88+DX89=1,Cadeirante/30*GG$4,IF(DV86+DV87+DV88+DV89+DX86+DX87+DX88+DX89=2,Fixo/30*GG$4,IF(DV86+DV87+DV88+DV89+DX86+DX87+DX88+DX89&gt;2,Fixo/30*GG$4+(DV86+DV87+DV88+DV89+DX86+DX87+DX88+DX89-2)*Cadeirante/30*GG$4)))+(DU86+DU87+DU88+DW86+DW87+DW88)*Percapita/30*GG$4+(DU89+DW89)*Crechee/30*GG$4,IF(C86=1,IF(DU86+DU87+DU88+DV86+DV87+DV88+DW86+DW87+DW88+DX86+DX87+DX88&lt;=15,(DU86+DU87+DU88+DW86+DW87+DW88)*Percapita/30*GG$4,IF(DU86+DU87+DU88+DV86+DV87+DV88+DW86+DW87+DW88+DX86+DX87+DX88&gt;=16,Fixo/30*GG$4+(DU86+DU87+DU88+DV86+DV87+DV88+DW86+DW87+DW88+DX86+DX87-16)*Percapita/30*GG$4))))))</f>
        <v>0</v>
      </c>
      <c r="GH86" s="177">
        <f>IF(C86=4,SUM(DY86+DY87+DY88+EA86+EA87+EA88)*Percapita/30*GH$4+(DZ86+DZ87+DZ88+EB86+EB87+EB88)*Cadeirante/30*GH$4,IF(C86=3,IF(DY89+EA89=10,Fixo/30*GH$4+(DY86+DY87+DY88+EA86+EA87+EA88)*Percapita/30*GH$4+(DZ89+EB89)*Cadeirante/30*GH$4,IF(DY89+EA89&lt;=9,(DY89+EA89)*Crechee/30*GH$4)+(DZ89+EB89)*Cadeirante/30*GH$4+(DY86+DY87+DY88+EA86+EA87+EA88)*Percapita/30*GH$4)+IF(DY89+EA89&gt;=11,Fixo/30*GH$4+(DY89+EA89-10)*Crechee/30*GH$4,0),IF(C86=2,IF(DZ86+DZ87+DZ88+DZ89+EB86+EB87+EB88+EB89=1,Cadeirante/30*GH$4,IF(DZ86+DZ87+DZ88+DZ89+EB86+EB87+EB88+EB89=2,Fixo/30*GH$4,IF(DZ86+DZ87+DZ88+DZ89+EB86+EB87+EB88+EB89&gt;2,Fixo/30*GH$4+(DZ86+DZ87+DZ88+DZ89+EB86+EB87+EB88+EB89-2)*Cadeirante/30*GH$4)))+(DY86+DY87+DY88+EA86+EA87+EA88)*Percapita/30*GH$4+(DY89+EA89)*Crechee/30*GH$4,IF(C86=1,IF(DY86+DY87+DY88+DZ86+DZ87+DZ88+EA86+EA87+EA88+EB86+EB87+EB88&lt;=15,(DY86+DY87+DY88+EA86+EA87+EA88)*Percapita/30*GH$4,IF(DY86+DY87+DY88+DZ86+DZ87+DZ88+EA86+EA87+EA88+EB86+EB87+EB88&gt;=16,Fixo/30*GH$4+(DY86+DY87+DY88+DZ86+DZ87+DZ88+EA86+EA87+EA88+EB86+EB87-16)*Percapita/30*GH$4))))))</f>
        <v>0</v>
      </c>
      <c r="GI86" s="177">
        <f>IF(C86=4,SUM(EC86+EC87+EC88+EE86+EE87+EE88)*Percapita/30*GI$4+(ED86+ED87+ED88+EF86+EF87+EF88)*Cadeirante/30*GI$4,IF(C86=3,IF(EC89+EE89=10,Fixo/30*GI$4+(EC86+EC87+EC88+EE86+EE87+EE88)*Percapita/30*GI$4+(ED89+EF89)*Cadeirante/30*GI$4,IF(EC89+EE89&lt;=9,(EC89+EE89)*Crechee/30*GI$4)+(ED89+EF89)*Cadeirante/30*GI$4+(EC86+EC87+EC88+EE86+EE87+EE88)*Percapita/30*GI$4)+IF(EC89+EE89&gt;=11,Fixo/30*GI$4+(EC89+EE89-10)*Crechee/30*GI$4,0),IF(C86=2,IF(ED86+ED87+ED88+ED89+EF86+EF87+EF88+EF89=1,Cadeirante/30*GI$4,IF(ED86+ED87+ED88+ED89+EF86+EF87+EF88+EF89=2,Fixo/30*GI$4,IF(ED86+ED87+ED88+ED89+EF86+EF87+EF88+EF89&gt;2,Fixo/30*GI$4+(ED86+ED87+ED88+ED89+EF86+EF87+EF88+EF89-2)*Cadeirante/30*GI$4)))+(EC86+EC87+EC88+EE86+EE87+EE88)*Percapita/30*GI$4+(EC89+EE89)*Crechee/30*GI$4,IF(C86=1,IF(EC86+EC87+EC88+ED86+ED87+ED88+EE86+EE87+EE88+EF86+EF87+EF88&lt;=15,(EC86+EC87+EC88+EE86+EE87+EE88)*Percapita/30*GI$4,IF(EC86+EC87+EC88+ED86+ED87+ED88+EE86+EE87+EE88+EF86+EF87+EF88&gt;=16,Fixo/30*GI$4+(EC86+EC87+EC88+ED86+ED87+ED88+EE86+EE87+EE88+EF86+EF87-16)*Percapita/30*GI$4))))))</f>
        <v>0</v>
      </c>
      <c r="GJ86" s="177">
        <f>IF(C86=4,SUM(EG86+EG87+EG88+EI86+EI87+EI88)*Percapita/30*GJ$4+(EH86+EH87+EH88+EJ86+EJ87+EJ88)*Cadeirante/30*GJ$4,IF(C86=3,IF(EG89+EI89=10,Fixo/30*GJ$4+(EG86+EG87+EG88+EI86+EI87+EI88)*Percapita/30*GJ$4+(EH89+EJ89)*Cadeirante/30*GJ$4,IF(EG89+EI89&lt;=9,(EG89+EI89)*Crechee/30*GJ$4)+(EH89+EJ89)*Cadeirante/30*GJ$4+(EG86+EG87+EG88+EI86+EI87+EI88)*Percapita/30*GJ$4)+IF(EG89+EI89&gt;=11,Fixo/30*GJ$4+(EG89+EI89-10)*Crechee/30*GJ$4,0),IF(C86=2,IF(EH86+EH87+EH88+EH89+EJ86+EJ87+EJ88+EJ89=1,Cadeirante/30*GJ$4,IF(EH86+EH87+EH88+EH89+EJ86+EJ87+EJ88+EJ89=2,Fixo/30*GJ$4,IF(EH86+EH87+EH88+EH89+EJ86+EJ87+EJ88+EJ89&gt;2,Fixo/30*GJ$4+(EH86+EH87+EH88+EH89+EJ86+EJ87+EJ88+EJ89-2)*Cadeirante/30*GJ$4)))+(EG86+EG87+EG88+EI86+EI87+EI88)*Percapita/30*GJ$4+(EG89+EI89)*Crechee/30*GJ$4,IF(C86=1,IF(EG86+EG87+EG88+EH86+EH87+EH88+EI86+EI87+EI88+EJ86+EJ87+EJ88&lt;=15,(EG86+EG87+EG88+EI86+EI87+EI88)*Percapita/30*GJ$4,IF(EG86+EG87+EG88+EH86+EH87+EH88+EI86+EI87+EI88+EJ86+EJ87+EJ88&gt;=16,Fixo/30*GJ$4+(EG86+EG87+EG88+EH86+EH87+EH88+EI86+EI87+EI88+EJ86+EJ87-16)*Percapita/30*GJ$4))))))</f>
        <v>0</v>
      </c>
      <c r="GK86" s="178"/>
      <c r="GL86" s="103">
        <f t="shared" si="102"/>
        <v>0</v>
      </c>
      <c r="GM86" s="124"/>
      <c r="GN86" s="104">
        <f>SUMIF(V86:V89,"&lt;0")*Cadeirante/30*GN$4+SUMIF(X86:X89,"&lt;0")*Cadeirante/30*GN$4</f>
        <v>0</v>
      </c>
      <c r="GO86" s="104">
        <f>SUMIF(Z86:Z89,"&lt;0")*Cadeirante/30*GO$4+SUMIF(AB86:AB89,"&lt;0")*Cadeirante/30*GO$4</f>
        <v>0</v>
      </c>
      <c r="GP86" s="104">
        <f>SUMIF(AD86:AD89,"&lt;0")*Cadeirante/30*GP$4+SUMIF(AF86:AF89,"&lt;0")*Cadeirante/30*GP$4</f>
        <v>0</v>
      </c>
      <c r="GQ86" s="104">
        <f>SUMIF(AH86:AH89,"&lt;0")*Cadeirante/30*GQ$4+SUMIF(AJ86:AJ89,"&lt;0")*Cadeirante/30*GQ$4</f>
        <v>0</v>
      </c>
      <c r="GR86" s="104">
        <f>SUMIF(AL86:AL89,"&lt;0")*Cadeirante/30*GR$4+SUMIF(AN86:AN89,"&lt;0")*Cadeirante/30*GR$4</f>
        <v>0</v>
      </c>
      <c r="GS86" s="104">
        <f>SUMIF(AP86:AP89,"&lt;0")*Cadeirante/30*GS$4+SUMIF(AR86:AR89,"&lt;0")*Cadeirante/30*GS$4</f>
        <v>0</v>
      </c>
      <c r="GT86" s="104">
        <f>SUMIF(AT86:AT89,"&lt;0")*Cadeirante/30*GT$4+SUMIF(AV86:AV89,"&lt;0")*Cadeirante/30*GT$4</f>
        <v>0</v>
      </c>
      <c r="GU86" s="104">
        <f>SUMIF(AX86:AX89,"&lt;0")*Cadeirante/30*GU$4+SUMIF(AZ86:AZ89,"&lt;0")*Cadeirante/30*GU$4</f>
        <v>0</v>
      </c>
      <c r="GV86" s="104">
        <f>SUMIF(BB86:BB89,"&lt;0")*Cadeirante/30*GV$4+SUMIF(BD86:BD89,"&lt;0")*Cadeirante/30*GV$4</f>
        <v>0</v>
      </c>
      <c r="GW86" s="104">
        <f>SUMIF(BF86:BF89,"&lt;0")*Cadeirante/30*GW$4+SUMIF(BH86:BH89,"&lt;0")*Cadeirante/30*GW$4</f>
        <v>0</v>
      </c>
      <c r="GX86" s="104">
        <f>SUMIF(BJ86:BJ89,"&lt;0")*Cadeirante/30*GX$4+SUMIF(BL86:BL89,"&lt;0")*Cadeirante/30*GX$4</f>
        <v>0</v>
      </c>
      <c r="GY86" s="104">
        <f>SUMIF(BN86:BN89,"&lt;0")*Cadeirante/30*GY$4+SUMIF(BP86:BP89,"&lt;0")*Cadeirante/30*GY$4</f>
        <v>0</v>
      </c>
      <c r="GZ86" s="104">
        <f>SUMIF(BR86:BR89,"&lt;0")*Cadeirante/30*GZ$4+SUMIF(BT86:BT89,"&lt;0")*Cadeirante/30*GZ$4</f>
        <v>0</v>
      </c>
      <c r="HA86" s="104">
        <f>SUMIF(BV86:BV89,"&lt;0")*Cadeirante/30*HA$4+SUMIF(BX86:BX89,"&lt;0")*Cadeirante/30*HA$4</f>
        <v>0</v>
      </c>
      <c r="HB86" s="104">
        <f>SUMIF(BZ86:BZ89,"&lt;0")*Cadeirante/30*HB$4+SUMIF(CB86:CB89,"&lt;0")*Cadeirante/30*HB$4</f>
        <v>0</v>
      </c>
      <c r="HC86" s="104">
        <f>SUMIF(CD86:CD89,"&lt;0")*Cadeirante/30*HC$4+SUMIF(CF86:CF89,"&lt;0")*Cadeirante/30*HC$4</f>
        <v>0</v>
      </c>
      <c r="HD86" s="104">
        <f>SUMIF(CH86:CH89,"&lt;0")*Cadeirante/30*HD$4+SUMIF(CJ86:CJ89,"&lt;0")*Cadeirante/30*HD$4</f>
        <v>0</v>
      </c>
      <c r="HE86" s="104">
        <f>SUMIF(CL86:CL89,"&lt;0")*Cadeirante/30*HE$4+SUMIF(CN86:CN89,"&lt;0")*Cadeirante/30*HE$4</f>
        <v>0</v>
      </c>
      <c r="HF86" s="104">
        <f>SUMIF(CP86:CP89,"&lt;0")*Cadeirante/30*HF$4+SUMIF(CR86:CR89,"&lt;0")*Cadeirante/30*HF$4</f>
        <v>0</v>
      </c>
      <c r="HG86" s="104">
        <f>SUMIF(CT86:CT89,"&lt;0")*Cadeirante/30*HG$4+SUMIF(CV86:CV89,"&lt;0")*Cadeirante/30*HG$4</f>
        <v>0</v>
      </c>
      <c r="HH86" s="104">
        <f>SUMIF(CX86:CX89,"&lt;0")*Cadeirante/30*HH$4+SUMIF(CZ86:CZ89,"&lt;0")*Cadeirante/30*HH$4</f>
        <v>0</v>
      </c>
      <c r="HI86" s="104">
        <f>SUMIF(DB86:DB89,"&lt;0")*Cadeirante/30*HI$4+SUMIF(DD86:DD89,"&lt;0")*Cadeirante/30*HI$4</f>
        <v>0</v>
      </c>
      <c r="HJ86" s="104">
        <f>SUMIF(DF86:DF89,"&lt;0")*Cadeirante/30*HJ$4+SUMIF(DH86:DH89,"&lt;0")*Cadeirante/30*HJ$4</f>
        <v>0</v>
      </c>
      <c r="HK86" s="104">
        <f>SUMIF(DJ86:DJ89,"&lt;0")*Cadeirante/30*HK$4+SUMIF(DL86:DL89,"&lt;0")*Cadeirante/30*HK$4</f>
        <v>0</v>
      </c>
      <c r="HL86" s="104">
        <f>SUMIF(DN86:DN89,"&lt;0")*Cadeirante/30*HL$4+SUMIF(DP86:DP89,"&lt;0")*Cadeirante/30*HL$4</f>
        <v>0</v>
      </c>
      <c r="HM86" s="104">
        <f>SUMIF(DR86:DR89,"&lt;0")*Cadeirante/30*HM$4+SUMIF(DT86:DT89,"&lt;0")*Cadeirante/30*HM$4</f>
        <v>0</v>
      </c>
      <c r="HN86" s="104">
        <f>SUMIF(DV86:DV89,"&lt;0")*Cadeirante/30*HN$4+SUMIF(DX86:DX89,"&lt;0")*Cadeirante/30*HN$4</f>
        <v>0</v>
      </c>
      <c r="HO86" s="104">
        <f>SUMIF(DZ86:DZ89,"&lt;0")*Cadeirante/30*HO$4+SUMIF(EB86:EB89,"&lt;0")*Cadeirante/30*HO$4</f>
        <v>0</v>
      </c>
      <c r="HP86" s="104">
        <f>SUMIF(ED86:ED89,"&lt;0")*Cadeirante/30*HP$4+SUMIF(EF86:EF89,"&lt;0")*Cadeirante/30*HP$4</f>
        <v>0</v>
      </c>
      <c r="HQ86" s="64"/>
      <c r="HR86" s="64"/>
      <c r="HS86" s="64"/>
      <c r="HT86" s="64"/>
      <c r="HU86" s="64"/>
      <c r="HV86" s="64"/>
      <c r="HW86" s="176">
        <v>17629.309999999998</v>
      </c>
      <c r="HX86" s="64"/>
      <c r="HY86" s="280">
        <f>IF(ISTEXT(EM86), VALUE(EM86), EM86)</f>
        <v>0</v>
      </c>
      <c r="HZ86" s="280">
        <f>IF(ISTEXT(EN86), VALUE(EN86), EN86)</f>
        <v>0</v>
      </c>
      <c r="IA86" s="280">
        <f>IF(ISTEXT(EO86), VALUE(EO86), EO86)</f>
        <v>0</v>
      </c>
      <c r="IB86" s="64" t="b">
        <f>HW86=FE86</f>
        <v>0</v>
      </c>
      <c r="IC86" s="64"/>
    </row>
    <row r="87" spans="1:237" s="106" customFormat="1" ht="22.5" customHeight="1" x14ac:dyDescent="0.25">
      <c r="A87" s="368" t="s">
        <v>3254</v>
      </c>
      <c r="B87" s="369" t="s">
        <v>3255</v>
      </c>
      <c r="C87" s="370" t="s">
        <v>3186</v>
      </c>
      <c r="D87" s="371" t="s">
        <v>3256</v>
      </c>
      <c r="E87" s="371" t="s">
        <v>3257</v>
      </c>
      <c r="F87" s="372" t="s">
        <v>3182</v>
      </c>
      <c r="G87" s="372" t="s">
        <v>3183</v>
      </c>
      <c r="H87" s="373" t="s">
        <v>356</v>
      </c>
      <c r="I87" s="374" t="s">
        <v>356</v>
      </c>
      <c r="J87" s="421" t="s">
        <v>3184</v>
      </c>
      <c r="K87" s="421" t="s">
        <v>3187</v>
      </c>
      <c r="L87" s="329">
        <f>CONTINUA!BV87</f>
        <v>0</v>
      </c>
      <c r="M87" s="329">
        <f>CONTINUA!BW87</f>
        <v>0</v>
      </c>
      <c r="N87" s="895"/>
      <c r="O87" s="896" t="s">
        <v>3290</v>
      </c>
      <c r="P87" s="897">
        <v>0</v>
      </c>
      <c r="Q87" s="400"/>
      <c r="R87" s="401"/>
      <c r="S87" s="400"/>
      <c r="T87" s="401"/>
      <c r="U87" s="400"/>
      <c r="V87" s="401"/>
      <c r="W87" s="400"/>
      <c r="X87" s="401"/>
      <c r="Y87" s="400"/>
      <c r="Z87" s="401"/>
      <c r="AA87" s="400"/>
      <c r="AB87" s="401"/>
      <c r="AC87" s="400"/>
      <c r="AD87" s="401"/>
      <c r="AE87" s="400"/>
      <c r="AF87" s="401"/>
      <c r="AG87" s="400"/>
      <c r="AH87" s="401"/>
      <c r="AI87" s="400"/>
      <c r="AJ87" s="401"/>
      <c r="AK87" s="400"/>
      <c r="AL87" s="401"/>
      <c r="AM87" s="400"/>
      <c r="AN87" s="401"/>
      <c r="AO87" s="400"/>
      <c r="AP87" s="401"/>
      <c r="AQ87" s="400"/>
      <c r="AR87" s="401"/>
      <c r="AS87" s="400"/>
      <c r="AT87" s="401"/>
      <c r="AU87" s="400"/>
      <c r="AV87" s="401"/>
      <c r="AW87" s="400"/>
      <c r="AX87" s="401"/>
      <c r="AY87" s="400"/>
      <c r="AZ87" s="401"/>
      <c r="BA87" s="400"/>
      <c r="BB87" s="401"/>
      <c r="BC87" s="400"/>
      <c r="BD87" s="401"/>
      <c r="BE87" s="400"/>
      <c r="BF87" s="401"/>
      <c r="BG87" s="400"/>
      <c r="BH87" s="401"/>
      <c r="BI87" s="400"/>
      <c r="BJ87" s="401"/>
      <c r="BK87" s="400"/>
      <c r="BL87" s="401"/>
      <c r="BM87" s="400"/>
      <c r="BN87" s="401"/>
      <c r="BO87" s="400"/>
      <c r="BP87" s="401"/>
      <c r="BQ87" s="400"/>
      <c r="BR87" s="401"/>
      <c r="BS87" s="400"/>
      <c r="BT87" s="401"/>
      <c r="BU87" s="400"/>
      <c r="BV87" s="401"/>
      <c r="BW87" s="400"/>
      <c r="BX87" s="401"/>
      <c r="BY87" s="400"/>
      <c r="BZ87" s="401"/>
      <c r="CA87" s="400"/>
      <c r="CB87" s="401"/>
      <c r="CC87" s="400"/>
      <c r="CD87" s="401"/>
      <c r="CE87" s="400"/>
      <c r="CF87" s="401"/>
      <c r="CG87" s="400"/>
      <c r="CH87" s="401"/>
      <c r="CI87" s="400"/>
      <c r="CJ87" s="401"/>
      <c r="CK87" s="400"/>
      <c r="CL87" s="401"/>
      <c r="CM87" s="400"/>
      <c r="CN87" s="401"/>
      <c r="CO87" s="400"/>
      <c r="CP87" s="401"/>
      <c r="CQ87" s="400"/>
      <c r="CR87" s="401"/>
      <c r="CS87" s="400"/>
      <c r="CT87" s="401"/>
      <c r="CU87" s="400"/>
      <c r="CV87" s="401"/>
      <c r="CW87" s="400"/>
      <c r="CX87" s="401"/>
      <c r="CY87" s="400"/>
      <c r="CZ87" s="401"/>
      <c r="DA87" s="400"/>
      <c r="DB87" s="401"/>
      <c r="DC87" s="400"/>
      <c r="DD87" s="401"/>
      <c r="DE87" s="400"/>
      <c r="DF87" s="401"/>
      <c r="DG87" s="400"/>
      <c r="DH87" s="401"/>
      <c r="DI87" s="400"/>
      <c r="DJ87" s="401"/>
      <c r="DK87" s="400"/>
      <c r="DL87" s="401"/>
      <c r="DM87" s="400"/>
      <c r="DN87" s="401"/>
      <c r="DO87" s="400"/>
      <c r="DP87" s="401"/>
      <c r="DQ87" s="400"/>
      <c r="DR87" s="401"/>
      <c r="DS87" s="400"/>
      <c r="DT87" s="401"/>
      <c r="DU87" s="400"/>
      <c r="DV87" s="401"/>
      <c r="DW87" s="400"/>
      <c r="DX87" s="401"/>
      <c r="DY87" s="400"/>
      <c r="DZ87" s="401"/>
      <c r="EA87" s="400"/>
      <c r="EB87" s="401"/>
      <c r="EC87" s="400"/>
      <c r="ED87" s="401"/>
      <c r="EE87" s="400"/>
      <c r="EF87" s="401"/>
      <c r="EG87" s="400"/>
      <c r="EH87" s="401"/>
      <c r="EI87" s="400"/>
      <c r="EJ87" s="447"/>
      <c r="EK87" s="511"/>
      <c r="EL87" s="514"/>
      <c r="EM87" s="448"/>
      <c r="EN87" s="344"/>
      <c r="EO87" s="345"/>
      <c r="EP87" s="171">
        <f t="shared" si="95"/>
        <v>0</v>
      </c>
      <c r="EQ87" s="171">
        <f t="shared" si="96"/>
        <v>0</v>
      </c>
      <c r="ER87" s="171">
        <f t="shared" si="97"/>
        <v>0</v>
      </c>
      <c r="ES87" s="171">
        <f t="shared" si="98"/>
        <v>0</v>
      </c>
      <c r="ET87" s="171">
        <f t="shared" si="99"/>
        <v>0</v>
      </c>
      <c r="EU87" s="171">
        <f t="shared" si="100"/>
        <v>0</v>
      </c>
      <c r="EV87" s="172">
        <f t="shared" si="101"/>
        <v>0</v>
      </c>
      <c r="EW87" s="173"/>
      <c r="EX87" s="248">
        <f t="shared" si="113"/>
        <v>0</v>
      </c>
      <c r="EY87" s="174">
        <f>(L87*regular)+(M87*Cadeirantee)</f>
        <v>0</v>
      </c>
      <c r="EZ87" s="249">
        <f>SUMIF(FG87:GJ87,"&gt;0")</f>
        <v>0</v>
      </c>
      <c r="FA87" s="249">
        <f>SUMIF(FG87:GJ87,"&lt;0")+SUMIF(GN87:HP87,"&lt;0")</f>
        <v>0</v>
      </c>
      <c r="FB87" s="174">
        <v>0</v>
      </c>
      <c r="FC87" s="126">
        <f>N87*km*'VALORES TABELA'!$B$13</f>
        <v>0</v>
      </c>
      <c r="FD87" s="250">
        <f t="shared" ref="FD87:FD90" si="114">GL87</f>
        <v>0</v>
      </c>
      <c r="FE87" s="105"/>
      <c r="FF87" s="119"/>
      <c r="FG87" s="119"/>
      <c r="FH87" s="119"/>
      <c r="FI87" s="119"/>
      <c r="FJ87" s="119"/>
      <c r="FK87" s="119"/>
      <c r="FL87" s="119"/>
      <c r="FM87" s="119"/>
      <c r="FN87" s="119"/>
      <c r="FO87" s="119"/>
      <c r="FP87" s="119"/>
      <c r="FQ87" s="119"/>
      <c r="FR87" s="119"/>
      <c r="FS87" s="119"/>
      <c r="FT87" s="119"/>
      <c r="FU87" s="119"/>
      <c r="FV87" s="119"/>
      <c r="FW87" s="119"/>
      <c r="FX87" s="119"/>
      <c r="FY87" s="119"/>
      <c r="FZ87" s="119"/>
      <c r="GA87" s="119"/>
      <c r="GB87" s="119"/>
      <c r="GC87" s="119"/>
      <c r="GD87" s="119"/>
      <c r="GE87" s="119"/>
      <c r="GF87" s="119"/>
      <c r="GG87" s="119"/>
      <c r="GH87" s="119"/>
      <c r="GI87" s="119"/>
      <c r="GJ87" s="119"/>
      <c r="GK87" s="251"/>
      <c r="GL87" s="103">
        <f t="shared" si="102"/>
        <v>0</v>
      </c>
      <c r="GM87" s="124"/>
      <c r="GN87" s="104"/>
      <c r="GO87" s="104"/>
      <c r="GP87" s="104"/>
      <c r="GQ87" s="104"/>
      <c r="GR87" s="104"/>
      <c r="GS87" s="104"/>
      <c r="GT87" s="104"/>
      <c r="GU87" s="104"/>
      <c r="GV87" s="104"/>
      <c r="GW87" s="104"/>
      <c r="GX87" s="104"/>
      <c r="GY87" s="104"/>
      <c r="GZ87" s="104"/>
      <c r="HA87" s="104"/>
      <c r="HB87" s="104"/>
      <c r="HC87" s="104"/>
      <c r="HD87" s="104"/>
      <c r="HE87" s="104"/>
      <c r="HF87" s="104"/>
      <c r="HG87" s="104"/>
      <c r="HH87" s="104"/>
      <c r="HI87" s="104"/>
      <c r="HJ87" s="104"/>
      <c r="HK87" s="104"/>
      <c r="HL87" s="104"/>
      <c r="HM87" s="104"/>
      <c r="HN87" s="104"/>
      <c r="HO87" s="104"/>
      <c r="HP87" s="104"/>
      <c r="HQ87" s="64"/>
      <c r="HR87" s="64"/>
      <c r="HS87" s="64"/>
      <c r="HT87" s="64"/>
      <c r="HU87" s="64"/>
      <c r="HV87" s="64"/>
      <c r="HW87" s="105"/>
      <c r="HX87" s="64"/>
      <c r="HY87" s="280">
        <f t="shared" ref="HY87:HY90" si="115">IF(ISTEXT(EM87), VALUE(EM87), EM87)</f>
        <v>0</v>
      </c>
      <c r="HZ87" s="280">
        <f t="shared" ref="HZ87:HZ90" si="116">IF(ISTEXT(EN87), VALUE(EN87), EN87)</f>
        <v>0</v>
      </c>
      <c r="IA87" s="280">
        <f t="shared" ref="IA87:IA90" si="117">IF(ISTEXT(EO87), VALUE(EO87), EO87)</f>
        <v>0</v>
      </c>
      <c r="IB87" s="64"/>
      <c r="IC87" s="64"/>
    </row>
    <row r="88" spans="1:237" s="106" customFormat="1" ht="22.5" customHeight="1" x14ac:dyDescent="0.25">
      <c r="A88" s="368" t="s">
        <v>3254</v>
      </c>
      <c r="B88" s="369" t="s">
        <v>3255</v>
      </c>
      <c r="C88" s="375" t="s">
        <v>3186</v>
      </c>
      <c r="D88" s="371" t="s">
        <v>3256</v>
      </c>
      <c r="E88" s="371" t="s">
        <v>3257</v>
      </c>
      <c r="F88" s="376" t="s">
        <v>3182</v>
      </c>
      <c r="G88" s="376" t="s">
        <v>3183</v>
      </c>
      <c r="H88" s="373" t="s">
        <v>356</v>
      </c>
      <c r="I88" s="374" t="s">
        <v>356</v>
      </c>
      <c r="J88" s="421" t="s">
        <v>3184</v>
      </c>
      <c r="K88" s="422" t="s">
        <v>3188</v>
      </c>
      <c r="L88" s="329">
        <f>CONTINUA!BV88</f>
        <v>0</v>
      </c>
      <c r="M88" s="329">
        <f>CONTINUA!BW88</f>
        <v>0</v>
      </c>
      <c r="N88" s="895"/>
      <c r="O88" s="896" t="s">
        <v>3290</v>
      </c>
      <c r="P88" s="897">
        <v>0</v>
      </c>
      <c r="Q88" s="400"/>
      <c r="R88" s="401"/>
      <c r="S88" s="400"/>
      <c r="T88" s="401"/>
      <c r="U88" s="400"/>
      <c r="V88" s="401"/>
      <c r="W88" s="400"/>
      <c r="X88" s="401"/>
      <c r="Y88" s="400"/>
      <c r="Z88" s="401"/>
      <c r="AA88" s="400"/>
      <c r="AB88" s="401"/>
      <c r="AC88" s="400"/>
      <c r="AD88" s="401"/>
      <c r="AE88" s="400"/>
      <c r="AF88" s="401"/>
      <c r="AG88" s="400"/>
      <c r="AH88" s="401"/>
      <c r="AI88" s="400"/>
      <c r="AJ88" s="401"/>
      <c r="AK88" s="400"/>
      <c r="AL88" s="401"/>
      <c r="AM88" s="400"/>
      <c r="AN88" s="401"/>
      <c r="AO88" s="400"/>
      <c r="AP88" s="401"/>
      <c r="AQ88" s="400"/>
      <c r="AR88" s="401"/>
      <c r="AS88" s="400"/>
      <c r="AT88" s="401"/>
      <c r="AU88" s="400"/>
      <c r="AV88" s="401"/>
      <c r="AW88" s="400"/>
      <c r="AX88" s="401"/>
      <c r="AY88" s="400"/>
      <c r="AZ88" s="401"/>
      <c r="BA88" s="400"/>
      <c r="BB88" s="401"/>
      <c r="BC88" s="400"/>
      <c r="BD88" s="401"/>
      <c r="BE88" s="400"/>
      <c r="BF88" s="401"/>
      <c r="BG88" s="400"/>
      <c r="BH88" s="401"/>
      <c r="BI88" s="400"/>
      <c r="BJ88" s="401"/>
      <c r="BK88" s="400"/>
      <c r="BL88" s="401"/>
      <c r="BM88" s="400"/>
      <c r="BN88" s="401"/>
      <c r="BO88" s="400"/>
      <c r="BP88" s="401"/>
      <c r="BQ88" s="400"/>
      <c r="BR88" s="401"/>
      <c r="BS88" s="400"/>
      <c r="BT88" s="401"/>
      <c r="BU88" s="400"/>
      <c r="BV88" s="401"/>
      <c r="BW88" s="400"/>
      <c r="BX88" s="401"/>
      <c r="BY88" s="400"/>
      <c r="BZ88" s="401"/>
      <c r="CA88" s="400"/>
      <c r="CB88" s="401"/>
      <c r="CC88" s="400"/>
      <c r="CD88" s="401"/>
      <c r="CE88" s="400"/>
      <c r="CF88" s="401"/>
      <c r="CG88" s="400"/>
      <c r="CH88" s="401"/>
      <c r="CI88" s="400"/>
      <c r="CJ88" s="401"/>
      <c r="CK88" s="400"/>
      <c r="CL88" s="401"/>
      <c r="CM88" s="400"/>
      <c r="CN88" s="401"/>
      <c r="CO88" s="400"/>
      <c r="CP88" s="401"/>
      <c r="CQ88" s="400"/>
      <c r="CR88" s="401"/>
      <c r="CS88" s="400"/>
      <c r="CT88" s="401"/>
      <c r="CU88" s="400"/>
      <c r="CV88" s="401"/>
      <c r="CW88" s="400"/>
      <c r="CX88" s="401"/>
      <c r="CY88" s="400"/>
      <c r="CZ88" s="401"/>
      <c r="DA88" s="400"/>
      <c r="DB88" s="401"/>
      <c r="DC88" s="400"/>
      <c r="DD88" s="401"/>
      <c r="DE88" s="400"/>
      <c r="DF88" s="401"/>
      <c r="DG88" s="400"/>
      <c r="DH88" s="401"/>
      <c r="DI88" s="400"/>
      <c r="DJ88" s="401"/>
      <c r="DK88" s="400"/>
      <c r="DL88" s="401"/>
      <c r="DM88" s="400"/>
      <c r="DN88" s="401"/>
      <c r="DO88" s="400"/>
      <c r="DP88" s="401"/>
      <c r="DQ88" s="400"/>
      <c r="DR88" s="401"/>
      <c r="DS88" s="400"/>
      <c r="DT88" s="401"/>
      <c r="DU88" s="400"/>
      <c r="DV88" s="401"/>
      <c r="DW88" s="400"/>
      <c r="DX88" s="401"/>
      <c r="DY88" s="400"/>
      <c r="DZ88" s="401"/>
      <c r="EA88" s="400"/>
      <c r="EB88" s="401"/>
      <c r="EC88" s="400"/>
      <c r="ED88" s="401"/>
      <c r="EE88" s="400"/>
      <c r="EF88" s="401"/>
      <c r="EG88" s="400"/>
      <c r="EH88" s="401"/>
      <c r="EI88" s="400"/>
      <c r="EJ88" s="447"/>
      <c r="EK88" s="511"/>
      <c r="EL88" s="514"/>
      <c r="EM88" s="448"/>
      <c r="EN88" s="344"/>
      <c r="EO88" s="345"/>
      <c r="EP88" s="171">
        <f t="shared" si="95"/>
        <v>0</v>
      </c>
      <c r="EQ88" s="171">
        <f t="shared" si="96"/>
        <v>0</v>
      </c>
      <c r="ER88" s="171">
        <f t="shared" si="97"/>
        <v>0</v>
      </c>
      <c r="ES88" s="171">
        <f t="shared" si="98"/>
        <v>0</v>
      </c>
      <c r="ET88" s="171">
        <f t="shared" si="99"/>
        <v>0</v>
      </c>
      <c r="EU88" s="171">
        <f t="shared" si="100"/>
        <v>0</v>
      </c>
      <c r="EV88" s="172">
        <f t="shared" si="101"/>
        <v>0</v>
      </c>
      <c r="EW88" s="125"/>
      <c r="EX88" s="248">
        <f t="shared" si="113"/>
        <v>0</v>
      </c>
      <c r="EY88" s="174">
        <f>(L88*regular)+(M88*Cadeirantee)</f>
        <v>0</v>
      </c>
      <c r="EZ88" s="249">
        <f>SUMIF(FG88:GJ88,"&gt;0")</f>
        <v>0</v>
      </c>
      <c r="FA88" s="249">
        <f>SUMIF(FG88:GJ88,"&lt;0")+SUMIF(GN88:HP88,"&lt;0")</f>
        <v>0</v>
      </c>
      <c r="FB88" s="174">
        <v>0</v>
      </c>
      <c r="FC88" s="126">
        <f>N88*km*'VALORES TABELA'!$B$13</f>
        <v>0</v>
      </c>
      <c r="FD88" s="250">
        <f t="shared" si="114"/>
        <v>0</v>
      </c>
      <c r="FE88" s="105"/>
      <c r="FF88" s="108"/>
      <c r="FG88" s="108"/>
      <c r="FH88" s="108"/>
      <c r="FI88" s="108"/>
      <c r="FJ88" s="108"/>
      <c r="FK88" s="108"/>
      <c r="FL88" s="108"/>
      <c r="FM88" s="108"/>
      <c r="FN88" s="108"/>
      <c r="FO88" s="108"/>
      <c r="FP88" s="108"/>
      <c r="FQ88" s="108"/>
      <c r="FR88" s="108"/>
      <c r="FS88" s="108"/>
      <c r="FT88" s="108"/>
      <c r="FU88" s="108"/>
      <c r="FV88" s="108"/>
      <c r="FW88" s="108"/>
      <c r="FX88" s="108"/>
      <c r="FY88" s="108"/>
      <c r="FZ88" s="108"/>
      <c r="GA88" s="108"/>
      <c r="GB88" s="108"/>
      <c r="GC88" s="108"/>
      <c r="GD88" s="108"/>
      <c r="GE88" s="108"/>
      <c r="GF88" s="108"/>
      <c r="GG88" s="108"/>
      <c r="GH88" s="108"/>
      <c r="GI88" s="108"/>
      <c r="GJ88" s="108"/>
      <c r="GK88" s="251"/>
      <c r="GL88" s="103">
        <f t="shared" si="102"/>
        <v>0</v>
      </c>
      <c r="GM88" s="124"/>
      <c r="GN88" s="104"/>
      <c r="GO88" s="104"/>
      <c r="GP88" s="104"/>
      <c r="GQ88" s="104"/>
      <c r="GR88" s="104"/>
      <c r="GS88" s="104"/>
      <c r="GT88" s="104"/>
      <c r="GU88" s="104"/>
      <c r="GV88" s="104"/>
      <c r="GW88" s="104"/>
      <c r="GX88" s="104"/>
      <c r="GY88" s="104"/>
      <c r="GZ88" s="104"/>
      <c r="HA88" s="104"/>
      <c r="HB88" s="104"/>
      <c r="HC88" s="104"/>
      <c r="HD88" s="104"/>
      <c r="HE88" s="104"/>
      <c r="HF88" s="104"/>
      <c r="HG88" s="104"/>
      <c r="HH88" s="104"/>
      <c r="HI88" s="104"/>
      <c r="HJ88" s="104"/>
      <c r="HK88" s="104"/>
      <c r="HL88" s="104"/>
      <c r="HM88" s="104"/>
      <c r="HN88" s="104"/>
      <c r="HO88" s="104"/>
      <c r="HP88" s="104"/>
      <c r="HQ88" s="64"/>
      <c r="HR88" s="64"/>
      <c r="HS88" s="64"/>
      <c r="HT88" s="64"/>
      <c r="HU88" s="64"/>
      <c r="HV88" s="64"/>
      <c r="HW88" s="105"/>
      <c r="HX88" s="64"/>
      <c r="HY88" s="280">
        <f t="shared" si="115"/>
        <v>0</v>
      </c>
      <c r="HZ88" s="280">
        <f t="shared" si="116"/>
        <v>0</v>
      </c>
      <c r="IA88" s="280">
        <f t="shared" si="117"/>
        <v>0</v>
      </c>
      <c r="IB88" s="64"/>
      <c r="IC88" s="64"/>
    </row>
    <row r="89" spans="1:237" s="106" customFormat="1" ht="22.5" customHeight="1" x14ac:dyDescent="0.25">
      <c r="A89" s="368" t="s">
        <v>3254</v>
      </c>
      <c r="B89" s="369" t="s">
        <v>3255</v>
      </c>
      <c r="C89" s="375" t="s">
        <v>3186</v>
      </c>
      <c r="D89" s="371" t="s">
        <v>3256</v>
      </c>
      <c r="E89" s="371" t="s">
        <v>3257</v>
      </c>
      <c r="F89" s="376" t="s">
        <v>3182</v>
      </c>
      <c r="G89" s="376" t="s">
        <v>3183</v>
      </c>
      <c r="H89" s="373" t="s">
        <v>356</v>
      </c>
      <c r="I89" s="374" t="s">
        <v>356</v>
      </c>
      <c r="J89" s="421" t="s">
        <v>3184</v>
      </c>
      <c r="K89" s="423" t="s">
        <v>3189</v>
      </c>
      <c r="L89" s="329">
        <f>CONTINUA!BV89</f>
        <v>0</v>
      </c>
      <c r="M89" s="329">
        <f>CONTINUA!BW89</f>
        <v>0</v>
      </c>
      <c r="N89" s="895"/>
      <c r="O89" s="896" t="s">
        <v>3290</v>
      </c>
      <c r="P89" s="897">
        <v>0</v>
      </c>
      <c r="Q89" s="400"/>
      <c r="R89" s="401"/>
      <c r="S89" s="400"/>
      <c r="T89" s="401"/>
      <c r="U89" s="400"/>
      <c r="V89" s="401"/>
      <c r="W89" s="400"/>
      <c r="X89" s="401"/>
      <c r="Y89" s="400"/>
      <c r="Z89" s="401"/>
      <c r="AA89" s="400"/>
      <c r="AB89" s="401"/>
      <c r="AC89" s="400"/>
      <c r="AD89" s="401"/>
      <c r="AE89" s="400"/>
      <c r="AF89" s="401"/>
      <c r="AG89" s="400"/>
      <c r="AH89" s="401"/>
      <c r="AI89" s="400"/>
      <c r="AJ89" s="401"/>
      <c r="AK89" s="400"/>
      <c r="AL89" s="401"/>
      <c r="AM89" s="400"/>
      <c r="AN89" s="401"/>
      <c r="AO89" s="400"/>
      <c r="AP89" s="401"/>
      <c r="AQ89" s="400"/>
      <c r="AR89" s="401"/>
      <c r="AS89" s="400"/>
      <c r="AT89" s="401"/>
      <c r="AU89" s="400"/>
      <c r="AV89" s="401"/>
      <c r="AW89" s="400"/>
      <c r="AX89" s="401"/>
      <c r="AY89" s="400"/>
      <c r="AZ89" s="401"/>
      <c r="BA89" s="400"/>
      <c r="BB89" s="401"/>
      <c r="BC89" s="400"/>
      <c r="BD89" s="401"/>
      <c r="BE89" s="400"/>
      <c r="BF89" s="401"/>
      <c r="BG89" s="400"/>
      <c r="BH89" s="401"/>
      <c r="BI89" s="400"/>
      <c r="BJ89" s="401"/>
      <c r="BK89" s="400"/>
      <c r="BL89" s="401"/>
      <c r="BM89" s="400"/>
      <c r="BN89" s="401"/>
      <c r="BO89" s="400"/>
      <c r="BP89" s="401"/>
      <c r="BQ89" s="400"/>
      <c r="BR89" s="401"/>
      <c r="BS89" s="400"/>
      <c r="BT89" s="401"/>
      <c r="BU89" s="400"/>
      <c r="BV89" s="401"/>
      <c r="BW89" s="400"/>
      <c r="BX89" s="401"/>
      <c r="BY89" s="400"/>
      <c r="BZ89" s="401"/>
      <c r="CA89" s="400"/>
      <c r="CB89" s="401"/>
      <c r="CC89" s="400"/>
      <c r="CD89" s="401"/>
      <c r="CE89" s="400"/>
      <c r="CF89" s="401"/>
      <c r="CG89" s="400"/>
      <c r="CH89" s="401"/>
      <c r="CI89" s="400"/>
      <c r="CJ89" s="401"/>
      <c r="CK89" s="400"/>
      <c r="CL89" s="401"/>
      <c r="CM89" s="400"/>
      <c r="CN89" s="401"/>
      <c r="CO89" s="400"/>
      <c r="CP89" s="401"/>
      <c r="CQ89" s="400"/>
      <c r="CR89" s="401"/>
      <c r="CS89" s="400"/>
      <c r="CT89" s="401"/>
      <c r="CU89" s="400"/>
      <c r="CV89" s="401"/>
      <c r="CW89" s="400"/>
      <c r="CX89" s="401"/>
      <c r="CY89" s="400"/>
      <c r="CZ89" s="401"/>
      <c r="DA89" s="400"/>
      <c r="DB89" s="401"/>
      <c r="DC89" s="400"/>
      <c r="DD89" s="401"/>
      <c r="DE89" s="400"/>
      <c r="DF89" s="401"/>
      <c r="DG89" s="400"/>
      <c r="DH89" s="401"/>
      <c r="DI89" s="400"/>
      <c r="DJ89" s="401"/>
      <c r="DK89" s="400"/>
      <c r="DL89" s="401"/>
      <c r="DM89" s="400"/>
      <c r="DN89" s="401"/>
      <c r="DO89" s="400"/>
      <c r="DP89" s="401"/>
      <c r="DQ89" s="400"/>
      <c r="DR89" s="401"/>
      <c r="DS89" s="400"/>
      <c r="DT89" s="401"/>
      <c r="DU89" s="400"/>
      <c r="DV89" s="401"/>
      <c r="DW89" s="400"/>
      <c r="DX89" s="401"/>
      <c r="DY89" s="400"/>
      <c r="DZ89" s="401"/>
      <c r="EA89" s="400"/>
      <c r="EB89" s="401"/>
      <c r="EC89" s="400"/>
      <c r="ED89" s="401"/>
      <c r="EE89" s="400"/>
      <c r="EF89" s="401"/>
      <c r="EG89" s="400"/>
      <c r="EH89" s="401"/>
      <c r="EI89" s="400"/>
      <c r="EJ89" s="447"/>
      <c r="EK89" s="511"/>
      <c r="EL89" s="514"/>
      <c r="EM89" s="448"/>
      <c r="EN89" s="344"/>
      <c r="EO89" s="345"/>
      <c r="EP89" s="171">
        <f t="shared" si="95"/>
        <v>0</v>
      </c>
      <c r="EQ89" s="171">
        <f t="shared" si="96"/>
        <v>0</v>
      </c>
      <c r="ER89" s="171">
        <f t="shared" si="97"/>
        <v>0</v>
      </c>
      <c r="ES89" s="171">
        <f t="shared" si="98"/>
        <v>0</v>
      </c>
      <c r="ET89" s="171">
        <f t="shared" si="99"/>
        <v>0</v>
      </c>
      <c r="EU89" s="171">
        <f t="shared" si="100"/>
        <v>0</v>
      </c>
      <c r="EV89" s="172">
        <f t="shared" si="101"/>
        <v>0</v>
      </c>
      <c r="EW89" s="127"/>
      <c r="EX89" s="248">
        <f t="shared" si="113"/>
        <v>0</v>
      </c>
      <c r="EY89" s="174">
        <f>(L89*regular)+(M89*Cadeirantee)</f>
        <v>0</v>
      </c>
      <c r="EZ89" s="249">
        <f>SUMIF(FG89:GJ89,"&gt;0")</f>
        <v>0</v>
      </c>
      <c r="FA89" s="249">
        <f>SUMIF(FG89:GJ89,"&lt;0")+SUMIF(GN89:HP89,"&lt;0")</f>
        <v>0</v>
      </c>
      <c r="FB89" s="174">
        <v>0</v>
      </c>
      <c r="FC89" s="126">
        <f>N89*km*'VALORES TABELA'!$B$13</f>
        <v>0</v>
      </c>
      <c r="FD89" s="250">
        <f t="shared" si="114"/>
        <v>0</v>
      </c>
      <c r="FE89" s="105"/>
      <c r="FF89" s="118"/>
      <c r="FG89" s="118"/>
      <c r="FH89" s="118"/>
      <c r="FI89" s="118"/>
      <c r="FJ89" s="118"/>
      <c r="FK89" s="118"/>
      <c r="FL89" s="118"/>
      <c r="FM89" s="118"/>
      <c r="FN89" s="118"/>
      <c r="FO89" s="118"/>
      <c r="FP89" s="118"/>
      <c r="FQ89" s="118"/>
      <c r="FR89" s="118"/>
      <c r="FS89" s="118"/>
      <c r="FT89" s="118"/>
      <c r="FU89" s="118"/>
      <c r="FV89" s="118"/>
      <c r="FW89" s="118"/>
      <c r="FX89" s="118"/>
      <c r="FY89" s="118"/>
      <c r="FZ89" s="118"/>
      <c r="GA89" s="118"/>
      <c r="GB89" s="118"/>
      <c r="GC89" s="118"/>
      <c r="GD89" s="118"/>
      <c r="GE89" s="118"/>
      <c r="GF89" s="118"/>
      <c r="GG89" s="118"/>
      <c r="GH89" s="118"/>
      <c r="GI89" s="118"/>
      <c r="GJ89" s="118"/>
      <c r="GK89" s="252"/>
      <c r="GL89" s="103">
        <f t="shared" si="102"/>
        <v>0</v>
      </c>
      <c r="GM89" s="124"/>
      <c r="GN89" s="104"/>
      <c r="GO89" s="104"/>
      <c r="GP89" s="104"/>
      <c r="GQ89" s="104"/>
      <c r="GR89" s="104"/>
      <c r="GS89" s="104"/>
      <c r="GT89" s="104"/>
      <c r="GU89" s="104"/>
      <c r="GV89" s="104"/>
      <c r="GW89" s="104"/>
      <c r="GX89" s="104"/>
      <c r="GY89" s="104"/>
      <c r="GZ89" s="104"/>
      <c r="HA89" s="104"/>
      <c r="HB89" s="104"/>
      <c r="HC89" s="104"/>
      <c r="HD89" s="104"/>
      <c r="HE89" s="104"/>
      <c r="HF89" s="104"/>
      <c r="HG89" s="104"/>
      <c r="HH89" s="104"/>
      <c r="HI89" s="104"/>
      <c r="HJ89" s="104"/>
      <c r="HK89" s="104"/>
      <c r="HL89" s="104"/>
      <c r="HM89" s="104"/>
      <c r="HN89" s="104"/>
      <c r="HO89" s="104"/>
      <c r="HP89" s="104"/>
      <c r="HQ89" s="64"/>
      <c r="HR89" s="65"/>
      <c r="HS89" s="65"/>
      <c r="HT89" s="65"/>
      <c r="HU89" s="65"/>
      <c r="HV89" s="65"/>
      <c r="HW89" s="105"/>
      <c r="HX89" s="65"/>
      <c r="HY89" s="280">
        <f t="shared" si="115"/>
        <v>0</v>
      </c>
      <c r="HZ89" s="280">
        <f t="shared" si="116"/>
        <v>0</v>
      </c>
      <c r="IA89" s="280">
        <f t="shared" si="117"/>
        <v>0</v>
      </c>
      <c r="IB89" s="65"/>
      <c r="IC89" s="65"/>
    </row>
    <row r="90" spans="1:237" s="106" customFormat="1" ht="22.5" customHeight="1" thickBot="1" x14ac:dyDescent="0.3">
      <c r="A90" s="377" t="s">
        <v>3254</v>
      </c>
      <c r="B90" s="378" t="s">
        <v>3255</v>
      </c>
      <c r="C90" s="379" t="s">
        <v>3186</v>
      </c>
      <c r="D90" s="380" t="s">
        <v>3256</v>
      </c>
      <c r="E90" s="380" t="s">
        <v>3257</v>
      </c>
      <c r="F90" s="381" t="s">
        <v>3182</v>
      </c>
      <c r="G90" s="381" t="s">
        <v>3183</v>
      </c>
      <c r="H90" s="382" t="s">
        <v>356</v>
      </c>
      <c r="I90" s="383" t="s">
        <v>356</v>
      </c>
      <c r="J90" s="421" t="s">
        <v>3184</v>
      </c>
      <c r="K90" s="424" t="s">
        <v>60</v>
      </c>
      <c r="L90" s="329">
        <f>CONTINUA!BV90</f>
        <v>0</v>
      </c>
      <c r="M90" s="329">
        <f>CONTINUA!BW90</f>
        <v>0</v>
      </c>
      <c r="N90" s="895"/>
      <c r="O90" s="896" t="s">
        <v>3290</v>
      </c>
      <c r="P90" s="897">
        <v>0</v>
      </c>
      <c r="Q90" s="400"/>
      <c r="R90" s="401"/>
      <c r="S90" s="400"/>
      <c r="T90" s="401"/>
      <c r="U90" s="400"/>
      <c r="V90" s="401"/>
      <c r="W90" s="400"/>
      <c r="X90" s="401"/>
      <c r="Y90" s="400"/>
      <c r="Z90" s="401"/>
      <c r="AA90" s="400"/>
      <c r="AB90" s="401"/>
      <c r="AC90" s="400"/>
      <c r="AD90" s="401"/>
      <c r="AE90" s="400"/>
      <c r="AF90" s="401"/>
      <c r="AG90" s="400"/>
      <c r="AH90" s="401"/>
      <c r="AI90" s="400"/>
      <c r="AJ90" s="401"/>
      <c r="AK90" s="400"/>
      <c r="AL90" s="401"/>
      <c r="AM90" s="400"/>
      <c r="AN90" s="401"/>
      <c r="AO90" s="400"/>
      <c r="AP90" s="401"/>
      <c r="AQ90" s="400"/>
      <c r="AR90" s="401"/>
      <c r="AS90" s="400"/>
      <c r="AT90" s="401"/>
      <c r="AU90" s="400"/>
      <c r="AV90" s="401"/>
      <c r="AW90" s="400"/>
      <c r="AX90" s="401"/>
      <c r="AY90" s="400"/>
      <c r="AZ90" s="401"/>
      <c r="BA90" s="400"/>
      <c r="BB90" s="401"/>
      <c r="BC90" s="400"/>
      <c r="BD90" s="401"/>
      <c r="BE90" s="400"/>
      <c r="BF90" s="401"/>
      <c r="BG90" s="400"/>
      <c r="BH90" s="401"/>
      <c r="BI90" s="400"/>
      <c r="BJ90" s="401"/>
      <c r="BK90" s="400"/>
      <c r="BL90" s="401"/>
      <c r="BM90" s="400"/>
      <c r="BN90" s="401"/>
      <c r="BO90" s="400"/>
      <c r="BP90" s="401"/>
      <c r="BQ90" s="400"/>
      <c r="BR90" s="401"/>
      <c r="BS90" s="400"/>
      <c r="BT90" s="401"/>
      <c r="BU90" s="400"/>
      <c r="BV90" s="401"/>
      <c r="BW90" s="400"/>
      <c r="BX90" s="401"/>
      <c r="BY90" s="400"/>
      <c r="BZ90" s="401"/>
      <c r="CA90" s="400"/>
      <c r="CB90" s="401"/>
      <c r="CC90" s="400"/>
      <c r="CD90" s="401"/>
      <c r="CE90" s="400"/>
      <c r="CF90" s="401"/>
      <c r="CG90" s="400"/>
      <c r="CH90" s="401"/>
      <c r="CI90" s="400"/>
      <c r="CJ90" s="401"/>
      <c r="CK90" s="400"/>
      <c r="CL90" s="401"/>
      <c r="CM90" s="400"/>
      <c r="CN90" s="401"/>
      <c r="CO90" s="400"/>
      <c r="CP90" s="401"/>
      <c r="CQ90" s="400"/>
      <c r="CR90" s="401"/>
      <c r="CS90" s="400"/>
      <c r="CT90" s="401"/>
      <c r="CU90" s="400"/>
      <c r="CV90" s="401"/>
      <c r="CW90" s="400"/>
      <c r="CX90" s="401"/>
      <c r="CY90" s="400"/>
      <c r="CZ90" s="401"/>
      <c r="DA90" s="400"/>
      <c r="DB90" s="401"/>
      <c r="DC90" s="400"/>
      <c r="DD90" s="401"/>
      <c r="DE90" s="400"/>
      <c r="DF90" s="401"/>
      <c r="DG90" s="400"/>
      <c r="DH90" s="401"/>
      <c r="DI90" s="400"/>
      <c r="DJ90" s="401"/>
      <c r="DK90" s="400"/>
      <c r="DL90" s="401"/>
      <c r="DM90" s="400"/>
      <c r="DN90" s="401"/>
      <c r="DO90" s="400"/>
      <c r="DP90" s="401"/>
      <c r="DQ90" s="400"/>
      <c r="DR90" s="401"/>
      <c r="DS90" s="400"/>
      <c r="DT90" s="401"/>
      <c r="DU90" s="400"/>
      <c r="DV90" s="401"/>
      <c r="DW90" s="400"/>
      <c r="DX90" s="401"/>
      <c r="DY90" s="400"/>
      <c r="DZ90" s="401"/>
      <c r="EA90" s="400"/>
      <c r="EB90" s="401"/>
      <c r="EC90" s="400"/>
      <c r="ED90" s="401"/>
      <c r="EE90" s="400"/>
      <c r="EF90" s="401"/>
      <c r="EG90" s="400"/>
      <c r="EH90" s="401"/>
      <c r="EI90" s="400"/>
      <c r="EJ90" s="447"/>
      <c r="EK90" s="512"/>
      <c r="EL90" s="515"/>
      <c r="EM90" s="450"/>
      <c r="EN90" s="348"/>
      <c r="EO90" s="348"/>
      <c r="EP90" s="179">
        <f t="shared" si="95"/>
        <v>0</v>
      </c>
      <c r="EQ90" s="179">
        <f t="shared" si="96"/>
        <v>0</v>
      </c>
      <c r="ER90" s="179">
        <f t="shared" si="97"/>
        <v>0</v>
      </c>
      <c r="ES90" s="179">
        <f t="shared" si="98"/>
        <v>0</v>
      </c>
      <c r="ET90" s="179">
        <f t="shared" si="99"/>
        <v>0</v>
      </c>
      <c r="EU90" s="179">
        <f t="shared" si="100"/>
        <v>0</v>
      </c>
      <c r="EV90" s="172">
        <f t="shared" si="101"/>
        <v>0</v>
      </c>
      <c r="EW90" s="253"/>
      <c r="EX90" s="254">
        <v>0</v>
      </c>
      <c r="EY90" s="180">
        <v>0</v>
      </c>
      <c r="EZ90" s="255">
        <v>0</v>
      </c>
      <c r="FA90" s="255">
        <v>0</v>
      </c>
      <c r="FB90" s="180">
        <f>SUM(FF90:GI90)/2</f>
        <v>0</v>
      </c>
      <c r="FC90" s="256">
        <f>N90*km*'VALORES TABELA'!$B$13</f>
        <v>0</v>
      </c>
      <c r="FD90" s="250">
        <f t="shared" si="114"/>
        <v>0</v>
      </c>
      <c r="FE90" s="257"/>
      <c r="FF90" s="181">
        <f>((Q90+S90)*Percapita)+((R90+T90)*Cadeirante)</f>
        <v>0</v>
      </c>
      <c r="FG90" s="181">
        <f>((U90+W90)*Percapita/30*FG$4)+((V90+X90)*Cadeirante/30*FG$4)</f>
        <v>0</v>
      </c>
      <c r="FH90" s="181">
        <f>((Y90+AA90)*Percapita/30*FH$4)+((Z90+AB90)*Cadeirante/30*FH$4)</f>
        <v>0</v>
      </c>
      <c r="FI90" s="181">
        <f>((AC90+AE90)*Percapita/30*FI$4)+((AD90+AF90)*Cadeirante/30*FI$4)</f>
        <v>0</v>
      </c>
      <c r="FJ90" s="181">
        <f>((AG90+AI90)*Percapita/30*FJ$4)+((AH90+AJ90)*Cadeirante/30*FJ$4)</f>
        <v>0</v>
      </c>
      <c r="FK90" s="181">
        <f>((AK90+AM90)*Percapita/30*FK$4)+((AL90+AN90)*Cadeirante/30*FK$4)</f>
        <v>0</v>
      </c>
      <c r="FL90" s="181">
        <f>((AO90+AQ90)*Percapita/30*FL$4)+((AP90+AR90)*Cadeirante/30*FL$4)</f>
        <v>0</v>
      </c>
      <c r="FM90" s="181">
        <f>((AS90+AU90)*Percapita/30*FM$4)+((AT90+AV90)*Cadeirante/30*FM$4)</f>
        <v>0</v>
      </c>
      <c r="FN90" s="181">
        <f>((AW90+AY90)*Percapita/30*FN$4)+((AX90+AZ90)*Cadeirante/30*FN$4)</f>
        <v>0</v>
      </c>
      <c r="FO90" s="181">
        <f>((BA90+BC90)*Percapita/30*FO$4)+((BB90+BD90)*Cadeirante/30*FO$4)</f>
        <v>0</v>
      </c>
      <c r="FP90" s="181">
        <f>((BE90+BG90)*Percapita/30*FP$4)+((BF90+BH90)*Cadeirante/30*FP$4)</f>
        <v>0</v>
      </c>
      <c r="FQ90" s="181">
        <f>((BI90+BK90)*Percapita/30*FQ$4)+((BJ90+BL90)*Cadeirante/30*FQ$4)</f>
        <v>0</v>
      </c>
      <c r="FR90" s="181">
        <f>((BM90+BO90)*Percapita/30*FR$4)+((BN90+BP90)*Cadeirante/30*FR$4)</f>
        <v>0</v>
      </c>
      <c r="FS90" s="181">
        <f>((BQ90+BS90)*Percapita/30*FS$4)+((BR90+BT90)*Cadeirante/30*FS$4)</f>
        <v>0</v>
      </c>
      <c r="FT90" s="181">
        <f>((BU90+BW90)*Percapita/30*FT$4)+((BV90+BX90)*Cadeirante/30*FT$4)</f>
        <v>0</v>
      </c>
      <c r="FU90" s="181">
        <f>((BY90+CA90)*Percapita/30*FU$4)+((BZ90+CB90)*Cadeirante/30*FU$4)</f>
        <v>0</v>
      </c>
      <c r="FV90" s="181">
        <f>((CC90+CE90)*Percapita/30*FV$4)+((CD90+CF90)*Cadeirante/30*FV$4)</f>
        <v>0</v>
      </c>
      <c r="FW90" s="181">
        <f>((CG90+CI90)*Percapita/30*FW$4)+((CI90+CK90)*Cadeirante/30*FW$4)</f>
        <v>0</v>
      </c>
      <c r="FX90" s="181">
        <f>((CK90+CM90)*Percapita/30*FX$4)+((CL90+CN90)*Cadeirante/30*FX$4)</f>
        <v>0</v>
      </c>
      <c r="FY90" s="181">
        <f>((CO90+CQ90)*Percapita/30*FY$4)+((CP90+CR90)*Cadeirante/30*FY$4)</f>
        <v>0</v>
      </c>
      <c r="FZ90" s="181">
        <f>((CS90+CU90)*Percapita/30*FZ$4)+((CT90+CV90)*Cadeirante/30*FZ$4)</f>
        <v>0</v>
      </c>
      <c r="GA90" s="181">
        <f>((CW90+CY90)*Percapita/30*GA$4)+((CX90+CZ90)*Cadeirante/30*GA$4)</f>
        <v>0</v>
      </c>
      <c r="GB90" s="181">
        <f>((DA90+DC90)*Percapita/30*GB$4)+((DB90+DD90)*Cadeirante/30*GB$4)</f>
        <v>0</v>
      </c>
      <c r="GC90" s="181">
        <f>((DE90+DG90)*Percapita/30*GC$4)+((DF90+DH90)*Cadeirante/30*GC$4)</f>
        <v>0</v>
      </c>
      <c r="GD90" s="181">
        <f>((DI90+DK90)*Percapita/30*GD$4)+((DJ90+DL90)*Cadeirante/30*GD$4)</f>
        <v>0</v>
      </c>
      <c r="GE90" s="181">
        <f>((DM90+DO90)*Percapita/30*GE$4)+((DN90+DP90)*Cadeirante/30*GE$4)</f>
        <v>0</v>
      </c>
      <c r="GF90" s="181">
        <f>((DQ90+DS90)*Percapita/30*GF$4)+((DR90+DT90)*Cadeirante/30*GF$4)</f>
        <v>0</v>
      </c>
      <c r="GG90" s="181">
        <f>((DU90+DW90)*Percapita/30*GG$4)+((DV90+DX90)*Cadeirante/30*GG$4)</f>
        <v>0</v>
      </c>
      <c r="GH90" s="181">
        <f>((DY90+EA90)*Percapita/30*GH$4)+((DZ90+EB90)*Cadeirante/30*GH$4)</f>
        <v>0</v>
      </c>
      <c r="GI90" s="181">
        <f>((EC90+EE90)*Percapita/30*GI$4)+((ED90+EF90)*Cadeirante/30*GI$4)</f>
        <v>0</v>
      </c>
      <c r="GJ90" s="181">
        <f>((EG90+EI90)*Percapita)+((EH90+EJ90)*Cadeirante)</f>
        <v>0</v>
      </c>
      <c r="GK90" s="258"/>
      <c r="GL90" s="103">
        <f t="shared" si="102"/>
        <v>0</v>
      </c>
      <c r="GM90" s="124"/>
      <c r="GN90" s="182"/>
      <c r="GO90" s="182"/>
      <c r="GP90" s="182"/>
      <c r="GQ90" s="182"/>
      <c r="GR90" s="182"/>
      <c r="GS90" s="182"/>
      <c r="GT90" s="182"/>
      <c r="GU90" s="182"/>
      <c r="GV90" s="182"/>
      <c r="GW90" s="182"/>
      <c r="GX90" s="182"/>
      <c r="GY90" s="182"/>
      <c r="GZ90" s="182"/>
      <c r="HA90" s="182"/>
      <c r="HB90" s="182"/>
      <c r="HC90" s="182"/>
      <c r="HD90" s="182"/>
      <c r="HE90" s="182"/>
      <c r="HF90" s="182"/>
      <c r="HG90" s="182"/>
      <c r="HH90" s="182"/>
      <c r="HI90" s="182"/>
      <c r="HJ90" s="182"/>
      <c r="HK90" s="182"/>
      <c r="HL90" s="182"/>
      <c r="HM90" s="182"/>
      <c r="HN90" s="182"/>
      <c r="HO90" s="182"/>
      <c r="HP90" s="259"/>
      <c r="HQ90" s="64"/>
      <c r="HW90" s="257"/>
      <c r="HY90" s="280">
        <f t="shared" si="115"/>
        <v>0</v>
      </c>
      <c r="HZ90" s="280">
        <f t="shared" si="116"/>
        <v>0</v>
      </c>
      <c r="IA90" s="280">
        <f t="shared" si="117"/>
        <v>0</v>
      </c>
    </row>
    <row r="91" spans="1:237" s="106" customFormat="1" ht="22.5" customHeight="1" x14ac:dyDescent="0.25">
      <c r="A91" t="s">
        <v>3258</v>
      </c>
      <c r="B91" s="522" t="s">
        <v>3259</v>
      </c>
      <c r="C91" s="523">
        <v>1</v>
      </c>
      <c r="D91" s="524" t="s">
        <v>3260</v>
      </c>
      <c r="E91" s="524" t="s">
        <v>3261</v>
      </c>
      <c r="F91" s="525" t="s">
        <v>3182</v>
      </c>
      <c r="G91" s="525" t="s">
        <v>3183</v>
      </c>
      <c r="H91" s="350" t="s">
        <v>357</v>
      </c>
      <c r="I91" s="351" t="s">
        <v>357</v>
      </c>
      <c r="J91" s="409" t="s">
        <v>3184</v>
      </c>
      <c r="K91" s="410" t="s">
        <v>3185</v>
      </c>
      <c r="L91" s="329">
        <f>CONTINUA!BV91</f>
        <v>0</v>
      </c>
      <c r="M91" s="329">
        <f>CONTINUA!BW91</f>
        <v>0</v>
      </c>
      <c r="N91" s="895"/>
      <c r="O91" s="896" t="s">
        <v>3291</v>
      </c>
      <c r="P91" s="897">
        <v>0</v>
      </c>
      <c r="Q91" s="400"/>
      <c r="R91" s="401"/>
      <c r="S91" s="400"/>
      <c r="T91" s="401"/>
      <c r="U91" s="400"/>
      <c r="V91" s="401"/>
      <c r="W91" s="400"/>
      <c r="X91" s="401"/>
      <c r="Y91" s="400"/>
      <c r="Z91" s="401"/>
      <c r="AA91" s="400"/>
      <c r="AB91" s="401"/>
      <c r="AC91" s="400"/>
      <c r="AD91" s="401"/>
      <c r="AE91" s="400"/>
      <c r="AF91" s="401"/>
      <c r="AG91" s="400"/>
      <c r="AH91" s="401"/>
      <c r="AI91" s="400"/>
      <c r="AJ91" s="401"/>
      <c r="AK91" s="400"/>
      <c r="AL91" s="401"/>
      <c r="AM91" s="400"/>
      <c r="AN91" s="401"/>
      <c r="AO91" s="400"/>
      <c r="AP91" s="401"/>
      <c r="AQ91" s="400"/>
      <c r="AR91" s="401"/>
      <c r="AS91" s="400"/>
      <c r="AT91" s="401"/>
      <c r="AU91" s="400"/>
      <c r="AV91" s="401"/>
      <c r="AW91" s="400"/>
      <c r="AX91" s="401"/>
      <c r="AY91" s="400"/>
      <c r="AZ91" s="401"/>
      <c r="BA91" s="400"/>
      <c r="BB91" s="401"/>
      <c r="BC91" s="400"/>
      <c r="BD91" s="401"/>
      <c r="BE91" s="400"/>
      <c r="BF91" s="401"/>
      <c r="BG91" s="400"/>
      <c r="BH91" s="401"/>
      <c r="BI91" s="400"/>
      <c r="BJ91" s="401"/>
      <c r="BK91" s="400"/>
      <c r="BL91" s="401"/>
      <c r="BM91" s="400"/>
      <c r="BN91" s="401"/>
      <c r="BO91" s="400"/>
      <c r="BP91" s="401"/>
      <c r="BQ91" s="400"/>
      <c r="BR91" s="401"/>
      <c r="BS91" s="400"/>
      <c r="BT91" s="401"/>
      <c r="BU91" s="400"/>
      <c r="BV91" s="401"/>
      <c r="BW91" s="400"/>
      <c r="BX91" s="401"/>
      <c r="BY91" s="400"/>
      <c r="BZ91" s="401"/>
      <c r="CA91" s="400"/>
      <c r="CB91" s="401"/>
      <c r="CC91" s="400"/>
      <c r="CD91" s="401"/>
      <c r="CE91" s="400"/>
      <c r="CF91" s="401"/>
      <c r="CG91" s="400"/>
      <c r="CH91" s="401"/>
      <c r="CI91" s="400"/>
      <c r="CJ91" s="401"/>
      <c r="CK91" s="400"/>
      <c r="CL91" s="401"/>
      <c r="CM91" s="400"/>
      <c r="CN91" s="401"/>
      <c r="CO91" s="400"/>
      <c r="CP91" s="401"/>
      <c r="CQ91" s="400"/>
      <c r="CR91" s="401"/>
      <c r="CS91" s="400"/>
      <c r="CT91" s="401"/>
      <c r="CU91" s="400"/>
      <c r="CV91" s="401"/>
      <c r="CW91" s="400"/>
      <c r="CX91" s="401"/>
      <c r="CY91" s="400"/>
      <c r="CZ91" s="401"/>
      <c r="DA91" s="400"/>
      <c r="DB91" s="401"/>
      <c r="DC91" s="400"/>
      <c r="DD91" s="401"/>
      <c r="DE91" s="400"/>
      <c r="DF91" s="401"/>
      <c r="DG91" s="400"/>
      <c r="DH91" s="401"/>
      <c r="DI91" s="400"/>
      <c r="DJ91" s="401"/>
      <c r="DK91" s="400"/>
      <c r="DL91" s="401"/>
      <c r="DM91" s="400"/>
      <c r="DN91" s="401"/>
      <c r="DO91" s="400"/>
      <c r="DP91" s="401"/>
      <c r="DQ91" s="400"/>
      <c r="DR91" s="401"/>
      <c r="DS91" s="400"/>
      <c r="DT91" s="401"/>
      <c r="DU91" s="400"/>
      <c r="DV91" s="401"/>
      <c r="DW91" s="400"/>
      <c r="DX91" s="401"/>
      <c r="DY91" s="400"/>
      <c r="DZ91" s="401"/>
      <c r="EA91" s="400"/>
      <c r="EB91" s="401"/>
      <c r="EC91" s="400"/>
      <c r="ED91" s="401"/>
      <c r="EE91" s="400"/>
      <c r="EF91" s="401"/>
      <c r="EG91" s="400"/>
      <c r="EH91" s="401"/>
      <c r="EI91" s="400"/>
      <c r="EJ91" s="447"/>
      <c r="EK91" s="510"/>
      <c r="EL91" s="513"/>
      <c r="EM91" s="520"/>
      <c r="EN91" s="520"/>
      <c r="EO91" s="520"/>
      <c r="EP91" s="171">
        <f t="shared" si="95"/>
        <v>0</v>
      </c>
      <c r="EQ91" s="171">
        <f t="shared" si="96"/>
        <v>0</v>
      </c>
      <c r="ER91" s="171">
        <f t="shared" si="97"/>
        <v>0</v>
      </c>
      <c r="ES91" s="171">
        <f t="shared" si="98"/>
        <v>0</v>
      </c>
      <c r="ET91" s="171">
        <f t="shared" si="99"/>
        <v>0</v>
      </c>
      <c r="EU91" s="171">
        <f t="shared" si="100"/>
        <v>0</v>
      </c>
      <c r="EV91" s="172">
        <f t="shared" si="101"/>
        <v>0</v>
      </c>
      <c r="EW91" s="367">
        <f>IF(C91=4,IF(MAX(Q91:EJ93)&gt;0,(Especiall/30*(IF(($G91-$F91)=($G$5-$F$5),30,IF(DAY($G91)=31,($G91-$F91),($G91-$F91)+1)))),0),0)</f>
        <v>0</v>
      </c>
      <c r="EX91" s="248">
        <f t="shared" ref="EX91:EX94" si="118">FF91</f>
        <v>21360.800000000003</v>
      </c>
      <c r="EY91" s="174">
        <f>(L91*regular)+(M91*Cadeirantee)</f>
        <v>0</v>
      </c>
      <c r="EZ91" s="249">
        <f>SUMIF(FG91:GJ91,"&gt;0")</f>
        <v>179.774</v>
      </c>
      <c r="FA91" s="249">
        <f>SUMIF(FG91:GJ91,"&lt;0")+SUMIF(GN91:HP91,"&lt;0")</f>
        <v>0</v>
      </c>
      <c r="FB91" s="174">
        <v>0</v>
      </c>
      <c r="FC91" s="175">
        <f>N91*km*'VALORES TABELA'!$B$13</f>
        <v>0</v>
      </c>
      <c r="FD91" s="250">
        <f>GL91</f>
        <v>0</v>
      </c>
      <c r="FE91" s="176">
        <f>(EW91+EW92+EW93+EW94+EX91+EX92+EX93+EX94+EY91+EY92+EY93+EY94+EY95+EZ91+EZ92+EZ93+EZ94+FA91+FA92+FA93+FA94+FC91+FC92+FC93+FC94+HY91-HZ91-IA91+FD91+FD92+FD93+FD94+FB95)</f>
        <v>21771.934000000005</v>
      </c>
      <c r="FF91" s="177">
        <f>IF(C91=4,SUM(Q91+Q92+Q93+S91+S92+S93)*Percapita/30*FF$4+(R91+R92+R93+T91+T92+T93)*Cadeirante/30*FF$4,IF(C91=3,IF(Q94+S94=10,Fixo/30*FF$4+(Q91+Q92+Q93+S91+S92+S93)*Percapita/30*FF$4+(R94+T94)*Cadeirante/30*FF$4,IF(Q94+S94&lt;=9,(Q94+S94)*Crechee/30*FF$4)+(R94+T94)*Cadeirante/30*FF$4+(Q91+Q92+Q93+S91+S92+S93)*Percapita/30*FF$4)+IF(Q94+S94&gt;=11,Fixo/30*FF$4+(Q94+S94-10)*Crechee/30*FF$4,0),IF(C91=2,IF(R91+R92+R93+R94+T91+T92+T93+T94=1,Cadeirante/30*FF$4,IF(R91+R92+R93+R94+T91+T92+T93+T94=2,Fixo/30*FF$4,IF(R91+R92+R93+R94+T91+T92+T93+T94&gt;2,Fixo/30*FF$4+(R91+R92+R93+R94+T91+T92+T93+T94-2)*Cadeirante/30*FF$4)))+(Q91+Q92+Q93+S91+S92+S93)*Percapita/30*FF$4+(Q94+S94)*Crechee/30*FF$4,IF(C91=1,IF(Q91+Q92+Q93+R91+R92+R93+S91+S92+S93+T91+T92+T93&lt;=15,(Q91+Q92+Q93+S91+S92+S93)*Percapita/30*FF$4,IF(Q91+Q92+Q93+R91+R92+R93+S91+S92+S93+T91+T92+T93&gt;=16,Fixo/30*FF$4+(Q91+Q92+Q93+R91+R92+R93+S91+S92+S93+T91+T92-16)*Percapita/30*FF$4))))))</f>
        <v>21360.800000000003</v>
      </c>
      <c r="FG91" s="177">
        <f>IF(C91=4,SUM(U91+U92+U93+W91+W92+W93)*Percapita/30*FG$4+(V91+V92+V93+X91+X92+X93)*Cadeirante/30*FG$4,IF(C91=3,IF(U94+W94=10,Fixo/30*FG$4+(U91+U92+U93+W91+W92+W93)*Percapita/30*FG$4+(V94+X94)*Cadeirante/30*FG$4,IF(U94+W94&lt;=9,(U94+W94)*Crechee/30*FG$4)+(V94+X94)*Cadeirante/30*FG$4+(U91+U92+U93+W91+W92+W93)*Percapita/30*FG$4)+IF(U94+W94&gt;=11,Fixo/30*FG$4+(U94+W94-10)*Crechee/30*FG$4,0),IF(C91=2,IF(V91+V92+V93+V94+X91+X92+X93+X94=1,Cadeirante/30*FG$4,IF(V91+V92+V93+V94+X91+X92+X93+X94=2,Fixo/30*FG$4,IF(V91+V92+V93+V94+X91+X92+X93+X94&gt;2,Fixo/30*FG$4+(V91+V92+V93+V94+X91+X92+X93+X94-2)*Cadeirante/30*FG$4)))+(U91+U92+U93+W91+W92+W93)*Percapita/30*FG$4+(U94+W94)*Crechee/30*FG$4,IF(C91=1,IF(U91+U92+U93+V91+V92+V93+W91+W92+W93+X91+X92+X93&lt;=15,(U91+U92+U93+W91+W92+W93)*Percapita/30*FG$4,IF(U91+U92+U93+V91+V92+V93+W91+W92+W93+X91+X92+X93&gt;=16,Fixo/30*FG$4+(U91+U92+U93+V91+V92+V93+W91+W92+W93+X91+X92-16)*Percapita/30*FG$4))))))</f>
        <v>0</v>
      </c>
      <c r="FH91" s="177">
        <f>IF(C91=4,SUM(Y91+Y92+Y93+AA91+AA92+AA93)*Percapita/30*FH$4+(Z91+Z92+Z93+AB91+AB92+AB93)*Cadeirante/30*FH$4,IF(C91=3,IF(Y94+AA94=10,Fixo/30*FH$4+(Y91+Y92+Y93+AA91+AA92+AA93)*Percapita/30*FH$4+(Z94+AB94)*Cadeirante/30*FH$4,IF(Y94+AA94&lt;=9,(Y94+AA94)*Crechee/30*FH$4)+(Z94+AB94)*Cadeirante/30*FH$4+(Y91+Y92+Y93+AA91+AA92+AA93)*Percapita/30*FH$4)+IF(Y94+AA94&gt;=11,Fixo/30*FH$4+(Y94+AA94-10)*Crechee/30*FH$4,0),IF(C91=2,IF(Z91+Z92+Z93+Z94+AB91+AB92+AB93+AB94=1,Cadeirante/30*FH$4,IF(Z91+Z92+Z93+Z94+AB91+AB92+AB93+AB94=2,Fixo/30*FH$4,IF(Z91+Z92+Z93+Z94+AB91+AB92+AB93+AB94&gt;2,Fixo/30*FH$4+(Z91+Z92+Z93+Z94+AB91+AB92+AB93+AB94-2)*Cadeirante/30*FH$4)))+(Y91+Y92+Y93+AA91+AA92+AA93)*Percapita/30*FH$4+(Y94+AA94)*Crechee/30*FH$4,IF(C91=1,IF(Y91+Y92+Y93+Z91+Z92+Z93+AA91+AA92+AA93+AB91+AB92+AB93&lt;=15,(Y91+Y92+Y93+AA91+AA92+AA93)*Percapita/30*FH$4,IF(Y91+Y92+Y93+Z91+Z92+Z93+AA91+AA92+AA93+AB91+AB92+AB93&gt;=16,Fixo/30*FH$4+(Y91+Y92+Y93+Z91+Z92+Z93+AA91+AA92+AA93+AB91+AB92-16)*Percapita/30*FH$4))))))</f>
        <v>0</v>
      </c>
      <c r="FI91" s="177">
        <f>IF(C91=4,SUM(AC91+AC92+AC93+AE91+AE92+AE93)*Percapita/30*FI$4+(AD91+AD92+AD93+AF91+AF92+AF93)*Cadeirante/30*FI$4,IF(C91=3,IF(AC94+AE94=10,Fixo/30*FI$4+(AC91+AC92+AC93+AE91+AE92+AE93)*Percapita/30*FI$4+(AD94+AF94)*Cadeirante/30*FI$4,IF(AC94+AE94&lt;=9,(AC94+AE94)*Crechee/30*FI$4)+(AD94+AF94)*Cadeirante/30*FI$4+(AC91+AC92+AC93+AE91+AE92+AE93)*Percapita/30*FI$4)+IF(AC94+AE94&gt;=11,Fixo/30*FI$4+(AC94+AE94-10)*Crechee/30*FI$4,0),IF(C91=2,IF(AD91+AD92+AD93+AD94+AF91+AF92+AF93+AF94=1,Cadeirante/30*FI$4,IF(AD91+AD92+AD93+AD94+AF91+AF92+AF93+AF94=2,Fixo/30*FI$4,IF(AD91+AD92+AD93+AD94+AF91+AF92+AF93+AF94&gt;2,Fixo/30*FI$4+(AD91+AD92+AD93+AD94+AF91+AF92+AF93+AF94-2)*Cadeirante/30*FI$4)))+(AC91+AC92+AC93+AE91+AE92+AE93)*Percapita/30*FI$4+(AC94+AE94)*Crechee/30*FI$4,IF(C91=1,IF(AC91+AC92+AC93+AD91+AD92+AD93+AE91+AE92+AE93+AF91+AF92+AF93&lt;=15,(AC91+AC92+AC93+AE91+AE92+AE93)*Percapita/30*FI$4,IF(AC91+AC92+AC93+AD91+AD92+AD93+AE91+AE92+AE93+AF91+AF92+AF93&gt;=16,Fixo/30*FI$4+(AC91+AC92+AC93+AD91+AD92+AD93+AE91+AE92+AE93+AF91+AF92-16)*Percapita/30*FI$4))))))</f>
        <v>0</v>
      </c>
      <c r="FJ91" s="177">
        <f>IF(C91=4,SUM(AG91+AG92+AG93+AI91+AI92+AI93)*Percapita/30*FJ$4+(AH91+AH92+AH93+AJ91+AJ92+AJ93)*Cadeirante/30*FJ$4,IF(C91=3,IF(AG94+AI94=10,Fixo/30*FJ$4+(AG91+AG92+AG93+AI91+AI92+AI93)*Percapita/30*FJ$4+(AH94+AJ94)*Cadeirante/30*FJ$4,IF(AG94+AI94&lt;=9,(AG94+AI94)*Crechee/30*FJ$4)+(AH94+AJ94)*Cadeirante/30*FJ$4+(AG91+AG92+AG93+AI91+AI92+AI93)*Percapita/30*FJ$4)+IF(AG94+AI94&gt;=11,Fixo/30*FJ$4+(AG94+AI94-10)*Crechee/30*FJ$4,0),IF(C91=2,IF(AH91+AH92+AH93+AH94+AJ91+AJ92+AJ93+AJ94=1,Cadeirante/30*FJ$4,IF(AH91+AH92+AH93+AH94+AJ91+AJ92+AJ93+AJ94=2,Fixo/30*FJ$4,IF(AH91+AH92+AH93+AH94+AJ91+AJ92+AJ93+AJ94&gt;2,Fixo/30*FJ$4+(AH91+AH92+AH93+AH94+AJ91+AJ92+AJ93+AJ94-2)*Cadeirante/30*FJ$4)))+(AG91+AG92+AG93+AI91+AI92+AI93)*Percapita/30*FJ$4+(AG94+AI94)*Crechee/30*FJ$4,IF(C91=1,IF(AG91+AG92+AG93+AH91+AH92+AH93+AI91+AI92+AI93+AJ91+AJ92+AJ93&lt;=15,(AG91+AG92+AG93+AI91+AI92+AI93)*Percapita/30*FJ$4,IF(AG91+AG92+AG93+AH91+AH92+AH93+AI91+AI92+AI93+AJ91+AJ92+AJ93&gt;=16,Fixo/30*FJ$4+(AG91+AG92+AG93+AH91+AH92+AH93+AI91+AI92+AI93+AJ91+AJ92-16)*Percapita/30*FJ$4))))))</f>
        <v>0</v>
      </c>
      <c r="FK91" s="177">
        <f>IF(C91=4,SUM(AK91+AK92+AK93+AM91+AM92+AM93)*Percapita/30*FK$4+(AL91+AL92+AL93+AN91+AN92+AN93)*Cadeirante/30*FK$4,IF(C91=3,IF(AK94+AM94=10,Fixo/30*FK$4+(AK91+AK92+AK93+AM91+AM92+AM93)*Percapita/30*FK$4+(AL94+AN94)*Cadeirante/30*FK$4,IF(AK94+AM94&lt;=9,(AK94+AM94)*Crechee/30*FK$4)+(AL94+AN94)*Cadeirante/30*FK$4+(AK91+AK92+AK93+AM91+AM92+AM93)*Percapita/30*FK$4)+IF(AK94+AM94&gt;=11,Fixo/30*FK$4+(AK94+AM94-10)*Crechee/30*FK$4,0),IF(C91=2,IF(AL91+AL92+AL93+AL94+AN91+AN92+AN93+AN94=1,Cadeirante/30*FK$4,IF(AL91+AL92+AL93+AL94+AN91+AN92+AN93+AN94=2,Fixo/30*FK$4,IF(AL91+AL92+AL93+AL94+AN91+AN92+AN93+AN94&gt;2,Fixo/30*FK$4+(AL91+AL92+AL93+AL94+AN91+AN92+AN93+AN94-2)*Cadeirante/30*FK$4)))+(AK91+AK92+AK93+AM91+AM92+AM93)*Percapita/30*FK$4+(AK94+AM94)*Crechee/30*FK$4,IF(C91=1,IF(AK91+AK92+AK93+AL91+AL92+AL93+AM91+AM92+AM93+AN91+AN92+AN93&lt;=15,(AK91+AK92+AK93+AM91+AM92+AM93)*Percapita/30*FK$4,IF(AK91+AK92+AK93+AL91+AL92+AL93+AM91+AM92+AM93+AN91+AN92+AN93&gt;=16,Fixo/30*FK$4+(AK91+AK92+AK93+AL91+AL92+AL93+AM91+AM92+AM93+AN91+AN92-16)*Percapita/30*FK$4))))))</f>
        <v>0</v>
      </c>
      <c r="FL91" s="177">
        <f>IF(C91=4,SUM(AO91+AO92+AO93+AQ91+AQ92+AQ93)*Percapita/30*FL$4+(AP91+AP92+AP93+AR91+AR92+AR93)*Cadeirante/30*FL$4,IF(C91=3,IF(AO94+AQ94=10,Fixo/30*FL$4+(AO91+AO92+AO93+AQ91+AQ92+AQ93)*Percapita/30*FL$4+(AP94+AR94)*Cadeirante/30*FL$4,IF(AO94+AQ94&lt;=9,(AO94+AQ94)*Crechee/30*FL$4)+(AP94+AR94)*Cadeirante/30*FL$4+(AO91+AO92+AO93+AQ91+AQ92+AQ93)*Percapita/30*FL$4)+IF(AO94+AQ94&gt;=11,Fixo/30*FL$4+(AO94+AQ94-10)*Crechee/30*FL$4,0),IF(C91=2,IF(AP91+AP92+AP93+AP94+AR91+AR92+AR93+AR94=1,Cadeirante/30*FL$4,IF(AP91+AP92+AP93+AP94+AR91+AR92+AR93+AR94=2,Fixo/30*FL$4,IF(AP91+AP92+AP93+AP94+AR91+AR92+AR93+AR94&gt;2,Fixo/30*FL$4+(AP91+AP92+AP93+AP94+AR91+AR92+AR93+AR94-2)*Cadeirante/30*FL$4)))+(AO91+AO92+AO93+AQ91+AQ92+AQ93)*Percapita/30*FL$4+(AO94+AQ94)*Crechee/30*FL$4,IF(C91=1,IF(AO91+AO92+AO93+AP91+AP92+AP93+AQ91+AQ92+AQ93+AR91+AR92+AR93&lt;=15,(AO91+AO92+AO93+AQ91+AQ92+AQ93)*Percapita/30*FL$4,IF(AO91+AO92+AO93+AP91+AP92+AP93+AQ91+AQ92+AQ93+AR91+AR92+AR93&gt;=16,Fixo/30*FL$4+(AO91+AO92+AO93+AP91+AP92+AP93+AQ91+AQ92+AQ93+AR91+AR92-16)*Percapita/30*FL$4))))))</f>
        <v>0</v>
      </c>
      <c r="FM91" s="177">
        <f>IF(C91=4,SUM(AS91+AS92+AS93+AU91+AU92+AU93)*Percapita/30*FM$4+(AT91+AT92+AT93+AV91+AV92+AV93)*Cadeirante/30*FM$4,IF(C91=3,IF(AS94+AU94=10,Fixo/30*FM$4+(AS91+AS92+AS93+AU91+AU92+AU93)*Percapita/30*FM$4+(AT94+AV94)*Cadeirante/30*FM$4,IF(AS94+AU94&lt;=9,(AS94+AU94)*Crechee/30*FM$4)+(AT94+AV94)*Cadeirante/30*FM$4+(AS91+AS92+AS93+AU91+AU92+AU93)*Percapita/30*FM$4)+IF(AS94+AU94&gt;=11,Fixo/30*FM$4+(AS94+AU94-10)*Crechee/30*FM$4,0),IF(C91=2,IF(AT91+AT92+AT93+AT94+AV91+AV92+AV93+AV94=1,Cadeirante/30*FM$4,IF(AT91+AT92+AT93+AT94+AV91+AV92+AV93+AV94=2,Fixo/30*FM$4,IF(AT91+AT92+AT93+AT94+AV91+AV92+AV93+AV94&gt;2,Fixo/30*FM$4+(AT91+AT92+AT93+AT94+AV91+AV92+AV93+AV94-2)*Cadeirante/30*FM$4)))+(AS91+AS92+AS93+AU91+AU92+AU93)*Percapita/30*FM$4+(AS94+AU94)*Crechee/30*FM$4,IF(C91=1,IF(AS91+AS92+AS93+AT91+AT92+AT93+AU91+AU92+AU93+AV91+AV92+AV93&lt;=15,(AS91+AS92+AS93+AU91+AU92+AU93)*Percapita/30*FM$4,IF(AS91+AS92+AS93+AT91+AT92+AT93+AU91+AU92+AU93+AV91+AV92+AV93&gt;=16,Fixo/30*FM$4+(AS91+AS92+AS93+AT91+AT92+AT93+AU91+AU92+AU93+AV91+AV92-16)*Percapita/30*FM$4))))))</f>
        <v>0</v>
      </c>
      <c r="FN91" s="177">
        <f>IF(C91=4,SUM(AW91+AW92+AW93+AY91+AY92+AY93)*Percapita/30*FN$4+(AX91+AX92+AX93+AZ91+AZ92+AZ93)*Cadeirante/30*FN$4,IF(C91=3,IF(AW94+AY94=10,Fixo/30*FN$4+(AW91+AW92+AW93+AY91+AY92+AY93)*Percapita/30*FN$4+(AX94+AZ94)*Cadeirante/30*FN$4,IF(AW94+AY94&lt;=9,(AW94+AY94)*Crechee/30*FN$4)+(AX94+AZ94)*Cadeirante/30*FN$4+(AW91+AW92+AW93+AY91+AY92+AY93)*Percapita/30*FN$4)+IF(AW94+AY94&gt;=11,Fixo/30*FN$4+(AW94+AY94-10)*Crechee/30*FN$4,0),IF(C91=2,IF(AX91+AX92+AX93+AX94+AZ91+AZ92+AZ93+AZ94=1,Cadeirante/30*FN$4,IF(AX91+AX92+AX93+AX94+AZ91+AZ92+AZ93+AZ94=2,Fixo/30*FN$4,IF(AX91+AX92+AX93+AX94+AZ91+AZ92+AZ93+AZ94&gt;2,Fixo/30*FN$4+(AX91+AX92+AX93+AX94+AZ91+AZ92+AZ93+AZ94-2)*Cadeirante/30*FN$4)))+(AW91+AW92+AW93+AY91+AY92+AY93)*Percapita/30*FN$4+(AW94+AY94)*Crechee/30*FN$4,IF(C91=1,IF(AW91+AW92+AW93+AX91+AX92+AX93+AY91+AY92+AY93+AZ91+AZ92+AZ93&lt;=15,(AW91+AW92+AW93+AY91+AY92+AY93)*Percapita/30*FN$4,IF(AW91+AW92+AW93+AX91+AX92+AX93+AY91+AY92+AY93+AZ91+AZ92+AZ93&gt;=16,Fixo/30*FN$4+(AW91+AW92+AW93+AX91+AX92+AX93+AY91+AY92+AY93+AZ91+AZ92-16)*Percapita/30*FN$4))))))</f>
        <v>0</v>
      </c>
      <c r="FO91" s="177">
        <f>IF(C91=4,SUM(BA91+BA92+BA93+BC91+BC92+BC93)*Percapita/30*FO$4+(BB91+BB92+BB93+BD91+BD92+BD93)*Cadeirante/30*FO$4,IF(C91=3,IF(BA94+BC94=10,Fixo/30*FO$4+(BA91+BA92+BA93+BC91+BC92+BC93)*Percapita/30*FO$4+(BB94+BD94)*Cadeirante/30*FO$4,IF(BA94+BC94&lt;=9,(BA94+BC94)*Crechee/30*FO$4)+(BB94+BD94)*Cadeirante/30*FO$4+(BA91+BA92+BA93+BC91+BC92+BC93)*Percapita/30*FO$4)+IF(BA94+BC94&gt;=11,Fixo/30*FO$4+(BA94+BC94-10)*Crechee/30*FO$4,0),IF(C91=2,IF(BB91+BB92+BB93+BB94+BD91+BD92+BD93+BD94=1,Cadeirante/30*FO$4,IF(BB91+BB92+BB93+BB94+BD91+BD92+BD93+BD94=2,Fixo/30*FO$4,IF(BB91+BB92+BB93+BB94+BD91+BD92+BD93+BD94&gt;2,Fixo/30*FO$4+(BB91+BB92+BB93+BB94+BD91+BD92+BD93+BD94-2)*Cadeirante/30*FO$4)))+(BA91+BA92+BA93+BC91+BC92+BC93)*Percapita/30*FO$4+(BA94+BC94)*Crechee/30*FO$4,IF(C91=1,IF(BA91+BA92+BA93+BB91+BB92+BB93+BC91+BC92+BC93+BD91+BD92+BD93&lt;=15,(BA91+BA92+BA93+BC91+BC92+BC93)*Percapita/30*FO$4,IF(BA91+BA92+BA93+BB91+BB92+BB93+BC91+BC92+BC93+BD91+BD92+BD93&gt;=16,Fixo/30*FO$4+(BA91+BA92+BA93+BB91+BB92+BB93+BC91+BC92+BC93+BD91+BD92-16)*Percapita/30*FO$4))))))</f>
        <v>0</v>
      </c>
      <c r="FP91" s="177">
        <f>IF(C91=4,SUM(BE91+BE92+BE93+BG91+BG92+BG93)*Percapita/30*FP$4+(BF91+BF92+BF93+BH91+BH92+BH93)*Cadeirante/30*FP$4,IF(C91=3,IF(BE94+BG94=10,Fixo/30*FP$4+(BE91+BE92+BE93+BG91+BG92+BG93)*Percapita/30*FP$4+(BF94+BH94)*Cadeirante/30*FP$4,IF(BE94+BG94&lt;=9,(BE94+BG94)*Crechee/30*FP$4)+(BF94+BH94)*Cadeirante/30*FP$4+(BE91+BE92+BE93+BG91+BG92+BG93)*Percapita/30*FP$4)+IF(BE94+BG94&gt;=11,Fixo/30*FP$4+(BE94+BG94-10)*Crechee/30*FP$4,0),IF(C91=2,IF(BF91+BF92+BF93+BF94+BH91+BH92+BH93+BH94=1,Cadeirante/30*FP$4,IF(BF91+BF92+BF93+BF94+BH91+BH92+BH93+BH94=2,Fixo/30*FP$4,IF(BF91+BF92+BF93+BF94+BH91+BH92+BH93+BH94&gt;2,Fixo/30*FP$4+(BF91+BF92+BF93+BF94+BH91+BH92+BH93+BH94-2)*Cadeirante/30*FP$4)))+(BE91+BE92+BE93+BG91+BG92+BG93)*Percapita/30*FP$4+(BE94+BG94)*Crechee/30*FP$4,IF(C91=1,IF(BE91+BE92+BE93+BF91+BF92+BF93+BG91+BG92+BG93+BH91+BH92+BH93&lt;=15,(BE91+BE92+BE93+BG91+BG92+BG93)*Percapita/30*FP$4,IF(BE91+BE92+BE93+BF91+BF92+BF93+BG91+BG92+BG93+BH91+BH92+BH93&gt;=16,Fixo/30*FP$4+(BE91+BE92+BE93+BF91+BF92+BF93+BG91+BG92+BG93+BH91+BH92-16)*Percapita/30*FP$4))))))</f>
        <v>0</v>
      </c>
      <c r="FQ91" s="177">
        <f>IF(C91=4,SUM(BI91+BI92+BI93+BK91+BK92+BK93)*Percapita/30*FQ$4+(BJ91+BJ92+BJ93+BL91+BL92+BL93)*Cadeirante/30*FQ$4,IF(C91=3,IF(BI94+BK94=10,Fixo/30*FQ$4+(BI91+BI92+BI93+BK91+BK92+BK93)*Percapita/30*FQ$4+(BJ94+BL94)*Cadeirante/30*FQ$4,IF(BI94+BK94&lt;=9,(BI94+BK94)*Crechee/30*FQ$4)+(BJ94+BL94)*Cadeirante/30*FQ$4+(BI91+BI92+BI93+BK91+BK92+BK93)*Percapita/30*FQ$4)+IF(BI94+BK94&gt;=11,Fixo/30*FQ$4+(BI94+BK94-10)*Crechee/30*FQ$4,0),IF(C91=2,IF(BJ91+BJ92+BJ93+BJ94+BL91+BL92+BL93+BL94=1,Cadeirante/30*FQ$4,IF(BJ91+BJ92+BJ93+BJ94+BL91+BL92+BL93+BL94=2,Fixo/30*FQ$4,IF(BJ91+BJ92+BJ93+BJ94+BL91+BL92+BL93+BL94&gt;2,Fixo/30*FQ$4+(BJ91+BJ92+BJ93+BJ94+BL91+BL92+BL93+BL94-2)*Cadeirante/30*FQ$4)))+(BI91+BI92+BI93+BK91+BK92+BK93)*Percapita/30*FQ$4+(BI94+BK94)*Crechee/30*FQ$4,IF(C91=1,IF(BI91+BI92+BI93+BJ91+BJ92+BJ93+BK91+BK92+BK93+BL91+BL92+BL93&lt;=15,(BI91+BI92+BI93+BK91+BK92+BK93)*Percapita/30*FQ$4,IF(BI91+BI92+BI93+BJ91+BJ92+BJ93+BK91+BK92+BK93+BL91+BL92+BL93&gt;=16,Fixo/30*FQ$4+(BI91+BI92+BI93+BJ91+BJ92+BJ93+BK91+BK92+BK93+BL91+BL92-16)*Percapita/30*FQ$4))))))</f>
        <v>0</v>
      </c>
      <c r="FR91" s="177">
        <f>IF(C91=4,SUM(BM91+BM92+BM93+BO91+BO92+BO93)*Percapita/30*FR$4+(BN91+BN92+BN93+BP91+BP92+BP93)*Cadeirante/30*FR$4,IF(C91=3,IF(BM94+BO94=10,Fixo/30*FR$4+(BM91+BM92+BM93+BO91+BO92+BO93)*Percapita/30*FR$4+(BN94+BP94)*Cadeirante/30*FR$4,IF(BM94+BO94&lt;=9,(BM94+BO94)*Crechee/30*FR$4)+(BN94+BP94)*Cadeirante/30*FR$4+(BM91+BM92+BM93+BO91+BO92+BO93)*Percapita/30*FR$4)+IF(BM94+BO94&gt;=11,Fixo/30*FR$4+(BM94+BO94-10)*Crechee/30*FR$4,0),IF(C91=2,IF(BN91+BN92+BN93+BN94+BP91+BP92+BP93+BP94=1,Cadeirante/30*FR$4,IF(BN91+BN92+BN93+BN94+BP91+BP92+BP93+BP94=2,Fixo/30*FR$4,IF(BN91+BN92+BN93+BN94+BP91+BP92+BP93+BP94&gt;2,Fixo/30*FR$4+(BN91+BN92+BN93+BN94+BP91+BP92+BP93+BP94-2)*Cadeirante/30*FR$4)))+(BM91+BM92+BM93+BO91+BO92+BO93)*Percapita/30*FR$4+(BM94+BO94)*Crechee/30*FR$4,IF(C91=1,IF(BM91+BM92+BM93+BN91+BN92+BN93+BO91+BO92+BO93+BP91+BP92+BP93&lt;=15,(BM91+BM92+BM93+BO91+BO92+BO93)*Percapita/30*FR$4,IF(BM91+BM92+BM93+BN91+BN92+BN93+BO91+BO92+BO93+BP91+BP92+BP93&gt;=16,Fixo/30*FR$4+(BM91+BM92+BM93+BN91+BN92+BN93+BO91+BO92+BO93+BP91+BP92-16)*Percapita/30*FR$4))))))</f>
        <v>0</v>
      </c>
      <c r="FS91" s="177">
        <f>IF(C91=4,SUM(BQ91+BQ92+BQ93+BS91+BS92+BS93)*Percapita/30*FS$4+(BR91+BR92+BR93+BT91+BT92+BT93)*Cadeirante/30*FS$4,IF(C91=3,IF(BQ94+BS94=10,Fixo/30*FS$4+(BQ91+BQ92+BQ93+BS91+BS92+BS93)*Percapita/30*FS$4+(BR94+BT94)*Cadeirante/30*FS$4,IF(BQ94+BS94&lt;=9,(BQ94+BS94)*Crechee/30*FS$4)+(BR94+BT94)*Cadeirante/30*FS$4+(BQ91+BQ92+BQ93+BS91+BS92+BS93)*Percapita/30*FS$4)+IF(BQ94+BS94&gt;=11,Fixo/30*FS$4+(BQ94+BS94-10)*Crechee/30*FS$4,0),IF(C91=2,IF(BR91+BR92+BR93+BR94+BT91+BT92+BT93+BT94=1,Cadeirante/30*FS$4,IF(BR91+BR92+BR93+BR94+BT91+BT92+BT93+BT94=2,Fixo/30*FS$4,IF(BR91+BR92+BR93+BR94+BT91+BT92+BT93+BT94&gt;2,Fixo/30*FS$4+(BR91+BR92+BR93+BR94+BT91+BT92+BT93+BT94-2)*Cadeirante/30*FS$4)))+(BQ91+BQ92+BQ93+BS91+BS92+BS93)*Percapita/30*FS$4+(BQ94+BS94)*Crechee/30*FS$4,IF(C91=1,IF(BQ91+BQ92+BQ93+BR91+BR92+BR93+BS91+BS92+BS93+BT91+BT92+BT93&lt;=15,(BQ91+BQ92+BQ93+BS91+BS92+BS93)*Percapita/30*FS$4,IF(BQ91+BQ92+BQ93+BR91+BR92+BR93+BS91+BS92+BS93+BT91+BT92+BT93&gt;=16,Fixo/30*FS$4+(BQ91+BQ92+BQ93+BR91+BR92+BR93+BS91+BS92+BS93+BT91+BT92-16)*Percapita/30*FS$4))))))</f>
        <v>0</v>
      </c>
      <c r="FT91" s="177">
        <f>IF(C91=4,SUM(BU91+BU92+BU93+BW91+BW92+BW93)*Percapita/30*FT$4+(BV91+BV92+BV93+BX91+BX92+BX93)*Cadeirante/30*FT$4,IF(C91=3,IF(BU94+BW94=10,Fixo/30*FT$4+(BU91+BU92+BU93+BW91+BW92+BW93)*Percapita/30*FT$4+(BV94+BX94)*Cadeirante/30*FT$4,IF(BU94+BW94&lt;=9,(BU94+BW94)*Crechee/30*FT$4)+(BV94+BX94)*Cadeirante/30*FT$4+(BU91+BU92+BU93+BW91+BW92+BW93)*Percapita/30*FT$4)+IF(BU94+BW94&gt;=11,Fixo/30*FT$4+(BU94+BW94-10)*Crechee/30*FT$4,0),IF(C91=2,IF(BV91+BV92+BV93+BV94+BX91+BX92+BX93+BX94=1,Cadeirante/30*FT$4,IF(BV91+BV92+BV93+BV94+BX91+BX92+BX93+BX94=2,Fixo/30*FT$4,IF(BV91+BV92+BV93+BV94+BX91+BX92+BX93+BX94&gt;2,Fixo/30*FT$4+(BV91+BV92+BV93+BV94+BX91+BX92+BX93+BX94-2)*Cadeirante/30*FT$4)))+(BU91+BU92+BU93+BW91+BW92+BW93)*Percapita/30*FT$4+(BU94+BW94)*Crechee/30*FT$4,IF(C91=1,IF(BU91+BU92+BU93+BV91+BV92+BV93+BW91+BW92+BW93+BX91+BX92+BX93&lt;=15,(BU91+BU92+BU93+BW91+BW92+BW93)*Percapita/30*FT$4,IF(BU91+BU92+BU93+BV91+BV92+BV93+BW91+BW92+BW93+BX91+BX92+BX93&gt;=16,Fixo/30*FT$4+(BU91+BU92+BU93+BV91+BV92+BV93+BW91+BW92+BW93+BX91+BX92-16)*Percapita/30*FT$4))))))</f>
        <v>0</v>
      </c>
      <c r="FU91" s="177">
        <f>IF(C91=4,SUM(BY91+BY92+BY93+CA91+CA92+CA93)*Percapita/30*FU$4+(BZ91+BZ92+BZ93+CB91+CB92+CB93)*Cadeirante/30*FU$4,IF(C91=3,IF(BY94+CA94=10,Fixo/30*FU$4+(BY91+BY92+BY93+CA91+CA92+CA93)*Percapita/30*FU$4+(BZ94+CB94)*Cadeirante/30*FU$4,IF(BY94+CA94&lt;=9,(BY94+CA94)*Crechee/30*FU$4)+(BZ94+CB94)*Cadeirante/30*FU$4+(BY91+BY92+BY93+CA91+CA92+CA93)*Percapita/30*FU$4)+IF(BY94+CA94&gt;=11,Fixo/30*FU$4+(BY94+CA94-10)*Crechee/30*FU$4,0),IF(C91=2,IF(BZ91+BZ92+BZ93+BZ94+CB91+CB92+CB93+CB94=1,Cadeirante/30*FU$4,IF(BZ91+BZ92+BZ93+BZ94+CB91+CB92+CB93+CB94=2,Fixo/30*FU$4,IF(BZ91+BZ92+BZ93+BZ94+CB91+CB92+CB93+CB94&gt;2,Fixo/30*FU$4+(BZ91+BZ92+BZ93+BZ94+CB91+CB92+CB93+CB94-2)*Cadeirante/30*FU$4)))+(BY91+BY92+BY93+CA91+CA92+CA93)*Percapita/30*FU$4+(BY94+CA94)*Crechee/30*FU$4,IF(C91=1,IF(BY91+BY92+BY93+BZ91+BZ92+BZ93+CA91+CA92+CA93+CB91+CB92+CB93&lt;=15,(BY91+BY92+BY93+CA91+CA92+CA93)*Percapita/30*FU$4,IF(BY91+BY92+BY93+BZ91+BZ92+BZ93+CA91+CA92+CA93+CB91+CB92+CB93&gt;=16,Fixo/30*FU$4+(BY91+BY92+BY93+BZ91+BZ92+BZ93+CA91+CA92+CA93+CB91+CB92-16)*Percapita/30*FU$4))))))</f>
        <v>0</v>
      </c>
      <c r="FV91" s="177">
        <f>IF(C91=4,SUM(CC91+CC92+CC93+CE91+CE92+CE93)*Percapita/30*FV$4+(CD91+CD92+CD93+CF91+CF92+CF93)*Cadeirante/30*FV$4,IF(C91=3,IF(CC94+CE94=10,Fixo/30*FV$4+(CC91+CC92+CC93+CE91+CE92+CE93)*Percapita/30*FV$4+(CD94+CF94)*Cadeirante/30*FV$4,IF(CC94+CE94&lt;=9,(CC94+CE94)*Crechee/30*FV$4)+(CD94+CF94)*Cadeirante/30*FV$4+(CC91+CC92+CC93+CE91+CE92+CE93)*Percapita/30*FV$4)+IF(CC94+CE94&gt;=11,Fixo/30*FV$4+(CC94+CE94-10)*Crechee/30*FV$4,0),IF(C91=2,IF(CD91+CD92+CD93+CD94+CF91+CF92+CF93+CF94=1,Cadeirante/30*FV$4,IF(CD91+CD92+CD93+CD94+CF91+CF92+CF93+CF94=2,Fixo/30*FV$4,IF(CD91+CD92+CD93+CD94+CF91+CF92+CF93+CF94&gt;2,Fixo/30*FV$4+(CD91+CD92+CD93+CD94+CF91+CF92+CF93+CF94-2)*Cadeirante/30*FV$4)))+(CC91+CC92+CC93+CE91+CE92+CE93)*Percapita/30*FV$4+(CC94+CE94)*Crechee/30*FV$4,IF(C91=1,IF(CC91+CC92+CC93+CD91+CD92+CD93+CE91+CE92+CE93+CF91+CF92+CF93&lt;=15,(CC91+CC92+CC93+CE91+CE92+CE93)*Percapita/30*FV$4,IF(CC91+CC92+CC93+CD91+CD92+CD93+CE91+CE92+CE93+CF91+CF92+CF93&gt;=16,Fixo/30*FV$4+(CC91+CC92+CC93+CD91+CD92+CD93+CE91+CE92+CE93+CF91+CF92-16)*Percapita/30*FV$4))))))</f>
        <v>179.774</v>
      </c>
      <c r="FW91" s="177">
        <f>IF(C91=4,SUM(CG91+CG92+CG93+CI91+CI92+CI93)*Percapita/30*FW$4+(CH91+CH92+CH93+CJ91+CJ92+CJ93)*Cadeirante/30*FW$4,IF(C91=3,IF(CG94+CI94=10,Fixo/30*FW$4+(CG91+CG92+CG93+CI91+CI92+CI93)*Percapita/30*FW$4+(CH94+CJ94)*Cadeirante/30*FW$4,IF(CG94+CI94&lt;=9,(CG94+CI94)*Crechee/30*FW$4)+(CH94+CJ94)*Cadeirante/30*FW$4+(CG91+CG92+CG93+CI91+CI92+CI93)*Percapita/30*FW$4)+IF(CG94+CI94&gt;=11,Fixo/30*FW$4+(CG94+CI94-10)*Crechee/30*FW$4,0),IF(C91=2,IF(CH91+CH92+CH93+CH94+CJ91+CJ92+CJ93+CJ94=1,Cadeirante/30*FW$4,IF(CH91+CH92+CH93+CH94+CJ91+CJ92+CJ93+CJ94=2,Fixo/30*FW$4,IF(CH91+CH92+CH93+CH94+CJ91+CJ92+CJ93+CJ94&gt;2,Fixo/30*FW$4+(CH91+CH92+CH93+CH94+CJ91+CJ92+CJ93+CJ94-2)*Cadeirante/30*FW$4)))+(CG91+CG92+CG93+CI91+CI92+CI93)*Percapita/30*FW$4+(CG94+CI94)*Crechee/30*FW$4,IF(C91=1,IF(CG91+CG92+CG93+CH91+CH92+CH93+CI91+CI92+CI93+CJ91+CJ92+CJ93&lt;=15,(CG91+CG92+CG93+CI91+CI92+CI93)*Percapita/30*FW$4,IF(CG91+CG92+CG93+CH91+CH92+CH93+CI91+CI92+CI93+CJ91+CJ92+CJ93&gt;=16,Fixo/30*FW$4+(CG91+CG92+CG93+CH91+CH92+CH93+CI91+CI92+CI93+CJ91+CJ92-16)*Percapita/30*FW$4))))))</f>
        <v>0</v>
      </c>
      <c r="FX91" s="177">
        <f>IF(C91=4,SUM(CK91+CK92+CK93+CM91+CM92+CM93)*Percapita/30*FX$4+(CL91+CL92+CL93+CN91+CN92+CN93)*Cadeirante/30*FX$4,IF(C91=3,IF(CK94+CM94=10,Fixo/30*FX$4+(CK91+CK92+CK93+CM91+CM92+CM93)*Percapita/30*FX$4+(CL94+CN94)*Cadeirante/30*FX$4,IF(CK94+CM94&lt;=9,(CK94+CM94)*Crechee/30*FX$4)+(CL94+CN94)*Cadeirante/30*FX$4+(CK91+CK92+CK93+CM91+CM92+CM93)*Percapita/30*FX$4)+IF(CK94+CM94&gt;=11,Fixo/30*FX$4+(CK94+CM94-10)*Crechee/30*FX$4,0),IF(C91=2,IF(CL91+CL92+CL93+CL94+CN91+CN92+CN93+CN94=1,Cadeirante/30*FX$4,IF(CL91+CL92+CL93+CL94+CN91+CN92+CN93+CN94=2,Fixo/30*FX$4,IF(CL91+CL92+CL93+CL94+CN91+CN92+CN93+CN94&gt;2,Fixo/30*FX$4+(CL91+CL92+CL93+CL94+CN91+CN92+CN93+CN94-2)*Cadeirante/30*FX$4)))+(CK91+CK92+CK93+CM91+CM92+CM93)*Percapita/30*FX$4+(CK94+CM94)*Crechee/30*FX$4,IF(C91=1,IF(CK91+CK92+CK93+CL91+CL92+CL93+CM91+CM92+CM93+CN91+CN92+CN93&lt;=15,(CK91+CK92+CK93+CM91+CM92+CM93)*Percapita/30*FX$4,IF(CK91+CK92+CK93+CL91+CL92+CL93+CM91+CM92+CM93+CN91+CN92+CN93&gt;=16,Fixo/30*FX$4+(CK91+CK92+CK93+CL91+CL92+CL93+CM91+CM92+CM93+CN91+CN92-16)*Percapita/30*FX$4))))))</f>
        <v>0</v>
      </c>
      <c r="FY91" s="177">
        <f>IF(C91=4,SUM(CO91+CO92+CO93+CQ91+CQ92+CQ93)*Percapita/30*FY$4+(CP91+CP92+CP93+CR91+CR92+CR93)*Cadeirante/30*FY$4,IF(C91=3,IF(CO94+CQ94=10,Fixo/30*FY$4+(CO91+CO92+CO93+CQ91+CQ92+CQ93)*Percapita/30*FY$4+(CP94+CR94)*Cadeirante/30*FY$4,IF(CO94+CQ94&lt;=9,(CO94+CQ94)*Crechee/30*FY$4)+(CP94+CR94)*Cadeirante/30*FY$4+(CO91+CO92+CO93+CQ91+CQ92+CQ93)*Percapita/30*FY$4)+IF(CO94+CQ94&gt;=11,Fixo/30*FY$4+(CO94+CQ94-10)*Crechee/30*FY$4,0),IF(C91=2,IF(CP91+CP92+CP93+CP94+CR91+CR92+CR93+CR94=1,Cadeirante/30*FY$4,IF(CP91+CP92+CP93+CP94+CR91+CR92+CR93+CR94=2,Fixo/30*FY$4,IF(CP91+CP92+CP93+CP94+CR91+CR92+CR93+CR94&gt;2,Fixo/30*FY$4+(CP91+CP92+CP93+CP94+CR91+CR92+CR93+CR94-2)*Cadeirante/30*FY$4)))+(CO91+CO92+CO93+CQ91+CQ92+CQ93)*Percapita/30*FY$4+(CO94+CQ94)*Crechee/30*FY$4,IF(C91=1,IF(CO91+CO92+CO93+CP91+CP92+CP93+CQ91+CQ92+CQ93+CR91+CR92+CR93&lt;=15,(CO91+CO92+CO93+CQ91+CQ92+CQ93)*Percapita/30*FY$4,IF(CO91+CO92+CO93+CP91+CP92+CP93+CQ91+CQ92+CQ93+CR91+CR92+CR93&gt;=16,Fixo/30*FY$4+(CO91+CO92+CO93+CP91+CP92+CP93+CQ91+CQ92+CQ93+CR91+CR92-16)*Percapita/30*FY$4))))))</f>
        <v>0</v>
      </c>
      <c r="FZ91" s="177">
        <f>IF(C91=4,SUM(CS91+CS92+CS93+CU91+CU92+CU93)*Percapita/30*FZ$4+(CT91+CT92+CT93+CV91+CV92+CV93)*Cadeirante/30*FZ$4,IF(C91=3,IF(CS94+CU94=10,Fixo/30*FZ$4+(CS91+CS92+CS93+CU91+CU92+CU93)*Percapita/30*FZ$4+(CT94+CV94)*Cadeirante/30*FZ$4,IF(CS94+CU94&lt;=9,(CS94+CU94)*Crechee/30*FZ$4)+(CT94+CV94)*Cadeirante/30*FZ$4+(CS91+CS92+CS93+CU91+CU92+CU93)*Percapita/30*FZ$4)+IF(CS94+CU94&gt;=11,Fixo/30*FZ$4+(CS94+CU94-10)*Crechee/30*FZ$4,0),IF(C91=2,IF(CT91+CT92+CT93+CT94+CV91+CV92+CV93+CV94=1,Cadeirante/30*FZ$4,IF(CT91+CT92+CT93+CT94+CV91+CV92+CV93+CV94=2,Fixo/30*FZ$4,IF(CT91+CT92+CT93+CT94+CV91+CV92+CV93+CV94&gt;2,Fixo/30*FZ$4+(CT91+CT92+CT93+CT94+CV91+CV92+CV93+CV94-2)*Cadeirante/30*FZ$4)))+(CS91+CS92+CS93+CU91+CU92+CU93)*Percapita/30*FZ$4+(CS94+CU94)*Crechee/30*FZ$4,IF(C91=1,IF(CS91+CS92+CS93+CT91+CT92+CT93+CU91+CU92+CU93+CV91+CV92+CV93&lt;=15,(CS91+CS92+CS93+CU91+CU92+CU93)*Percapita/30*FZ$4,IF(CS91+CS92+CS93+CT91+CT92+CT93+CU91+CU92+CU93+CV91+CV92+CV93&gt;=16,Fixo/30*FZ$4+(CS91+CS92+CS93+CT91+CT92+CT93+CU91+CU92+CU93+CV91+CV92-16)*Percapita/30*FZ$4))))))</f>
        <v>0</v>
      </c>
      <c r="GA91" s="177">
        <f>IF(C91=4,SUM(CW91+CW92+CW93+CY91+CY92+CY93)*Percapita/30*GA$4+(CX91+CX92+CX93+CZ91+CZ92+CZ93)*Cadeirante/30*GA$4,IF(C91=3,IF(CW94+CY94=10,Fixo/30*GA$4+(CW91+CW92+CW93+CY91+CY92+CY93)*Percapita/30*GA$4+(CX94+CZ94)*Cadeirante/30*GA$4,IF(CW94+CY94&lt;=9,(CW94+CY94)*Crechee/30*GA$4)+(CX94+CZ94)*Cadeirante/30*GA$4+(CW91+CW92+CW93+CY91+CY92+CY93)*Percapita/30*GA$4)+IF(CW94+CY94&gt;=11,Fixo/30*GA$4+(CW94+CY94-10)*Crechee/30*GA$4,0),IF(C91=2,IF(CX91+CX92+CX93+CX94+CZ91+CZ92+CZ93+CZ94=1,Cadeirante/30*GA$4,IF(CX91+CX92+CX93+CX94+CZ91+CZ92+CZ93+CZ94=2,Fixo/30*GA$4,IF(CX91+CX92+CX93+CX94+CZ91+CZ92+CZ93+CZ94&gt;2,Fixo/30*GA$4+(CX91+CX92+CX93+CX94+CZ91+CZ92+CZ93+CZ94-2)*Cadeirante/30*GA$4)))+(CW91+CW92+CW93+CY91+CY92+CY93)*Percapita/30*GA$4+(CW94+CY94)*Crechee/30*GA$4,IF(C91=1,IF(CW91+CW92+CW93+CX91+CX92+CX93+CY91+CY92+CY93+CZ91+CZ92+CZ93&lt;=15,(CW91+CW92+CW93+CY91+CY92+CY93)*Percapita/30*GA$4,IF(CW91+CW92+CW93+CX91+CX92+CX93+CY91+CY92+CY93+CZ91+CZ92+CZ93&gt;=16,Fixo/30*GA$4+(CW91+CW92+CW93+CX91+CX92+CX93+CY91+CY92+CY93+CZ91+CZ92-16)*Percapita/30*GA$4))))))</f>
        <v>0</v>
      </c>
      <c r="GB91" s="177">
        <f>IF(C91=4,SUM(DA91+DA92+DA93+DC91+DC92+DC93)*Percapita/30*GB$4+(DB91+DB92+DB93+DD91+DD92+DD93)*Cadeirante/30*GB$4,IF(C91=3,IF(DA94+DC94=10,Fixo/30*GB$4+(DA91+DA92+DA93+DC91+DC92+DC93)*Percapita/30*GB$4+(DB94+DD94)*Cadeirante/30*GB$4,IF(DA94+DC94&lt;=9,(DA94+DC94)*Crechee/30*GB$4)+(DB94+DD94)*Cadeirante/30*GB$4+(DA91+DA92+DA93+DC91+DC92+DC93)*Percapita/30*GB$4)+IF(DA94+DC94&gt;=11,Fixo/30*GB$4+(DA94+DC94-10)*Crechee/30*GB$4,0),IF(C91=2,IF(DB91+DB92+DB93+DB94+DD91+DD92+DD93+DD94=1,Cadeirante/30*GB$4,IF(DB91+DB92+DB93+DB94+DD91+DD92+DD93+DD94=2,Fixo/30*GB$4,IF(DB91+DB92+DB93+DB94+DD91+DD92+DD93+DD94&gt;2,Fixo/30*GB$4+(DB91+DB92+DB93+DB94+DD91+DD92+DD93+DD94-2)*Cadeirante/30*GB$4)))+(DA91+DA92+DA93+DC91+DC92+DC93)*Percapita/30*GB$4+(DA94+DC94)*Crechee/30*GB$4,IF(C91=1,IF(DA91+DA92+DA93+DB91+DB92+DB93+DC91+DC92+DC93+DD91+DD92+DD93&lt;=15,(DA91+DA92+DA93+DC91+DC92+DC93)*Percapita/30*GB$4,IF(DA91+DA92+DA93+DB91+DB92+DB93+DC91+DC92+DC93+DD91+DD92+DD93&gt;=16,Fixo/30*GB$4+(DA91+DA92+DA93+DB91+DB92+DB93+DC91+DC92+DC93+DD91+DD92-16)*Percapita/30*GB$4))))))</f>
        <v>0</v>
      </c>
      <c r="GC91" s="177">
        <f>IF(C91=4,SUM(DE91+DE92+DE93+DG91+DG92+DG93)*Percapita/30*GC$4+(DF91+DF92+DF93+DH91+DH92+DH93)*Cadeirante/30*GC$4,IF(C91=3,IF(DE94+DG94=10,Fixo/30*GC$4+(DE91+DE92+DE93+DG91+DG92+DG93)*Percapita/30*GC$4+(DF94+DH94)*Cadeirante/30*GC$4,IF(DE94+DG94&lt;=9,(DE94+DG94)*Crechee/30*GC$4)+(DF94+DH94)*Cadeirante/30*GC$4+(DE91+DE92+DE93+DG91+DG92+DG93)*Percapita/30*GC$4)+IF(DE94+DG94&gt;=11,Fixo/30*GC$4+(DE94+DG94-10)*Crechee/30*GC$4,0),IF(C91=2,IF(DF91+DF92+DF93+DF94+DH91+DH92+DH93+DH94=1,Cadeirante/30*GC$4,IF(DF91+DF92+DF93+DF94+DH91+DH92+DH93+DH94=2,Fixo/30*GC$4,IF(DF91+DF92+DF93+DF94+DH91+DH92+DH93+DH94&gt;2,Fixo/30*GC$4+(DF91+DF92+DF93+DF94+DH91+DH92+DH93+DH94-2)*Cadeirante/30*GC$4)))+(DE91+DE92+DE93+DG91+DG92+DG93)*Percapita/30*GC$4+(DE94+DG94)*Crechee/30*GC$4,IF(C91=1,IF(DE91+DE92+DE93+DF91+DF92+DF93+DG91+DG92+DG93+DH91+DH92+DH93&lt;=15,(DE91+DE92+DE93+DG91+DG92+DG93)*Percapita/30*GC$4,IF(DE91+DE92+DE93+DF91+DF92+DF93+DG91+DG92+DG93+DH91+DH92+DH93&gt;=16,Fixo/30*GC$4+(DE91+DE92+DE93+DF91+DF92+DF93+DG91+DG92+DG93+DH91+DH92-16)*Percapita/30*GC$4))))))</f>
        <v>0</v>
      </c>
      <c r="GD91" s="177">
        <f>IF(C91=4,SUM(DI91+DI92+DI93+DK91+DK92+DK93)*Percapita/30*GD$4+(DJ91+DJ92+DJ93+DL91+DL92+DL93)*Cadeirante/30*GD$4,IF(C91=3,IF(DI94+DK94=10,Fixo/30*GD$4+(DI91+DI92+DI93+DK91+DK92+DK93)*Percapita/30*GD$4+(DJ94+DL94)*Cadeirante/30*GD$4,IF(DI94+DK94&lt;=9,(DI94+DK94)*Crechee/30*GD$4)+(DJ94+DL94)*Cadeirante/30*GD$4+(DI91+DI92+DI93+DK91+DK92+DK93)*Percapita/30*GD$4)+IF(DI94+DK94&gt;=11,Fixo/30*GD$4+(DI94+DK94-10)*Crechee/30*GD$4,0),IF(C91=2,IF(DJ91+DJ92+DJ93+DJ94+DL91+DL92+DL93+DL94=1,Cadeirante/30*GD$4,IF(DJ91+DJ92+DJ93+DJ94+DL91+DL92+DL93+DL94=2,Fixo/30*GD$4,IF(DJ91+DJ92+DJ93+DJ94+DL91+DL92+DL93+DL94&gt;2,Fixo/30*GD$4+(DJ91+DJ92+DJ93+DJ94+DL91+DL92+DL93+DL94-2)*Cadeirante/30*GD$4)))+(DI91+DI92+DI93+DK91+DK92+DK93)*Percapita/30*GD$4+(DI94+DK94)*Crechee/30*GD$4,IF(C91=1,IF(DI91+DI92+DI93+DJ91+DJ92+DJ93+DK91+DK92+DK93+DL91+DL92+DL93&lt;=15,(DI91+DI92+DI93+DK91+DK92+DK93)*Percapita/30*GD$4,IF(DI91+DI92+DI93+DJ91+DJ92+DJ93+DK91+DK92+DK93+DL91+DL92+DL93&gt;=16,Fixo/30*GD$4+(DI91+DI92+DI93+DJ91+DJ92+DJ93+DK91+DK92+DK93+DL91+DL92-16)*Percapita/30*GD$4))))))</f>
        <v>0</v>
      </c>
      <c r="GE91" s="177">
        <f>IF(C91=4,SUM(DM91+DM92+DM93+DO91+DO92+DO93)*Percapita/30*GE$4+(DN91+DN92+DN93+DP91+DP92+DP93)*Cadeirante/30*GE$4,IF(C91=3,IF(DM94+DO94=10,Fixo/30*GE$4+(DM91+DM92+DM93+DO91+DO92+DO93)*Percapita/30*GE$4+(DN94+DP94)*Cadeirante/30*GE$4,IF(DM94+DO94&lt;=9,(DM94+DO94)*Crechee/30*GE$4)+(DN94+DP94)*Cadeirante/30*GE$4+(DM91+DM92+DM93+DO91+DO92+DO93)*Percapita/30*GE$4)+IF(DM94+DO94&gt;=11,Fixo/30*GE$4+(DM94+DO94-10)*Crechee/30*GE$4,0),IF(C91=2,IF(DN91+DN92+DN93+DN94+DP91+DP92+DP93+DP94=1,Cadeirante/30*GE$4,IF(DN91+DN92+DN93+DN94+DP91+DP92+DP93+DP94=2,Fixo/30*GE$4,IF(DN91+DN92+DN93+DN94+DP91+DP92+DP93+DP94&gt;2,Fixo/30*GE$4+(DN91+DN92+DN93+DN94+DP91+DP92+DP93+DP94-2)*Cadeirante/30*GE$4)))+(DM91+DM92+DM93+DO91+DO92+DO93)*Percapita/30*GE$4+(DM94+DO94)*Crechee/30*GE$4,IF(C91=1,IF(DM91+DM92+DM93+DN91+DN92+DN93+DO91+DO92+DO93+DP91+DP92+DP93&lt;=15,(DM91+DM92+DM93+DO91+DO92+DO93)*Percapita/30*GE$4,IF(DM91+DM92+DM93+DN91+DN92+DN93+DO91+DO92+DO93+DP91+DP92+DP93&gt;=16,Fixo/30*GE$4+(DM91+DM92+DM93+DN91+DN92+DN93+DO91+DO92+DO93+DP91+DP92-16)*Percapita/30*GE$4))))))</f>
        <v>0</v>
      </c>
      <c r="GF91" s="177">
        <f>IF(C91=4,SUM(DQ91+DQ92+DQ93+DS91+DS92+DS93)*Percapita/30*GF$4+(DR91+DR92+DR93+DT91+DT92+DT93)*Cadeirante/30*GF$4,IF(C91=3,IF(DQ94+DS94=10,Fixo/30*GF$4+(DQ91+DQ92+DQ93+DS91+DS92+DS93)*Percapita/30*GF$4+(DR94+DT94)*Cadeirante/30*GF$4,IF(DQ94+DS94&lt;=9,(DQ94+DS94)*Crechee/30*GF$4)+(DR94+DT94)*Cadeirante/30*GF$4+(DQ91+DQ92+DQ93+DS91+DS92+DS93)*Percapita/30*GF$4)+IF(DQ94+DS94&gt;=11,Fixo/30*GF$4+(DQ94+DS94-10)*Crechee/30*GF$4,0),IF(C91=2,IF(DR91+DR92+DR93+DR94+DT91+DT92+DT93+DT94=1,Cadeirante/30*GF$4,IF(DR91+DR92+DR93+DR94+DT91+DT92+DT93+DT94=2,Fixo/30*GF$4,IF(DR91+DR92+DR93+DR94+DT91+DT92+DT93+DT94&gt;2,Fixo/30*GF$4+(DR91+DR92+DR93+DR94+DT91+DT92+DT93+DT94-2)*Cadeirante/30*GF$4)))+(DQ91+DQ92+DQ93+DS91+DS92+DS93)*Percapita/30*GF$4+(DQ94+DS94)*Crechee/30*GF$4,IF(C91=1,IF(DQ91+DQ92+DQ93+DR91+DR92+DR93+DS91+DS92+DS93+DT91+DT92+DT93&lt;=15,(DQ91+DQ92+DQ93+DS91+DS92+DS93)*Percapita/30*GF$4,IF(DQ91+DQ92+DQ93+DR91+DR92+DR93+DS91+DS92+DS93+DT91+DT92+DT93&gt;=16,Fixo/30*GF$4+(DQ91+DQ92+DQ93+DR91+DR92+DR93+DS91+DS92+DS93+DT91+DT92-16)*Percapita/30*GF$4))))))</f>
        <v>0</v>
      </c>
      <c r="GG91" s="177">
        <f>IF(C91=4,SUM(DU91+DU92+DU93+DW91+DW92+DW93)*Percapita/30*GG$4+(DV91+DV92+DV93+DX91+DX92+DX93)*Cadeirante/30*GG$4,IF(C91=3,IF(DU94+DW94=10,Fixo/30*GG$4+(DU91+DU92+DU93+DW91+DW92+DW93)*Percapita/30*GG$4+(DV94+DX94)*Cadeirante/30*GG$4,IF(DU94+DW94&lt;=9,(DU94+DW94)*Crechee/30*GG$4)+(DV94+DX94)*Cadeirante/30*GG$4+(DU91+DU92+DU93+DW91+DW92+DW93)*Percapita/30*GG$4)+IF(DU94+DW94&gt;=11,Fixo/30*GG$4+(DU94+DW94-10)*Crechee/30*GG$4,0),IF(C91=2,IF(DV91+DV92+DV93+DV94+DX91+DX92+DX93+DX94=1,Cadeirante/30*GG$4,IF(DV91+DV92+DV93+DV94+DX91+DX92+DX93+DX94=2,Fixo/30*GG$4,IF(DV91+DV92+DV93+DV94+DX91+DX92+DX93+DX94&gt;2,Fixo/30*GG$4+(DV91+DV92+DV93+DV94+DX91+DX92+DX93+DX94-2)*Cadeirante/30*GG$4)))+(DU91+DU92+DU93+DW91+DW92+DW93)*Percapita/30*GG$4+(DU94+DW94)*Crechee/30*GG$4,IF(C91=1,IF(DU91+DU92+DU93+DV91+DV92+DV93+DW91+DW92+DW93+DX91+DX92+DX93&lt;=15,(DU91+DU92+DU93+DW91+DW92+DW93)*Percapita/30*GG$4,IF(DU91+DU92+DU93+DV91+DV92+DV93+DW91+DW92+DW93+DX91+DX92+DX93&gt;=16,Fixo/30*GG$4+(DU91+DU92+DU93+DV91+DV92+DV93+DW91+DW92+DW93+DX91+DX92-16)*Percapita/30*GG$4))))))</f>
        <v>0</v>
      </c>
      <c r="GH91" s="177">
        <f>IF(C91=4,SUM(DY91+DY92+DY93+EA91+EA92+EA93)*Percapita/30*GH$4+(DZ91+DZ92+DZ93+EB91+EB92+EB93)*Cadeirante/30*GH$4,IF(C91=3,IF(DY94+EA94=10,Fixo/30*GH$4+(DY91+DY92+DY93+EA91+EA92+EA93)*Percapita/30*GH$4+(DZ94+EB94)*Cadeirante/30*GH$4,IF(DY94+EA94&lt;=9,(DY94+EA94)*Crechee/30*GH$4)+(DZ94+EB94)*Cadeirante/30*GH$4+(DY91+DY92+DY93+EA91+EA92+EA93)*Percapita/30*GH$4)+IF(DY94+EA94&gt;=11,Fixo/30*GH$4+(DY94+EA94-10)*Crechee/30*GH$4,0),IF(C91=2,IF(DZ91+DZ92+DZ93+DZ94+EB91+EB92+EB93+EB94=1,Cadeirante/30*GH$4,IF(DZ91+DZ92+DZ93+DZ94+EB91+EB92+EB93+EB94=2,Fixo/30*GH$4,IF(DZ91+DZ92+DZ93+DZ94+EB91+EB92+EB93+EB94&gt;2,Fixo/30*GH$4+(DZ91+DZ92+DZ93+DZ94+EB91+EB92+EB93+EB94-2)*Cadeirante/30*GH$4)))+(DY91+DY92+DY93+EA91+EA92+EA93)*Percapita/30*GH$4+(DY94+EA94)*Crechee/30*GH$4,IF(C91=1,IF(DY91+DY92+DY93+DZ91+DZ92+DZ93+EA91+EA92+EA93+EB91+EB92+EB93&lt;=15,(DY91+DY92+DY93+EA91+EA92+EA93)*Percapita/30*GH$4,IF(DY91+DY92+DY93+DZ91+DZ92+DZ93+EA91+EA92+EA93+EB91+EB92+EB93&gt;=16,Fixo/30*GH$4+(DY91+DY92+DY93+DZ91+DZ92+DZ93+EA91+EA92+EA93+EB91+EB92-16)*Percapita/30*GH$4))))))</f>
        <v>0</v>
      </c>
      <c r="GI91" s="177">
        <f>IF(C91=4,SUM(EC91+EC92+EC93+EE91+EE92+EE93)*Percapita/30*GI$4+(ED91+ED92+ED93+EF91+EF92+EF93)*Cadeirante/30*GI$4,IF(C91=3,IF(EC94+EE94=10,Fixo/30*GI$4+(EC91+EC92+EC93+EE91+EE92+EE93)*Percapita/30*GI$4+(ED94+EF94)*Cadeirante/30*GI$4,IF(EC94+EE94&lt;=9,(EC94+EE94)*Crechee/30*GI$4)+(ED94+EF94)*Cadeirante/30*GI$4+(EC91+EC92+EC93+EE91+EE92+EE93)*Percapita/30*GI$4)+IF(EC94+EE94&gt;=11,Fixo/30*GI$4+(EC94+EE94-10)*Crechee/30*GI$4,0),IF(C91=2,IF(ED91+ED92+ED93+ED94+EF91+EF92+EF93+EF94=1,Cadeirante/30*GI$4,IF(ED91+ED92+ED93+ED94+EF91+EF92+EF93+EF94=2,Fixo/30*GI$4,IF(ED91+ED92+ED93+ED94+EF91+EF92+EF93+EF94&gt;2,Fixo/30*GI$4+(ED91+ED92+ED93+ED94+EF91+EF92+EF93+EF94-2)*Cadeirante/30*GI$4)))+(EC91+EC92+EC93+EE91+EE92+EE93)*Percapita/30*GI$4+(EC94+EE94)*Crechee/30*GI$4,IF(C91=1,IF(EC91+EC92+EC93+ED91+ED92+ED93+EE91+EE92+EE93+EF91+EF92+EF93&lt;=15,(EC91+EC92+EC93+EE91+EE92+EE93)*Percapita/30*GI$4,IF(EC91+EC92+EC93+ED91+ED92+ED93+EE91+EE92+EE93+EF91+EF92+EF93&gt;=16,Fixo/30*GI$4+(EC91+EC92+EC93+ED91+ED92+ED93+EE91+EE92+EE93+EF91+EF92-16)*Percapita/30*GI$4))))))</f>
        <v>0</v>
      </c>
      <c r="GJ91" s="177">
        <f>IF(C91=4,SUM(EG91+EG92+EG93+EI91+EI92+EI93)*Percapita/30*GJ$4+(EH91+EH92+EH93+EJ91+EJ92+EJ93)*Cadeirante/30*GJ$4,IF(C91=3,IF(EG94+EI94=10,Fixo/30*GJ$4+(EG91+EG92+EG93+EI91+EI92+EI93)*Percapita/30*GJ$4+(EH94+EJ94)*Cadeirante/30*GJ$4,IF(EG94+EI94&lt;=9,(EG94+EI94)*Crechee/30*GJ$4)+(EH94+EJ94)*Cadeirante/30*GJ$4+(EG91+EG92+EG93+EI91+EI92+EI93)*Percapita/30*GJ$4)+IF(EG94+EI94&gt;=11,Fixo/30*GJ$4+(EG94+EI94-10)*Crechee/30*GJ$4,0),IF(C91=2,IF(EH91+EH92+EH93+EH94+EJ91+EJ92+EJ93+EJ94=1,Cadeirante/30*GJ$4,IF(EH91+EH92+EH93+EH94+EJ91+EJ92+EJ93+EJ94=2,Fixo/30*GJ$4,IF(EH91+EH92+EH93+EH94+EJ91+EJ92+EJ93+EJ94&gt;2,Fixo/30*GJ$4+(EH91+EH92+EH93+EH94+EJ91+EJ92+EJ93+EJ94-2)*Cadeirante/30*GJ$4)))+(EG91+EG92+EG93+EI91+EI92+EI93)*Percapita/30*GJ$4+(EG94+EI94)*Crechee/30*GJ$4,IF(C91=1,IF(EG91+EG92+EG93+EH91+EH92+EH93+EI91+EI92+EI93+EJ91+EJ92+EJ93&lt;=15,(EG91+EG92+EG93+EI91+EI92+EI93)*Percapita/30*GJ$4,IF(EG91+EG92+EG93+EH91+EH92+EH93+EI91+EI92+EI93+EJ91+EJ92+EJ93&gt;=16,Fixo/30*GJ$4+(EG91+EG92+EG93+EH91+EH92+EH93+EI91+EI92+EI93+EJ91+EJ92-16)*Percapita/30*GJ$4))))))</f>
        <v>0</v>
      </c>
      <c r="GK91" s="178"/>
      <c r="GL91" s="103">
        <f t="shared" si="102"/>
        <v>0</v>
      </c>
      <c r="GM91" s="124"/>
      <c r="GN91" s="104">
        <f>SUMIF(V91:V94,"&lt;0")*Cadeirante/30*GN$4+SUMIF(X91:X94,"&lt;0")*Cadeirante/30*GN$4</f>
        <v>0</v>
      </c>
      <c r="GO91" s="104">
        <f>SUMIF(Z91:Z94,"&lt;0")*Cadeirante/30*GO$4+SUMIF(AB91:AB94,"&lt;0")*Cadeirante/30*GO$4</f>
        <v>0</v>
      </c>
      <c r="GP91" s="104">
        <f>SUMIF(AD91:AD94,"&lt;0")*Cadeirante/30*GP$4+SUMIF(AF91:AF94,"&lt;0")*Cadeirante/30*GP$4</f>
        <v>0</v>
      </c>
      <c r="GQ91" s="104">
        <f>SUMIF(AH91:AH94,"&lt;0")*Cadeirante/30*GQ$4+SUMIF(AJ91:AJ94,"&lt;0")*Cadeirante/30*GQ$4</f>
        <v>0</v>
      </c>
      <c r="GR91" s="104">
        <f>SUMIF(AL91:AL94,"&lt;0")*Cadeirante/30*GR$4+SUMIF(AN91:AN94,"&lt;0")*Cadeirante/30*GR$4</f>
        <v>0</v>
      </c>
      <c r="GS91" s="104">
        <f>SUMIF(AP91:AP94,"&lt;0")*Cadeirante/30*GS$4+SUMIF(AR91:AR94,"&lt;0")*Cadeirante/30*GS$4</f>
        <v>0</v>
      </c>
      <c r="GT91" s="104">
        <f>SUMIF(AT91:AT94,"&lt;0")*Cadeirante/30*GT$4+SUMIF(AV91:AV94,"&lt;0")*Cadeirante/30*GT$4</f>
        <v>0</v>
      </c>
      <c r="GU91" s="104">
        <f>SUMIF(AX91:AX94,"&lt;0")*Cadeirante/30*GU$4+SUMIF(AZ91:AZ94,"&lt;0")*Cadeirante/30*GU$4</f>
        <v>0</v>
      </c>
      <c r="GV91" s="104">
        <f>SUMIF(BB91:BB94,"&lt;0")*Cadeirante/30*GV$4+SUMIF(BD91:BD94,"&lt;0")*Cadeirante/30*GV$4</f>
        <v>0</v>
      </c>
      <c r="GW91" s="104">
        <f>SUMIF(BF91:BF94,"&lt;0")*Cadeirante/30*GW$4+SUMIF(BH91:BH94,"&lt;0")*Cadeirante/30*GW$4</f>
        <v>0</v>
      </c>
      <c r="GX91" s="104">
        <f>SUMIF(BJ91:BJ94,"&lt;0")*Cadeirante/30*GX$4+SUMIF(BL91:BL94,"&lt;0")*Cadeirante/30*GX$4</f>
        <v>0</v>
      </c>
      <c r="GY91" s="104">
        <f>SUMIF(BN91:BN94,"&lt;0")*Cadeirante/30*GY$4+SUMIF(BP91:BP94,"&lt;0")*Cadeirante/30*GY$4</f>
        <v>0</v>
      </c>
      <c r="GZ91" s="104">
        <f>SUMIF(BR91:BR94,"&lt;0")*Cadeirante/30*GZ$4+SUMIF(BT91:BT94,"&lt;0")*Cadeirante/30*GZ$4</f>
        <v>0</v>
      </c>
      <c r="HA91" s="104">
        <f>SUMIF(BV91:BV94,"&lt;0")*Cadeirante/30*HA$4+SUMIF(BX91:BX94,"&lt;0")*Cadeirante/30*HA$4</f>
        <v>0</v>
      </c>
      <c r="HB91" s="104">
        <f>SUMIF(BZ91:BZ94,"&lt;0")*Cadeirante/30*HB$4+SUMIF(CB91:CB94,"&lt;0")*Cadeirante/30*HB$4</f>
        <v>0</v>
      </c>
      <c r="HC91" s="104">
        <f>SUMIF(CD91:CD94,"&lt;0")*Cadeirante/30*HC$4+SUMIF(CF91:CF94,"&lt;0")*Cadeirante/30*HC$4</f>
        <v>0</v>
      </c>
      <c r="HD91" s="104">
        <f>SUMIF(CH91:CH94,"&lt;0")*Cadeirante/30*HD$4+SUMIF(CJ91:CJ94,"&lt;0")*Cadeirante/30*HD$4</f>
        <v>0</v>
      </c>
      <c r="HE91" s="104">
        <f>SUMIF(CL91:CL94,"&lt;0")*Cadeirante/30*HE$4+SUMIF(CN91:CN94,"&lt;0")*Cadeirante/30*HE$4</f>
        <v>0</v>
      </c>
      <c r="HF91" s="104">
        <f>SUMIF(CP91:CP94,"&lt;0")*Cadeirante/30*HF$4+SUMIF(CR91:CR94,"&lt;0")*Cadeirante/30*HF$4</f>
        <v>0</v>
      </c>
      <c r="HG91" s="104">
        <f>SUMIF(CT91:CT94,"&lt;0")*Cadeirante/30*HG$4+SUMIF(CV91:CV94,"&lt;0")*Cadeirante/30*HG$4</f>
        <v>0</v>
      </c>
      <c r="HH91" s="104">
        <f>SUMIF(CX91:CX94,"&lt;0")*Cadeirante/30*HH$4+SUMIF(CZ91:CZ94,"&lt;0")*Cadeirante/30*HH$4</f>
        <v>0</v>
      </c>
      <c r="HI91" s="104">
        <f>SUMIF(DB91:DB94,"&lt;0")*Cadeirante/30*HI$4+SUMIF(DD91:DD94,"&lt;0")*Cadeirante/30*HI$4</f>
        <v>0</v>
      </c>
      <c r="HJ91" s="104">
        <f>SUMIF(DF91:DF94,"&lt;0")*Cadeirante/30*HJ$4+SUMIF(DH91:DH94,"&lt;0")*Cadeirante/30*HJ$4</f>
        <v>0</v>
      </c>
      <c r="HK91" s="104">
        <f>SUMIF(DJ91:DJ94,"&lt;0")*Cadeirante/30*HK$4+SUMIF(DL91:DL94,"&lt;0")*Cadeirante/30*HK$4</f>
        <v>0</v>
      </c>
      <c r="HL91" s="104">
        <f>SUMIF(DN91:DN94,"&lt;0")*Cadeirante/30*HL$4+SUMIF(DP91:DP94,"&lt;0")*Cadeirante/30*HL$4</f>
        <v>0</v>
      </c>
      <c r="HM91" s="104">
        <f>SUMIF(DR91:DR94,"&lt;0")*Cadeirante/30*HM$4+SUMIF(DT91:DT94,"&lt;0")*Cadeirante/30*HM$4</f>
        <v>0</v>
      </c>
      <c r="HN91" s="104">
        <f>SUMIF(DV91:DV94,"&lt;0")*Cadeirante/30*HN$4+SUMIF(DX91:DX94,"&lt;0")*Cadeirante/30*HN$4</f>
        <v>0</v>
      </c>
      <c r="HO91" s="104">
        <f>SUMIF(DZ91:DZ94,"&lt;0")*Cadeirante/30*HO$4+SUMIF(EB91:EB94,"&lt;0")*Cadeirante/30*HO$4</f>
        <v>0</v>
      </c>
      <c r="HP91" s="104">
        <f>SUMIF(ED91:ED94,"&lt;0")*Cadeirante/30*HP$4+SUMIF(EF91:EF94,"&lt;0")*Cadeirante/30*HP$4</f>
        <v>0</v>
      </c>
      <c r="HQ91" s="64"/>
      <c r="HR91" s="64"/>
      <c r="HS91" s="64"/>
      <c r="HT91" s="64"/>
      <c r="HU91" s="64"/>
      <c r="HV91" s="64"/>
      <c r="HW91" s="176">
        <v>17629.309999999998</v>
      </c>
      <c r="HX91" s="64"/>
      <c r="HY91" s="280">
        <f>IF(ISTEXT(EM91), VALUE(EM91), EM91)</f>
        <v>0</v>
      </c>
      <c r="HZ91" s="280">
        <f>IF(ISTEXT(EN91), VALUE(EN91), EN91)</f>
        <v>0</v>
      </c>
      <c r="IA91" s="280">
        <f>IF(ISTEXT(EO91), VALUE(EO91), EO91)</f>
        <v>0</v>
      </c>
      <c r="IB91" s="64" t="b">
        <f>HW91=FE91</f>
        <v>0</v>
      </c>
      <c r="IC91" s="64"/>
    </row>
    <row r="92" spans="1:237" s="106" customFormat="1" ht="22.5" customHeight="1" x14ac:dyDescent="0.25">
      <c r="A92" s="368" t="s">
        <v>3258</v>
      </c>
      <c r="B92" s="369" t="s">
        <v>3259</v>
      </c>
      <c r="C92" s="370" t="s">
        <v>3186</v>
      </c>
      <c r="D92" s="371" t="s">
        <v>3260</v>
      </c>
      <c r="E92" s="371" t="s">
        <v>3261</v>
      </c>
      <c r="F92" s="372" t="s">
        <v>3182</v>
      </c>
      <c r="G92" s="372" t="s">
        <v>3183</v>
      </c>
      <c r="H92" s="373" t="s">
        <v>357</v>
      </c>
      <c r="I92" s="374" t="s">
        <v>357</v>
      </c>
      <c r="J92" s="421" t="s">
        <v>3184</v>
      </c>
      <c r="K92" s="421" t="s">
        <v>3187</v>
      </c>
      <c r="L92" s="329">
        <f>CONTINUA!BV92</f>
        <v>24</v>
      </c>
      <c r="M92" s="329">
        <f>CONTINUA!BW92</f>
        <v>0</v>
      </c>
      <c r="N92" s="895"/>
      <c r="O92" s="896" t="s">
        <v>3291</v>
      </c>
      <c r="P92" s="897">
        <v>0</v>
      </c>
      <c r="Q92" s="400">
        <v>52</v>
      </c>
      <c r="R92" s="401"/>
      <c r="S92" s="400"/>
      <c r="T92" s="401"/>
      <c r="U92" s="400"/>
      <c r="V92" s="401"/>
      <c r="W92" s="400"/>
      <c r="X92" s="401"/>
      <c r="Y92" s="400"/>
      <c r="Z92" s="401"/>
      <c r="AA92" s="400"/>
      <c r="AB92" s="401"/>
      <c r="AC92" s="400"/>
      <c r="AD92" s="401"/>
      <c r="AE92" s="400"/>
      <c r="AF92" s="401"/>
      <c r="AG92" s="400"/>
      <c r="AH92" s="401"/>
      <c r="AI92" s="400"/>
      <c r="AJ92" s="401"/>
      <c r="AK92" s="400"/>
      <c r="AL92" s="401"/>
      <c r="AM92" s="400"/>
      <c r="AN92" s="401"/>
      <c r="AO92" s="400"/>
      <c r="AP92" s="401"/>
      <c r="AQ92" s="400"/>
      <c r="AR92" s="401"/>
      <c r="AS92" s="400"/>
      <c r="AT92" s="401"/>
      <c r="AU92" s="400"/>
      <c r="AV92" s="401"/>
      <c r="AW92" s="400"/>
      <c r="AX92" s="401"/>
      <c r="AY92" s="400"/>
      <c r="AZ92" s="401"/>
      <c r="BA92" s="400"/>
      <c r="BB92" s="401"/>
      <c r="BC92" s="400"/>
      <c r="BD92" s="401"/>
      <c r="BE92" s="400"/>
      <c r="BF92" s="401"/>
      <c r="BG92" s="400"/>
      <c r="BH92" s="401"/>
      <c r="BI92" s="400"/>
      <c r="BJ92" s="401"/>
      <c r="BK92" s="400"/>
      <c r="BL92" s="401"/>
      <c r="BM92" s="400"/>
      <c r="BN92" s="401"/>
      <c r="BO92" s="400"/>
      <c r="BP92" s="401"/>
      <c r="BQ92" s="400"/>
      <c r="BR92" s="401"/>
      <c r="BS92" s="400"/>
      <c r="BT92" s="401"/>
      <c r="BU92" s="400"/>
      <c r="BV92" s="401"/>
      <c r="BW92" s="400"/>
      <c r="BX92" s="401"/>
      <c r="BY92" s="400"/>
      <c r="BZ92" s="401"/>
      <c r="CA92" s="400"/>
      <c r="CB92" s="401"/>
      <c r="CC92" s="400"/>
      <c r="CD92" s="401"/>
      <c r="CE92" s="400">
        <v>1</v>
      </c>
      <c r="CF92" s="401"/>
      <c r="CG92" s="400"/>
      <c r="CH92" s="401"/>
      <c r="CI92" s="400"/>
      <c r="CJ92" s="401"/>
      <c r="CK92" s="400"/>
      <c r="CL92" s="401"/>
      <c r="CM92" s="400"/>
      <c r="CN92" s="401"/>
      <c r="CO92" s="400"/>
      <c r="CP92" s="401"/>
      <c r="CQ92" s="400"/>
      <c r="CR92" s="401"/>
      <c r="CS92" s="400"/>
      <c r="CT92" s="401"/>
      <c r="CU92" s="400"/>
      <c r="CV92" s="401"/>
      <c r="CW92" s="400"/>
      <c r="CX92" s="401"/>
      <c r="CY92" s="400"/>
      <c r="CZ92" s="401"/>
      <c r="DA92" s="400"/>
      <c r="DB92" s="401"/>
      <c r="DC92" s="400"/>
      <c r="DD92" s="401"/>
      <c r="DE92" s="400"/>
      <c r="DF92" s="401"/>
      <c r="DG92" s="400"/>
      <c r="DH92" s="401"/>
      <c r="DI92" s="400"/>
      <c r="DJ92" s="401"/>
      <c r="DK92" s="400"/>
      <c r="DL92" s="401"/>
      <c r="DM92" s="400"/>
      <c r="DN92" s="401"/>
      <c r="DO92" s="400"/>
      <c r="DP92" s="401"/>
      <c r="DQ92" s="400"/>
      <c r="DR92" s="401"/>
      <c r="DS92" s="400"/>
      <c r="DT92" s="401"/>
      <c r="DU92" s="400"/>
      <c r="DV92" s="401"/>
      <c r="DW92" s="400"/>
      <c r="DX92" s="401"/>
      <c r="DY92" s="400"/>
      <c r="DZ92" s="401"/>
      <c r="EA92" s="400"/>
      <c r="EB92" s="401"/>
      <c r="EC92" s="400"/>
      <c r="ED92" s="401"/>
      <c r="EE92" s="400"/>
      <c r="EF92" s="401"/>
      <c r="EG92" s="400"/>
      <c r="EH92" s="401"/>
      <c r="EI92" s="400"/>
      <c r="EJ92" s="447"/>
      <c r="EK92" s="511"/>
      <c r="EL92" s="514"/>
      <c r="EM92" s="448"/>
      <c r="EN92" s="344"/>
      <c r="EO92" s="345"/>
      <c r="EP92" s="171">
        <f t="shared" si="95"/>
        <v>52</v>
      </c>
      <c r="EQ92" s="171">
        <f t="shared" si="96"/>
        <v>0</v>
      </c>
      <c r="ER92" s="171">
        <f t="shared" si="97"/>
        <v>1</v>
      </c>
      <c r="ES92" s="171">
        <f t="shared" si="98"/>
        <v>0</v>
      </c>
      <c r="ET92" s="171">
        <f t="shared" si="99"/>
        <v>0</v>
      </c>
      <c r="EU92" s="171">
        <f t="shared" si="100"/>
        <v>0</v>
      </c>
      <c r="EV92" s="172">
        <f t="shared" si="101"/>
        <v>53</v>
      </c>
      <c r="EW92" s="173"/>
      <c r="EX92" s="248">
        <f t="shared" si="118"/>
        <v>0</v>
      </c>
      <c r="EY92" s="174">
        <f>(L92*regular)+(M92*Cadeirantee)</f>
        <v>231.36</v>
      </c>
      <c r="EZ92" s="249">
        <f>SUMIF(FG92:GJ92,"&gt;0")</f>
        <v>0</v>
      </c>
      <c r="FA92" s="249">
        <f>SUMIF(FG92:GJ92,"&lt;0")+SUMIF(GN92:HP92,"&lt;0")</f>
        <v>0</v>
      </c>
      <c r="FB92" s="174">
        <v>0</v>
      </c>
      <c r="FC92" s="126">
        <f>N92*km*'VALORES TABELA'!$B$13</f>
        <v>0</v>
      </c>
      <c r="FD92" s="250">
        <f t="shared" ref="FD92:FD95" si="119">GL92</f>
        <v>0</v>
      </c>
      <c r="FE92" s="105"/>
      <c r="FF92" s="119"/>
      <c r="FG92" s="119"/>
      <c r="FH92" s="119"/>
      <c r="FI92" s="119"/>
      <c r="FJ92" s="119"/>
      <c r="FK92" s="119"/>
      <c r="FL92" s="119"/>
      <c r="FM92" s="119"/>
      <c r="FN92" s="119"/>
      <c r="FO92" s="119"/>
      <c r="FP92" s="119"/>
      <c r="FQ92" s="119"/>
      <c r="FR92" s="119"/>
      <c r="FS92" s="119"/>
      <c r="FT92" s="119"/>
      <c r="FU92" s="119"/>
      <c r="FV92" s="119"/>
      <c r="FW92" s="119"/>
      <c r="FX92" s="119"/>
      <c r="FY92" s="119"/>
      <c r="FZ92" s="119"/>
      <c r="GA92" s="119"/>
      <c r="GB92" s="119"/>
      <c r="GC92" s="119"/>
      <c r="GD92" s="119"/>
      <c r="GE92" s="119"/>
      <c r="GF92" s="119"/>
      <c r="GG92" s="119"/>
      <c r="GH92" s="119"/>
      <c r="GI92" s="119"/>
      <c r="GJ92" s="119"/>
      <c r="GK92" s="251"/>
      <c r="GL92" s="103">
        <f t="shared" si="102"/>
        <v>0</v>
      </c>
      <c r="GM92" s="124"/>
      <c r="GN92" s="104"/>
      <c r="GO92" s="104"/>
      <c r="GP92" s="104"/>
      <c r="GQ92" s="104"/>
      <c r="GR92" s="104"/>
      <c r="GS92" s="104"/>
      <c r="GT92" s="104"/>
      <c r="GU92" s="104"/>
      <c r="GV92" s="104"/>
      <c r="GW92" s="104"/>
      <c r="GX92" s="104"/>
      <c r="GY92" s="104"/>
      <c r="GZ92" s="104"/>
      <c r="HA92" s="104"/>
      <c r="HB92" s="104"/>
      <c r="HC92" s="104"/>
      <c r="HD92" s="104"/>
      <c r="HE92" s="104"/>
      <c r="HF92" s="104"/>
      <c r="HG92" s="104"/>
      <c r="HH92" s="104"/>
      <c r="HI92" s="104"/>
      <c r="HJ92" s="104"/>
      <c r="HK92" s="104"/>
      <c r="HL92" s="104"/>
      <c r="HM92" s="104"/>
      <c r="HN92" s="104"/>
      <c r="HO92" s="104"/>
      <c r="HP92" s="104"/>
      <c r="HQ92" s="64"/>
      <c r="HR92" s="64"/>
      <c r="HS92" s="64"/>
      <c r="HT92" s="64"/>
      <c r="HU92" s="64"/>
      <c r="HV92" s="64"/>
      <c r="HW92" s="105"/>
      <c r="HX92" s="64"/>
      <c r="HY92" s="280">
        <f t="shared" ref="HY92:HY95" si="120">IF(ISTEXT(EM92), VALUE(EM92), EM92)</f>
        <v>0</v>
      </c>
      <c r="HZ92" s="280">
        <f t="shared" ref="HZ92:HZ95" si="121">IF(ISTEXT(EN92), VALUE(EN92), EN92)</f>
        <v>0</v>
      </c>
      <c r="IA92" s="280">
        <f t="shared" ref="IA92:IA95" si="122">IF(ISTEXT(EO92), VALUE(EO92), EO92)</f>
        <v>0</v>
      </c>
      <c r="IB92" s="64"/>
      <c r="IC92" s="64"/>
    </row>
    <row r="93" spans="1:237" s="106" customFormat="1" ht="22.5" customHeight="1" x14ac:dyDescent="0.25">
      <c r="A93" s="368" t="s">
        <v>3258</v>
      </c>
      <c r="B93" s="369" t="s">
        <v>3259</v>
      </c>
      <c r="C93" s="375" t="s">
        <v>3186</v>
      </c>
      <c r="D93" s="371" t="s">
        <v>3260</v>
      </c>
      <c r="E93" s="371" t="s">
        <v>3261</v>
      </c>
      <c r="F93" s="376" t="s">
        <v>3182</v>
      </c>
      <c r="G93" s="376" t="s">
        <v>3183</v>
      </c>
      <c r="H93" s="373" t="s">
        <v>357</v>
      </c>
      <c r="I93" s="374" t="s">
        <v>357</v>
      </c>
      <c r="J93" s="421" t="s">
        <v>3184</v>
      </c>
      <c r="K93" s="422" t="s">
        <v>3188</v>
      </c>
      <c r="L93" s="329">
        <f>CONTINUA!BV93</f>
        <v>0</v>
      </c>
      <c r="M93" s="329">
        <f>CONTINUA!BW93</f>
        <v>0</v>
      </c>
      <c r="N93" s="895"/>
      <c r="O93" s="896" t="s">
        <v>3291</v>
      </c>
      <c r="P93" s="897">
        <v>0</v>
      </c>
      <c r="Q93" s="400"/>
      <c r="R93" s="401"/>
      <c r="S93" s="400"/>
      <c r="T93" s="401"/>
      <c r="U93" s="400"/>
      <c r="V93" s="401"/>
      <c r="W93" s="400"/>
      <c r="X93" s="401"/>
      <c r="Y93" s="400"/>
      <c r="Z93" s="401"/>
      <c r="AA93" s="400"/>
      <c r="AB93" s="401"/>
      <c r="AC93" s="400"/>
      <c r="AD93" s="401"/>
      <c r="AE93" s="400"/>
      <c r="AF93" s="401"/>
      <c r="AG93" s="400"/>
      <c r="AH93" s="401"/>
      <c r="AI93" s="400"/>
      <c r="AJ93" s="401"/>
      <c r="AK93" s="400"/>
      <c r="AL93" s="401"/>
      <c r="AM93" s="400"/>
      <c r="AN93" s="401"/>
      <c r="AO93" s="400"/>
      <c r="AP93" s="401"/>
      <c r="AQ93" s="400"/>
      <c r="AR93" s="401"/>
      <c r="AS93" s="400"/>
      <c r="AT93" s="401"/>
      <c r="AU93" s="400"/>
      <c r="AV93" s="401"/>
      <c r="AW93" s="400"/>
      <c r="AX93" s="401"/>
      <c r="AY93" s="400"/>
      <c r="AZ93" s="401"/>
      <c r="BA93" s="400"/>
      <c r="BB93" s="401"/>
      <c r="BC93" s="400"/>
      <c r="BD93" s="401"/>
      <c r="BE93" s="400"/>
      <c r="BF93" s="401"/>
      <c r="BG93" s="400"/>
      <c r="BH93" s="401"/>
      <c r="BI93" s="400"/>
      <c r="BJ93" s="401"/>
      <c r="BK93" s="400"/>
      <c r="BL93" s="401"/>
      <c r="BM93" s="400"/>
      <c r="BN93" s="401"/>
      <c r="BO93" s="400"/>
      <c r="BP93" s="401"/>
      <c r="BQ93" s="400"/>
      <c r="BR93" s="401"/>
      <c r="BS93" s="400"/>
      <c r="BT93" s="401"/>
      <c r="BU93" s="400"/>
      <c r="BV93" s="401"/>
      <c r="BW93" s="400"/>
      <c r="BX93" s="401"/>
      <c r="BY93" s="400"/>
      <c r="BZ93" s="401"/>
      <c r="CA93" s="400"/>
      <c r="CB93" s="401"/>
      <c r="CC93" s="400"/>
      <c r="CD93" s="401"/>
      <c r="CE93" s="400"/>
      <c r="CF93" s="401"/>
      <c r="CG93" s="400"/>
      <c r="CH93" s="401"/>
      <c r="CI93" s="400"/>
      <c r="CJ93" s="401"/>
      <c r="CK93" s="400"/>
      <c r="CL93" s="401"/>
      <c r="CM93" s="400"/>
      <c r="CN93" s="401"/>
      <c r="CO93" s="400"/>
      <c r="CP93" s="401"/>
      <c r="CQ93" s="400"/>
      <c r="CR93" s="401"/>
      <c r="CS93" s="400"/>
      <c r="CT93" s="401"/>
      <c r="CU93" s="400"/>
      <c r="CV93" s="401"/>
      <c r="CW93" s="400"/>
      <c r="CX93" s="401"/>
      <c r="CY93" s="400"/>
      <c r="CZ93" s="401"/>
      <c r="DA93" s="400"/>
      <c r="DB93" s="401"/>
      <c r="DC93" s="400"/>
      <c r="DD93" s="401"/>
      <c r="DE93" s="400"/>
      <c r="DF93" s="401"/>
      <c r="DG93" s="400"/>
      <c r="DH93" s="401"/>
      <c r="DI93" s="400"/>
      <c r="DJ93" s="401"/>
      <c r="DK93" s="400"/>
      <c r="DL93" s="401"/>
      <c r="DM93" s="400"/>
      <c r="DN93" s="401"/>
      <c r="DO93" s="400"/>
      <c r="DP93" s="401"/>
      <c r="DQ93" s="400"/>
      <c r="DR93" s="401"/>
      <c r="DS93" s="400"/>
      <c r="DT93" s="401"/>
      <c r="DU93" s="400"/>
      <c r="DV93" s="401"/>
      <c r="DW93" s="400"/>
      <c r="DX93" s="401"/>
      <c r="DY93" s="400"/>
      <c r="DZ93" s="401"/>
      <c r="EA93" s="400"/>
      <c r="EB93" s="401"/>
      <c r="EC93" s="400"/>
      <c r="ED93" s="401"/>
      <c r="EE93" s="400"/>
      <c r="EF93" s="401"/>
      <c r="EG93" s="400"/>
      <c r="EH93" s="401"/>
      <c r="EI93" s="400"/>
      <c r="EJ93" s="447"/>
      <c r="EK93" s="511"/>
      <c r="EL93" s="514"/>
      <c r="EM93" s="448"/>
      <c r="EN93" s="344"/>
      <c r="EO93" s="345"/>
      <c r="EP93" s="171">
        <f t="shared" si="95"/>
        <v>0</v>
      </c>
      <c r="EQ93" s="171">
        <f t="shared" si="96"/>
        <v>0</v>
      </c>
      <c r="ER93" s="171">
        <f t="shared" si="97"/>
        <v>0</v>
      </c>
      <c r="ES93" s="171">
        <f t="shared" si="98"/>
        <v>0</v>
      </c>
      <c r="ET93" s="171">
        <f t="shared" si="99"/>
        <v>0</v>
      </c>
      <c r="EU93" s="171">
        <f t="shared" si="100"/>
        <v>0</v>
      </c>
      <c r="EV93" s="172">
        <f t="shared" si="101"/>
        <v>0</v>
      </c>
      <c r="EW93" s="125"/>
      <c r="EX93" s="248">
        <f t="shared" si="118"/>
        <v>0</v>
      </c>
      <c r="EY93" s="174">
        <f>(L93*regular)+(M93*Cadeirantee)</f>
        <v>0</v>
      </c>
      <c r="EZ93" s="249">
        <f>SUMIF(FG93:GJ93,"&gt;0")</f>
        <v>0</v>
      </c>
      <c r="FA93" s="249">
        <f>SUMIF(FG93:GJ93,"&lt;0")+SUMIF(GN93:HP93,"&lt;0")</f>
        <v>0</v>
      </c>
      <c r="FB93" s="174">
        <v>0</v>
      </c>
      <c r="FC93" s="126">
        <f>N93*km*'VALORES TABELA'!$B$13</f>
        <v>0</v>
      </c>
      <c r="FD93" s="250">
        <f t="shared" si="119"/>
        <v>0</v>
      </c>
      <c r="FE93" s="105"/>
      <c r="FF93" s="108"/>
      <c r="FG93" s="108"/>
      <c r="FH93" s="108"/>
      <c r="FI93" s="108"/>
      <c r="FJ93" s="108"/>
      <c r="FK93" s="108"/>
      <c r="FL93" s="108"/>
      <c r="FM93" s="108"/>
      <c r="FN93" s="108"/>
      <c r="FO93" s="108"/>
      <c r="FP93" s="108"/>
      <c r="FQ93" s="108"/>
      <c r="FR93" s="108"/>
      <c r="FS93" s="108"/>
      <c r="FT93" s="108"/>
      <c r="FU93" s="108"/>
      <c r="FV93" s="108"/>
      <c r="FW93" s="108"/>
      <c r="FX93" s="108"/>
      <c r="FY93" s="108"/>
      <c r="FZ93" s="108"/>
      <c r="GA93" s="108"/>
      <c r="GB93" s="108"/>
      <c r="GC93" s="108"/>
      <c r="GD93" s="108"/>
      <c r="GE93" s="108"/>
      <c r="GF93" s="108"/>
      <c r="GG93" s="108"/>
      <c r="GH93" s="108"/>
      <c r="GI93" s="108"/>
      <c r="GJ93" s="108"/>
      <c r="GK93" s="251"/>
      <c r="GL93" s="103">
        <f t="shared" si="102"/>
        <v>0</v>
      </c>
      <c r="GM93" s="124"/>
      <c r="GN93" s="104"/>
      <c r="GO93" s="104"/>
      <c r="GP93" s="104"/>
      <c r="GQ93" s="104"/>
      <c r="GR93" s="104"/>
      <c r="GS93" s="104"/>
      <c r="GT93" s="104"/>
      <c r="GU93" s="104"/>
      <c r="GV93" s="104"/>
      <c r="GW93" s="104"/>
      <c r="GX93" s="104"/>
      <c r="GY93" s="104"/>
      <c r="GZ93" s="104"/>
      <c r="HA93" s="104"/>
      <c r="HB93" s="104"/>
      <c r="HC93" s="104"/>
      <c r="HD93" s="104"/>
      <c r="HE93" s="104"/>
      <c r="HF93" s="104"/>
      <c r="HG93" s="104"/>
      <c r="HH93" s="104"/>
      <c r="HI93" s="104"/>
      <c r="HJ93" s="104"/>
      <c r="HK93" s="104"/>
      <c r="HL93" s="104"/>
      <c r="HM93" s="104"/>
      <c r="HN93" s="104"/>
      <c r="HO93" s="104"/>
      <c r="HP93" s="104"/>
      <c r="HQ93" s="64"/>
      <c r="HR93" s="64"/>
      <c r="HS93" s="64"/>
      <c r="HT93" s="64"/>
      <c r="HU93" s="64"/>
      <c r="HV93" s="64"/>
      <c r="HW93" s="105"/>
      <c r="HX93" s="64"/>
      <c r="HY93" s="280">
        <f t="shared" si="120"/>
        <v>0</v>
      </c>
      <c r="HZ93" s="280">
        <f t="shared" si="121"/>
        <v>0</v>
      </c>
      <c r="IA93" s="280">
        <f t="shared" si="122"/>
        <v>0</v>
      </c>
      <c r="IB93" s="64"/>
      <c r="IC93" s="64"/>
    </row>
    <row r="94" spans="1:237" s="106" customFormat="1" ht="22.5" customHeight="1" x14ac:dyDescent="0.25">
      <c r="A94" s="368" t="s">
        <v>3258</v>
      </c>
      <c r="B94" s="369" t="s">
        <v>3259</v>
      </c>
      <c r="C94" s="375" t="s">
        <v>3186</v>
      </c>
      <c r="D94" s="371" t="s">
        <v>3260</v>
      </c>
      <c r="E94" s="371" t="s">
        <v>3261</v>
      </c>
      <c r="F94" s="376" t="s">
        <v>3182</v>
      </c>
      <c r="G94" s="376" t="s">
        <v>3183</v>
      </c>
      <c r="H94" s="373" t="s">
        <v>357</v>
      </c>
      <c r="I94" s="374" t="s">
        <v>357</v>
      </c>
      <c r="J94" s="421" t="s">
        <v>3184</v>
      </c>
      <c r="K94" s="423" t="s">
        <v>3189</v>
      </c>
      <c r="L94" s="329">
        <f>CONTINUA!BV94</f>
        <v>0</v>
      </c>
      <c r="M94" s="329">
        <f>CONTINUA!BW94</f>
        <v>0</v>
      </c>
      <c r="N94" s="895"/>
      <c r="O94" s="896" t="s">
        <v>3291</v>
      </c>
      <c r="P94" s="897">
        <v>0</v>
      </c>
      <c r="Q94" s="400"/>
      <c r="R94" s="401"/>
      <c r="S94" s="400"/>
      <c r="T94" s="401"/>
      <c r="U94" s="400"/>
      <c r="V94" s="401"/>
      <c r="W94" s="400"/>
      <c r="X94" s="401"/>
      <c r="Y94" s="400"/>
      <c r="Z94" s="401"/>
      <c r="AA94" s="400"/>
      <c r="AB94" s="401"/>
      <c r="AC94" s="400"/>
      <c r="AD94" s="401"/>
      <c r="AE94" s="400"/>
      <c r="AF94" s="401"/>
      <c r="AG94" s="400"/>
      <c r="AH94" s="401"/>
      <c r="AI94" s="400"/>
      <c r="AJ94" s="401"/>
      <c r="AK94" s="400"/>
      <c r="AL94" s="401"/>
      <c r="AM94" s="400"/>
      <c r="AN94" s="401"/>
      <c r="AO94" s="400"/>
      <c r="AP94" s="401"/>
      <c r="AQ94" s="400"/>
      <c r="AR94" s="401"/>
      <c r="AS94" s="400"/>
      <c r="AT94" s="401"/>
      <c r="AU94" s="400"/>
      <c r="AV94" s="401"/>
      <c r="AW94" s="400"/>
      <c r="AX94" s="401"/>
      <c r="AY94" s="400"/>
      <c r="AZ94" s="401"/>
      <c r="BA94" s="400"/>
      <c r="BB94" s="401"/>
      <c r="BC94" s="400"/>
      <c r="BD94" s="401"/>
      <c r="BE94" s="400"/>
      <c r="BF94" s="401"/>
      <c r="BG94" s="400"/>
      <c r="BH94" s="401"/>
      <c r="BI94" s="400"/>
      <c r="BJ94" s="401"/>
      <c r="BK94" s="400"/>
      <c r="BL94" s="401"/>
      <c r="BM94" s="400"/>
      <c r="BN94" s="401"/>
      <c r="BO94" s="400"/>
      <c r="BP94" s="401"/>
      <c r="BQ94" s="400"/>
      <c r="BR94" s="401"/>
      <c r="BS94" s="400"/>
      <c r="BT94" s="401"/>
      <c r="BU94" s="400"/>
      <c r="BV94" s="401"/>
      <c r="BW94" s="400"/>
      <c r="BX94" s="401"/>
      <c r="BY94" s="400"/>
      <c r="BZ94" s="401"/>
      <c r="CA94" s="400"/>
      <c r="CB94" s="401"/>
      <c r="CC94" s="400"/>
      <c r="CD94" s="401"/>
      <c r="CE94" s="400"/>
      <c r="CF94" s="401"/>
      <c r="CG94" s="400"/>
      <c r="CH94" s="401"/>
      <c r="CI94" s="400"/>
      <c r="CJ94" s="401"/>
      <c r="CK94" s="400"/>
      <c r="CL94" s="401"/>
      <c r="CM94" s="400"/>
      <c r="CN94" s="401"/>
      <c r="CO94" s="400"/>
      <c r="CP94" s="401"/>
      <c r="CQ94" s="400"/>
      <c r="CR94" s="401"/>
      <c r="CS94" s="400"/>
      <c r="CT94" s="401"/>
      <c r="CU94" s="400"/>
      <c r="CV94" s="401"/>
      <c r="CW94" s="400"/>
      <c r="CX94" s="401"/>
      <c r="CY94" s="400"/>
      <c r="CZ94" s="401"/>
      <c r="DA94" s="400"/>
      <c r="DB94" s="401"/>
      <c r="DC94" s="400"/>
      <c r="DD94" s="401"/>
      <c r="DE94" s="400"/>
      <c r="DF94" s="401"/>
      <c r="DG94" s="400"/>
      <c r="DH94" s="401"/>
      <c r="DI94" s="400"/>
      <c r="DJ94" s="401"/>
      <c r="DK94" s="400"/>
      <c r="DL94" s="401"/>
      <c r="DM94" s="400"/>
      <c r="DN94" s="401"/>
      <c r="DO94" s="400"/>
      <c r="DP94" s="401"/>
      <c r="DQ94" s="400"/>
      <c r="DR94" s="401"/>
      <c r="DS94" s="400"/>
      <c r="DT94" s="401"/>
      <c r="DU94" s="400"/>
      <c r="DV94" s="401"/>
      <c r="DW94" s="400"/>
      <c r="DX94" s="401"/>
      <c r="DY94" s="400"/>
      <c r="DZ94" s="401"/>
      <c r="EA94" s="400"/>
      <c r="EB94" s="401"/>
      <c r="EC94" s="400"/>
      <c r="ED94" s="401"/>
      <c r="EE94" s="400"/>
      <c r="EF94" s="401"/>
      <c r="EG94" s="400"/>
      <c r="EH94" s="401"/>
      <c r="EI94" s="400"/>
      <c r="EJ94" s="447"/>
      <c r="EK94" s="511"/>
      <c r="EL94" s="514"/>
      <c r="EM94" s="448"/>
      <c r="EN94" s="344"/>
      <c r="EO94" s="345"/>
      <c r="EP94" s="171">
        <f t="shared" si="95"/>
        <v>0</v>
      </c>
      <c r="EQ94" s="171">
        <f t="shared" si="96"/>
        <v>0</v>
      </c>
      <c r="ER94" s="171">
        <f t="shared" si="97"/>
        <v>0</v>
      </c>
      <c r="ES94" s="171">
        <f t="shared" si="98"/>
        <v>0</v>
      </c>
      <c r="ET94" s="171">
        <f t="shared" si="99"/>
        <v>0</v>
      </c>
      <c r="EU94" s="171">
        <f t="shared" si="100"/>
        <v>0</v>
      </c>
      <c r="EV94" s="172">
        <f t="shared" si="101"/>
        <v>0</v>
      </c>
      <c r="EW94" s="127"/>
      <c r="EX94" s="248">
        <f t="shared" si="118"/>
        <v>0</v>
      </c>
      <c r="EY94" s="174">
        <f>(L94*regular)+(M94*Cadeirantee)</f>
        <v>0</v>
      </c>
      <c r="EZ94" s="249">
        <f>SUMIF(FG94:GJ94,"&gt;0")</f>
        <v>0</v>
      </c>
      <c r="FA94" s="249">
        <f>SUMIF(FG94:GJ94,"&lt;0")+SUMIF(GN94:HP94,"&lt;0")</f>
        <v>0</v>
      </c>
      <c r="FB94" s="174">
        <v>0</v>
      </c>
      <c r="FC94" s="126">
        <f>N94*km*'VALORES TABELA'!$B$13</f>
        <v>0</v>
      </c>
      <c r="FD94" s="250">
        <f t="shared" si="119"/>
        <v>0</v>
      </c>
      <c r="FE94" s="105"/>
      <c r="FF94" s="118"/>
      <c r="FG94" s="118"/>
      <c r="FH94" s="118"/>
      <c r="FI94" s="118"/>
      <c r="FJ94" s="118"/>
      <c r="FK94" s="118"/>
      <c r="FL94" s="118"/>
      <c r="FM94" s="118"/>
      <c r="FN94" s="118"/>
      <c r="FO94" s="118"/>
      <c r="FP94" s="118"/>
      <c r="FQ94" s="118"/>
      <c r="FR94" s="118"/>
      <c r="FS94" s="118"/>
      <c r="FT94" s="118"/>
      <c r="FU94" s="118"/>
      <c r="FV94" s="118"/>
      <c r="FW94" s="118"/>
      <c r="FX94" s="118"/>
      <c r="FY94" s="118"/>
      <c r="FZ94" s="118"/>
      <c r="GA94" s="118"/>
      <c r="GB94" s="118"/>
      <c r="GC94" s="118"/>
      <c r="GD94" s="118"/>
      <c r="GE94" s="118"/>
      <c r="GF94" s="118"/>
      <c r="GG94" s="118"/>
      <c r="GH94" s="118"/>
      <c r="GI94" s="118"/>
      <c r="GJ94" s="118"/>
      <c r="GK94" s="252"/>
      <c r="GL94" s="103">
        <f t="shared" si="102"/>
        <v>0</v>
      </c>
      <c r="GM94" s="124"/>
      <c r="GN94" s="104"/>
      <c r="GO94" s="104"/>
      <c r="GP94" s="104"/>
      <c r="GQ94" s="104"/>
      <c r="GR94" s="104"/>
      <c r="GS94" s="104"/>
      <c r="GT94" s="104"/>
      <c r="GU94" s="104"/>
      <c r="GV94" s="104"/>
      <c r="GW94" s="104"/>
      <c r="GX94" s="104"/>
      <c r="GY94" s="104"/>
      <c r="GZ94" s="104"/>
      <c r="HA94" s="104"/>
      <c r="HB94" s="104"/>
      <c r="HC94" s="104"/>
      <c r="HD94" s="104"/>
      <c r="HE94" s="104"/>
      <c r="HF94" s="104"/>
      <c r="HG94" s="104"/>
      <c r="HH94" s="104"/>
      <c r="HI94" s="104"/>
      <c r="HJ94" s="104"/>
      <c r="HK94" s="104"/>
      <c r="HL94" s="104"/>
      <c r="HM94" s="104"/>
      <c r="HN94" s="104"/>
      <c r="HO94" s="104"/>
      <c r="HP94" s="104"/>
      <c r="HQ94" s="64"/>
      <c r="HR94" s="65"/>
      <c r="HS94" s="65"/>
      <c r="HT94" s="65"/>
      <c r="HU94" s="65"/>
      <c r="HV94" s="65"/>
      <c r="HW94" s="105"/>
      <c r="HX94" s="65"/>
      <c r="HY94" s="280">
        <f t="shared" si="120"/>
        <v>0</v>
      </c>
      <c r="HZ94" s="280">
        <f t="shared" si="121"/>
        <v>0</v>
      </c>
      <c r="IA94" s="280">
        <f t="shared" si="122"/>
        <v>0</v>
      </c>
      <c r="IB94" s="65"/>
      <c r="IC94" s="65"/>
    </row>
    <row r="95" spans="1:237" s="106" customFormat="1" ht="22.5" customHeight="1" thickBot="1" x14ac:dyDescent="0.3">
      <c r="A95" s="377" t="s">
        <v>3258</v>
      </c>
      <c r="B95" s="378" t="s">
        <v>3259</v>
      </c>
      <c r="C95" s="379" t="s">
        <v>3186</v>
      </c>
      <c r="D95" s="380" t="s">
        <v>3260</v>
      </c>
      <c r="E95" s="380" t="s">
        <v>3261</v>
      </c>
      <c r="F95" s="381" t="s">
        <v>3182</v>
      </c>
      <c r="G95" s="381" t="s">
        <v>3183</v>
      </c>
      <c r="H95" s="382" t="s">
        <v>357</v>
      </c>
      <c r="I95" s="383" t="s">
        <v>357</v>
      </c>
      <c r="J95" s="421" t="s">
        <v>3184</v>
      </c>
      <c r="K95" s="424" t="s">
        <v>60</v>
      </c>
      <c r="L95" s="329">
        <f>CONTINUA!BV95</f>
        <v>0</v>
      </c>
      <c r="M95" s="329">
        <f>CONTINUA!BW95</f>
        <v>0</v>
      </c>
      <c r="N95" s="895"/>
      <c r="O95" s="896" t="s">
        <v>3291</v>
      </c>
      <c r="P95" s="897">
        <v>0</v>
      </c>
      <c r="Q95" s="400"/>
      <c r="R95" s="401"/>
      <c r="S95" s="400"/>
      <c r="T95" s="401"/>
      <c r="U95" s="400"/>
      <c r="V95" s="401"/>
      <c r="W95" s="400"/>
      <c r="X95" s="401"/>
      <c r="Y95" s="400"/>
      <c r="Z95" s="401"/>
      <c r="AA95" s="400"/>
      <c r="AB95" s="401"/>
      <c r="AC95" s="400"/>
      <c r="AD95" s="401"/>
      <c r="AE95" s="400"/>
      <c r="AF95" s="401"/>
      <c r="AG95" s="400"/>
      <c r="AH95" s="401"/>
      <c r="AI95" s="400"/>
      <c r="AJ95" s="401"/>
      <c r="AK95" s="400"/>
      <c r="AL95" s="401"/>
      <c r="AM95" s="400"/>
      <c r="AN95" s="401"/>
      <c r="AO95" s="400"/>
      <c r="AP95" s="401"/>
      <c r="AQ95" s="400"/>
      <c r="AR95" s="401"/>
      <c r="AS95" s="400"/>
      <c r="AT95" s="401"/>
      <c r="AU95" s="400"/>
      <c r="AV95" s="401"/>
      <c r="AW95" s="400"/>
      <c r="AX95" s="401"/>
      <c r="AY95" s="400"/>
      <c r="AZ95" s="401"/>
      <c r="BA95" s="400"/>
      <c r="BB95" s="401"/>
      <c r="BC95" s="400"/>
      <c r="BD95" s="401"/>
      <c r="BE95" s="400"/>
      <c r="BF95" s="401"/>
      <c r="BG95" s="400"/>
      <c r="BH95" s="401"/>
      <c r="BI95" s="400"/>
      <c r="BJ95" s="401"/>
      <c r="BK95" s="400"/>
      <c r="BL95" s="401"/>
      <c r="BM95" s="400"/>
      <c r="BN95" s="401"/>
      <c r="BO95" s="400"/>
      <c r="BP95" s="401"/>
      <c r="BQ95" s="400"/>
      <c r="BR95" s="401"/>
      <c r="BS95" s="400"/>
      <c r="BT95" s="401"/>
      <c r="BU95" s="400"/>
      <c r="BV95" s="401"/>
      <c r="BW95" s="400"/>
      <c r="BX95" s="401"/>
      <c r="BY95" s="400"/>
      <c r="BZ95" s="401"/>
      <c r="CA95" s="400"/>
      <c r="CB95" s="401"/>
      <c r="CC95" s="400"/>
      <c r="CD95" s="401"/>
      <c r="CE95" s="400"/>
      <c r="CF95" s="401"/>
      <c r="CG95" s="400"/>
      <c r="CH95" s="401"/>
      <c r="CI95" s="400"/>
      <c r="CJ95" s="401"/>
      <c r="CK95" s="400"/>
      <c r="CL95" s="401"/>
      <c r="CM95" s="400"/>
      <c r="CN95" s="401"/>
      <c r="CO95" s="400"/>
      <c r="CP95" s="401"/>
      <c r="CQ95" s="400"/>
      <c r="CR95" s="401"/>
      <c r="CS95" s="400"/>
      <c r="CT95" s="401"/>
      <c r="CU95" s="400"/>
      <c r="CV95" s="401"/>
      <c r="CW95" s="400"/>
      <c r="CX95" s="401"/>
      <c r="CY95" s="400"/>
      <c r="CZ95" s="401"/>
      <c r="DA95" s="400"/>
      <c r="DB95" s="401"/>
      <c r="DC95" s="400"/>
      <c r="DD95" s="401"/>
      <c r="DE95" s="400"/>
      <c r="DF95" s="401"/>
      <c r="DG95" s="400"/>
      <c r="DH95" s="401"/>
      <c r="DI95" s="400"/>
      <c r="DJ95" s="401"/>
      <c r="DK95" s="400"/>
      <c r="DL95" s="401"/>
      <c r="DM95" s="400"/>
      <c r="DN95" s="401"/>
      <c r="DO95" s="400"/>
      <c r="DP95" s="401"/>
      <c r="DQ95" s="400"/>
      <c r="DR95" s="401"/>
      <c r="DS95" s="400"/>
      <c r="DT95" s="401"/>
      <c r="DU95" s="400"/>
      <c r="DV95" s="401"/>
      <c r="DW95" s="400"/>
      <c r="DX95" s="401"/>
      <c r="DY95" s="400"/>
      <c r="DZ95" s="401"/>
      <c r="EA95" s="400"/>
      <c r="EB95" s="401"/>
      <c r="EC95" s="400"/>
      <c r="ED95" s="401"/>
      <c r="EE95" s="400"/>
      <c r="EF95" s="401"/>
      <c r="EG95" s="400"/>
      <c r="EH95" s="401"/>
      <c r="EI95" s="400"/>
      <c r="EJ95" s="447"/>
      <c r="EK95" s="512"/>
      <c r="EL95" s="515"/>
      <c r="EM95" s="450"/>
      <c r="EN95" s="348"/>
      <c r="EO95" s="348"/>
      <c r="EP95" s="179">
        <f t="shared" si="95"/>
        <v>0</v>
      </c>
      <c r="EQ95" s="179">
        <f t="shared" si="96"/>
        <v>0</v>
      </c>
      <c r="ER95" s="179">
        <f t="shared" si="97"/>
        <v>0</v>
      </c>
      <c r="ES95" s="179">
        <f t="shared" si="98"/>
        <v>0</v>
      </c>
      <c r="ET95" s="179">
        <f t="shared" si="99"/>
        <v>0</v>
      </c>
      <c r="EU95" s="179">
        <f t="shared" si="100"/>
        <v>0</v>
      </c>
      <c r="EV95" s="172">
        <f t="shared" si="101"/>
        <v>0</v>
      </c>
      <c r="EW95" s="253"/>
      <c r="EX95" s="254">
        <v>0</v>
      </c>
      <c r="EY95" s="180">
        <v>0</v>
      </c>
      <c r="EZ95" s="255">
        <v>0</v>
      </c>
      <c r="FA95" s="255">
        <v>0</v>
      </c>
      <c r="FB95" s="180">
        <f>SUM(FF95:GI95)/2</f>
        <v>0</v>
      </c>
      <c r="FC95" s="256">
        <f>N95*km*'VALORES TABELA'!$B$13</f>
        <v>0</v>
      </c>
      <c r="FD95" s="250">
        <f t="shared" si="119"/>
        <v>0</v>
      </c>
      <c r="FE95" s="257"/>
      <c r="FF95" s="181">
        <f>((Q95+S95)*Percapita)+((R95+T95)*Cadeirante)</f>
        <v>0</v>
      </c>
      <c r="FG95" s="181">
        <f>((U95+W95)*Percapita/30*FG$4)+((V95+X95)*Cadeirante/30*FG$4)</f>
        <v>0</v>
      </c>
      <c r="FH95" s="181">
        <f>((Y95+AA95)*Percapita/30*FH$4)+((Z95+AB95)*Cadeirante/30*FH$4)</f>
        <v>0</v>
      </c>
      <c r="FI95" s="181">
        <f>((AC95+AE95)*Percapita/30*FI$4)+((AD95+AF95)*Cadeirante/30*FI$4)</f>
        <v>0</v>
      </c>
      <c r="FJ95" s="181">
        <f>((AG95+AI95)*Percapita/30*FJ$4)+((AH95+AJ95)*Cadeirante/30*FJ$4)</f>
        <v>0</v>
      </c>
      <c r="FK95" s="181">
        <f>((AK95+AM95)*Percapita/30*FK$4)+((AL95+AN95)*Cadeirante/30*FK$4)</f>
        <v>0</v>
      </c>
      <c r="FL95" s="181">
        <f>((AO95+AQ95)*Percapita/30*FL$4)+((AP95+AR95)*Cadeirante/30*FL$4)</f>
        <v>0</v>
      </c>
      <c r="FM95" s="181">
        <f>((AS95+AU95)*Percapita/30*FM$4)+((AT95+AV95)*Cadeirante/30*FM$4)</f>
        <v>0</v>
      </c>
      <c r="FN95" s="181">
        <f>((AW95+AY95)*Percapita/30*FN$4)+((AX95+AZ95)*Cadeirante/30*FN$4)</f>
        <v>0</v>
      </c>
      <c r="FO95" s="181">
        <f>((BA95+BC95)*Percapita/30*FO$4)+((BB95+BD95)*Cadeirante/30*FO$4)</f>
        <v>0</v>
      </c>
      <c r="FP95" s="181">
        <f>((BE95+BG95)*Percapita/30*FP$4)+((BF95+BH95)*Cadeirante/30*FP$4)</f>
        <v>0</v>
      </c>
      <c r="FQ95" s="181">
        <f>((BI95+BK95)*Percapita/30*FQ$4)+((BJ95+BL95)*Cadeirante/30*FQ$4)</f>
        <v>0</v>
      </c>
      <c r="FR95" s="181">
        <f>((BM95+BO95)*Percapita/30*FR$4)+((BN95+BP95)*Cadeirante/30*FR$4)</f>
        <v>0</v>
      </c>
      <c r="FS95" s="181">
        <f>((BQ95+BS95)*Percapita/30*FS$4)+((BR95+BT95)*Cadeirante/30*FS$4)</f>
        <v>0</v>
      </c>
      <c r="FT95" s="181">
        <f>((BU95+BW95)*Percapita/30*FT$4)+((BV95+BX95)*Cadeirante/30*FT$4)</f>
        <v>0</v>
      </c>
      <c r="FU95" s="181">
        <f>((BY95+CA95)*Percapita/30*FU$4)+((BZ95+CB95)*Cadeirante/30*FU$4)</f>
        <v>0</v>
      </c>
      <c r="FV95" s="181">
        <f>((CC95+CE95)*Percapita/30*FV$4)+((CD95+CF95)*Cadeirante/30*FV$4)</f>
        <v>0</v>
      </c>
      <c r="FW95" s="181">
        <f>((CG95+CI95)*Percapita/30*FW$4)+((CI95+CK95)*Cadeirante/30*FW$4)</f>
        <v>0</v>
      </c>
      <c r="FX95" s="181">
        <f>((CK95+CM95)*Percapita/30*FX$4)+((CL95+CN95)*Cadeirante/30*FX$4)</f>
        <v>0</v>
      </c>
      <c r="FY95" s="181">
        <f>((CO95+CQ95)*Percapita/30*FY$4)+((CP95+CR95)*Cadeirante/30*FY$4)</f>
        <v>0</v>
      </c>
      <c r="FZ95" s="181">
        <f>((CS95+CU95)*Percapita/30*FZ$4)+((CT95+CV95)*Cadeirante/30*FZ$4)</f>
        <v>0</v>
      </c>
      <c r="GA95" s="181">
        <f>((CW95+CY95)*Percapita/30*GA$4)+((CX95+CZ95)*Cadeirante/30*GA$4)</f>
        <v>0</v>
      </c>
      <c r="GB95" s="181">
        <f>((DA95+DC95)*Percapita/30*GB$4)+((DB95+DD95)*Cadeirante/30*GB$4)</f>
        <v>0</v>
      </c>
      <c r="GC95" s="181">
        <f>((DE95+DG95)*Percapita/30*GC$4)+((DF95+DH95)*Cadeirante/30*GC$4)</f>
        <v>0</v>
      </c>
      <c r="GD95" s="181">
        <f>((DI95+DK95)*Percapita/30*GD$4)+((DJ95+DL95)*Cadeirante/30*GD$4)</f>
        <v>0</v>
      </c>
      <c r="GE95" s="181">
        <f>((DM95+DO95)*Percapita/30*GE$4)+((DN95+DP95)*Cadeirante/30*GE$4)</f>
        <v>0</v>
      </c>
      <c r="GF95" s="181">
        <f>((DQ95+DS95)*Percapita/30*GF$4)+((DR95+DT95)*Cadeirante/30*GF$4)</f>
        <v>0</v>
      </c>
      <c r="GG95" s="181">
        <f>((DU95+DW95)*Percapita/30*GG$4)+((DV95+DX95)*Cadeirante/30*GG$4)</f>
        <v>0</v>
      </c>
      <c r="GH95" s="181">
        <f>((DY95+EA95)*Percapita/30*GH$4)+((DZ95+EB95)*Cadeirante/30*GH$4)</f>
        <v>0</v>
      </c>
      <c r="GI95" s="181">
        <f>((EC95+EE95)*Percapita/30*GI$4)+((ED95+EF95)*Cadeirante/30*GI$4)</f>
        <v>0</v>
      </c>
      <c r="GJ95" s="181">
        <f>((EG95+EI95)*Percapita)+((EH95+EJ95)*Cadeirante)</f>
        <v>0</v>
      </c>
      <c r="GK95" s="258"/>
      <c r="GL95" s="103">
        <f t="shared" si="102"/>
        <v>0</v>
      </c>
      <c r="GM95" s="124"/>
      <c r="GN95" s="182"/>
      <c r="GO95" s="182"/>
      <c r="GP95" s="182"/>
      <c r="GQ95" s="182"/>
      <c r="GR95" s="182"/>
      <c r="GS95" s="182"/>
      <c r="GT95" s="182"/>
      <c r="GU95" s="182"/>
      <c r="GV95" s="182"/>
      <c r="GW95" s="182"/>
      <c r="GX95" s="182"/>
      <c r="GY95" s="182"/>
      <c r="GZ95" s="182"/>
      <c r="HA95" s="182"/>
      <c r="HB95" s="182"/>
      <c r="HC95" s="182"/>
      <c r="HD95" s="182"/>
      <c r="HE95" s="182"/>
      <c r="HF95" s="182"/>
      <c r="HG95" s="182"/>
      <c r="HH95" s="182"/>
      <c r="HI95" s="182"/>
      <c r="HJ95" s="182"/>
      <c r="HK95" s="182"/>
      <c r="HL95" s="182"/>
      <c r="HM95" s="182"/>
      <c r="HN95" s="182"/>
      <c r="HO95" s="182"/>
      <c r="HP95" s="259"/>
      <c r="HQ95" s="64"/>
      <c r="HW95" s="257"/>
      <c r="HY95" s="280">
        <f t="shared" si="120"/>
        <v>0</v>
      </c>
      <c r="HZ95" s="280">
        <f t="shared" si="121"/>
        <v>0</v>
      </c>
      <c r="IA95" s="280">
        <f t="shared" si="122"/>
        <v>0</v>
      </c>
    </row>
    <row r="96" spans="1:237" s="106" customFormat="1" ht="22.5" customHeight="1" x14ac:dyDescent="0.25">
      <c r="A96" t="s">
        <v>3262</v>
      </c>
      <c r="B96" s="522" t="s">
        <v>3263</v>
      </c>
      <c r="C96" s="523">
        <v>1</v>
      </c>
      <c r="D96" s="524" t="s">
        <v>3264</v>
      </c>
      <c r="E96" s="524" t="s">
        <v>3265</v>
      </c>
      <c r="F96" s="525" t="s">
        <v>3182</v>
      </c>
      <c r="G96" s="525" t="s">
        <v>3183</v>
      </c>
      <c r="H96" s="350" t="s">
        <v>358</v>
      </c>
      <c r="I96" s="351" t="s">
        <v>358</v>
      </c>
      <c r="J96" s="409" t="s">
        <v>3184</v>
      </c>
      <c r="K96" s="410" t="s">
        <v>3185</v>
      </c>
      <c r="L96" s="329">
        <f>CONTINUA!BV96</f>
        <v>0</v>
      </c>
      <c r="M96" s="329">
        <f>CONTINUA!BW96</f>
        <v>0</v>
      </c>
      <c r="N96" s="895"/>
      <c r="O96" s="896" t="s">
        <v>3292</v>
      </c>
      <c r="P96" s="897">
        <v>0</v>
      </c>
      <c r="Q96" s="400">
        <v>6</v>
      </c>
      <c r="R96" s="401"/>
      <c r="S96" s="400"/>
      <c r="T96" s="401"/>
      <c r="U96" s="400"/>
      <c r="V96" s="401"/>
      <c r="W96" s="400"/>
      <c r="X96" s="401"/>
      <c r="Y96" s="400"/>
      <c r="Z96" s="401"/>
      <c r="AA96" s="400"/>
      <c r="AB96" s="401"/>
      <c r="AC96" s="400"/>
      <c r="AD96" s="401"/>
      <c r="AE96" s="400"/>
      <c r="AF96" s="401"/>
      <c r="AG96" s="400"/>
      <c r="AH96" s="401"/>
      <c r="AI96" s="400"/>
      <c r="AJ96" s="401"/>
      <c r="AK96" s="400"/>
      <c r="AL96" s="401"/>
      <c r="AM96" s="400"/>
      <c r="AN96" s="401"/>
      <c r="AO96" s="400"/>
      <c r="AP96" s="401"/>
      <c r="AQ96" s="400"/>
      <c r="AR96" s="401"/>
      <c r="AS96" s="400"/>
      <c r="AT96" s="401"/>
      <c r="AU96" s="400"/>
      <c r="AV96" s="401"/>
      <c r="AW96" s="400">
        <v>-1</v>
      </c>
      <c r="AX96" s="401"/>
      <c r="AY96" s="400"/>
      <c r="AZ96" s="401"/>
      <c r="BA96" s="400"/>
      <c r="BB96" s="401"/>
      <c r="BC96" s="400"/>
      <c r="BD96" s="401"/>
      <c r="BE96" s="400"/>
      <c r="BF96" s="401"/>
      <c r="BG96" s="400"/>
      <c r="BH96" s="401"/>
      <c r="BI96" s="400"/>
      <c r="BJ96" s="401"/>
      <c r="BK96" s="400"/>
      <c r="BL96" s="401"/>
      <c r="BM96" s="400"/>
      <c r="BN96" s="401"/>
      <c r="BO96" s="400"/>
      <c r="BP96" s="401"/>
      <c r="BQ96" s="400"/>
      <c r="BR96" s="401"/>
      <c r="BS96" s="400"/>
      <c r="BT96" s="401"/>
      <c r="BU96" s="400"/>
      <c r="BV96" s="401"/>
      <c r="BW96" s="400"/>
      <c r="BX96" s="401"/>
      <c r="BY96" s="400"/>
      <c r="BZ96" s="401"/>
      <c r="CA96" s="400"/>
      <c r="CB96" s="401"/>
      <c r="CC96" s="400"/>
      <c r="CD96" s="401"/>
      <c r="CE96" s="400"/>
      <c r="CF96" s="401"/>
      <c r="CG96" s="400"/>
      <c r="CH96" s="401"/>
      <c r="CI96" s="400"/>
      <c r="CJ96" s="401"/>
      <c r="CK96" s="400"/>
      <c r="CL96" s="401"/>
      <c r="CM96" s="400"/>
      <c r="CN96" s="401"/>
      <c r="CO96" s="400"/>
      <c r="CP96" s="401"/>
      <c r="CQ96" s="400"/>
      <c r="CR96" s="401"/>
      <c r="CS96" s="400"/>
      <c r="CT96" s="401"/>
      <c r="CU96" s="400"/>
      <c r="CV96" s="401"/>
      <c r="CW96" s="400"/>
      <c r="CX96" s="401"/>
      <c r="CY96" s="400"/>
      <c r="CZ96" s="401"/>
      <c r="DA96" s="400"/>
      <c r="DB96" s="401"/>
      <c r="DC96" s="400"/>
      <c r="DD96" s="401"/>
      <c r="DE96" s="400">
        <v>-1</v>
      </c>
      <c r="DF96" s="401"/>
      <c r="DG96" s="400"/>
      <c r="DH96" s="401"/>
      <c r="DI96" s="400"/>
      <c r="DJ96" s="401"/>
      <c r="DK96" s="400"/>
      <c r="DL96" s="401"/>
      <c r="DM96" s="400"/>
      <c r="DN96" s="401"/>
      <c r="DO96" s="400"/>
      <c r="DP96" s="401"/>
      <c r="DQ96" s="400"/>
      <c r="DR96" s="401"/>
      <c r="DS96" s="400"/>
      <c r="DT96" s="401"/>
      <c r="DU96" s="400"/>
      <c r="DV96" s="401"/>
      <c r="DW96" s="400"/>
      <c r="DX96" s="401"/>
      <c r="DY96" s="400"/>
      <c r="DZ96" s="401"/>
      <c r="EA96" s="400"/>
      <c r="EB96" s="401"/>
      <c r="EC96" s="400"/>
      <c r="ED96" s="401"/>
      <c r="EE96" s="400"/>
      <c r="EF96" s="401"/>
      <c r="EG96" s="400"/>
      <c r="EH96" s="401"/>
      <c r="EI96" s="400"/>
      <c r="EJ96" s="447"/>
      <c r="EK96" s="510"/>
      <c r="EL96" s="513"/>
      <c r="EM96" s="520"/>
      <c r="EN96" s="520"/>
      <c r="EO96" s="520"/>
      <c r="EP96" s="171">
        <f t="shared" si="95"/>
        <v>6</v>
      </c>
      <c r="EQ96" s="171">
        <f t="shared" si="96"/>
        <v>-2</v>
      </c>
      <c r="ER96" s="171">
        <f t="shared" si="97"/>
        <v>0</v>
      </c>
      <c r="ES96" s="171">
        <f t="shared" si="98"/>
        <v>0</v>
      </c>
      <c r="ET96" s="171">
        <f t="shared" si="99"/>
        <v>0</v>
      </c>
      <c r="EU96" s="171">
        <f t="shared" si="100"/>
        <v>0</v>
      </c>
      <c r="EV96" s="172">
        <f t="shared" si="101"/>
        <v>4</v>
      </c>
      <c r="EW96" s="367">
        <f>IF(C96=4,IF(MAX(Q96:EJ98)&gt;0,(Especiall/30*(IF(($G96-$F96)=($G$5-$F$5),30,IF(DAY($G96)=31,($G96-$F96),($G96-$F96)+1)))),0),0)</f>
        <v>0</v>
      </c>
      <c r="EX96" s="248">
        <f t="shared" ref="EX96:EX99" si="123">FF96</f>
        <v>9803.9000000000015</v>
      </c>
      <c r="EY96" s="174">
        <f>(L96*regular)+(M96*Cadeirantee)</f>
        <v>0</v>
      </c>
      <c r="EZ96" s="249">
        <f>SUMIF(FG96:GJ96,"&gt;0")</f>
        <v>0</v>
      </c>
      <c r="FA96" s="249">
        <f>SUMIF(FG96:GJ96,"&lt;0")+SUMIF(GN96:HP96,"&lt;0")</f>
        <v>-372.38900000000001</v>
      </c>
      <c r="FB96" s="174">
        <v>0</v>
      </c>
      <c r="FC96" s="175">
        <f>N96*km*'VALORES TABELA'!$B$13</f>
        <v>0</v>
      </c>
      <c r="FD96" s="250">
        <f>GL96</f>
        <v>0</v>
      </c>
      <c r="FE96" s="176">
        <f>(EW96+EW97+EW98+EW99+EX96+EX97+EX98+EX99+EY96+EY97+EY98+EY99+EY100+EZ96+EZ97+EZ98+EZ99+FA96+FA97+FA98+FA99+FC96+FC97+FC98+FC99+HY96-HZ96-IA96+FD96+FD97+FD98+FD99+FB100)</f>
        <v>9470.0710000000017</v>
      </c>
      <c r="FF96" s="177">
        <f>IF(C96=4,SUM(Q96+Q97+Q98+S96+S97+S98)*Percapita/30*FF$4+(R96+R97+R98+T96+T97+T98)*Cadeirante/30*FF$4,IF(C96=3,IF(Q99+S99=10,Fixo/30*FF$4+(Q96+Q97+Q98+S96+S97+S98)*Percapita/30*FF$4+(R99+T99)*Cadeirante/30*FF$4,IF(Q99+S99&lt;=9,(Q99+S99)*Crechee/30*FF$4)+(R99+T99)*Cadeirante/30*FF$4+(Q96+Q97+Q98+S96+S97+S98)*Percapita/30*FF$4)+IF(Q99+S99&gt;=11,Fixo/30*FF$4+(Q99+S99-10)*Crechee/30*FF$4,0),IF(C96=2,IF(R96+R97+R98+R99+T96+T97+T98+T99=1,Cadeirante/30*FF$4,IF(R96+R97+R98+R99+T96+T97+T98+T99=2,Fixo/30*FF$4,IF(R96+R97+R98+R99+T96+T97+T98+T99&gt;2,Fixo/30*FF$4+(R96+R97+R98+R99+T96+T97+T98+T99-2)*Cadeirante/30*FF$4)))+(Q96+Q97+Q98+S96+S97+S98)*Percapita/30*FF$4+(Q99+S99)*Crechee/30*FF$4,IF(C96=1,IF(Q96+Q97+Q98+R96+R97+R98+S96+S97+S98+T96+T97+T98&lt;=15,(Q96+Q97+Q98+S96+S97+S98)*Percapita/30*FF$4,IF(Q96+Q97+Q98+R96+R97+R98+S96+S97+S98+T96+T97+T98&gt;=16,Fixo/30*FF$4+(Q96+Q97+Q98+R96+R97+R98+S96+S97+S98+T96+T97-16)*Percapita/30*FF$4))))))</f>
        <v>9803.9000000000015</v>
      </c>
      <c r="FG96" s="177">
        <f>IF(C96=4,SUM(U96+U97+U98+W96+W97+W98)*Percapita/30*FG$4+(V96+V97+V98+X96+X97+X98)*Cadeirante/30*FG$4,IF(C96=3,IF(U99+W99=10,Fixo/30*FG$4+(U96+U97+U98+W96+W97+W98)*Percapita/30*FG$4+(V99+X99)*Cadeirante/30*FG$4,IF(U99+W99&lt;=9,(U99+W99)*Crechee/30*FG$4)+(V99+X99)*Cadeirante/30*FG$4+(U96+U97+U98+W96+W97+W98)*Percapita/30*FG$4)+IF(U99+W99&gt;=11,Fixo/30*FG$4+(U99+W99-10)*Crechee/30*FG$4,0),IF(C96=2,IF(V96+V97+V98+V99+X96+X97+X98+X99=1,Cadeirante/30*FG$4,IF(V96+V97+V98+V99+X96+X97+X98+X99=2,Fixo/30*FG$4,IF(V96+V97+V98+V99+X96+X97+X98+X99&gt;2,Fixo/30*FG$4+(V96+V97+V98+V99+X96+X97+X98+X99-2)*Cadeirante/30*FG$4)))+(U96+U97+U98+W96+W97+W98)*Percapita/30*FG$4+(U99+W99)*Crechee/30*FG$4,IF(C96=1,IF(U96+U97+U98+V96+V97+V98+W96+W97+W98+X96+X97+X98&lt;=15,(U96+U97+U98+W96+W97+W98)*Percapita/30*FG$4,IF(U96+U97+U98+V96+V97+V98+W96+W97+W98+X96+X97+X98&gt;=16,Fixo/30*FG$4+(U96+U97+U98+V96+V97+V98+W96+W97+W98+X96+X97-16)*Percapita/30*FG$4))))))</f>
        <v>0</v>
      </c>
      <c r="FH96" s="177">
        <f>IF(C96=4,SUM(Y96+Y97+Y98+AA96+AA97+AA98)*Percapita/30*FH$4+(Z96+Z97+Z98+AB96+AB97+AB98)*Cadeirante/30*FH$4,IF(C96=3,IF(Y99+AA99=10,Fixo/30*FH$4+(Y96+Y97+Y98+AA96+AA97+AA98)*Percapita/30*FH$4+(Z99+AB99)*Cadeirante/30*FH$4,IF(Y99+AA99&lt;=9,(Y99+AA99)*Crechee/30*FH$4)+(Z99+AB99)*Cadeirante/30*FH$4+(Y96+Y97+Y98+AA96+AA97+AA98)*Percapita/30*FH$4)+IF(Y99+AA99&gt;=11,Fixo/30*FH$4+(Y99+AA99-10)*Crechee/30*FH$4,0),IF(C96=2,IF(Z96+Z97+Z98+Z99+AB96+AB97+AB98+AB99=1,Cadeirante/30*FH$4,IF(Z96+Z97+Z98+Z99+AB96+AB97+AB98+AB99=2,Fixo/30*FH$4,IF(Z96+Z97+Z98+Z99+AB96+AB97+AB98+AB99&gt;2,Fixo/30*FH$4+(Z96+Z97+Z98+Z99+AB96+AB97+AB98+AB99-2)*Cadeirante/30*FH$4)))+(Y96+Y97+Y98+AA96+AA97+AA98)*Percapita/30*FH$4+(Y99+AA99)*Crechee/30*FH$4,IF(C96=1,IF(Y96+Y97+Y98+Z96+Z97+Z98+AA96+AA97+AA98+AB96+AB97+AB98&lt;=15,(Y96+Y97+Y98+AA96+AA97+AA98)*Percapita/30*FH$4,IF(Y96+Y97+Y98+Z96+Z97+Z98+AA96+AA97+AA98+AB96+AB97+AB98&gt;=16,Fixo/30*FH$4+(Y96+Y97+Y98+Z96+Z97+Z98+AA96+AA97+AA98+AB96+AB97-16)*Percapita/30*FH$4))))))</f>
        <v>0</v>
      </c>
      <c r="FI96" s="177">
        <f>IF(C96=4,SUM(AC96+AC97+AC98+AE96+AE97+AE98)*Percapita/30*FI$4+(AD96+AD97+AD98+AF96+AF97+AF98)*Cadeirante/30*FI$4,IF(C96=3,IF(AC99+AE99=10,Fixo/30*FI$4+(AC96+AC97+AC98+AE96+AE97+AE98)*Percapita/30*FI$4+(AD99+AF99)*Cadeirante/30*FI$4,IF(AC99+AE99&lt;=9,(AC99+AE99)*Crechee/30*FI$4)+(AD99+AF99)*Cadeirante/30*FI$4+(AC96+AC97+AC98+AE96+AE97+AE98)*Percapita/30*FI$4)+IF(AC99+AE99&gt;=11,Fixo/30*FI$4+(AC99+AE99-10)*Crechee/30*FI$4,0),IF(C96=2,IF(AD96+AD97+AD98+AD99+AF96+AF97+AF98+AF99=1,Cadeirante/30*FI$4,IF(AD96+AD97+AD98+AD99+AF96+AF97+AF98+AF99=2,Fixo/30*FI$4,IF(AD96+AD97+AD98+AD99+AF96+AF97+AF98+AF99&gt;2,Fixo/30*FI$4+(AD96+AD97+AD98+AD99+AF96+AF97+AF98+AF99-2)*Cadeirante/30*FI$4)))+(AC96+AC97+AC98+AE96+AE97+AE98)*Percapita/30*FI$4+(AC99+AE99)*Crechee/30*FI$4,IF(C96=1,IF(AC96+AC97+AC98+AD96+AD97+AD98+AE96+AE97+AE98+AF96+AF97+AF98&lt;=15,(AC96+AC97+AC98+AE96+AE97+AE98)*Percapita/30*FI$4,IF(AC96+AC97+AC98+AD96+AD97+AD98+AE96+AE97+AE98+AF96+AF97+AF98&gt;=16,Fixo/30*FI$4+(AC96+AC97+AC98+AD96+AD97+AD98+AE96+AE97+AE98+AF96+AF97-16)*Percapita/30*FI$4))))))</f>
        <v>0</v>
      </c>
      <c r="FJ96" s="177">
        <f>IF(C96=4,SUM(AG96+AG97+AG98+AI96+AI97+AI98)*Percapita/30*FJ$4+(AH96+AH97+AH98+AJ96+AJ97+AJ98)*Cadeirante/30*FJ$4,IF(C96=3,IF(AG99+AI99=10,Fixo/30*FJ$4+(AG96+AG97+AG98+AI96+AI97+AI98)*Percapita/30*FJ$4+(AH99+AJ99)*Cadeirante/30*FJ$4,IF(AG99+AI99&lt;=9,(AG99+AI99)*Crechee/30*FJ$4)+(AH99+AJ99)*Cadeirante/30*FJ$4+(AG96+AG97+AG98+AI96+AI97+AI98)*Percapita/30*FJ$4)+IF(AG99+AI99&gt;=11,Fixo/30*FJ$4+(AG99+AI99-10)*Crechee/30*FJ$4,0),IF(C96=2,IF(AH96+AH97+AH98+AH99+AJ96+AJ97+AJ98+AJ99=1,Cadeirante/30*FJ$4,IF(AH96+AH97+AH98+AH99+AJ96+AJ97+AJ98+AJ99=2,Fixo/30*FJ$4,IF(AH96+AH97+AH98+AH99+AJ96+AJ97+AJ98+AJ99&gt;2,Fixo/30*FJ$4+(AH96+AH97+AH98+AH99+AJ96+AJ97+AJ98+AJ99-2)*Cadeirante/30*FJ$4)))+(AG96+AG97+AG98+AI96+AI97+AI98)*Percapita/30*FJ$4+(AG99+AI99)*Crechee/30*FJ$4,IF(C96=1,IF(AG96+AG97+AG98+AH96+AH97+AH98+AI96+AI97+AI98+AJ96+AJ97+AJ98&lt;=15,(AG96+AG97+AG98+AI96+AI97+AI98)*Percapita/30*FJ$4,IF(AG96+AG97+AG98+AH96+AH97+AH98+AI96+AI97+AI98+AJ96+AJ97+AJ98&gt;=16,Fixo/30*FJ$4+(AG96+AG97+AG98+AH96+AH97+AH98+AI96+AI97+AI98+AJ96+AJ97-16)*Percapita/30*FJ$4))))))</f>
        <v>0</v>
      </c>
      <c r="FK96" s="177">
        <f>IF(C96=4,SUM(AK96+AK97+AK98+AM96+AM97+AM98)*Percapita/30*FK$4+(AL96+AL97+AL98+AN96+AN97+AN98)*Cadeirante/30*FK$4,IF(C96=3,IF(AK99+AM99=10,Fixo/30*FK$4+(AK96+AK97+AK98+AM96+AM97+AM98)*Percapita/30*FK$4+(AL99+AN99)*Cadeirante/30*FK$4,IF(AK99+AM99&lt;=9,(AK99+AM99)*Crechee/30*FK$4)+(AL99+AN99)*Cadeirante/30*FK$4+(AK96+AK97+AK98+AM96+AM97+AM98)*Percapita/30*FK$4)+IF(AK99+AM99&gt;=11,Fixo/30*FK$4+(AK99+AM99-10)*Crechee/30*FK$4,0),IF(C96=2,IF(AL96+AL97+AL98+AL99+AN96+AN97+AN98+AN99=1,Cadeirante/30*FK$4,IF(AL96+AL97+AL98+AL99+AN96+AN97+AN98+AN99=2,Fixo/30*FK$4,IF(AL96+AL97+AL98+AL99+AN96+AN97+AN98+AN99&gt;2,Fixo/30*FK$4+(AL96+AL97+AL98+AL99+AN96+AN97+AN98+AN99-2)*Cadeirante/30*FK$4)))+(AK96+AK97+AK98+AM96+AM97+AM98)*Percapita/30*FK$4+(AK99+AM99)*Crechee/30*FK$4,IF(C96=1,IF(AK96+AK97+AK98+AL96+AL97+AL98+AM96+AM97+AM98+AN96+AN97+AN98&lt;=15,(AK96+AK97+AK98+AM96+AM97+AM98)*Percapita/30*FK$4,IF(AK96+AK97+AK98+AL96+AL97+AL98+AM96+AM97+AM98+AN96+AN97+AN98&gt;=16,Fixo/30*FK$4+(AK96+AK97+AK98+AL96+AL97+AL98+AM96+AM97+AM98+AN96+AN97-16)*Percapita/30*FK$4))))))</f>
        <v>0</v>
      </c>
      <c r="FL96" s="177">
        <f>IF(C96=4,SUM(AO96+AO97+AO98+AQ96+AQ97+AQ98)*Percapita/30*FL$4+(AP96+AP97+AP98+AR96+AR97+AR98)*Cadeirante/30*FL$4,IF(C96=3,IF(AO99+AQ99=10,Fixo/30*FL$4+(AO96+AO97+AO98+AQ96+AQ97+AQ98)*Percapita/30*FL$4+(AP99+AR99)*Cadeirante/30*FL$4,IF(AO99+AQ99&lt;=9,(AO99+AQ99)*Crechee/30*FL$4)+(AP99+AR99)*Cadeirante/30*FL$4+(AO96+AO97+AO98+AQ96+AQ97+AQ98)*Percapita/30*FL$4)+IF(AO99+AQ99&gt;=11,Fixo/30*FL$4+(AO99+AQ99-10)*Crechee/30*FL$4,0),IF(C96=2,IF(AP96+AP97+AP98+AP99+AR96+AR97+AR98+AR99=1,Cadeirante/30*FL$4,IF(AP96+AP97+AP98+AP99+AR96+AR97+AR98+AR99=2,Fixo/30*FL$4,IF(AP96+AP97+AP98+AP99+AR96+AR97+AR98+AR99&gt;2,Fixo/30*FL$4+(AP96+AP97+AP98+AP99+AR96+AR97+AR98+AR99-2)*Cadeirante/30*FL$4)))+(AO96+AO97+AO98+AQ96+AQ97+AQ98)*Percapita/30*FL$4+(AO99+AQ99)*Crechee/30*FL$4,IF(C96=1,IF(AO96+AO97+AO98+AP96+AP97+AP98+AQ96+AQ97+AQ98+AR96+AR97+AR98&lt;=15,(AO96+AO97+AO98+AQ96+AQ97+AQ98)*Percapita/30*FL$4,IF(AO96+AO97+AO98+AP96+AP97+AP98+AQ96+AQ97+AQ98+AR96+AR97+AR98&gt;=16,Fixo/30*FL$4+(AO96+AO97+AO98+AP96+AP97+AP98+AQ96+AQ97+AQ98+AR96+AR97-16)*Percapita/30*FL$4))))))</f>
        <v>0</v>
      </c>
      <c r="FM96" s="177">
        <f>IF(C96=4,SUM(AS96+AS97+AS98+AU96+AU97+AU98)*Percapita/30*FM$4+(AT96+AT97+AT98+AV96+AV97+AV98)*Cadeirante/30*FM$4,IF(C96=3,IF(AS99+AU99=10,Fixo/30*FM$4+(AS96+AS97+AS98+AU96+AU97+AU98)*Percapita/30*FM$4+(AT99+AV99)*Cadeirante/30*FM$4,IF(AS99+AU99&lt;=9,(AS99+AU99)*Crechee/30*FM$4)+(AT99+AV99)*Cadeirante/30*FM$4+(AS96+AS97+AS98+AU96+AU97+AU98)*Percapita/30*FM$4)+IF(AS99+AU99&gt;=11,Fixo/30*FM$4+(AS99+AU99-10)*Crechee/30*FM$4,0),IF(C96=2,IF(AT96+AT97+AT98+AT99+AV96+AV97+AV98+AV99=1,Cadeirante/30*FM$4,IF(AT96+AT97+AT98+AT99+AV96+AV97+AV98+AV99=2,Fixo/30*FM$4,IF(AT96+AT97+AT98+AT99+AV96+AV97+AV98+AV99&gt;2,Fixo/30*FM$4+(AT96+AT97+AT98+AT99+AV96+AV97+AV98+AV99-2)*Cadeirante/30*FM$4)))+(AS96+AS97+AS98+AU96+AU97+AU98)*Percapita/30*FM$4+(AS99+AU99)*Crechee/30*FM$4,IF(C96=1,IF(AS96+AS97+AS98+AT96+AT97+AT98+AU96+AU97+AU98+AV96+AV97+AV98&lt;=15,(AS96+AS97+AS98+AU96+AU97+AU98)*Percapita/30*FM$4,IF(AS96+AS97+AS98+AT96+AT97+AT98+AU96+AU97+AU98+AV96+AV97+AV98&gt;=16,Fixo/30*FM$4+(AS96+AS97+AS98+AT96+AT97+AT98+AU96+AU97+AU98+AV96+AV97-16)*Percapita/30*FM$4))))))</f>
        <v>0</v>
      </c>
      <c r="FN96" s="177">
        <f>IF(C96=4,SUM(AW96+AW97+AW98+AY96+AY97+AY98)*Percapita/30*FN$4+(AX96+AX97+AX98+AZ96+AZ97+AZ98)*Cadeirante/30*FN$4,IF(C96=3,IF(AW99+AY99=10,Fixo/30*FN$4+(AW96+AW97+AW98+AY96+AY97+AY98)*Percapita/30*FN$4+(AX99+AZ99)*Cadeirante/30*FN$4,IF(AW99+AY99&lt;=9,(AW99+AY99)*Crechee/30*FN$4)+(AX99+AZ99)*Cadeirante/30*FN$4+(AW96+AW97+AW98+AY96+AY97+AY98)*Percapita/30*FN$4)+IF(AW99+AY99&gt;=11,Fixo/30*FN$4+(AW99+AY99-10)*Crechee/30*FN$4,0),IF(C96=2,IF(AX96+AX97+AX98+AX99+AZ96+AZ97+AZ98+AZ99=1,Cadeirante/30*FN$4,IF(AX96+AX97+AX98+AX99+AZ96+AZ97+AZ98+AZ99=2,Fixo/30*FN$4,IF(AX96+AX97+AX98+AX99+AZ96+AZ97+AZ98+AZ99&gt;2,Fixo/30*FN$4+(AX96+AX97+AX98+AX99+AZ96+AZ97+AZ98+AZ99-2)*Cadeirante/30*FN$4)))+(AW96+AW97+AW98+AY96+AY97+AY98)*Percapita/30*FN$4+(AW99+AY99)*Crechee/30*FN$4,IF(C96=1,IF(AW96+AW97+AW98+AX96+AX97+AX98+AY96+AY97+AY98+AZ96+AZ97+AZ98&lt;=15,(AW96+AW97+AW98+AY96+AY97+AY98)*Percapita/30*FN$4,IF(AW96+AW97+AW98+AX96+AX97+AX98+AY96+AY97+AY98+AZ96+AZ97+AZ98&gt;=16,Fixo/30*FN$4+(AW96+AW97+AW98+AX96+AX97+AX98+AY96+AY97+AY98+AZ96+AZ97-16)*Percapita/30*FN$4))))))</f>
        <v>-282.50200000000001</v>
      </c>
      <c r="FO96" s="177">
        <f>IF(C96=4,SUM(BA96+BA97+BA98+BC96+BC97+BC98)*Percapita/30*FO$4+(BB96+BB97+BB98+BD96+BD97+BD98)*Cadeirante/30*FO$4,IF(C96=3,IF(BA99+BC99=10,Fixo/30*FO$4+(BA96+BA97+BA98+BC96+BC97+BC98)*Percapita/30*FO$4+(BB99+BD99)*Cadeirante/30*FO$4,IF(BA99+BC99&lt;=9,(BA99+BC99)*Crechee/30*FO$4)+(BB99+BD99)*Cadeirante/30*FO$4+(BA96+BA97+BA98+BC96+BC97+BC98)*Percapita/30*FO$4)+IF(BA99+BC99&gt;=11,Fixo/30*FO$4+(BA99+BC99-10)*Crechee/30*FO$4,0),IF(C96=2,IF(BB96+BB97+BB98+BB99+BD96+BD97+BD98+BD99=1,Cadeirante/30*FO$4,IF(BB96+BB97+BB98+BB99+BD96+BD97+BD98+BD99=2,Fixo/30*FO$4,IF(BB96+BB97+BB98+BB99+BD96+BD97+BD98+BD99&gt;2,Fixo/30*FO$4+(BB96+BB97+BB98+BB99+BD96+BD97+BD98+BD99-2)*Cadeirante/30*FO$4)))+(BA96+BA97+BA98+BC96+BC97+BC98)*Percapita/30*FO$4+(BA99+BC99)*Crechee/30*FO$4,IF(C96=1,IF(BA96+BA97+BA98+BB96+BB97+BB98+BC96+BC97+BC98+BD96+BD97+BD98&lt;=15,(BA96+BA97+BA98+BC96+BC97+BC98)*Percapita/30*FO$4,IF(BA96+BA97+BA98+BB96+BB97+BB98+BC96+BC97+BC98+BD96+BD97+BD98&gt;=16,Fixo/30*FO$4+(BA96+BA97+BA98+BB96+BB97+BB98+BC96+BC97+BC98+BD96+BD97-16)*Percapita/30*FO$4))))))</f>
        <v>0</v>
      </c>
      <c r="FP96" s="177">
        <f>IF(C96=4,SUM(BE96+BE97+BE98+BG96+BG97+BG98)*Percapita/30*FP$4+(BF96+BF97+BF98+BH96+BH97+BH98)*Cadeirante/30*FP$4,IF(C96=3,IF(BE99+BG99=10,Fixo/30*FP$4+(BE96+BE97+BE98+BG96+BG97+BG98)*Percapita/30*FP$4+(BF99+BH99)*Cadeirante/30*FP$4,IF(BE99+BG99&lt;=9,(BE99+BG99)*Crechee/30*FP$4)+(BF99+BH99)*Cadeirante/30*FP$4+(BE96+BE97+BE98+BG96+BG97+BG98)*Percapita/30*FP$4)+IF(BE99+BG99&gt;=11,Fixo/30*FP$4+(BE99+BG99-10)*Crechee/30*FP$4,0),IF(C96=2,IF(BF96+BF97+BF98+BF99+BH96+BH97+BH98+BH99=1,Cadeirante/30*FP$4,IF(BF96+BF97+BF98+BF99+BH96+BH97+BH98+BH99=2,Fixo/30*FP$4,IF(BF96+BF97+BF98+BF99+BH96+BH97+BH98+BH99&gt;2,Fixo/30*FP$4+(BF96+BF97+BF98+BF99+BH96+BH97+BH98+BH99-2)*Cadeirante/30*FP$4)))+(BE96+BE97+BE98+BG96+BG97+BG98)*Percapita/30*FP$4+(BE99+BG99)*Crechee/30*FP$4,IF(C96=1,IF(BE96+BE97+BE98+BF96+BF97+BF98+BG96+BG97+BG98+BH96+BH97+BH98&lt;=15,(BE96+BE97+BE98+BG96+BG97+BG98)*Percapita/30*FP$4,IF(BE96+BE97+BE98+BF96+BF97+BF98+BG96+BG97+BG98+BH96+BH97+BH98&gt;=16,Fixo/30*FP$4+(BE96+BE97+BE98+BF96+BF97+BF98+BG96+BG97+BG98+BH96+BH97-16)*Percapita/30*FP$4))))))</f>
        <v>0</v>
      </c>
      <c r="FQ96" s="177">
        <f>IF(C96=4,SUM(BI96+BI97+BI98+BK96+BK97+BK98)*Percapita/30*FQ$4+(BJ96+BJ97+BJ98+BL96+BL97+BL98)*Cadeirante/30*FQ$4,IF(C96=3,IF(BI99+BK99=10,Fixo/30*FQ$4+(BI96+BI97+BI98+BK96+BK97+BK98)*Percapita/30*FQ$4+(BJ99+BL99)*Cadeirante/30*FQ$4,IF(BI99+BK99&lt;=9,(BI99+BK99)*Crechee/30*FQ$4)+(BJ99+BL99)*Cadeirante/30*FQ$4+(BI96+BI97+BI98+BK96+BK97+BK98)*Percapita/30*FQ$4)+IF(BI99+BK99&gt;=11,Fixo/30*FQ$4+(BI99+BK99-10)*Crechee/30*FQ$4,0),IF(C96=2,IF(BJ96+BJ97+BJ98+BJ99+BL96+BL97+BL98+BL99=1,Cadeirante/30*FQ$4,IF(BJ96+BJ97+BJ98+BJ99+BL96+BL97+BL98+BL99=2,Fixo/30*FQ$4,IF(BJ96+BJ97+BJ98+BJ99+BL96+BL97+BL98+BL99&gt;2,Fixo/30*FQ$4+(BJ96+BJ97+BJ98+BJ99+BL96+BL97+BL98+BL99-2)*Cadeirante/30*FQ$4)))+(BI96+BI97+BI98+BK96+BK97+BK98)*Percapita/30*FQ$4+(BI99+BK99)*Crechee/30*FQ$4,IF(C96=1,IF(BI96+BI97+BI98+BJ96+BJ97+BJ98+BK96+BK97+BK98+BL96+BL97+BL98&lt;=15,(BI96+BI97+BI98+BK96+BK97+BK98)*Percapita/30*FQ$4,IF(BI96+BI97+BI98+BJ96+BJ97+BJ98+BK96+BK97+BK98+BL96+BL97+BL98&gt;=16,Fixo/30*FQ$4+(BI96+BI97+BI98+BJ96+BJ97+BJ98+BK96+BK97+BK98+BL96+BL97-16)*Percapita/30*FQ$4))))))</f>
        <v>0</v>
      </c>
      <c r="FR96" s="177">
        <f>IF(C96=4,SUM(BM96+BM97+BM98+BO96+BO97+BO98)*Percapita/30*FR$4+(BN96+BN97+BN98+BP96+BP97+BP98)*Cadeirante/30*FR$4,IF(C96=3,IF(BM99+BO99=10,Fixo/30*FR$4+(BM96+BM97+BM98+BO96+BO97+BO98)*Percapita/30*FR$4+(BN99+BP99)*Cadeirante/30*FR$4,IF(BM99+BO99&lt;=9,(BM99+BO99)*Crechee/30*FR$4)+(BN99+BP99)*Cadeirante/30*FR$4+(BM96+BM97+BM98+BO96+BO97+BO98)*Percapita/30*FR$4)+IF(BM99+BO99&gt;=11,Fixo/30*FR$4+(BM99+BO99-10)*Crechee/30*FR$4,0),IF(C96=2,IF(BN96+BN97+BN98+BN99+BP96+BP97+BP98+BP99=1,Cadeirante/30*FR$4,IF(BN96+BN97+BN98+BN99+BP96+BP97+BP98+BP99=2,Fixo/30*FR$4,IF(BN96+BN97+BN98+BN99+BP96+BP97+BP98+BP99&gt;2,Fixo/30*FR$4+(BN96+BN97+BN98+BN99+BP96+BP97+BP98+BP99-2)*Cadeirante/30*FR$4)))+(BM96+BM97+BM98+BO96+BO97+BO98)*Percapita/30*FR$4+(BM99+BO99)*Crechee/30*FR$4,IF(C96=1,IF(BM96+BM97+BM98+BN96+BN97+BN98+BO96+BO97+BO98+BP96+BP97+BP98&lt;=15,(BM96+BM97+BM98+BO96+BO97+BO98)*Percapita/30*FR$4,IF(BM96+BM97+BM98+BN96+BN97+BN98+BO96+BO97+BO98+BP96+BP97+BP98&gt;=16,Fixo/30*FR$4+(BM96+BM97+BM98+BN96+BN97+BN98+BO96+BO97+BO98+BP96+BP97-16)*Percapita/30*FR$4))))))</f>
        <v>0</v>
      </c>
      <c r="FS96" s="177">
        <f>IF(C96=4,SUM(BQ96+BQ97+BQ98+BS96+BS97+BS98)*Percapita/30*FS$4+(BR96+BR97+BR98+BT96+BT97+BT98)*Cadeirante/30*FS$4,IF(C96=3,IF(BQ99+BS99=10,Fixo/30*FS$4+(BQ96+BQ97+BQ98+BS96+BS97+BS98)*Percapita/30*FS$4+(BR99+BT99)*Cadeirante/30*FS$4,IF(BQ99+BS99&lt;=9,(BQ99+BS99)*Crechee/30*FS$4)+(BR99+BT99)*Cadeirante/30*FS$4+(BQ96+BQ97+BQ98+BS96+BS97+BS98)*Percapita/30*FS$4)+IF(BQ99+BS99&gt;=11,Fixo/30*FS$4+(BQ99+BS99-10)*Crechee/30*FS$4,0),IF(C96=2,IF(BR96+BR97+BR98+BR99+BT96+BT97+BT98+BT99=1,Cadeirante/30*FS$4,IF(BR96+BR97+BR98+BR99+BT96+BT97+BT98+BT99=2,Fixo/30*FS$4,IF(BR96+BR97+BR98+BR99+BT96+BT97+BT98+BT99&gt;2,Fixo/30*FS$4+(BR96+BR97+BR98+BR99+BT96+BT97+BT98+BT99-2)*Cadeirante/30*FS$4)))+(BQ96+BQ97+BQ98+BS96+BS97+BS98)*Percapita/30*FS$4+(BQ99+BS99)*Crechee/30*FS$4,IF(C96=1,IF(BQ96+BQ97+BQ98+BR96+BR97+BR98+BS96+BS97+BS98+BT96+BT97+BT98&lt;=15,(BQ96+BQ97+BQ98+BS96+BS97+BS98)*Percapita/30*FS$4,IF(BQ96+BQ97+BQ98+BR96+BR97+BR98+BS96+BS97+BS98+BT96+BT97+BT98&gt;=16,Fixo/30*FS$4+(BQ96+BQ97+BQ98+BR96+BR97+BR98+BS96+BS97+BS98+BT96+BT97-16)*Percapita/30*FS$4))))))</f>
        <v>0</v>
      </c>
      <c r="FT96" s="177">
        <f>IF(C96=4,SUM(BU96+BU97+BU98+BW96+BW97+BW98)*Percapita/30*FT$4+(BV96+BV97+BV98+BX96+BX97+BX98)*Cadeirante/30*FT$4,IF(C96=3,IF(BU99+BW99=10,Fixo/30*FT$4+(BU96+BU97+BU98+BW96+BW97+BW98)*Percapita/30*FT$4+(BV99+BX99)*Cadeirante/30*FT$4,IF(BU99+BW99&lt;=9,(BU99+BW99)*Crechee/30*FT$4)+(BV99+BX99)*Cadeirante/30*FT$4+(BU96+BU97+BU98+BW96+BW97+BW98)*Percapita/30*FT$4)+IF(BU99+BW99&gt;=11,Fixo/30*FT$4+(BU99+BW99-10)*Crechee/30*FT$4,0),IF(C96=2,IF(BV96+BV97+BV98+BV99+BX96+BX97+BX98+BX99=1,Cadeirante/30*FT$4,IF(BV96+BV97+BV98+BV99+BX96+BX97+BX98+BX99=2,Fixo/30*FT$4,IF(BV96+BV97+BV98+BV99+BX96+BX97+BX98+BX99&gt;2,Fixo/30*FT$4+(BV96+BV97+BV98+BV99+BX96+BX97+BX98+BX99-2)*Cadeirante/30*FT$4)))+(BU96+BU97+BU98+BW96+BW97+BW98)*Percapita/30*FT$4+(BU99+BW99)*Crechee/30*FT$4,IF(C96=1,IF(BU96+BU97+BU98+BV96+BV97+BV98+BW96+BW97+BW98+BX96+BX97+BX98&lt;=15,(BU96+BU97+BU98+BW96+BW97+BW98)*Percapita/30*FT$4,IF(BU96+BU97+BU98+BV96+BV97+BV98+BW96+BW97+BW98+BX96+BX97+BX98&gt;=16,Fixo/30*FT$4+(BU96+BU97+BU98+BV96+BV97+BV98+BW96+BW97+BW98+BX96+BX97-16)*Percapita/30*FT$4))))))</f>
        <v>0</v>
      </c>
      <c r="FU96" s="177">
        <f>IF(C96=4,SUM(BY96+BY97+BY98+CA96+CA97+CA98)*Percapita/30*FU$4+(BZ96+BZ97+BZ98+CB96+CB97+CB98)*Cadeirante/30*FU$4,IF(C96=3,IF(BY99+CA99=10,Fixo/30*FU$4+(BY96+BY97+BY98+CA96+CA97+CA98)*Percapita/30*FU$4+(BZ99+CB99)*Cadeirante/30*FU$4,IF(BY99+CA99&lt;=9,(BY99+CA99)*Crechee/30*FU$4)+(BZ99+CB99)*Cadeirante/30*FU$4+(BY96+BY97+BY98+CA96+CA97+CA98)*Percapita/30*FU$4)+IF(BY99+CA99&gt;=11,Fixo/30*FU$4+(BY99+CA99-10)*Crechee/30*FU$4,0),IF(C96=2,IF(BZ96+BZ97+BZ98+BZ99+CB96+CB97+CB98+CB99=1,Cadeirante/30*FU$4,IF(BZ96+BZ97+BZ98+BZ99+CB96+CB97+CB98+CB99=2,Fixo/30*FU$4,IF(BZ96+BZ97+BZ98+BZ99+CB96+CB97+CB98+CB99&gt;2,Fixo/30*FU$4+(BZ96+BZ97+BZ98+BZ99+CB96+CB97+CB98+CB99-2)*Cadeirante/30*FU$4)))+(BY96+BY97+BY98+CA96+CA97+CA98)*Percapita/30*FU$4+(BY99+CA99)*Crechee/30*FU$4,IF(C96=1,IF(BY96+BY97+BY98+BZ96+BZ97+BZ98+CA96+CA97+CA98+CB96+CB97+CB98&lt;=15,(BY96+BY97+BY98+CA96+CA97+CA98)*Percapita/30*FU$4,IF(BY96+BY97+BY98+BZ96+BZ97+BZ98+CA96+CA97+CA98+CB96+CB97+CB98&gt;=16,Fixo/30*FU$4+(BY96+BY97+BY98+BZ96+BZ97+BZ98+CA96+CA97+CA98+CB96+CB97-16)*Percapita/30*FU$4))))))</f>
        <v>0</v>
      </c>
      <c r="FV96" s="177">
        <f>IF(C96=4,SUM(CC96+CC97+CC98+CE96+CE97+CE98)*Percapita/30*FV$4+(CD96+CD97+CD98+CF96+CF97+CF98)*Cadeirante/30*FV$4,IF(C96=3,IF(CC99+CE99=10,Fixo/30*FV$4+(CC96+CC97+CC98+CE96+CE97+CE98)*Percapita/30*FV$4+(CD99+CF99)*Cadeirante/30*FV$4,IF(CC99+CE99&lt;=9,(CC99+CE99)*Crechee/30*FV$4)+(CD99+CF99)*Cadeirante/30*FV$4+(CC96+CC97+CC98+CE96+CE97+CE98)*Percapita/30*FV$4)+IF(CC99+CE99&gt;=11,Fixo/30*FV$4+(CC99+CE99-10)*Crechee/30*FV$4,0),IF(C96=2,IF(CD96+CD97+CD98+CD99+CF96+CF97+CF98+CF99=1,Cadeirante/30*FV$4,IF(CD96+CD97+CD98+CD99+CF96+CF97+CF98+CF99=2,Fixo/30*FV$4,IF(CD96+CD97+CD98+CD99+CF96+CF97+CF98+CF99&gt;2,Fixo/30*FV$4+(CD96+CD97+CD98+CD99+CF96+CF97+CF98+CF99-2)*Cadeirante/30*FV$4)))+(CC96+CC97+CC98+CE96+CE97+CE98)*Percapita/30*FV$4+(CC99+CE99)*Crechee/30*FV$4,IF(C96=1,IF(CC96+CC97+CC98+CD96+CD97+CD98+CE96+CE97+CE98+CF96+CF97+CF98&lt;=15,(CC96+CC97+CC98+CE96+CE97+CE98)*Percapita/30*FV$4,IF(CC96+CC97+CC98+CD96+CD97+CD98+CE96+CE97+CE98+CF96+CF97+CF98&gt;=16,Fixo/30*FV$4+(CC96+CC97+CC98+CD96+CD97+CD98+CE96+CE97+CE98+CF96+CF97-16)*Percapita/30*FV$4))))))</f>
        <v>0</v>
      </c>
      <c r="FW96" s="177">
        <f>IF(C96=4,SUM(CG96+CG97+CG98+CI96+CI97+CI98)*Percapita/30*FW$4+(CH96+CH97+CH98+CJ96+CJ97+CJ98)*Cadeirante/30*FW$4,IF(C96=3,IF(CG99+CI99=10,Fixo/30*FW$4+(CG96+CG97+CG98+CI96+CI97+CI98)*Percapita/30*FW$4+(CH99+CJ99)*Cadeirante/30*FW$4,IF(CG99+CI99&lt;=9,(CG99+CI99)*Crechee/30*FW$4)+(CH99+CJ99)*Cadeirante/30*FW$4+(CG96+CG97+CG98+CI96+CI97+CI98)*Percapita/30*FW$4)+IF(CG99+CI99&gt;=11,Fixo/30*FW$4+(CG99+CI99-10)*Crechee/30*FW$4,0),IF(C96=2,IF(CH96+CH97+CH98+CH99+CJ96+CJ97+CJ98+CJ99=1,Cadeirante/30*FW$4,IF(CH96+CH97+CH98+CH99+CJ96+CJ97+CJ98+CJ99=2,Fixo/30*FW$4,IF(CH96+CH97+CH98+CH99+CJ96+CJ97+CJ98+CJ99&gt;2,Fixo/30*FW$4+(CH96+CH97+CH98+CH99+CJ96+CJ97+CJ98+CJ99-2)*Cadeirante/30*FW$4)))+(CG96+CG97+CG98+CI96+CI97+CI98)*Percapita/30*FW$4+(CG99+CI99)*Crechee/30*FW$4,IF(C96=1,IF(CG96+CG97+CG98+CH96+CH97+CH98+CI96+CI97+CI98+CJ96+CJ97+CJ98&lt;=15,(CG96+CG97+CG98+CI96+CI97+CI98)*Percapita/30*FW$4,IF(CG96+CG97+CG98+CH96+CH97+CH98+CI96+CI97+CI98+CJ96+CJ97+CJ98&gt;=16,Fixo/30*FW$4+(CG96+CG97+CG98+CH96+CH97+CH98+CI96+CI97+CI98+CJ96+CJ97-16)*Percapita/30*FW$4))))))</f>
        <v>0</v>
      </c>
      <c r="FX96" s="177">
        <f>IF(C96=4,SUM(CK96+CK97+CK98+CM96+CM97+CM98)*Percapita/30*FX$4+(CL96+CL97+CL98+CN96+CN97+CN98)*Cadeirante/30*FX$4,IF(C96=3,IF(CK99+CM99=10,Fixo/30*FX$4+(CK96+CK97+CK98+CM96+CM97+CM98)*Percapita/30*FX$4+(CL99+CN99)*Cadeirante/30*FX$4,IF(CK99+CM99&lt;=9,(CK99+CM99)*Crechee/30*FX$4)+(CL99+CN99)*Cadeirante/30*FX$4+(CK96+CK97+CK98+CM96+CM97+CM98)*Percapita/30*FX$4)+IF(CK99+CM99&gt;=11,Fixo/30*FX$4+(CK99+CM99-10)*Crechee/30*FX$4,0),IF(C96=2,IF(CL96+CL97+CL98+CL99+CN96+CN97+CN98+CN99=1,Cadeirante/30*FX$4,IF(CL96+CL97+CL98+CL99+CN96+CN97+CN98+CN99=2,Fixo/30*FX$4,IF(CL96+CL97+CL98+CL99+CN96+CN97+CN98+CN99&gt;2,Fixo/30*FX$4+(CL96+CL97+CL98+CL99+CN96+CN97+CN98+CN99-2)*Cadeirante/30*FX$4)))+(CK96+CK97+CK98+CM96+CM97+CM98)*Percapita/30*FX$4+(CK99+CM99)*Crechee/30*FX$4,IF(C96=1,IF(CK96+CK97+CK98+CL96+CL97+CL98+CM96+CM97+CM98+CN96+CN97+CN98&lt;=15,(CK96+CK97+CK98+CM96+CM97+CM98)*Percapita/30*FX$4,IF(CK96+CK97+CK98+CL96+CL97+CL98+CM96+CM97+CM98+CN96+CN97+CN98&gt;=16,Fixo/30*FX$4+(CK96+CK97+CK98+CL96+CL97+CL98+CM96+CM97+CM98+CN96+CN97-16)*Percapita/30*FX$4))))))</f>
        <v>0</v>
      </c>
      <c r="FY96" s="177">
        <f>IF(C96=4,SUM(CO96+CO97+CO98+CQ96+CQ97+CQ98)*Percapita/30*FY$4+(CP96+CP97+CP98+CR96+CR97+CR98)*Cadeirante/30*FY$4,IF(C96=3,IF(CO99+CQ99=10,Fixo/30*FY$4+(CO96+CO97+CO98+CQ96+CQ97+CQ98)*Percapita/30*FY$4+(CP99+CR99)*Cadeirante/30*FY$4,IF(CO99+CQ99&lt;=9,(CO99+CQ99)*Crechee/30*FY$4)+(CP99+CR99)*Cadeirante/30*FY$4+(CO96+CO97+CO98+CQ96+CQ97+CQ98)*Percapita/30*FY$4)+IF(CO99+CQ99&gt;=11,Fixo/30*FY$4+(CO99+CQ99-10)*Crechee/30*FY$4,0),IF(C96=2,IF(CP96+CP97+CP98+CP99+CR96+CR97+CR98+CR99=1,Cadeirante/30*FY$4,IF(CP96+CP97+CP98+CP99+CR96+CR97+CR98+CR99=2,Fixo/30*FY$4,IF(CP96+CP97+CP98+CP99+CR96+CR97+CR98+CR99&gt;2,Fixo/30*FY$4+(CP96+CP97+CP98+CP99+CR96+CR97+CR98+CR99-2)*Cadeirante/30*FY$4)))+(CO96+CO97+CO98+CQ96+CQ97+CQ98)*Percapita/30*FY$4+(CO99+CQ99)*Crechee/30*FY$4,IF(C96=1,IF(CO96+CO97+CO98+CP96+CP97+CP98+CQ96+CQ97+CQ98+CR96+CR97+CR98&lt;=15,(CO96+CO97+CO98+CQ96+CQ97+CQ98)*Percapita/30*FY$4,IF(CO96+CO97+CO98+CP96+CP97+CP98+CQ96+CQ97+CQ98+CR96+CR97+CR98&gt;=16,Fixo/30*FY$4+(CO96+CO97+CO98+CP96+CP97+CP98+CQ96+CQ97+CQ98+CR96+CR97-16)*Percapita/30*FY$4))))))</f>
        <v>0</v>
      </c>
      <c r="FZ96" s="177">
        <f>IF(C96=4,SUM(CS96+CS97+CS98+CU96+CU97+CU98)*Percapita/30*FZ$4+(CT96+CT97+CT98+CV96+CV97+CV98)*Cadeirante/30*FZ$4,IF(C96=3,IF(CS99+CU99=10,Fixo/30*FZ$4+(CS96+CS97+CS98+CU96+CU97+CU98)*Percapita/30*FZ$4+(CT99+CV99)*Cadeirante/30*FZ$4,IF(CS99+CU99&lt;=9,(CS99+CU99)*Crechee/30*FZ$4)+(CT99+CV99)*Cadeirante/30*FZ$4+(CS96+CS97+CS98+CU96+CU97+CU98)*Percapita/30*FZ$4)+IF(CS99+CU99&gt;=11,Fixo/30*FZ$4+(CS99+CU99-10)*Crechee/30*FZ$4,0),IF(C96=2,IF(CT96+CT97+CT98+CT99+CV96+CV97+CV98+CV99=1,Cadeirante/30*FZ$4,IF(CT96+CT97+CT98+CT99+CV96+CV97+CV98+CV99=2,Fixo/30*FZ$4,IF(CT96+CT97+CT98+CT99+CV96+CV97+CV98+CV99&gt;2,Fixo/30*FZ$4+(CT96+CT97+CT98+CT99+CV96+CV97+CV98+CV99-2)*Cadeirante/30*FZ$4)))+(CS96+CS97+CS98+CU96+CU97+CU98)*Percapita/30*FZ$4+(CS99+CU99)*Crechee/30*FZ$4,IF(C96=1,IF(CS96+CS97+CS98+CT96+CT97+CT98+CU96+CU97+CU98+CV96+CV97+CV98&lt;=15,(CS96+CS97+CS98+CU96+CU97+CU98)*Percapita/30*FZ$4,IF(CS96+CS97+CS98+CT96+CT97+CT98+CU96+CU97+CU98+CV96+CV97+CV98&gt;=16,Fixo/30*FZ$4+(CS96+CS97+CS98+CT96+CT97+CT98+CU96+CU97+CU98+CV96+CV97-16)*Percapita/30*FZ$4))))))</f>
        <v>0</v>
      </c>
      <c r="GA96" s="177">
        <f>IF(C96=4,SUM(CW96+CW97+CW98+CY96+CY97+CY98)*Percapita/30*GA$4+(CX96+CX97+CX98+CZ96+CZ97+CZ98)*Cadeirante/30*GA$4,IF(C96=3,IF(CW99+CY99=10,Fixo/30*GA$4+(CW96+CW97+CW98+CY96+CY97+CY98)*Percapita/30*GA$4+(CX99+CZ99)*Cadeirante/30*GA$4,IF(CW99+CY99&lt;=9,(CW99+CY99)*Crechee/30*GA$4)+(CX99+CZ99)*Cadeirante/30*GA$4+(CW96+CW97+CW98+CY96+CY97+CY98)*Percapita/30*GA$4)+IF(CW99+CY99&gt;=11,Fixo/30*GA$4+(CW99+CY99-10)*Crechee/30*GA$4,0),IF(C96=2,IF(CX96+CX97+CX98+CX99+CZ96+CZ97+CZ98+CZ99=1,Cadeirante/30*GA$4,IF(CX96+CX97+CX98+CX99+CZ96+CZ97+CZ98+CZ99=2,Fixo/30*GA$4,IF(CX96+CX97+CX98+CX99+CZ96+CZ97+CZ98+CZ99&gt;2,Fixo/30*GA$4+(CX96+CX97+CX98+CX99+CZ96+CZ97+CZ98+CZ99-2)*Cadeirante/30*GA$4)))+(CW96+CW97+CW98+CY96+CY97+CY98)*Percapita/30*GA$4+(CW99+CY99)*Crechee/30*GA$4,IF(C96=1,IF(CW96+CW97+CW98+CX96+CX97+CX98+CY96+CY97+CY98+CZ96+CZ97+CZ98&lt;=15,(CW96+CW97+CW98+CY96+CY97+CY98)*Percapita/30*GA$4,IF(CW96+CW97+CW98+CX96+CX97+CX98+CY96+CY97+CY98+CZ96+CZ97+CZ98&gt;=16,Fixo/30*GA$4+(CW96+CW97+CW98+CX96+CX97+CX98+CY96+CY97+CY98+CZ96+CZ97-16)*Percapita/30*GA$4))))))</f>
        <v>0</v>
      </c>
      <c r="GB96" s="177">
        <f>IF(C96=4,SUM(DA96+DA97+DA98+DC96+DC97+DC98)*Percapita/30*GB$4+(DB96+DB97+DB98+DD96+DD97+DD98)*Cadeirante/30*GB$4,IF(C96=3,IF(DA99+DC99=10,Fixo/30*GB$4+(DA96+DA97+DA98+DC96+DC97+DC98)*Percapita/30*GB$4+(DB99+DD99)*Cadeirante/30*GB$4,IF(DA99+DC99&lt;=9,(DA99+DC99)*Crechee/30*GB$4)+(DB99+DD99)*Cadeirante/30*GB$4+(DA96+DA97+DA98+DC96+DC97+DC98)*Percapita/30*GB$4)+IF(DA99+DC99&gt;=11,Fixo/30*GB$4+(DA99+DC99-10)*Crechee/30*GB$4,0),IF(C96=2,IF(DB96+DB97+DB98+DB99+DD96+DD97+DD98+DD99=1,Cadeirante/30*GB$4,IF(DB96+DB97+DB98+DB99+DD96+DD97+DD98+DD99=2,Fixo/30*GB$4,IF(DB96+DB97+DB98+DB99+DD96+DD97+DD98+DD99&gt;2,Fixo/30*GB$4+(DB96+DB97+DB98+DB99+DD96+DD97+DD98+DD99-2)*Cadeirante/30*GB$4)))+(DA96+DA97+DA98+DC96+DC97+DC98)*Percapita/30*GB$4+(DA99+DC99)*Crechee/30*GB$4,IF(C96=1,IF(DA96+DA97+DA98+DB96+DB97+DB98+DC96+DC97+DC98+DD96+DD97+DD98&lt;=15,(DA96+DA97+DA98+DC96+DC97+DC98)*Percapita/30*GB$4,IF(DA96+DA97+DA98+DB96+DB97+DB98+DC96+DC97+DC98+DD96+DD97+DD98&gt;=16,Fixo/30*GB$4+(DA96+DA97+DA98+DB96+DB97+DB98+DC96+DC97+DC98+DD96+DD97-16)*Percapita/30*GB$4))))))</f>
        <v>0</v>
      </c>
      <c r="GC96" s="177">
        <f>IF(C96=4,SUM(DE96+DE97+DE98+DG96+DG97+DG98)*Percapita/30*GC$4+(DF96+DF97+DF98+DH96+DH97+DH98)*Cadeirante/30*GC$4,IF(C96=3,IF(DE99+DG99=10,Fixo/30*GC$4+(DE96+DE97+DE98+DG96+DG97+DG98)*Percapita/30*GC$4+(DF99+DH99)*Cadeirante/30*GC$4,IF(DE99+DG99&lt;=9,(DE99+DG99)*Crechee/30*GC$4)+(DF99+DH99)*Cadeirante/30*GC$4+(DE96+DE97+DE98+DG96+DG97+DG98)*Percapita/30*GC$4)+IF(DE99+DG99&gt;=11,Fixo/30*GC$4+(DE99+DG99-10)*Crechee/30*GC$4,0),IF(C96=2,IF(DF96+DF97+DF98+DF99+DH96+DH97+DH98+DH99=1,Cadeirante/30*GC$4,IF(DF96+DF97+DF98+DF99+DH96+DH97+DH98+DH99=2,Fixo/30*GC$4,IF(DF96+DF97+DF98+DF99+DH96+DH97+DH98+DH99&gt;2,Fixo/30*GC$4+(DF96+DF97+DF98+DF99+DH96+DH97+DH98+DH99-2)*Cadeirante/30*GC$4)))+(DE96+DE97+DE98+DG96+DG97+DG98)*Percapita/30*GC$4+(DE99+DG99)*Crechee/30*GC$4,IF(C96=1,IF(DE96+DE97+DE98+DF96+DF97+DF98+DG96+DG97+DG98+DH96+DH97+DH98&lt;=15,(DE96+DE97+DE98+DG96+DG97+DG98)*Percapita/30*GC$4,IF(DE96+DE97+DE98+DF96+DF97+DF98+DG96+DG97+DG98+DH96+DH97+DH98&gt;=16,Fixo/30*GC$4+(DE96+DE97+DE98+DF96+DF97+DF98+DG96+DG97+DG98+DH96+DH97-16)*Percapita/30*GC$4))))))</f>
        <v>-89.887</v>
      </c>
      <c r="GD96" s="177">
        <f>IF(C96=4,SUM(DI96+DI97+DI98+DK96+DK97+DK98)*Percapita/30*GD$4+(DJ96+DJ97+DJ98+DL96+DL97+DL98)*Cadeirante/30*GD$4,IF(C96=3,IF(DI99+DK99=10,Fixo/30*GD$4+(DI96+DI97+DI98+DK96+DK97+DK98)*Percapita/30*GD$4+(DJ99+DL99)*Cadeirante/30*GD$4,IF(DI99+DK99&lt;=9,(DI99+DK99)*Crechee/30*GD$4)+(DJ99+DL99)*Cadeirante/30*GD$4+(DI96+DI97+DI98+DK96+DK97+DK98)*Percapita/30*GD$4)+IF(DI99+DK99&gt;=11,Fixo/30*GD$4+(DI99+DK99-10)*Crechee/30*GD$4,0),IF(C96=2,IF(DJ96+DJ97+DJ98+DJ99+DL96+DL97+DL98+DL99=1,Cadeirante/30*GD$4,IF(DJ96+DJ97+DJ98+DJ99+DL96+DL97+DL98+DL99=2,Fixo/30*GD$4,IF(DJ96+DJ97+DJ98+DJ99+DL96+DL97+DL98+DL99&gt;2,Fixo/30*GD$4+(DJ96+DJ97+DJ98+DJ99+DL96+DL97+DL98+DL99-2)*Cadeirante/30*GD$4)))+(DI96+DI97+DI98+DK96+DK97+DK98)*Percapita/30*GD$4+(DI99+DK99)*Crechee/30*GD$4,IF(C96=1,IF(DI96+DI97+DI98+DJ96+DJ97+DJ98+DK96+DK97+DK98+DL96+DL97+DL98&lt;=15,(DI96+DI97+DI98+DK96+DK97+DK98)*Percapita/30*GD$4,IF(DI96+DI97+DI98+DJ96+DJ97+DJ98+DK96+DK97+DK98+DL96+DL97+DL98&gt;=16,Fixo/30*GD$4+(DI96+DI97+DI98+DJ96+DJ97+DJ98+DK96+DK97+DK98+DL96+DL97-16)*Percapita/30*GD$4))))))</f>
        <v>0</v>
      </c>
      <c r="GE96" s="177">
        <f>IF(C96=4,SUM(DM96+DM97+DM98+DO96+DO97+DO98)*Percapita/30*GE$4+(DN96+DN97+DN98+DP96+DP97+DP98)*Cadeirante/30*GE$4,IF(C96=3,IF(DM99+DO99=10,Fixo/30*GE$4+(DM96+DM97+DM98+DO96+DO97+DO98)*Percapita/30*GE$4+(DN99+DP99)*Cadeirante/30*GE$4,IF(DM99+DO99&lt;=9,(DM99+DO99)*Crechee/30*GE$4)+(DN99+DP99)*Cadeirante/30*GE$4+(DM96+DM97+DM98+DO96+DO97+DO98)*Percapita/30*GE$4)+IF(DM99+DO99&gt;=11,Fixo/30*GE$4+(DM99+DO99-10)*Crechee/30*GE$4,0),IF(C96=2,IF(DN96+DN97+DN98+DN99+DP96+DP97+DP98+DP99=1,Cadeirante/30*GE$4,IF(DN96+DN97+DN98+DN99+DP96+DP97+DP98+DP99=2,Fixo/30*GE$4,IF(DN96+DN97+DN98+DN99+DP96+DP97+DP98+DP99&gt;2,Fixo/30*GE$4+(DN96+DN97+DN98+DN99+DP96+DP97+DP98+DP99-2)*Cadeirante/30*GE$4)))+(DM96+DM97+DM98+DO96+DO97+DO98)*Percapita/30*GE$4+(DM99+DO99)*Crechee/30*GE$4,IF(C96=1,IF(DM96+DM97+DM98+DN96+DN97+DN98+DO96+DO97+DO98+DP96+DP97+DP98&lt;=15,(DM96+DM97+DM98+DO96+DO97+DO98)*Percapita/30*GE$4,IF(DM96+DM97+DM98+DN96+DN97+DN98+DO96+DO97+DO98+DP96+DP97+DP98&gt;=16,Fixo/30*GE$4+(DM96+DM97+DM98+DN96+DN97+DN98+DO96+DO97+DO98+DP96+DP97-16)*Percapita/30*GE$4))))))</f>
        <v>0</v>
      </c>
      <c r="GF96" s="177">
        <f>IF(C96=4,SUM(DQ96+DQ97+DQ98+DS96+DS97+DS98)*Percapita/30*GF$4+(DR96+DR97+DR98+DT96+DT97+DT98)*Cadeirante/30*GF$4,IF(C96=3,IF(DQ99+DS99=10,Fixo/30*GF$4+(DQ96+DQ97+DQ98+DS96+DS97+DS98)*Percapita/30*GF$4+(DR99+DT99)*Cadeirante/30*GF$4,IF(DQ99+DS99&lt;=9,(DQ99+DS99)*Crechee/30*GF$4)+(DR99+DT99)*Cadeirante/30*GF$4+(DQ96+DQ97+DQ98+DS96+DS97+DS98)*Percapita/30*GF$4)+IF(DQ99+DS99&gt;=11,Fixo/30*GF$4+(DQ99+DS99-10)*Crechee/30*GF$4,0),IF(C96=2,IF(DR96+DR97+DR98+DR99+DT96+DT97+DT98+DT99=1,Cadeirante/30*GF$4,IF(DR96+DR97+DR98+DR99+DT96+DT97+DT98+DT99=2,Fixo/30*GF$4,IF(DR96+DR97+DR98+DR99+DT96+DT97+DT98+DT99&gt;2,Fixo/30*GF$4+(DR96+DR97+DR98+DR99+DT96+DT97+DT98+DT99-2)*Cadeirante/30*GF$4)))+(DQ96+DQ97+DQ98+DS96+DS97+DS98)*Percapita/30*GF$4+(DQ99+DS99)*Crechee/30*GF$4,IF(C96=1,IF(DQ96+DQ97+DQ98+DR96+DR97+DR98+DS96+DS97+DS98+DT96+DT97+DT98&lt;=15,(DQ96+DQ97+DQ98+DS96+DS97+DS98)*Percapita/30*GF$4,IF(DQ96+DQ97+DQ98+DR96+DR97+DR98+DS96+DS97+DS98+DT96+DT97+DT98&gt;=16,Fixo/30*GF$4+(DQ96+DQ97+DQ98+DR96+DR97+DR98+DS96+DS97+DS98+DT96+DT97-16)*Percapita/30*GF$4))))))</f>
        <v>0</v>
      </c>
      <c r="GG96" s="177">
        <f>IF(C96=4,SUM(DU96+DU97+DU98+DW96+DW97+DW98)*Percapita/30*GG$4+(DV96+DV97+DV98+DX96+DX97+DX98)*Cadeirante/30*GG$4,IF(C96=3,IF(DU99+DW99=10,Fixo/30*GG$4+(DU96+DU97+DU98+DW96+DW97+DW98)*Percapita/30*GG$4+(DV99+DX99)*Cadeirante/30*GG$4,IF(DU99+DW99&lt;=9,(DU99+DW99)*Crechee/30*GG$4)+(DV99+DX99)*Cadeirante/30*GG$4+(DU96+DU97+DU98+DW96+DW97+DW98)*Percapita/30*GG$4)+IF(DU99+DW99&gt;=11,Fixo/30*GG$4+(DU99+DW99-10)*Crechee/30*GG$4,0),IF(C96=2,IF(DV96+DV97+DV98+DV99+DX96+DX97+DX98+DX99=1,Cadeirante/30*GG$4,IF(DV96+DV97+DV98+DV99+DX96+DX97+DX98+DX99=2,Fixo/30*GG$4,IF(DV96+DV97+DV98+DV99+DX96+DX97+DX98+DX99&gt;2,Fixo/30*GG$4+(DV96+DV97+DV98+DV99+DX96+DX97+DX98+DX99-2)*Cadeirante/30*GG$4)))+(DU96+DU97+DU98+DW96+DW97+DW98)*Percapita/30*GG$4+(DU99+DW99)*Crechee/30*GG$4,IF(C96=1,IF(DU96+DU97+DU98+DV96+DV97+DV98+DW96+DW97+DW98+DX96+DX97+DX98&lt;=15,(DU96+DU97+DU98+DW96+DW97+DW98)*Percapita/30*GG$4,IF(DU96+DU97+DU98+DV96+DV97+DV98+DW96+DW97+DW98+DX96+DX97+DX98&gt;=16,Fixo/30*GG$4+(DU96+DU97+DU98+DV96+DV97+DV98+DW96+DW97+DW98+DX96+DX97-16)*Percapita/30*GG$4))))))</f>
        <v>0</v>
      </c>
      <c r="GH96" s="177">
        <f>IF(C96=4,SUM(DY96+DY97+DY98+EA96+EA97+EA98)*Percapita/30*GH$4+(DZ96+DZ97+DZ98+EB96+EB97+EB98)*Cadeirante/30*GH$4,IF(C96=3,IF(DY99+EA99=10,Fixo/30*GH$4+(DY96+DY97+DY98+EA96+EA97+EA98)*Percapita/30*GH$4+(DZ99+EB99)*Cadeirante/30*GH$4,IF(DY99+EA99&lt;=9,(DY99+EA99)*Crechee/30*GH$4)+(DZ99+EB99)*Cadeirante/30*GH$4+(DY96+DY97+DY98+EA96+EA97+EA98)*Percapita/30*GH$4)+IF(DY99+EA99&gt;=11,Fixo/30*GH$4+(DY99+EA99-10)*Crechee/30*GH$4,0),IF(C96=2,IF(DZ96+DZ97+DZ98+DZ99+EB96+EB97+EB98+EB99=1,Cadeirante/30*GH$4,IF(DZ96+DZ97+DZ98+DZ99+EB96+EB97+EB98+EB99=2,Fixo/30*GH$4,IF(DZ96+DZ97+DZ98+DZ99+EB96+EB97+EB98+EB99&gt;2,Fixo/30*GH$4+(DZ96+DZ97+DZ98+DZ99+EB96+EB97+EB98+EB99-2)*Cadeirante/30*GH$4)))+(DY96+DY97+DY98+EA96+EA97+EA98)*Percapita/30*GH$4+(DY99+EA99)*Crechee/30*GH$4,IF(C96=1,IF(DY96+DY97+DY98+DZ96+DZ97+DZ98+EA96+EA97+EA98+EB96+EB97+EB98&lt;=15,(DY96+DY97+DY98+EA96+EA97+EA98)*Percapita/30*GH$4,IF(DY96+DY97+DY98+DZ96+DZ97+DZ98+EA96+EA97+EA98+EB96+EB97+EB98&gt;=16,Fixo/30*GH$4+(DY96+DY97+DY98+DZ96+DZ97+DZ98+EA96+EA97+EA98+EB96+EB97-16)*Percapita/30*GH$4))))))</f>
        <v>0</v>
      </c>
      <c r="GI96" s="177">
        <f>IF(C96=4,SUM(EC96+EC97+EC98+EE96+EE97+EE98)*Percapita/30*GI$4+(ED96+ED97+ED98+EF96+EF97+EF98)*Cadeirante/30*GI$4,IF(C96=3,IF(EC99+EE99=10,Fixo/30*GI$4+(EC96+EC97+EC98+EE96+EE97+EE98)*Percapita/30*GI$4+(ED99+EF99)*Cadeirante/30*GI$4,IF(EC99+EE99&lt;=9,(EC99+EE99)*Crechee/30*GI$4)+(ED99+EF99)*Cadeirante/30*GI$4+(EC96+EC97+EC98+EE96+EE97+EE98)*Percapita/30*GI$4)+IF(EC99+EE99&gt;=11,Fixo/30*GI$4+(EC99+EE99-10)*Crechee/30*GI$4,0),IF(C96=2,IF(ED96+ED97+ED98+ED99+EF96+EF97+EF98+EF99=1,Cadeirante/30*GI$4,IF(ED96+ED97+ED98+ED99+EF96+EF97+EF98+EF99=2,Fixo/30*GI$4,IF(ED96+ED97+ED98+ED99+EF96+EF97+EF98+EF99&gt;2,Fixo/30*GI$4+(ED96+ED97+ED98+ED99+EF96+EF97+EF98+EF99-2)*Cadeirante/30*GI$4)))+(EC96+EC97+EC98+EE96+EE97+EE98)*Percapita/30*GI$4+(EC99+EE99)*Crechee/30*GI$4,IF(C96=1,IF(EC96+EC97+EC98+ED96+ED97+ED98+EE96+EE97+EE98+EF96+EF97+EF98&lt;=15,(EC96+EC97+EC98+EE96+EE97+EE98)*Percapita/30*GI$4,IF(EC96+EC97+EC98+ED96+ED97+ED98+EE96+EE97+EE98+EF96+EF97+EF98&gt;=16,Fixo/30*GI$4+(EC96+EC97+EC98+ED96+ED97+ED98+EE96+EE97+EE98+EF96+EF97-16)*Percapita/30*GI$4))))))</f>
        <v>0</v>
      </c>
      <c r="GJ96" s="177">
        <f>IF(C96=4,SUM(EG96+EG97+EG98+EI96+EI97+EI98)*Percapita/30*GJ$4+(EH96+EH97+EH98+EJ96+EJ97+EJ98)*Cadeirante/30*GJ$4,IF(C96=3,IF(EG99+EI99=10,Fixo/30*GJ$4+(EG96+EG97+EG98+EI96+EI97+EI98)*Percapita/30*GJ$4+(EH99+EJ99)*Cadeirante/30*GJ$4,IF(EG99+EI99&lt;=9,(EG99+EI99)*Crechee/30*GJ$4)+(EH99+EJ99)*Cadeirante/30*GJ$4+(EG96+EG97+EG98+EI96+EI97+EI98)*Percapita/30*GJ$4)+IF(EG99+EI99&gt;=11,Fixo/30*GJ$4+(EG99+EI99-10)*Crechee/30*GJ$4,0),IF(C96=2,IF(EH96+EH97+EH98+EH99+EJ96+EJ97+EJ98+EJ99=1,Cadeirante/30*GJ$4,IF(EH96+EH97+EH98+EH99+EJ96+EJ97+EJ98+EJ99=2,Fixo/30*GJ$4,IF(EH96+EH97+EH98+EH99+EJ96+EJ97+EJ98+EJ99&gt;2,Fixo/30*GJ$4+(EH96+EH97+EH98+EH99+EJ96+EJ97+EJ98+EJ99-2)*Cadeirante/30*GJ$4)))+(EG96+EG97+EG98+EI96+EI97+EI98)*Percapita/30*GJ$4+(EG99+EI99)*Crechee/30*GJ$4,IF(C96=1,IF(EG96+EG97+EG98+EH96+EH97+EH98+EI96+EI97+EI98+EJ96+EJ97+EJ98&lt;=15,(EG96+EG97+EG98+EI96+EI97+EI98)*Percapita/30*GJ$4,IF(EG96+EG97+EG98+EH96+EH97+EH98+EI96+EI97+EI98+EJ96+EJ97+EJ98&gt;=16,Fixo/30*GJ$4+(EG96+EG97+EG98+EH96+EH97+EH98+EI96+EI97+EI98+EJ96+EJ97-16)*Percapita/30*GJ$4))))))</f>
        <v>0</v>
      </c>
      <c r="GK96" s="178"/>
      <c r="GL96" s="103">
        <f t="shared" si="102"/>
        <v>0</v>
      </c>
      <c r="GM96" s="124"/>
      <c r="GN96" s="104">
        <f>SUMIF(V96:V99,"&lt;0")*Cadeirante/30*GN$4+SUMIF(X96:X99,"&lt;0")*Cadeirante/30*GN$4</f>
        <v>0</v>
      </c>
      <c r="GO96" s="104">
        <f>SUMIF(Z96:Z99,"&lt;0")*Cadeirante/30*GO$4+SUMIF(AB96:AB99,"&lt;0")*Cadeirante/30*GO$4</f>
        <v>0</v>
      </c>
      <c r="GP96" s="104">
        <f>SUMIF(AD96:AD99,"&lt;0")*Cadeirante/30*GP$4+SUMIF(AF96:AF99,"&lt;0")*Cadeirante/30*GP$4</f>
        <v>0</v>
      </c>
      <c r="GQ96" s="104">
        <f>SUMIF(AH96:AH99,"&lt;0")*Cadeirante/30*GQ$4+SUMIF(AJ96:AJ99,"&lt;0")*Cadeirante/30*GQ$4</f>
        <v>0</v>
      </c>
      <c r="GR96" s="104">
        <f>SUMIF(AL96:AL99,"&lt;0")*Cadeirante/30*GR$4+SUMIF(AN96:AN99,"&lt;0")*Cadeirante/30*GR$4</f>
        <v>0</v>
      </c>
      <c r="GS96" s="104">
        <f>SUMIF(AP96:AP99,"&lt;0")*Cadeirante/30*GS$4+SUMIF(AR96:AR99,"&lt;0")*Cadeirante/30*GS$4</f>
        <v>0</v>
      </c>
      <c r="GT96" s="104">
        <f>SUMIF(AT96:AT99,"&lt;0")*Cadeirante/30*GT$4+SUMIF(AV96:AV99,"&lt;0")*Cadeirante/30*GT$4</f>
        <v>0</v>
      </c>
      <c r="GU96" s="104">
        <f>SUMIF(AX96:AX99,"&lt;0")*Cadeirante/30*GU$4+SUMIF(AZ96:AZ99,"&lt;0")*Cadeirante/30*GU$4</f>
        <v>0</v>
      </c>
      <c r="GV96" s="104">
        <f>SUMIF(BB96:BB99,"&lt;0")*Cadeirante/30*GV$4+SUMIF(BD96:BD99,"&lt;0")*Cadeirante/30*GV$4</f>
        <v>0</v>
      </c>
      <c r="GW96" s="104">
        <f>SUMIF(BF96:BF99,"&lt;0")*Cadeirante/30*GW$4+SUMIF(BH96:BH99,"&lt;0")*Cadeirante/30*GW$4</f>
        <v>0</v>
      </c>
      <c r="GX96" s="104">
        <f>SUMIF(BJ96:BJ99,"&lt;0")*Cadeirante/30*GX$4+SUMIF(BL96:BL99,"&lt;0")*Cadeirante/30*GX$4</f>
        <v>0</v>
      </c>
      <c r="GY96" s="104">
        <f>SUMIF(BN96:BN99,"&lt;0")*Cadeirante/30*GY$4+SUMIF(BP96:BP99,"&lt;0")*Cadeirante/30*GY$4</f>
        <v>0</v>
      </c>
      <c r="GZ96" s="104">
        <f>SUMIF(BR96:BR99,"&lt;0")*Cadeirante/30*GZ$4+SUMIF(BT96:BT99,"&lt;0")*Cadeirante/30*GZ$4</f>
        <v>0</v>
      </c>
      <c r="HA96" s="104">
        <f>SUMIF(BV96:BV99,"&lt;0")*Cadeirante/30*HA$4+SUMIF(BX96:BX99,"&lt;0")*Cadeirante/30*HA$4</f>
        <v>0</v>
      </c>
      <c r="HB96" s="104">
        <f>SUMIF(BZ96:BZ99,"&lt;0")*Cadeirante/30*HB$4+SUMIF(CB96:CB99,"&lt;0")*Cadeirante/30*HB$4</f>
        <v>0</v>
      </c>
      <c r="HC96" s="104">
        <f>SUMIF(CD96:CD99,"&lt;0")*Cadeirante/30*HC$4+SUMIF(CF96:CF99,"&lt;0")*Cadeirante/30*HC$4</f>
        <v>0</v>
      </c>
      <c r="HD96" s="104">
        <f>SUMIF(CH96:CH99,"&lt;0")*Cadeirante/30*HD$4+SUMIF(CJ96:CJ99,"&lt;0")*Cadeirante/30*HD$4</f>
        <v>0</v>
      </c>
      <c r="HE96" s="104">
        <f>SUMIF(CL96:CL99,"&lt;0")*Cadeirante/30*HE$4+SUMIF(CN96:CN99,"&lt;0")*Cadeirante/30*HE$4</f>
        <v>0</v>
      </c>
      <c r="HF96" s="104">
        <f>SUMIF(CP96:CP99,"&lt;0")*Cadeirante/30*HF$4+SUMIF(CR96:CR99,"&lt;0")*Cadeirante/30*HF$4</f>
        <v>0</v>
      </c>
      <c r="HG96" s="104">
        <f>SUMIF(CT96:CT99,"&lt;0")*Cadeirante/30*HG$4+SUMIF(CV96:CV99,"&lt;0")*Cadeirante/30*HG$4</f>
        <v>0</v>
      </c>
      <c r="HH96" s="104">
        <f>SUMIF(CX96:CX99,"&lt;0")*Cadeirante/30*HH$4+SUMIF(CZ96:CZ99,"&lt;0")*Cadeirante/30*HH$4</f>
        <v>0</v>
      </c>
      <c r="HI96" s="104">
        <f>SUMIF(DB96:DB99,"&lt;0")*Cadeirante/30*HI$4+SUMIF(DD96:DD99,"&lt;0")*Cadeirante/30*HI$4</f>
        <v>0</v>
      </c>
      <c r="HJ96" s="104">
        <f>SUMIF(DF96:DF99,"&lt;0")*Cadeirante/30*HJ$4+SUMIF(DH96:DH99,"&lt;0")*Cadeirante/30*HJ$4</f>
        <v>0</v>
      </c>
      <c r="HK96" s="104">
        <f>SUMIF(DJ96:DJ99,"&lt;0")*Cadeirante/30*HK$4+SUMIF(DL96:DL99,"&lt;0")*Cadeirante/30*HK$4</f>
        <v>0</v>
      </c>
      <c r="HL96" s="104">
        <f>SUMIF(DN96:DN99,"&lt;0")*Cadeirante/30*HL$4+SUMIF(DP96:DP99,"&lt;0")*Cadeirante/30*HL$4</f>
        <v>0</v>
      </c>
      <c r="HM96" s="104">
        <f>SUMIF(DR96:DR99,"&lt;0")*Cadeirante/30*HM$4+SUMIF(DT96:DT99,"&lt;0")*Cadeirante/30*HM$4</f>
        <v>0</v>
      </c>
      <c r="HN96" s="104">
        <f>SUMIF(DV96:DV99,"&lt;0")*Cadeirante/30*HN$4+SUMIF(DX96:DX99,"&lt;0")*Cadeirante/30*HN$4</f>
        <v>0</v>
      </c>
      <c r="HO96" s="104">
        <f>SUMIF(DZ96:DZ99,"&lt;0")*Cadeirante/30*HO$4+SUMIF(EB96:EB99,"&lt;0")*Cadeirante/30*HO$4</f>
        <v>0</v>
      </c>
      <c r="HP96" s="104">
        <f>SUMIF(ED96:ED99,"&lt;0")*Cadeirante/30*HP$4+SUMIF(EF96:EF99,"&lt;0")*Cadeirante/30*HP$4</f>
        <v>0</v>
      </c>
      <c r="HQ96" s="64"/>
      <c r="HR96" s="64"/>
      <c r="HS96" s="64"/>
      <c r="HT96" s="64"/>
      <c r="HU96" s="64"/>
      <c r="HV96" s="64"/>
      <c r="HW96" s="176">
        <v>17629.309999999998</v>
      </c>
      <c r="HX96" s="64"/>
      <c r="HY96" s="280">
        <f>IF(ISTEXT(EM96), VALUE(EM96), EM96)</f>
        <v>0</v>
      </c>
      <c r="HZ96" s="280">
        <f>IF(ISTEXT(EN96), VALUE(EN96), EN96)</f>
        <v>0</v>
      </c>
      <c r="IA96" s="280">
        <f>IF(ISTEXT(EO96), VALUE(EO96), EO96)</f>
        <v>0</v>
      </c>
      <c r="IB96" s="64" t="b">
        <f>HW96=FE96</f>
        <v>0</v>
      </c>
      <c r="IC96" s="64"/>
    </row>
    <row r="97" spans="1:237" s="106" customFormat="1" ht="22.5" customHeight="1" x14ac:dyDescent="0.25">
      <c r="A97" s="368" t="s">
        <v>3262</v>
      </c>
      <c r="B97" s="369" t="s">
        <v>3263</v>
      </c>
      <c r="C97" s="370" t="s">
        <v>3186</v>
      </c>
      <c r="D97" s="371" t="s">
        <v>3264</v>
      </c>
      <c r="E97" s="371" t="s">
        <v>3265</v>
      </c>
      <c r="F97" s="372" t="s">
        <v>3182</v>
      </c>
      <c r="G97" s="372" t="s">
        <v>3183</v>
      </c>
      <c r="H97" s="373" t="s">
        <v>358</v>
      </c>
      <c r="I97" s="374" t="s">
        <v>358</v>
      </c>
      <c r="J97" s="421" t="s">
        <v>3184</v>
      </c>
      <c r="K97" s="421" t="s">
        <v>3187</v>
      </c>
      <c r="L97" s="329">
        <f>CONTINUA!BV97</f>
        <v>4</v>
      </c>
      <c r="M97" s="329">
        <f>CONTINUA!BW97</f>
        <v>0</v>
      </c>
      <c r="N97" s="895"/>
      <c r="O97" s="896" t="s">
        <v>3292</v>
      </c>
      <c r="P97" s="897">
        <v>0</v>
      </c>
      <c r="Q97" s="400">
        <v>16</v>
      </c>
      <c r="R97" s="401"/>
      <c r="S97" s="400"/>
      <c r="T97" s="401"/>
      <c r="U97" s="400"/>
      <c r="V97" s="401"/>
      <c r="W97" s="400"/>
      <c r="X97" s="401"/>
      <c r="Y97" s="400"/>
      <c r="Z97" s="401"/>
      <c r="AA97" s="400"/>
      <c r="AB97" s="401"/>
      <c r="AC97" s="400"/>
      <c r="AD97" s="401"/>
      <c r="AE97" s="400"/>
      <c r="AF97" s="401"/>
      <c r="AG97" s="400"/>
      <c r="AH97" s="401"/>
      <c r="AI97" s="400"/>
      <c r="AJ97" s="401"/>
      <c r="AK97" s="400"/>
      <c r="AL97" s="401"/>
      <c r="AM97" s="400"/>
      <c r="AN97" s="401"/>
      <c r="AO97" s="400"/>
      <c r="AP97" s="401"/>
      <c r="AQ97" s="400"/>
      <c r="AR97" s="401"/>
      <c r="AS97" s="400"/>
      <c r="AT97" s="401"/>
      <c r="AU97" s="400"/>
      <c r="AV97" s="401"/>
      <c r="AW97" s="400"/>
      <c r="AX97" s="401"/>
      <c r="AY97" s="400"/>
      <c r="AZ97" s="401"/>
      <c r="BA97" s="400"/>
      <c r="BB97" s="401"/>
      <c r="BC97" s="400"/>
      <c r="BD97" s="401"/>
      <c r="BE97" s="400"/>
      <c r="BF97" s="401"/>
      <c r="BG97" s="400"/>
      <c r="BH97" s="401"/>
      <c r="BI97" s="400"/>
      <c r="BJ97" s="401"/>
      <c r="BK97" s="400"/>
      <c r="BL97" s="401"/>
      <c r="BM97" s="400"/>
      <c r="BN97" s="401"/>
      <c r="BO97" s="400"/>
      <c r="BP97" s="401"/>
      <c r="BQ97" s="400"/>
      <c r="BR97" s="401"/>
      <c r="BS97" s="400"/>
      <c r="BT97" s="401"/>
      <c r="BU97" s="400"/>
      <c r="BV97" s="401"/>
      <c r="BW97" s="400"/>
      <c r="BX97" s="401"/>
      <c r="BY97" s="400"/>
      <c r="BZ97" s="401"/>
      <c r="CA97" s="400"/>
      <c r="CB97" s="401"/>
      <c r="CC97" s="400"/>
      <c r="CD97" s="401"/>
      <c r="CE97" s="400"/>
      <c r="CF97" s="401"/>
      <c r="CG97" s="400"/>
      <c r="CH97" s="401"/>
      <c r="CI97" s="400"/>
      <c r="CJ97" s="401"/>
      <c r="CK97" s="400"/>
      <c r="CL97" s="401"/>
      <c r="CM97" s="400"/>
      <c r="CN97" s="401"/>
      <c r="CO97" s="400"/>
      <c r="CP97" s="401"/>
      <c r="CQ97" s="400"/>
      <c r="CR97" s="401"/>
      <c r="CS97" s="400"/>
      <c r="CT97" s="401"/>
      <c r="CU97" s="400"/>
      <c r="CV97" s="401"/>
      <c r="CW97" s="400"/>
      <c r="CX97" s="401"/>
      <c r="CY97" s="400"/>
      <c r="CZ97" s="401"/>
      <c r="DA97" s="400"/>
      <c r="DB97" s="401"/>
      <c r="DC97" s="400"/>
      <c r="DD97" s="401"/>
      <c r="DE97" s="400"/>
      <c r="DF97" s="401"/>
      <c r="DG97" s="400"/>
      <c r="DH97" s="401"/>
      <c r="DI97" s="400"/>
      <c r="DJ97" s="401"/>
      <c r="DK97" s="400"/>
      <c r="DL97" s="401"/>
      <c r="DM97" s="400"/>
      <c r="DN97" s="401"/>
      <c r="DO97" s="400"/>
      <c r="DP97" s="401"/>
      <c r="DQ97" s="400"/>
      <c r="DR97" s="401"/>
      <c r="DS97" s="400"/>
      <c r="DT97" s="401"/>
      <c r="DU97" s="400"/>
      <c r="DV97" s="401"/>
      <c r="DW97" s="400"/>
      <c r="DX97" s="401"/>
      <c r="DY97" s="400"/>
      <c r="DZ97" s="401"/>
      <c r="EA97" s="400"/>
      <c r="EB97" s="401"/>
      <c r="EC97" s="400"/>
      <c r="ED97" s="401"/>
      <c r="EE97" s="400"/>
      <c r="EF97" s="401"/>
      <c r="EG97" s="400"/>
      <c r="EH97" s="401"/>
      <c r="EI97" s="400"/>
      <c r="EJ97" s="447"/>
      <c r="EK97" s="511"/>
      <c r="EL97" s="514"/>
      <c r="EM97" s="448"/>
      <c r="EN97" s="344"/>
      <c r="EO97" s="345"/>
      <c r="EP97" s="171">
        <f t="shared" si="95"/>
        <v>16</v>
      </c>
      <c r="EQ97" s="171">
        <f t="shared" si="96"/>
        <v>0</v>
      </c>
      <c r="ER97" s="171">
        <f t="shared" si="97"/>
        <v>0</v>
      </c>
      <c r="ES97" s="171">
        <f t="shared" si="98"/>
        <v>0</v>
      </c>
      <c r="ET97" s="171">
        <f t="shared" si="99"/>
        <v>0</v>
      </c>
      <c r="EU97" s="171">
        <f t="shared" si="100"/>
        <v>0</v>
      </c>
      <c r="EV97" s="172">
        <f t="shared" si="101"/>
        <v>16</v>
      </c>
      <c r="EW97" s="173"/>
      <c r="EX97" s="248">
        <f t="shared" si="123"/>
        <v>0</v>
      </c>
      <c r="EY97" s="174">
        <f>(L97*regular)+(M97*Cadeirantee)</f>
        <v>38.56</v>
      </c>
      <c r="EZ97" s="249">
        <f>SUMIF(FG97:GJ97,"&gt;0")</f>
        <v>0</v>
      </c>
      <c r="FA97" s="249">
        <f>SUMIF(FG97:GJ97,"&lt;0")+SUMIF(GN97:HP97,"&lt;0")</f>
        <v>0</v>
      </c>
      <c r="FB97" s="174">
        <v>0</v>
      </c>
      <c r="FC97" s="126">
        <f>N97*km*'VALORES TABELA'!$B$13</f>
        <v>0</v>
      </c>
      <c r="FD97" s="250">
        <f t="shared" ref="FD97:FD100" si="124">GL97</f>
        <v>0</v>
      </c>
      <c r="FE97" s="105"/>
      <c r="FF97" s="119"/>
      <c r="FG97" s="119"/>
      <c r="FH97" s="119"/>
      <c r="FI97" s="119"/>
      <c r="FJ97" s="119"/>
      <c r="FK97" s="119"/>
      <c r="FL97" s="119"/>
      <c r="FM97" s="119"/>
      <c r="FN97" s="119"/>
      <c r="FO97" s="119"/>
      <c r="FP97" s="119"/>
      <c r="FQ97" s="119"/>
      <c r="FR97" s="119"/>
      <c r="FS97" s="119"/>
      <c r="FT97" s="119"/>
      <c r="FU97" s="119"/>
      <c r="FV97" s="119"/>
      <c r="FW97" s="119"/>
      <c r="FX97" s="119"/>
      <c r="FY97" s="119"/>
      <c r="FZ97" s="119"/>
      <c r="GA97" s="119"/>
      <c r="GB97" s="119"/>
      <c r="GC97" s="119"/>
      <c r="GD97" s="119"/>
      <c r="GE97" s="119"/>
      <c r="GF97" s="119"/>
      <c r="GG97" s="119"/>
      <c r="GH97" s="119"/>
      <c r="GI97" s="119"/>
      <c r="GJ97" s="119"/>
      <c r="GK97" s="251"/>
      <c r="GL97" s="103">
        <f t="shared" si="102"/>
        <v>0</v>
      </c>
      <c r="GM97" s="124"/>
      <c r="GN97" s="104"/>
      <c r="GO97" s="104"/>
      <c r="GP97" s="104"/>
      <c r="GQ97" s="104"/>
      <c r="GR97" s="104"/>
      <c r="GS97" s="104"/>
      <c r="GT97" s="104"/>
      <c r="GU97" s="104"/>
      <c r="GV97" s="104"/>
      <c r="GW97" s="104"/>
      <c r="GX97" s="104"/>
      <c r="GY97" s="104"/>
      <c r="GZ97" s="104"/>
      <c r="HA97" s="104"/>
      <c r="HB97" s="104"/>
      <c r="HC97" s="104"/>
      <c r="HD97" s="104"/>
      <c r="HE97" s="104"/>
      <c r="HF97" s="104"/>
      <c r="HG97" s="104"/>
      <c r="HH97" s="104"/>
      <c r="HI97" s="104"/>
      <c r="HJ97" s="104"/>
      <c r="HK97" s="104"/>
      <c r="HL97" s="104"/>
      <c r="HM97" s="104"/>
      <c r="HN97" s="104"/>
      <c r="HO97" s="104"/>
      <c r="HP97" s="104"/>
      <c r="HQ97" s="64"/>
      <c r="HR97" s="64"/>
      <c r="HS97" s="64"/>
      <c r="HT97" s="64"/>
      <c r="HU97" s="64"/>
      <c r="HV97" s="64"/>
      <c r="HW97" s="105"/>
      <c r="HX97" s="64"/>
      <c r="HY97" s="280">
        <f t="shared" ref="HY97:HY100" si="125">IF(ISTEXT(EM97), VALUE(EM97), EM97)</f>
        <v>0</v>
      </c>
      <c r="HZ97" s="280">
        <f t="shared" ref="HZ97:HZ100" si="126">IF(ISTEXT(EN97), VALUE(EN97), EN97)</f>
        <v>0</v>
      </c>
      <c r="IA97" s="280">
        <f t="shared" ref="IA97:IA100" si="127">IF(ISTEXT(EO97), VALUE(EO97), EO97)</f>
        <v>0</v>
      </c>
      <c r="IB97" s="64"/>
      <c r="IC97" s="64"/>
    </row>
    <row r="98" spans="1:237" s="106" customFormat="1" ht="22.5" customHeight="1" x14ac:dyDescent="0.25">
      <c r="A98" s="368" t="s">
        <v>3262</v>
      </c>
      <c r="B98" s="369" t="s">
        <v>3263</v>
      </c>
      <c r="C98" s="375" t="s">
        <v>3186</v>
      </c>
      <c r="D98" s="371" t="s">
        <v>3264</v>
      </c>
      <c r="E98" s="371" t="s">
        <v>3265</v>
      </c>
      <c r="F98" s="376" t="s">
        <v>3182</v>
      </c>
      <c r="G98" s="376" t="s">
        <v>3183</v>
      </c>
      <c r="H98" s="373" t="s">
        <v>358</v>
      </c>
      <c r="I98" s="374" t="s">
        <v>358</v>
      </c>
      <c r="J98" s="421" t="s">
        <v>3184</v>
      </c>
      <c r="K98" s="422" t="s">
        <v>3188</v>
      </c>
      <c r="L98" s="329">
        <f>CONTINUA!BV98</f>
        <v>0</v>
      </c>
      <c r="M98" s="329">
        <f>CONTINUA!BW98</f>
        <v>0</v>
      </c>
      <c r="N98" s="895"/>
      <c r="O98" s="896" t="s">
        <v>3292</v>
      </c>
      <c r="P98" s="897">
        <v>0</v>
      </c>
      <c r="Q98" s="400"/>
      <c r="R98" s="401"/>
      <c r="S98" s="400"/>
      <c r="T98" s="401"/>
      <c r="U98" s="400"/>
      <c r="V98" s="401"/>
      <c r="W98" s="400"/>
      <c r="X98" s="401"/>
      <c r="Y98" s="400"/>
      <c r="Z98" s="401"/>
      <c r="AA98" s="400"/>
      <c r="AB98" s="401"/>
      <c r="AC98" s="400"/>
      <c r="AD98" s="401"/>
      <c r="AE98" s="400"/>
      <c r="AF98" s="401"/>
      <c r="AG98" s="400"/>
      <c r="AH98" s="401"/>
      <c r="AI98" s="400"/>
      <c r="AJ98" s="401"/>
      <c r="AK98" s="400"/>
      <c r="AL98" s="401"/>
      <c r="AM98" s="400"/>
      <c r="AN98" s="401"/>
      <c r="AO98" s="400"/>
      <c r="AP98" s="401"/>
      <c r="AQ98" s="400"/>
      <c r="AR98" s="401"/>
      <c r="AS98" s="400"/>
      <c r="AT98" s="401"/>
      <c r="AU98" s="400"/>
      <c r="AV98" s="401"/>
      <c r="AW98" s="400"/>
      <c r="AX98" s="401"/>
      <c r="AY98" s="400"/>
      <c r="AZ98" s="401"/>
      <c r="BA98" s="400"/>
      <c r="BB98" s="401"/>
      <c r="BC98" s="400"/>
      <c r="BD98" s="401"/>
      <c r="BE98" s="400"/>
      <c r="BF98" s="401"/>
      <c r="BG98" s="400"/>
      <c r="BH98" s="401"/>
      <c r="BI98" s="400"/>
      <c r="BJ98" s="401"/>
      <c r="BK98" s="400"/>
      <c r="BL98" s="401"/>
      <c r="BM98" s="400"/>
      <c r="BN98" s="401"/>
      <c r="BO98" s="400"/>
      <c r="BP98" s="401"/>
      <c r="BQ98" s="400"/>
      <c r="BR98" s="401"/>
      <c r="BS98" s="400"/>
      <c r="BT98" s="401"/>
      <c r="BU98" s="400"/>
      <c r="BV98" s="401"/>
      <c r="BW98" s="400"/>
      <c r="BX98" s="401"/>
      <c r="BY98" s="400"/>
      <c r="BZ98" s="401"/>
      <c r="CA98" s="400"/>
      <c r="CB98" s="401"/>
      <c r="CC98" s="400"/>
      <c r="CD98" s="401"/>
      <c r="CE98" s="400"/>
      <c r="CF98" s="401"/>
      <c r="CG98" s="400"/>
      <c r="CH98" s="401"/>
      <c r="CI98" s="400"/>
      <c r="CJ98" s="401"/>
      <c r="CK98" s="400"/>
      <c r="CL98" s="401"/>
      <c r="CM98" s="400"/>
      <c r="CN98" s="401"/>
      <c r="CO98" s="400"/>
      <c r="CP98" s="401"/>
      <c r="CQ98" s="400"/>
      <c r="CR98" s="401"/>
      <c r="CS98" s="400"/>
      <c r="CT98" s="401"/>
      <c r="CU98" s="400"/>
      <c r="CV98" s="401"/>
      <c r="CW98" s="400"/>
      <c r="CX98" s="401"/>
      <c r="CY98" s="400"/>
      <c r="CZ98" s="401"/>
      <c r="DA98" s="400"/>
      <c r="DB98" s="401"/>
      <c r="DC98" s="400"/>
      <c r="DD98" s="401"/>
      <c r="DE98" s="400"/>
      <c r="DF98" s="401"/>
      <c r="DG98" s="400"/>
      <c r="DH98" s="401"/>
      <c r="DI98" s="400"/>
      <c r="DJ98" s="401"/>
      <c r="DK98" s="400"/>
      <c r="DL98" s="401"/>
      <c r="DM98" s="400"/>
      <c r="DN98" s="401"/>
      <c r="DO98" s="400"/>
      <c r="DP98" s="401"/>
      <c r="DQ98" s="400"/>
      <c r="DR98" s="401"/>
      <c r="DS98" s="400"/>
      <c r="DT98" s="401"/>
      <c r="DU98" s="400"/>
      <c r="DV98" s="401"/>
      <c r="DW98" s="400"/>
      <c r="DX98" s="401"/>
      <c r="DY98" s="400"/>
      <c r="DZ98" s="401"/>
      <c r="EA98" s="400"/>
      <c r="EB98" s="401"/>
      <c r="EC98" s="400"/>
      <c r="ED98" s="401"/>
      <c r="EE98" s="400"/>
      <c r="EF98" s="401"/>
      <c r="EG98" s="400"/>
      <c r="EH98" s="401"/>
      <c r="EI98" s="400"/>
      <c r="EJ98" s="447"/>
      <c r="EK98" s="511"/>
      <c r="EL98" s="514"/>
      <c r="EM98" s="448"/>
      <c r="EN98" s="344"/>
      <c r="EO98" s="345"/>
      <c r="EP98" s="171">
        <f t="shared" si="95"/>
        <v>0</v>
      </c>
      <c r="EQ98" s="171">
        <f t="shared" si="96"/>
        <v>0</v>
      </c>
      <c r="ER98" s="171">
        <f t="shared" si="97"/>
        <v>0</v>
      </c>
      <c r="ES98" s="171">
        <f t="shared" si="98"/>
        <v>0</v>
      </c>
      <c r="ET98" s="171">
        <f t="shared" si="99"/>
        <v>0</v>
      </c>
      <c r="EU98" s="171">
        <f t="shared" si="100"/>
        <v>0</v>
      </c>
      <c r="EV98" s="172">
        <f t="shared" si="101"/>
        <v>0</v>
      </c>
      <c r="EW98" s="125"/>
      <c r="EX98" s="248">
        <f t="shared" si="123"/>
        <v>0</v>
      </c>
      <c r="EY98" s="174">
        <f>(L98*regular)+(M98*Cadeirantee)</f>
        <v>0</v>
      </c>
      <c r="EZ98" s="249">
        <f>SUMIF(FG98:GJ98,"&gt;0")</f>
        <v>0</v>
      </c>
      <c r="FA98" s="249">
        <f>SUMIF(FG98:GJ98,"&lt;0")+SUMIF(GN98:HP98,"&lt;0")</f>
        <v>0</v>
      </c>
      <c r="FB98" s="174">
        <v>0</v>
      </c>
      <c r="FC98" s="126">
        <f>N98*km*'VALORES TABELA'!$B$13</f>
        <v>0</v>
      </c>
      <c r="FD98" s="250">
        <f t="shared" si="124"/>
        <v>0</v>
      </c>
      <c r="FE98" s="105"/>
      <c r="FF98" s="108"/>
      <c r="FG98" s="108"/>
      <c r="FH98" s="108"/>
      <c r="FI98" s="108"/>
      <c r="FJ98" s="108"/>
      <c r="FK98" s="108"/>
      <c r="FL98" s="108"/>
      <c r="FM98" s="108"/>
      <c r="FN98" s="108"/>
      <c r="FO98" s="108"/>
      <c r="FP98" s="108"/>
      <c r="FQ98" s="108"/>
      <c r="FR98" s="108"/>
      <c r="FS98" s="108"/>
      <c r="FT98" s="108"/>
      <c r="FU98" s="108"/>
      <c r="FV98" s="108"/>
      <c r="FW98" s="108"/>
      <c r="FX98" s="108"/>
      <c r="FY98" s="108"/>
      <c r="FZ98" s="108"/>
      <c r="GA98" s="108"/>
      <c r="GB98" s="108"/>
      <c r="GC98" s="108"/>
      <c r="GD98" s="108"/>
      <c r="GE98" s="108"/>
      <c r="GF98" s="108"/>
      <c r="GG98" s="108"/>
      <c r="GH98" s="108"/>
      <c r="GI98" s="108"/>
      <c r="GJ98" s="108"/>
      <c r="GK98" s="251"/>
      <c r="GL98" s="103">
        <f t="shared" si="102"/>
        <v>0</v>
      </c>
      <c r="GM98" s="124"/>
      <c r="GN98" s="104"/>
      <c r="GO98" s="104"/>
      <c r="GP98" s="104"/>
      <c r="GQ98" s="104"/>
      <c r="GR98" s="104"/>
      <c r="GS98" s="104"/>
      <c r="GT98" s="104"/>
      <c r="GU98" s="104"/>
      <c r="GV98" s="104"/>
      <c r="GW98" s="104"/>
      <c r="GX98" s="104"/>
      <c r="GY98" s="104"/>
      <c r="GZ98" s="104"/>
      <c r="HA98" s="104"/>
      <c r="HB98" s="104"/>
      <c r="HC98" s="104"/>
      <c r="HD98" s="104"/>
      <c r="HE98" s="104"/>
      <c r="HF98" s="104"/>
      <c r="HG98" s="104"/>
      <c r="HH98" s="104"/>
      <c r="HI98" s="104"/>
      <c r="HJ98" s="104"/>
      <c r="HK98" s="104"/>
      <c r="HL98" s="104"/>
      <c r="HM98" s="104"/>
      <c r="HN98" s="104"/>
      <c r="HO98" s="104"/>
      <c r="HP98" s="104"/>
      <c r="HQ98" s="64"/>
      <c r="HR98" s="64"/>
      <c r="HS98" s="64"/>
      <c r="HT98" s="64"/>
      <c r="HU98" s="64"/>
      <c r="HV98" s="64"/>
      <c r="HW98" s="105"/>
      <c r="HX98" s="64"/>
      <c r="HY98" s="280">
        <f t="shared" si="125"/>
        <v>0</v>
      </c>
      <c r="HZ98" s="280">
        <f t="shared" si="126"/>
        <v>0</v>
      </c>
      <c r="IA98" s="280">
        <f t="shared" si="127"/>
        <v>0</v>
      </c>
      <c r="IB98" s="64"/>
      <c r="IC98" s="64"/>
    </row>
    <row r="99" spans="1:237" s="106" customFormat="1" ht="22.5" customHeight="1" x14ac:dyDescent="0.25">
      <c r="A99" s="368" t="s">
        <v>3262</v>
      </c>
      <c r="B99" s="369" t="s">
        <v>3263</v>
      </c>
      <c r="C99" s="375" t="s">
        <v>3186</v>
      </c>
      <c r="D99" s="371" t="s">
        <v>3264</v>
      </c>
      <c r="E99" s="371" t="s">
        <v>3265</v>
      </c>
      <c r="F99" s="376" t="s">
        <v>3182</v>
      </c>
      <c r="G99" s="376" t="s">
        <v>3183</v>
      </c>
      <c r="H99" s="373" t="s">
        <v>358</v>
      </c>
      <c r="I99" s="374" t="s">
        <v>358</v>
      </c>
      <c r="J99" s="421" t="s">
        <v>3184</v>
      </c>
      <c r="K99" s="423" t="s">
        <v>3189</v>
      </c>
      <c r="L99" s="329">
        <f>CONTINUA!BV99</f>
        <v>0</v>
      </c>
      <c r="M99" s="329">
        <f>CONTINUA!BW99</f>
        <v>0</v>
      </c>
      <c r="N99" s="895"/>
      <c r="O99" s="896" t="s">
        <v>3292</v>
      </c>
      <c r="P99" s="897">
        <v>0</v>
      </c>
      <c r="Q99" s="400"/>
      <c r="R99" s="401"/>
      <c r="S99" s="400"/>
      <c r="T99" s="401"/>
      <c r="U99" s="400"/>
      <c r="V99" s="401"/>
      <c r="W99" s="400"/>
      <c r="X99" s="401"/>
      <c r="Y99" s="400"/>
      <c r="Z99" s="401"/>
      <c r="AA99" s="400"/>
      <c r="AB99" s="401"/>
      <c r="AC99" s="400"/>
      <c r="AD99" s="401"/>
      <c r="AE99" s="400"/>
      <c r="AF99" s="401"/>
      <c r="AG99" s="400"/>
      <c r="AH99" s="401"/>
      <c r="AI99" s="400"/>
      <c r="AJ99" s="401"/>
      <c r="AK99" s="400"/>
      <c r="AL99" s="401"/>
      <c r="AM99" s="400"/>
      <c r="AN99" s="401"/>
      <c r="AO99" s="400"/>
      <c r="AP99" s="401"/>
      <c r="AQ99" s="400"/>
      <c r="AR99" s="401"/>
      <c r="AS99" s="400"/>
      <c r="AT99" s="401"/>
      <c r="AU99" s="400"/>
      <c r="AV99" s="401"/>
      <c r="AW99" s="400"/>
      <c r="AX99" s="401"/>
      <c r="AY99" s="400"/>
      <c r="AZ99" s="401"/>
      <c r="BA99" s="400"/>
      <c r="BB99" s="401"/>
      <c r="BC99" s="400"/>
      <c r="BD99" s="401"/>
      <c r="BE99" s="400"/>
      <c r="BF99" s="401"/>
      <c r="BG99" s="400"/>
      <c r="BH99" s="401"/>
      <c r="BI99" s="400"/>
      <c r="BJ99" s="401"/>
      <c r="BK99" s="400"/>
      <c r="BL99" s="401"/>
      <c r="BM99" s="400"/>
      <c r="BN99" s="401"/>
      <c r="BO99" s="400"/>
      <c r="BP99" s="401"/>
      <c r="BQ99" s="400"/>
      <c r="BR99" s="401"/>
      <c r="BS99" s="400"/>
      <c r="BT99" s="401"/>
      <c r="BU99" s="400"/>
      <c r="BV99" s="401"/>
      <c r="BW99" s="400"/>
      <c r="BX99" s="401"/>
      <c r="BY99" s="400"/>
      <c r="BZ99" s="401"/>
      <c r="CA99" s="400"/>
      <c r="CB99" s="401"/>
      <c r="CC99" s="400"/>
      <c r="CD99" s="401"/>
      <c r="CE99" s="400"/>
      <c r="CF99" s="401"/>
      <c r="CG99" s="400"/>
      <c r="CH99" s="401"/>
      <c r="CI99" s="400"/>
      <c r="CJ99" s="401"/>
      <c r="CK99" s="400"/>
      <c r="CL99" s="401"/>
      <c r="CM99" s="400"/>
      <c r="CN99" s="401"/>
      <c r="CO99" s="400"/>
      <c r="CP99" s="401"/>
      <c r="CQ99" s="400"/>
      <c r="CR99" s="401"/>
      <c r="CS99" s="400"/>
      <c r="CT99" s="401"/>
      <c r="CU99" s="400"/>
      <c r="CV99" s="401"/>
      <c r="CW99" s="400"/>
      <c r="CX99" s="401"/>
      <c r="CY99" s="400"/>
      <c r="CZ99" s="401"/>
      <c r="DA99" s="400"/>
      <c r="DB99" s="401"/>
      <c r="DC99" s="400"/>
      <c r="DD99" s="401"/>
      <c r="DE99" s="400"/>
      <c r="DF99" s="401"/>
      <c r="DG99" s="400"/>
      <c r="DH99" s="401"/>
      <c r="DI99" s="400"/>
      <c r="DJ99" s="401"/>
      <c r="DK99" s="400"/>
      <c r="DL99" s="401"/>
      <c r="DM99" s="400"/>
      <c r="DN99" s="401"/>
      <c r="DO99" s="400"/>
      <c r="DP99" s="401"/>
      <c r="DQ99" s="400"/>
      <c r="DR99" s="401"/>
      <c r="DS99" s="400"/>
      <c r="DT99" s="401"/>
      <c r="DU99" s="400"/>
      <c r="DV99" s="401"/>
      <c r="DW99" s="400"/>
      <c r="DX99" s="401"/>
      <c r="DY99" s="400"/>
      <c r="DZ99" s="401"/>
      <c r="EA99" s="400"/>
      <c r="EB99" s="401"/>
      <c r="EC99" s="400"/>
      <c r="ED99" s="401"/>
      <c r="EE99" s="400"/>
      <c r="EF99" s="401"/>
      <c r="EG99" s="400"/>
      <c r="EH99" s="401"/>
      <c r="EI99" s="400"/>
      <c r="EJ99" s="447"/>
      <c r="EK99" s="511"/>
      <c r="EL99" s="514"/>
      <c r="EM99" s="448"/>
      <c r="EN99" s="344"/>
      <c r="EO99" s="345"/>
      <c r="EP99" s="171">
        <f t="shared" si="95"/>
        <v>0</v>
      </c>
      <c r="EQ99" s="171">
        <f t="shared" si="96"/>
        <v>0</v>
      </c>
      <c r="ER99" s="171">
        <f t="shared" si="97"/>
        <v>0</v>
      </c>
      <c r="ES99" s="171">
        <f t="shared" si="98"/>
        <v>0</v>
      </c>
      <c r="ET99" s="171">
        <f t="shared" si="99"/>
        <v>0</v>
      </c>
      <c r="EU99" s="171">
        <f t="shared" si="100"/>
        <v>0</v>
      </c>
      <c r="EV99" s="172">
        <f t="shared" si="101"/>
        <v>0</v>
      </c>
      <c r="EW99" s="127"/>
      <c r="EX99" s="248">
        <f t="shared" si="123"/>
        <v>0</v>
      </c>
      <c r="EY99" s="174">
        <f>(L99*regular)+(M99*Cadeirantee)</f>
        <v>0</v>
      </c>
      <c r="EZ99" s="249">
        <f>SUMIF(FG99:GJ99,"&gt;0")</f>
        <v>0</v>
      </c>
      <c r="FA99" s="249">
        <f>SUMIF(FG99:GJ99,"&lt;0")+SUMIF(GN99:HP99,"&lt;0")</f>
        <v>0</v>
      </c>
      <c r="FB99" s="174">
        <v>0</v>
      </c>
      <c r="FC99" s="126">
        <f>N99*km*'VALORES TABELA'!$B$13</f>
        <v>0</v>
      </c>
      <c r="FD99" s="250">
        <f t="shared" si="124"/>
        <v>0</v>
      </c>
      <c r="FE99" s="105"/>
      <c r="FF99" s="118"/>
      <c r="FG99" s="118"/>
      <c r="FH99" s="118"/>
      <c r="FI99" s="118"/>
      <c r="FJ99" s="118"/>
      <c r="FK99" s="118"/>
      <c r="FL99" s="118"/>
      <c r="FM99" s="118"/>
      <c r="FN99" s="118"/>
      <c r="FO99" s="118"/>
      <c r="FP99" s="118"/>
      <c r="FQ99" s="118"/>
      <c r="FR99" s="118"/>
      <c r="FS99" s="118"/>
      <c r="FT99" s="118"/>
      <c r="FU99" s="118"/>
      <c r="FV99" s="118"/>
      <c r="FW99" s="118"/>
      <c r="FX99" s="118"/>
      <c r="FY99" s="118"/>
      <c r="FZ99" s="118"/>
      <c r="GA99" s="118"/>
      <c r="GB99" s="118"/>
      <c r="GC99" s="118"/>
      <c r="GD99" s="118"/>
      <c r="GE99" s="118"/>
      <c r="GF99" s="118"/>
      <c r="GG99" s="118"/>
      <c r="GH99" s="118"/>
      <c r="GI99" s="118"/>
      <c r="GJ99" s="118"/>
      <c r="GK99" s="252"/>
      <c r="GL99" s="103">
        <f t="shared" si="102"/>
        <v>0</v>
      </c>
      <c r="GM99" s="124"/>
      <c r="GN99" s="104"/>
      <c r="GO99" s="104"/>
      <c r="GP99" s="104"/>
      <c r="GQ99" s="104"/>
      <c r="GR99" s="104"/>
      <c r="GS99" s="104"/>
      <c r="GT99" s="104"/>
      <c r="GU99" s="104"/>
      <c r="GV99" s="104"/>
      <c r="GW99" s="104"/>
      <c r="GX99" s="104"/>
      <c r="GY99" s="104"/>
      <c r="GZ99" s="104"/>
      <c r="HA99" s="104"/>
      <c r="HB99" s="104"/>
      <c r="HC99" s="104"/>
      <c r="HD99" s="104"/>
      <c r="HE99" s="104"/>
      <c r="HF99" s="104"/>
      <c r="HG99" s="104"/>
      <c r="HH99" s="104"/>
      <c r="HI99" s="104"/>
      <c r="HJ99" s="104"/>
      <c r="HK99" s="104"/>
      <c r="HL99" s="104"/>
      <c r="HM99" s="104"/>
      <c r="HN99" s="104"/>
      <c r="HO99" s="104"/>
      <c r="HP99" s="104"/>
      <c r="HQ99" s="64"/>
      <c r="HR99" s="65"/>
      <c r="HS99" s="65"/>
      <c r="HT99" s="65"/>
      <c r="HU99" s="65"/>
      <c r="HV99" s="65"/>
      <c r="HW99" s="105"/>
      <c r="HX99" s="65"/>
      <c r="HY99" s="280">
        <f t="shared" si="125"/>
        <v>0</v>
      </c>
      <c r="HZ99" s="280">
        <f t="shared" si="126"/>
        <v>0</v>
      </c>
      <c r="IA99" s="280">
        <f t="shared" si="127"/>
        <v>0</v>
      </c>
      <c r="IB99" s="65"/>
      <c r="IC99" s="65"/>
    </row>
    <row r="100" spans="1:237" s="106" customFormat="1" ht="22.5" customHeight="1" thickBot="1" x14ac:dyDescent="0.3">
      <c r="A100" s="377" t="s">
        <v>3262</v>
      </c>
      <c r="B100" s="378" t="s">
        <v>3263</v>
      </c>
      <c r="C100" s="379" t="s">
        <v>3186</v>
      </c>
      <c r="D100" s="380" t="s">
        <v>3264</v>
      </c>
      <c r="E100" s="380" t="s">
        <v>3265</v>
      </c>
      <c r="F100" s="381" t="s">
        <v>3182</v>
      </c>
      <c r="G100" s="381" t="s">
        <v>3183</v>
      </c>
      <c r="H100" s="382" t="s">
        <v>358</v>
      </c>
      <c r="I100" s="383" t="s">
        <v>358</v>
      </c>
      <c r="J100" s="421" t="s">
        <v>3184</v>
      </c>
      <c r="K100" s="424" t="s">
        <v>60</v>
      </c>
      <c r="L100" s="329">
        <f>CONTINUA!BV100</f>
        <v>0</v>
      </c>
      <c r="M100" s="329">
        <f>CONTINUA!BW100</f>
        <v>0</v>
      </c>
      <c r="N100" s="895"/>
      <c r="O100" s="896" t="s">
        <v>3292</v>
      </c>
      <c r="P100" s="897">
        <v>0</v>
      </c>
      <c r="Q100" s="400"/>
      <c r="R100" s="401"/>
      <c r="S100" s="400"/>
      <c r="T100" s="401"/>
      <c r="U100" s="400"/>
      <c r="V100" s="401"/>
      <c r="W100" s="400"/>
      <c r="X100" s="401"/>
      <c r="Y100" s="400"/>
      <c r="Z100" s="401"/>
      <c r="AA100" s="400"/>
      <c r="AB100" s="401"/>
      <c r="AC100" s="400"/>
      <c r="AD100" s="401"/>
      <c r="AE100" s="400"/>
      <c r="AF100" s="401"/>
      <c r="AG100" s="400"/>
      <c r="AH100" s="401"/>
      <c r="AI100" s="400"/>
      <c r="AJ100" s="401"/>
      <c r="AK100" s="400"/>
      <c r="AL100" s="401"/>
      <c r="AM100" s="400"/>
      <c r="AN100" s="401"/>
      <c r="AO100" s="400"/>
      <c r="AP100" s="401"/>
      <c r="AQ100" s="400"/>
      <c r="AR100" s="401"/>
      <c r="AS100" s="400"/>
      <c r="AT100" s="401"/>
      <c r="AU100" s="400"/>
      <c r="AV100" s="401"/>
      <c r="AW100" s="400"/>
      <c r="AX100" s="401"/>
      <c r="AY100" s="400"/>
      <c r="AZ100" s="401"/>
      <c r="BA100" s="400"/>
      <c r="BB100" s="401"/>
      <c r="BC100" s="400"/>
      <c r="BD100" s="401"/>
      <c r="BE100" s="400"/>
      <c r="BF100" s="401"/>
      <c r="BG100" s="400"/>
      <c r="BH100" s="401"/>
      <c r="BI100" s="400"/>
      <c r="BJ100" s="401"/>
      <c r="BK100" s="400"/>
      <c r="BL100" s="401"/>
      <c r="BM100" s="400"/>
      <c r="BN100" s="401"/>
      <c r="BO100" s="400"/>
      <c r="BP100" s="401"/>
      <c r="BQ100" s="400"/>
      <c r="BR100" s="401"/>
      <c r="BS100" s="400"/>
      <c r="BT100" s="401"/>
      <c r="BU100" s="400"/>
      <c r="BV100" s="401"/>
      <c r="BW100" s="400"/>
      <c r="BX100" s="401"/>
      <c r="BY100" s="400"/>
      <c r="BZ100" s="401"/>
      <c r="CA100" s="400"/>
      <c r="CB100" s="401"/>
      <c r="CC100" s="400"/>
      <c r="CD100" s="401"/>
      <c r="CE100" s="400"/>
      <c r="CF100" s="401"/>
      <c r="CG100" s="400"/>
      <c r="CH100" s="401"/>
      <c r="CI100" s="400"/>
      <c r="CJ100" s="401"/>
      <c r="CK100" s="400"/>
      <c r="CL100" s="401"/>
      <c r="CM100" s="400"/>
      <c r="CN100" s="401"/>
      <c r="CO100" s="400"/>
      <c r="CP100" s="401"/>
      <c r="CQ100" s="400"/>
      <c r="CR100" s="401"/>
      <c r="CS100" s="400"/>
      <c r="CT100" s="401"/>
      <c r="CU100" s="400"/>
      <c r="CV100" s="401"/>
      <c r="CW100" s="400"/>
      <c r="CX100" s="401"/>
      <c r="CY100" s="400"/>
      <c r="CZ100" s="401"/>
      <c r="DA100" s="400"/>
      <c r="DB100" s="401"/>
      <c r="DC100" s="400"/>
      <c r="DD100" s="401"/>
      <c r="DE100" s="400"/>
      <c r="DF100" s="401"/>
      <c r="DG100" s="400"/>
      <c r="DH100" s="401"/>
      <c r="DI100" s="400"/>
      <c r="DJ100" s="401"/>
      <c r="DK100" s="400"/>
      <c r="DL100" s="401"/>
      <c r="DM100" s="400"/>
      <c r="DN100" s="401"/>
      <c r="DO100" s="400"/>
      <c r="DP100" s="401"/>
      <c r="DQ100" s="400"/>
      <c r="DR100" s="401"/>
      <c r="DS100" s="400"/>
      <c r="DT100" s="401"/>
      <c r="DU100" s="400"/>
      <c r="DV100" s="401"/>
      <c r="DW100" s="400"/>
      <c r="DX100" s="401"/>
      <c r="DY100" s="400"/>
      <c r="DZ100" s="401"/>
      <c r="EA100" s="400"/>
      <c r="EB100" s="401"/>
      <c r="EC100" s="400"/>
      <c r="ED100" s="401"/>
      <c r="EE100" s="400"/>
      <c r="EF100" s="401"/>
      <c r="EG100" s="400"/>
      <c r="EH100" s="401"/>
      <c r="EI100" s="400"/>
      <c r="EJ100" s="447"/>
      <c r="EK100" s="512"/>
      <c r="EL100" s="515"/>
      <c r="EM100" s="450"/>
      <c r="EN100" s="348"/>
      <c r="EO100" s="348"/>
      <c r="EP100" s="179">
        <f t="shared" si="95"/>
        <v>0</v>
      </c>
      <c r="EQ100" s="179">
        <f t="shared" si="96"/>
        <v>0</v>
      </c>
      <c r="ER100" s="179">
        <f t="shared" si="97"/>
        <v>0</v>
      </c>
      <c r="ES100" s="179">
        <f t="shared" si="98"/>
        <v>0</v>
      </c>
      <c r="ET100" s="179">
        <f t="shared" si="99"/>
        <v>0</v>
      </c>
      <c r="EU100" s="179">
        <f t="shared" si="100"/>
        <v>0</v>
      </c>
      <c r="EV100" s="172">
        <f t="shared" si="101"/>
        <v>0</v>
      </c>
      <c r="EW100" s="253"/>
      <c r="EX100" s="254">
        <v>0</v>
      </c>
      <c r="EY100" s="180">
        <v>0</v>
      </c>
      <c r="EZ100" s="255">
        <v>0</v>
      </c>
      <c r="FA100" s="255">
        <v>0</v>
      </c>
      <c r="FB100" s="180">
        <f>SUM(FF100:GI100)/2</f>
        <v>0</v>
      </c>
      <c r="FC100" s="256">
        <f>N100*km*'VALORES TABELA'!$B$13</f>
        <v>0</v>
      </c>
      <c r="FD100" s="250">
        <f t="shared" si="124"/>
        <v>0</v>
      </c>
      <c r="FE100" s="257"/>
      <c r="FF100" s="181">
        <f>((Q100+S100)*Percapita)+((R100+T100)*Cadeirante)</f>
        <v>0</v>
      </c>
      <c r="FG100" s="181">
        <f>((U100+W100)*Percapita/30*FG$4)+((V100+X100)*Cadeirante/30*FG$4)</f>
        <v>0</v>
      </c>
      <c r="FH100" s="181">
        <f>((Y100+AA100)*Percapita/30*FH$4)+((Z100+AB100)*Cadeirante/30*FH$4)</f>
        <v>0</v>
      </c>
      <c r="FI100" s="181">
        <f>((AC100+AE100)*Percapita/30*FI$4)+((AD100+AF100)*Cadeirante/30*FI$4)</f>
        <v>0</v>
      </c>
      <c r="FJ100" s="181">
        <f>((AG100+AI100)*Percapita/30*FJ$4)+((AH100+AJ100)*Cadeirante/30*FJ$4)</f>
        <v>0</v>
      </c>
      <c r="FK100" s="181">
        <f>((AK100+AM100)*Percapita/30*FK$4)+((AL100+AN100)*Cadeirante/30*FK$4)</f>
        <v>0</v>
      </c>
      <c r="FL100" s="181">
        <f>((AO100+AQ100)*Percapita/30*FL$4)+((AP100+AR100)*Cadeirante/30*FL$4)</f>
        <v>0</v>
      </c>
      <c r="FM100" s="181">
        <f>((AS100+AU100)*Percapita/30*FM$4)+((AT100+AV100)*Cadeirante/30*FM$4)</f>
        <v>0</v>
      </c>
      <c r="FN100" s="181">
        <f>((AW100+AY100)*Percapita/30*FN$4)+((AX100+AZ100)*Cadeirante/30*FN$4)</f>
        <v>0</v>
      </c>
      <c r="FO100" s="181">
        <f>((BA100+BC100)*Percapita/30*FO$4)+((BB100+BD100)*Cadeirante/30*FO$4)</f>
        <v>0</v>
      </c>
      <c r="FP100" s="181">
        <f>((BE100+BG100)*Percapita/30*FP$4)+((BF100+BH100)*Cadeirante/30*FP$4)</f>
        <v>0</v>
      </c>
      <c r="FQ100" s="181">
        <f>((BI100+BK100)*Percapita/30*FQ$4)+((BJ100+BL100)*Cadeirante/30*FQ$4)</f>
        <v>0</v>
      </c>
      <c r="FR100" s="181">
        <f>((BM100+BO100)*Percapita/30*FR$4)+((BN100+BP100)*Cadeirante/30*FR$4)</f>
        <v>0</v>
      </c>
      <c r="FS100" s="181">
        <f>((BQ100+BS100)*Percapita/30*FS$4)+((BR100+BT100)*Cadeirante/30*FS$4)</f>
        <v>0</v>
      </c>
      <c r="FT100" s="181">
        <f>((BU100+BW100)*Percapita/30*FT$4)+((BV100+BX100)*Cadeirante/30*FT$4)</f>
        <v>0</v>
      </c>
      <c r="FU100" s="181">
        <f>((BY100+CA100)*Percapita/30*FU$4)+((BZ100+CB100)*Cadeirante/30*FU$4)</f>
        <v>0</v>
      </c>
      <c r="FV100" s="181">
        <f>((CC100+CE100)*Percapita/30*FV$4)+((CD100+CF100)*Cadeirante/30*FV$4)</f>
        <v>0</v>
      </c>
      <c r="FW100" s="181">
        <f>((CG100+CI100)*Percapita/30*FW$4)+((CI100+CK100)*Cadeirante/30*FW$4)</f>
        <v>0</v>
      </c>
      <c r="FX100" s="181">
        <f>((CK100+CM100)*Percapita/30*FX$4)+((CL100+CN100)*Cadeirante/30*FX$4)</f>
        <v>0</v>
      </c>
      <c r="FY100" s="181">
        <f>((CO100+CQ100)*Percapita/30*FY$4)+((CP100+CR100)*Cadeirante/30*FY$4)</f>
        <v>0</v>
      </c>
      <c r="FZ100" s="181">
        <f>((CS100+CU100)*Percapita/30*FZ$4)+((CT100+CV100)*Cadeirante/30*FZ$4)</f>
        <v>0</v>
      </c>
      <c r="GA100" s="181">
        <f>((CW100+CY100)*Percapita/30*GA$4)+((CX100+CZ100)*Cadeirante/30*GA$4)</f>
        <v>0</v>
      </c>
      <c r="GB100" s="181">
        <f>((DA100+DC100)*Percapita/30*GB$4)+((DB100+DD100)*Cadeirante/30*GB$4)</f>
        <v>0</v>
      </c>
      <c r="GC100" s="181">
        <f>((DE100+DG100)*Percapita/30*GC$4)+((DF100+DH100)*Cadeirante/30*GC$4)</f>
        <v>0</v>
      </c>
      <c r="GD100" s="181">
        <f>((DI100+DK100)*Percapita/30*GD$4)+((DJ100+DL100)*Cadeirante/30*GD$4)</f>
        <v>0</v>
      </c>
      <c r="GE100" s="181">
        <f>((DM100+DO100)*Percapita/30*GE$4)+((DN100+DP100)*Cadeirante/30*GE$4)</f>
        <v>0</v>
      </c>
      <c r="GF100" s="181">
        <f>((DQ100+DS100)*Percapita/30*GF$4)+((DR100+DT100)*Cadeirante/30*GF$4)</f>
        <v>0</v>
      </c>
      <c r="GG100" s="181">
        <f>((DU100+DW100)*Percapita/30*GG$4)+((DV100+DX100)*Cadeirante/30*GG$4)</f>
        <v>0</v>
      </c>
      <c r="GH100" s="181">
        <f>((DY100+EA100)*Percapita/30*GH$4)+((DZ100+EB100)*Cadeirante/30*GH$4)</f>
        <v>0</v>
      </c>
      <c r="GI100" s="181">
        <f>((EC100+EE100)*Percapita/30*GI$4)+((ED100+EF100)*Cadeirante/30*GI$4)</f>
        <v>0</v>
      </c>
      <c r="GJ100" s="181">
        <f>((EG100+EI100)*Percapita)+((EH100+EJ100)*Cadeirante)</f>
        <v>0</v>
      </c>
      <c r="GK100" s="258"/>
      <c r="GL100" s="103">
        <f t="shared" si="102"/>
        <v>0</v>
      </c>
      <c r="GM100" s="124"/>
      <c r="GN100" s="182"/>
      <c r="GO100" s="182"/>
      <c r="GP100" s="182"/>
      <c r="GQ100" s="182"/>
      <c r="GR100" s="182"/>
      <c r="GS100" s="182"/>
      <c r="GT100" s="182"/>
      <c r="GU100" s="182"/>
      <c r="GV100" s="182"/>
      <c r="GW100" s="182"/>
      <c r="GX100" s="182"/>
      <c r="GY100" s="182"/>
      <c r="GZ100" s="182"/>
      <c r="HA100" s="182"/>
      <c r="HB100" s="182"/>
      <c r="HC100" s="182"/>
      <c r="HD100" s="182"/>
      <c r="HE100" s="182"/>
      <c r="HF100" s="182"/>
      <c r="HG100" s="182"/>
      <c r="HH100" s="182"/>
      <c r="HI100" s="182"/>
      <c r="HJ100" s="182"/>
      <c r="HK100" s="182"/>
      <c r="HL100" s="182"/>
      <c r="HM100" s="182"/>
      <c r="HN100" s="182"/>
      <c r="HO100" s="182"/>
      <c r="HP100" s="259"/>
      <c r="HQ100" s="64"/>
      <c r="HW100" s="257"/>
      <c r="HY100" s="280">
        <f t="shared" si="125"/>
        <v>0</v>
      </c>
      <c r="HZ100" s="280">
        <f t="shared" si="126"/>
        <v>0</v>
      </c>
      <c r="IA100" s="280">
        <f t="shared" si="127"/>
        <v>0</v>
      </c>
    </row>
    <row r="101" spans="1:237" s="106" customFormat="1" ht="22.5" customHeight="1" x14ac:dyDescent="0.25">
      <c r="A101" t="s">
        <v>3266</v>
      </c>
      <c r="B101" s="522" t="s">
        <v>3267</v>
      </c>
      <c r="C101" s="523">
        <v>1</v>
      </c>
      <c r="D101" s="524" t="s">
        <v>3268</v>
      </c>
      <c r="E101" s="524" t="s">
        <v>3269</v>
      </c>
      <c r="F101" s="525" t="s">
        <v>3182</v>
      </c>
      <c r="G101" s="525" t="s">
        <v>3183</v>
      </c>
      <c r="H101" s="350" t="s">
        <v>359</v>
      </c>
      <c r="I101" s="351" t="s">
        <v>359</v>
      </c>
      <c r="J101" s="409" t="s">
        <v>3184</v>
      </c>
      <c r="K101" s="410" t="s">
        <v>3185</v>
      </c>
      <c r="L101" s="329">
        <f>CONTINUA!BV101</f>
        <v>0</v>
      </c>
      <c r="M101" s="329">
        <f>CONTINUA!BW101</f>
        <v>0</v>
      </c>
      <c r="N101" s="895"/>
      <c r="O101" s="896" t="s">
        <v>3293</v>
      </c>
      <c r="P101" s="897">
        <v>0</v>
      </c>
      <c r="Q101" s="400">
        <v>6</v>
      </c>
      <c r="R101" s="401"/>
      <c r="S101" s="400"/>
      <c r="T101" s="401"/>
      <c r="U101" s="400"/>
      <c r="V101" s="401"/>
      <c r="W101" s="400"/>
      <c r="X101" s="401"/>
      <c r="Y101" s="400"/>
      <c r="Z101" s="401"/>
      <c r="AA101" s="400"/>
      <c r="AB101" s="401"/>
      <c r="AC101" s="400"/>
      <c r="AD101" s="401"/>
      <c r="AE101" s="400"/>
      <c r="AF101" s="401"/>
      <c r="AG101" s="400"/>
      <c r="AH101" s="401"/>
      <c r="AI101" s="400"/>
      <c r="AJ101" s="401"/>
      <c r="AK101" s="400"/>
      <c r="AL101" s="401"/>
      <c r="AM101" s="400"/>
      <c r="AN101" s="401"/>
      <c r="AO101" s="400"/>
      <c r="AP101" s="401"/>
      <c r="AQ101" s="400"/>
      <c r="AR101" s="401"/>
      <c r="AS101" s="400"/>
      <c r="AT101" s="401"/>
      <c r="AU101" s="400"/>
      <c r="AV101" s="401"/>
      <c r="AW101" s="400"/>
      <c r="AX101" s="401"/>
      <c r="AY101" s="400"/>
      <c r="AZ101" s="401"/>
      <c r="BA101" s="400"/>
      <c r="BB101" s="401"/>
      <c r="BC101" s="400"/>
      <c r="BD101" s="401"/>
      <c r="BE101" s="400"/>
      <c r="BF101" s="401"/>
      <c r="BG101" s="400"/>
      <c r="BH101" s="401"/>
      <c r="BI101" s="400"/>
      <c r="BJ101" s="401"/>
      <c r="BK101" s="400"/>
      <c r="BL101" s="401"/>
      <c r="BM101" s="400"/>
      <c r="BN101" s="401"/>
      <c r="BO101" s="400"/>
      <c r="BP101" s="401"/>
      <c r="BQ101" s="400"/>
      <c r="BR101" s="401"/>
      <c r="BS101" s="400"/>
      <c r="BT101" s="401"/>
      <c r="BU101" s="400"/>
      <c r="BV101" s="401"/>
      <c r="BW101" s="400"/>
      <c r="BX101" s="401"/>
      <c r="BY101" s="400"/>
      <c r="BZ101" s="401"/>
      <c r="CA101" s="400"/>
      <c r="CB101" s="401"/>
      <c r="CC101" s="400"/>
      <c r="CD101" s="401"/>
      <c r="CE101" s="400"/>
      <c r="CF101" s="401"/>
      <c r="CG101" s="400"/>
      <c r="CH101" s="401"/>
      <c r="CI101" s="400"/>
      <c r="CJ101" s="401"/>
      <c r="CK101" s="400"/>
      <c r="CL101" s="401"/>
      <c r="CM101" s="400"/>
      <c r="CN101" s="401"/>
      <c r="CO101" s="400"/>
      <c r="CP101" s="401"/>
      <c r="CQ101" s="400"/>
      <c r="CR101" s="401"/>
      <c r="CS101" s="400"/>
      <c r="CT101" s="401"/>
      <c r="CU101" s="400"/>
      <c r="CV101" s="401"/>
      <c r="CW101" s="400"/>
      <c r="CX101" s="401"/>
      <c r="CY101" s="400"/>
      <c r="CZ101" s="401"/>
      <c r="DA101" s="400"/>
      <c r="DB101" s="401"/>
      <c r="DC101" s="400"/>
      <c r="DD101" s="401"/>
      <c r="DE101" s="400"/>
      <c r="DF101" s="401"/>
      <c r="DG101" s="400"/>
      <c r="DH101" s="401"/>
      <c r="DI101" s="400"/>
      <c r="DJ101" s="401"/>
      <c r="DK101" s="400"/>
      <c r="DL101" s="401"/>
      <c r="DM101" s="400"/>
      <c r="DN101" s="401"/>
      <c r="DO101" s="400"/>
      <c r="DP101" s="401"/>
      <c r="DQ101" s="400"/>
      <c r="DR101" s="401"/>
      <c r="DS101" s="400"/>
      <c r="DT101" s="401"/>
      <c r="DU101" s="400"/>
      <c r="DV101" s="401"/>
      <c r="DW101" s="400"/>
      <c r="DX101" s="401"/>
      <c r="DY101" s="400"/>
      <c r="DZ101" s="401"/>
      <c r="EA101" s="400"/>
      <c r="EB101" s="401"/>
      <c r="EC101" s="400"/>
      <c r="ED101" s="401"/>
      <c r="EE101" s="400"/>
      <c r="EF101" s="401"/>
      <c r="EG101" s="400"/>
      <c r="EH101" s="401"/>
      <c r="EI101" s="400"/>
      <c r="EJ101" s="447"/>
      <c r="EK101" s="510"/>
      <c r="EL101" s="513"/>
      <c r="EM101" s="520"/>
      <c r="EN101" s="520"/>
      <c r="EO101" s="520"/>
      <c r="EP101" s="171">
        <f t="shared" si="95"/>
        <v>6</v>
      </c>
      <c r="EQ101" s="171">
        <f t="shared" si="96"/>
        <v>0</v>
      </c>
      <c r="ER101" s="171">
        <f t="shared" si="97"/>
        <v>0</v>
      </c>
      <c r="ES101" s="171">
        <f t="shared" si="98"/>
        <v>0</v>
      </c>
      <c r="ET101" s="171">
        <f t="shared" si="99"/>
        <v>0</v>
      </c>
      <c r="EU101" s="171">
        <f t="shared" si="100"/>
        <v>0</v>
      </c>
      <c r="EV101" s="172">
        <f t="shared" si="101"/>
        <v>6</v>
      </c>
      <c r="EW101" s="367">
        <f>IF(C101=4,IF(MAX(Q101:EJ103)&gt;0,(Especiall/30*(IF(($G101-$F101)=($G$5-$F$5),30,IF(DAY($G101)=31,($G101-$F101),($G101-$F101)+1)))),0),0)</f>
        <v>0</v>
      </c>
      <c r="EX101" s="248">
        <f t="shared" ref="EX101:EX104" si="128">FF101</f>
        <v>11730.050000000001</v>
      </c>
      <c r="EY101" s="174">
        <f>(L101*regular)+(M101*Cadeirantee)</f>
        <v>0</v>
      </c>
      <c r="EZ101" s="249">
        <f>SUMIF(FG101:GJ101,"&gt;0")</f>
        <v>359.548</v>
      </c>
      <c r="FA101" s="249">
        <f>SUMIF(FG101:GJ101,"&lt;0")+SUMIF(GN101:HP101,"&lt;0")</f>
        <v>-154.09200000000001</v>
      </c>
      <c r="FB101" s="174">
        <v>0</v>
      </c>
      <c r="FC101" s="175">
        <f>N101*km*'VALORES TABELA'!$B$13</f>
        <v>0</v>
      </c>
      <c r="FD101" s="250">
        <f>GL101</f>
        <v>0</v>
      </c>
      <c r="FE101" s="176">
        <f>(EW101+EW102+EW103+EW104+EX101+EX102+EX103+EX104+EY101+EY102+EY103+EY104+EY105+EZ101+EZ102+EZ103+EZ104+FA101+FA102+FA103+FA104+FC101+FC102+FC103+FC104+HY101-HZ101-IA101+FD101+FD102+FD103+FD104+FB105)</f>
        <v>12407.866000000002</v>
      </c>
      <c r="FF101" s="177">
        <f>IF(C101=4,SUM(Q101+Q102+Q103+S101+S102+S103)*Percapita/30*FF$4+(R101+R102+R103+T101+T102+T103)*Cadeirante/30*FF$4,IF(C101=3,IF(Q104+S104=10,Fixo/30*FF$4+(Q101+Q102+Q103+S101+S102+S103)*Percapita/30*FF$4+(R104+T104)*Cadeirante/30*FF$4,IF(Q104+S104&lt;=9,(Q104+S104)*Crechee/30*FF$4)+(R104+T104)*Cadeirante/30*FF$4+(Q101+Q102+Q103+S101+S102+S103)*Percapita/30*FF$4)+IF(Q104+S104&gt;=11,Fixo/30*FF$4+(Q104+S104-10)*Crechee/30*FF$4,0),IF(C101=2,IF(R101+R102+R103+R104+T101+T102+T103+T104=1,Cadeirante/30*FF$4,IF(R101+R102+R103+R104+T101+T102+T103+T104=2,Fixo/30*FF$4,IF(R101+R102+R103+R104+T101+T102+T103+T104&gt;2,Fixo/30*FF$4+(R101+R102+R103+R104+T101+T102+T103+T104-2)*Cadeirante/30*FF$4)))+(Q101+Q102+Q103+S101+S102+S103)*Percapita/30*FF$4+(Q104+S104)*Crechee/30*FF$4,IF(C101=1,IF(Q101+Q102+Q103+R101+R102+R103+S101+S102+S103+T101+T102+T103&lt;=15,(Q101+Q102+Q103+S101+S102+S103)*Percapita/30*FF$4,IF(Q101+Q102+Q103+R101+R102+R103+S101+S102+S103+T101+T102+T103&gt;=16,Fixo/30*FF$4+(Q101+Q102+Q103+R101+R102+R103+S101+S102+S103+T101+T102-16)*Percapita/30*FF$4))))))</f>
        <v>11730.050000000001</v>
      </c>
      <c r="FG101" s="177">
        <f>IF(C101=4,SUM(U101+U102+U103+W101+W102+W103)*Percapita/30*FG$4+(V101+V102+V103+X101+X102+X103)*Cadeirante/30*FG$4,IF(C101=3,IF(U104+W104=10,Fixo/30*FG$4+(U101+U102+U103+W101+W102+W103)*Percapita/30*FG$4+(V104+X104)*Cadeirante/30*FG$4,IF(U104+W104&lt;=9,(U104+W104)*Crechee/30*FG$4)+(V104+X104)*Cadeirante/30*FG$4+(U101+U102+U103+W101+W102+W103)*Percapita/30*FG$4)+IF(U104+W104&gt;=11,Fixo/30*FG$4+(U104+W104-10)*Crechee/30*FG$4,0),IF(C101=2,IF(V101+V102+V103+V104+X101+X102+X103+X104=1,Cadeirante/30*FG$4,IF(V101+V102+V103+V104+X101+X102+X103+X104=2,Fixo/30*FG$4,IF(V101+V102+V103+V104+X101+X102+X103+X104&gt;2,Fixo/30*FG$4+(V101+V102+V103+V104+X101+X102+X103+X104-2)*Cadeirante/30*FG$4)))+(U101+U102+U103+W101+W102+W103)*Percapita/30*FG$4+(U104+W104)*Crechee/30*FG$4,IF(C101=1,IF(U101+U102+U103+V101+V102+V103+W101+W102+W103+X101+X102+X103&lt;=15,(U101+U102+U103+W101+W102+W103)*Percapita/30*FG$4,IF(U101+U102+U103+V101+V102+V103+W101+W102+W103+X101+X102+X103&gt;=16,Fixo/30*FG$4+(U101+U102+U103+V101+V102+V103+W101+W102+W103+X101+X102-16)*Percapita/30*FG$4))))))</f>
        <v>0</v>
      </c>
      <c r="FH101" s="177">
        <f>IF(C101=4,SUM(Y101+Y102+Y103+AA101+AA102+AA103)*Percapita/30*FH$4+(Z101+Z102+Z103+AB101+AB102+AB103)*Cadeirante/30*FH$4,IF(C101=3,IF(Y104+AA104=10,Fixo/30*FH$4+(Y101+Y102+Y103+AA101+AA102+AA103)*Percapita/30*FH$4+(Z104+AB104)*Cadeirante/30*FH$4,IF(Y104+AA104&lt;=9,(Y104+AA104)*Crechee/30*FH$4)+(Z104+AB104)*Cadeirante/30*FH$4+(Y101+Y102+Y103+AA101+AA102+AA103)*Percapita/30*FH$4)+IF(Y104+AA104&gt;=11,Fixo/30*FH$4+(Y104+AA104-10)*Crechee/30*FH$4,0),IF(C101=2,IF(Z101+Z102+Z103+Z104+AB101+AB102+AB103+AB104=1,Cadeirante/30*FH$4,IF(Z101+Z102+Z103+Z104+AB101+AB102+AB103+AB104=2,Fixo/30*FH$4,IF(Z101+Z102+Z103+Z104+AB101+AB102+AB103+AB104&gt;2,Fixo/30*FH$4+(Z101+Z102+Z103+Z104+AB101+AB102+AB103+AB104-2)*Cadeirante/30*FH$4)))+(Y101+Y102+Y103+AA101+AA102+AA103)*Percapita/30*FH$4+(Y104+AA104)*Crechee/30*FH$4,IF(C101=1,IF(Y101+Y102+Y103+Z101+Z102+Z103+AA101+AA102+AA103+AB101+AB102+AB103&lt;=15,(Y101+Y102+Y103+AA101+AA102+AA103)*Percapita/30*FH$4,IF(Y101+Y102+Y103+Z101+Z102+Z103+AA101+AA102+AA103+AB101+AB102+AB103&gt;=16,Fixo/30*FH$4+(Y101+Y102+Y103+Z101+Z102+Z103+AA101+AA102+AA103+AB101+AB102-16)*Percapita/30*FH$4))))))</f>
        <v>0</v>
      </c>
      <c r="FI101" s="177">
        <f>IF(C101=4,SUM(AC101+AC102+AC103+AE101+AE102+AE103)*Percapita/30*FI$4+(AD101+AD102+AD103+AF101+AF102+AF103)*Cadeirante/30*FI$4,IF(C101=3,IF(AC104+AE104=10,Fixo/30*FI$4+(AC101+AC102+AC103+AE101+AE102+AE103)*Percapita/30*FI$4+(AD104+AF104)*Cadeirante/30*FI$4,IF(AC104+AE104&lt;=9,(AC104+AE104)*Crechee/30*FI$4)+(AD104+AF104)*Cadeirante/30*FI$4+(AC101+AC102+AC103+AE101+AE102+AE103)*Percapita/30*FI$4)+IF(AC104+AE104&gt;=11,Fixo/30*FI$4+(AC104+AE104-10)*Crechee/30*FI$4,0),IF(C101=2,IF(AD101+AD102+AD103+AD104+AF101+AF102+AF103+AF104=1,Cadeirante/30*FI$4,IF(AD101+AD102+AD103+AD104+AF101+AF102+AF103+AF104=2,Fixo/30*FI$4,IF(AD101+AD102+AD103+AD104+AF101+AF102+AF103+AF104&gt;2,Fixo/30*FI$4+(AD101+AD102+AD103+AD104+AF101+AF102+AF103+AF104-2)*Cadeirante/30*FI$4)))+(AC101+AC102+AC103+AE101+AE102+AE103)*Percapita/30*FI$4+(AC104+AE104)*Crechee/30*FI$4,IF(C101=1,IF(AC101+AC102+AC103+AD101+AD102+AD103+AE101+AE102+AE103+AF101+AF102+AF103&lt;=15,(AC101+AC102+AC103+AE101+AE102+AE103)*Percapita/30*FI$4,IF(AC101+AC102+AC103+AD101+AD102+AD103+AE101+AE102+AE103+AF101+AF102+AF103&gt;=16,Fixo/30*FI$4+(AC101+AC102+AC103+AD101+AD102+AD103+AE101+AE102+AE103+AF101+AF102-16)*Percapita/30*FI$4))))))</f>
        <v>0</v>
      </c>
      <c r="FJ101" s="177">
        <f>IF(C101=4,SUM(AG101+AG102+AG103+AI101+AI102+AI103)*Percapita/30*FJ$4+(AH101+AH102+AH103+AJ101+AJ102+AJ103)*Cadeirante/30*FJ$4,IF(C101=3,IF(AG104+AI104=10,Fixo/30*FJ$4+(AG101+AG102+AG103+AI101+AI102+AI103)*Percapita/30*FJ$4+(AH104+AJ104)*Cadeirante/30*FJ$4,IF(AG104+AI104&lt;=9,(AG104+AI104)*Crechee/30*FJ$4)+(AH104+AJ104)*Cadeirante/30*FJ$4+(AG101+AG102+AG103+AI101+AI102+AI103)*Percapita/30*FJ$4)+IF(AG104+AI104&gt;=11,Fixo/30*FJ$4+(AG104+AI104-10)*Crechee/30*FJ$4,0),IF(C101=2,IF(AH101+AH102+AH103+AH104+AJ101+AJ102+AJ103+AJ104=1,Cadeirante/30*FJ$4,IF(AH101+AH102+AH103+AH104+AJ101+AJ102+AJ103+AJ104=2,Fixo/30*FJ$4,IF(AH101+AH102+AH103+AH104+AJ101+AJ102+AJ103+AJ104&gt;2,Fixo/30*FJ$4+(AH101+AH102+AH103+AH104+AJ101+AJ102+AJ103+AJ104-2)*Cadeirante/30*FJ$4)))+(AG101+AG102+AG103+AI101+AI102+AI103)*Percapita/30*FJ$4+(AG104+AI104)*Crechee/30*FJ$4,IF(C101=1,IF(AG101+AG102+AG103+AH101+AH102+AH103+AI101+AI102+AI103+AJ101+AJ102+AJ103&lt;=15,(AG101+AG102+AG103+AI101+AI102+AI103)*Percapita/30*FJ$4,IF(AG101+AG102+AG103+AH101+AH102+AH103+AI101+AI102+AI103+AJ101+AJ102+AJ103&gt;=16,Fixo/30*FJ$4+(AG101+AG102+AG103+AH101+AH102+AH103+AI101+AI102+AI103+AJ101+AJ102-16)*Percapita/30*FJ$4))))))</f>
        <v>0</v>
      </c>
      <c r="FK101" s="177">
        <f>IF(C101=4,SUM(AK101+AK102+AK103+AM101+AM102+AM103)*Percapita/30*FK$4+(AL101+AL102+AL103+AN101+AN102+AN103)*Cadeirante/30*FK$4,IF(C101=3,IF(AK104+AM104=10,Fixo/30*FK$4+(AK101+AK102+AK103+AM101+AM102+AM103)*Percapita/30*FK$4+(AL104+AN104)*Cadeirante/30*FK$4,IF(AK104+AM104&lt;=9,(AK104+AM104)*Crechee/30*FK$4)+(AL104+AN104)*Cadeirante/30*FK$4+(AK101+AK102+AK103+AM101+AM102+AM103)*Percapita/30*FK$4)+IF(AK104+AM104&gt;=11,Fixo/30*FK$4+(AK104+AM104-10)*Crechee/30*FK$4,0),IF(C101=2,IF(AL101+AL102+AL103+AL104+AN101+AN102+AN103+AN104=1,Cadeirante/30*FK$4,IF(AL101+AL102+AL103+AL104+AN101+AN102+AN103+AN104=2,Fixo/30*FK$4,IF(AL101+AL102+AL103+AL104+AN101+AN102+AN103+AN104&gt;2,Fixo/30*FK$4+(AL101+AL102+AL103+AL104+AN101+AN102+AN103+AN104-2)*Cadeirante/30*FK$4)))+(AK101+AK102+AK103+AM101+AM102+AM103)*Percapita/30*FK$4+(AK104+AM104)*Crechee/30*FK$4,IF(C101=1,IF(AK101+AK102+AK103+AL101+AL102+AL103+AM101+AM102+AM103+AN101+AN102+AN103&lt;=15,(AK101+AK102+AK103+AM101+AM102+AM103)*Percapita/30*FK$4,IF(AK101+AK102+AK103+AL101+AL102+AL103+AM101+AM102+AM103+AN101+AN102+AN103&gt;=16,Fixo/30*FK$4+(AK101+AK102+AK103+AL101+AL102+AL103+AM101+AM102+AM103+AN101+AN102-16)*Percapita/30*FK$4))))))</f>
        <v>0</v>
      </c>
      <c r="FL101" s="177">
        <f>IF(C101=4,SUM(AO101+AO102+AO103+AQ101+AQ102+AQ103)*Percapita/30*FL$4+(AP101+AP102+AP103+AR101+AR102+AR103)*Cadeirante/30*FL$4,IF(C101=3,IF(AO104+AQ104=10,Fixo/30*FL$4+(AO101+AO102+AO103+AQ101+AQ102+AQ103)*Percapita/30*FL$4+(AP104+AR104)*Cadeirante/30*FL$4,IF(AO104+AQ104&lt;=9,(AO104+AQ104)*Crechee/30*FL$4)+(AP104+AR104)*Cadeirante/30*FL$4+(AO101+AO102+AO103+AQ101+AQ102+AQ103)*Percapita/30*FL$4)+IF(AO104+AQ104&gt;=11,Fixo/30*FL$4+(AO104+AQ104-10)*Crechee/30*FL$4,0),IF(C101=2,IF(AP101+AP102+AP103+AP104+AR101+AR102+AR103+AR104=1,Cadeirante/30*FL$4,IF(AP101+AP102+AP103+AP104+AR101+AR102+AR103+AR104=2,Fixo/30*FL$4,IF(AP101+AP102+AP103+AP104+AR101+AR102+AR103+AR104&gt;2,Fixo/30*FL$4+(AP101+AP102+AP103+AP104+AR101+AR102+AR103+AR104-2)*Cadeirante/30*FL$4)))+(AO101+AO102+AO103+AQ101+AQ102+AQ103)*Percapita/30*FL$4+(AO104+AQ104)*Crechee/30*FL$4,IF(C101=1,IF(AO101+AO102+AO103+AP101+AP102+AP103+AQ101+AQ102+AQ103+AR101+AR102+AR103&lt;=15,(AO101+AO102+AO103+AQ101+AQ102+AQ103)*Percapita/30*FL$4,IF(AO101+AO102+AO103+AP101+AP102+AP103+AQ101+AQ102+AQ103+AR101+AR102+AR103&gt;=16,Fixo/30*FL$4+(AO101+AO102+AO103+AP101+AP102+AP103+AQ101+AQ102+AQ103+AR101+AR102-16)*Percapita/30*FL$4))))))</f>
        <v>0</v>
      </c>
      <c r="FM101" s="177">
        <f>IF(C101=4,SUM(AS101+AS102+AS103+AU101+AU102+AU103)*Percapita/30*FM$4+(AT101+AT102+AT103+AV101+AV102+AV103)*Cadeirante/30*FM$4,IF(C101=3,IF(AS104+AU104=10,Fixo/30*FM$4+(AS101+AS102+AS103+AU101+AU102+AU103)*Percapita/30*FM$4+(AT104+AV104)*Cadeirante/30*FM$4,IF(AS104+AU104&lt;=9,(AS104+AU104)*Crechee/30*FM$4)+(AT104+AV104)*Cadeirante/30*FM$4+(AS101+AS102+AS103+AU101+AU102+AU103)*Percapita/30*FM$4)+IF(AS104+AU104&gt;=11,Fixo/30*FM$4+(AS104+AU104-10)*Crechee/30*FM$4,0),IF(C101=2,IF(AT101+AT102+AT103+AT104+AV101+AV102+AV103+AV104=1,Cadeirante/30*FM$4,IF(AT101+AT102+AT103+AT104+AV101+AV102+AV103+AV104=2,Fixo/30*FM$4,IF(AT101+AT102+AT103+AT104+AV101+AV102+AV103+AV104&gt;2,Fixo/30*FM$4+(AT101+AT102+AT103+AT104+AV101+AV102+AV103+AV104-2)*Cadeirante/30*FM$4)))+(AS101+AS102+AS103+AU101+AU102+AU103)*Percapita/30*FM$4+(AS104+AU104)*Crechee/30*FM$4,IF(C101=1,IF(AS101+AS102+AS103+AT101+AT102+AT103+AU101+AU102+AU103+AV101+AV102+AV103&lt;=15,(AS101+AS102+AS103+AU101+AU102+AU103)*Percapita/30*FM$4,IF(AS101+AS102+AS103+AT101+AT102+AT103+AU101+AU102+AU103+AV101+AV102+AV103&gt;=16,Fixo/30*FM$4+(AS101+AS102+AS103+AT101+AT102+AT103+AU101+AU102+AU103+AV101+AV102-16)*Percapita/30*FM$4))))))</f>
        <v>0</v>
      </c>
      <c r="FN101" s="177">
        <f>IF(C101=4,SUM(AW101+AW102+AW103+AY101+AY102+AY103)*Percapita/30*FN$4+(AX101+AX102+AX103+AZ101+AZ102+AZ103)*Cadeirante/30*FN$4,IF(C101=3,IF(AW104+AY104=10,Fixo/30*FN$4+(AW101+AW102+AW103+AY101+AY102+AY103)*Percapita/30*FN$4+(AX104+AZ104)*Cadeirante/30*FN$4,IF(AW104+AY104&lt;=9,(AW104+AY104)*Crechee/30*FN$4)+(AX104+AZ104)*Cadeirante/30*FN$4+(AW101+AW102+AW103+AY101+AY102+AY103)*Percapita/30*FN$4)+IF(AW104+AY104&gt;=11,Fixo/30*FN$4+(AW104+AY104-10)*Crechee/30*FN$4,0),IF(C101=2,IF(AX101+AX102+AX103+AX104+AZ101+AZ102+AZ103+AZ104=1,Cadeirante/30*FN$4,IF(AX101+AX102+AX103+AX104+AZ101+AZ102+AZ103+AZ104=2,Fixo/30*FN$4,IF(AX101+AX102+AX103+AX104+AZ101+AZ102+AZ103+AZ104&gt;2,Fixo/30*FN$4+(AX101+AX102+AX103+AX104+AZ101+AZ102+AZ103+AZ104-2)*Cadeirante/30*FN$4)))+(AW101+AW102+AW103+AY101+AY102+AY103)*Percapita/30*FN$4+(AW104+AY104)*Crechee/30*FN$4,IF(C101=1,IF(AW101+AW102+AW103+AX101+AX102+AX103+AY101+AY102+AY103+AZ101+AZ102+AZ103&lt;=15,(AW101+AW102+AW103+AY101+AY102+AY103)*Percapita/30*FN$4,IF(AW101+AW102+AW103+AX101+AX102+AX103+AY101+AY102+AY103+AZ101+AZ102+AZ103&gt;=16,Fixo/30*FN$4+(AW101+AW102+AW103+AX101+AX102+AX103+AY101+AY102+AY103+AZ101+AZ102-16)*Percapita/30*FN$4))))))</f>
        <v>0</v>
      </c>
      <c r="FO101" s="177">
        <f>IF(C101=4,SUM(BA101+BA102+BA103+BC101+BC102+BC103)*Percapita/30*FO$4+(BB101+BB102+BB103+BD101+BD102+BD103)*Cadeirante/30*FO$4,IF(C101=3,IF(BA104+BC104=10,Fixo/30*FO$4+(BA101+BA102+BA103+BC101+BC102+BC103)*Percapita/30*FO$4+(BB104+BD104)*Cadeirante/30*FO$4,IF(BA104+BC104&lt;=9,(BA104+BC104)*Crechee/30*FO$4)+(BB104+BD104)*Cadeirante/30*FO$4+(BA101+BA102+BA103+BC101+BC102+BC103)*Percapita/30*FO$4)+IF(BA104+BC104&gt;=11,Fixo/30*FO$4+(BA104+BC104-10)*Crechee/30*FO$4,0),IF(C101=2,IF(BB101+BB102+BB103+BB104+BD101+BD102+BD103+BD104=1,Cadeirante/30*FO$4,IF(BB101+BB102+BB103+BB104+BD101+BD102+BD103+BD104=2,Fixo/30*FO$4,IF(BB101+BB102+BB103+BB104+BD101+BD102+BD103+BD104&gt;2,Fixo/30*FO$4+(BB101+BB102+BB103+BB104+BD101+BD102+BD103+BD104-2)*Cadeirante/30*FO$4)))+(BA101+BA102+BA103+BC101+BC102+BC103)*Percapita/30*FO$4+(BA104+BC104)*Crechee/30*FO$4,IF(C101=1,IF(BA101+BA102+BA103+BB101+BB102+BB103+BC101+BC102+BC103+BD101+BD102+BD103&lt;=15,(BA101+BA102+BA103+BC101+BC102+BC103)*Percapita/30*FO$4,IF(BA101+BA102+BA103+BB101+BB102+BB103+BC101+BC102+BC103+BD101+BD102+BD103&gt;=16,Fixo/30*FO$4+(BA101+BA102+BA103+BB101+BB102+BB103+BC101+BC102+BC103+BD101+BD102-16)*Percapita/30*FO$4))))))</f>
        <v>269.661</v>
      </c>
      <c r="FP101" s="177">
        <f>IF(C101=4,SUM(BE101+BE102+BE103+BG101+BG102+BG103)*Percapita/30*FP$4+(BF101+BF102+BF103+BH101+BH102+BH103)*Cadeirante/30*FP$4,IF(C101=3,IF(BE104+BG104=10,Fixo/30*FP$4+(BE101+BE102+BE103+BG101+BG102+BG103)*Percapita/30*FP$4+(BF104+BH104)*Cadeirante/30*FP$4,IF(BE104+BG104&lt;=9,(BE104+BG104)*Crechee/30*FP$4)+(BF104+BH104)*Cadeirante/30*FP$4+(BE101+BE102+BE103+BG101+BG102+BG103)*Percapita/30*FP$4)+IF(BE104+BG104&gt;=11,Fixo/30*FP$4+(BE104+BG104-10)*Crechee/30*FP$4,0),IF(C101=2,IF(BF101+BF102+BF103+BF104+BH101+BH102+BH103+BH104=1,Cadeirante/30*FP$4,IF(BF101+BF102+BF103+BF104+BH101+BH102+BH103+BH104=2,Fixo/30*FP$4,IF(BF101+BF102+BF103+BF104+BH101+BH102+BH103+BH104&gt;2,Fixo/30*FP$4+(BF101+BF102+BF103+BF104+BH101+BH102+BH103+BH104-2)*Cadeirante/30*FP$4)))+(BE101+BE102+BE103+BG101+BG102+BG103)*Percapita/30*FP$4+(BE104+BG104)*Crechee/30*FP$4,IF(C101=1,IF(BE101+BE102+BE103+BF101+BF102+BF103+BG101+BG102+BG103+BH101+BH102+BH103&lt;=15,(BE101+BE102+BE103+BG101+BG102+BG103)*Percapita/30*FP$4,IF(BE101+BE102+BE103+BF101+BF102+BF103+BG101+BG102+BG103+BH101+BH102+BH103&gt;=16,Fixo/30*FP$4+(BE101+BE102+BE103+BF101+BF102+BF103+BG101+BG102+BG103+BH101+BH102-16)*Percapita/30*FP$4))))))</f>
        <v>0</v>
      </c>
      <c r="FQ101" s="177">
        <f>IF(C101=4,SUM(BI101+BI102+BI103+BK101+BK102+BK103)*Percapita/30*FQ$4+(BJ101+BJ102+BJ103+BL101+BL102+BL103)*Cadeirante/30*FQ$4,IF(C101=3,IF(BI104+BK104=10,Fixo/30*FQ$4+(BI101+BI102+BI103+BK101+BK102+BK103)*Percapita/30*FQ$4+(BJ104+BL104)*Cadeirante/30*FQ$4,IF(BI104+BK104&lt;=9,(BI104+BK104)*Crechee/30*FQ$4)+(BJ104+BL104)*Cadeirante/30*FQ$4+(BI101+BI102+BI103+BK101+BK102+BK103)*Percapita/30*FQ$4)+IF(BI104+BK104&gt;=11,Fixo/30*FQ$4+(BI104+BK104-10)*Crechee/30*FQ$4,0),IF(C101=2,IF(BJ101+BJ102+BJ103+BJ104+BL101+BL102+BL103+BL104=1,Cadeirante/30*FQ$4,IF(BJ101+BJ102+BJ103+BJ104+BL101+BL102+BL103+BL104=2,Fixo/30*FQ$4,IF(BJ101+BJ102+BJ103+BJ104+BL101+BL102+BL103+BL104&gt;2,Fixo/30*FQ$4+(BJ101+BJ102+BJ103+BJ104+BL101+BL102+BL103+BL104-2)*Cadeirante/30*FQ$4)))+(BI101+BI102+BI103+BK101+BK102+BK103)*Percapita/30*FQ$4+(BI104+BK104)*Crechee/30*FQ$4,IF(C101=1,IF(BI101+BI102+BI103+BJ101+BJ102+BJ103+BK101+BK102+BK103+BL101+BL102+BL103&lt;=15,(BI101+BI102+BI103+BK101+BK102+BK103)*Percapita/30*FQ$4,IF(BI101+BI102+BI103+BJ101+BJ102+BJ103+BK101+BK102+BK103+BL101+BL102+BL103&gt;=16,Fixo/30*FQ$4+(BI101+BI102+BI103+BJ101+BJ102+BJ103+BK101+BK102+BK103+BL101+BL102-16)*Percapita/30*FQ$4))))))</f>
        <v>0</v>
      </c>
      <c r="FR101" s="177">
        <f>IF(C101=4,SUM(BM101+BM102+BM103+BO101+BO102+BO103)*Percapita/30*FR$4+(BN101+BN102+BN103+BP101+BP102+BP103)*Cadeirante/30*FR$4,IF(C101=3,IF(BM104+BO104=10,Fixo/30*FR$4+(BM101+BM102+BM103+BO101+BO102+BO103)*Percapita/30*FR$4+(BN104+BP104)*Cadeirante/30*FR$4,IF(BM104+BO104&lt;=9,(BM104+BO104)*Crechee/30*FR$4)+(BN104+BP104)*Cadeirante/30*FR$4+(BM101+BM102+BM103+BO101+BO102+BO103)*Percapita/30*FR$4)+IF(BM104+BO104&gt;=11,Fixo/30*FR$4+(BM104+BO104-10)*Crechee/30*FR$4,0),IF(C101=2,IF(BN101+BN102+BN103+BN104+BP101+BP102+BP103+BP104=1,Cadeirante/30*FR$4,IF(BN101+BN102+BN103+BN104+BP101+BP102+BP103+BP104=2,Fixo/30*FR$4,IF(BN101+BN102+BN103+BN104+BP101+BP102+BP103+BP104&gt;2,Fixo/30*FR$4+(BN101+BN102+BN103+BN104+BP101+BP102+BP103+BP104-2)*Cadeirante/30*FR$4)))+(BM101+BM102+BM103+BO101+BO102+BO103)*Percapita/30*FR$4+(BM104+BO104)*Crechee/30*FR$4,IF(C101=1,IF(BM101+BM102+BM103+BN101+BN102+BN103+BO101+BO102+BO103+BP101+BP102+BP103&lt;=15,(BM101+BM102+BM103+BO101+BO102+BO103)*Percapita/30*FR$4,IF(BM101+BM102+BM103+BN101+BN102+BN103+BO101+BO102+BO103+BP101+BP102+BP103&gt;=16,Fixo/30*FR$4+(BM101+BM102+BM103+BN101+BN102+BN103+BO101+BO102+BO103+BP101+BP102-16)*Percapita/30*FR$4))))))</f>
        <v>0</v>
      </c>
      <c r="FS101" s="177">
        <f>IF(C101=4,SUM(BQ101+BQ102+BQ103+BS101+BS102+BS103)*Percapita/30*FS$4+(BR101+BR102+BR103+BT101+BT102+BT103)*Cadeirante/30*FS$4,IF(C101=3,IF(BQ104+BS104=10,Fixo/30*FS$4+(BQ101+BQ102+BQ103+BS101+BS102+BS103)*Percapita/30*FS$4+(BR104+BT104)*Cadeirante/30*FS$4,IF(BQ104+BS104&lt;=9,(BQ104+BS104)*Crechee/30*FS$4)+(BR104+BT104)*Cadeirante/30*FS$4+(BQ101+BQ102+BQ103+BS101+BS102+BS103)*Percapita/30*FS$4)+IF(BQ104+BS104&gt;=11,Fixo/30*FS$4+(BQ104+BS104-10)*Crechee/30*FS$4,0),IF(C101=2,IF(BR101+BR102+BR103+BR104+BT101+BT102+BT103+BT104=1,Cadeirante/30*FS$4,IF(BR101+BR102+BR103+BR104+BT101+BT102+BT103+BT104=2,Fixo/30*FS$4,IF(BR101+BR102+BR103+BR104+BT101+BT102+BT103+BT104&gt;2,Fixo/30*FS$4+(BR101+BR102+BR103+BR104+BT101+BT102+BT103+BT104-2)*Cadeirante/30*FS$4)))+(BQ101+BQ102+BQ103+BS101+BS102+BS103)*Percapita/30*FS$4+(BQ104+BS104)*Crechee/30*FS$4,IF(C101=1,IF(BQ101+BQ102+BQ103+BR101+BR102+BR103+BS101+BS102+BS103+BT101+BT102+BT103&lt;=15,(BQ101+BQ102+BQ103+BS101+BS102+BS103)*Percapita/30*FS$4,IF(BQ101+BQ102+BQ103+BR101+BR102+BR103+BS101+BS102+BS103+BT101+BT102+BT103&gt;=16,Fixo/30*FS$4+(BQ101+BQ102+BQ103+BR101+BR102+BR103+BS101+BS102+BS103+BT101+BT102-16)*Percapita/30*FS$4))))))</f>
        <v>0</v>
      </c>
      <c r="FT101" s="177">
        <f>IF(C101=4,SUM(BU101+BU102+BU103+BW101+BW102+BW103)*Percapita/30*FT$4+(BV101+BV102+BV103+BX101+BX102+BX103)*Cadeirante/30*FT$4,IF(C101=3,IF(BU104+BW104=10,Fixo/30*FT$4+(BU101+BU102+BU103+BW101+BW102+BW103)*Percapita/30*FT$4+(BV104+BX104)*Cadeirante/30*FT$4,IF(BU104+BW104&lt;=9,(BU104+BW104)*Crechee/30*FT$4)+(BV104+BX104)*Cadeirante/30*FT$4+(BU101+BU102+BU103+BW101+BW102+BW103)*Percapita/30*FT$4)+IF(BU104+BW104&gt;=11,Fixo/30*FT$4+(BU104+BW104-10)*Crechee/30*FT$4,0),IF(C101=2,IF(BV101+BV102+BV103+BV104+BX101+BX102+BX103+BX104=1,Cadeirante/30*FT$4,IF(BV101+BV102+BV103+BV104+BX101+BX102+BX103+BX104=2,Fixo/30*FT$4,IF(BV101+BV102+BV103+BV104+BX101+BX102+BX103+BX104&gt;2,Fixo/30*FT$4+(BV101+BV102+BV103+BV104+BX101+BX102+BX103+BX104-2)*Cadeirante/30*FT$4)))+(BU101+BU102+BU103+BW101+BW102+BW103)*Percapita/30*FT$4+(BU104+BW104)*Crechee/30*FT$4,IF(C101=1,IF(BU101+BU102+BU103+BV101+BV102+BV103+BW101+BW102+BW103+BX101+BX102+BX103&lt;=15,(BU101+BU102+BU103+BW101+BW102+BW103)*Percapita/30*FT$4,IF(BU101+BU102+BU103+BV101+BV102+BV103+BW101+BW102+BW103+BX101+BX102+BX103&gt;=16,Fixo/30*FT$4+(BU101+BU102+BU103+BV101+BV102+BV103+BW101+BW102+BW103+BX101+BX102-16)*Percapita/30*FT$4))))))</f>
        <v>0</v>
      </c>
      <c r="FU101" s="177">
        <f>IF(C101=4,SUM(BY101+BY102+BY103+CA101+CA102+CA103)*Percapita/30*FU$4+(BZ101+BZ102+BZ103+CB101+CB102+CB103)*Cadeirante/30*FU$4,IF(C101=3,IF(BY104+CA104=10,Fixo/30*FU$4+(BY101+BY102+BY103+CA101+CA102+CA103)*Percapita/30*FU$4+(BZ104+CB104)*Cadeirante/30*FU$4,IF(BY104+CA104&lt;=9,(BY104+CA104)*Crechee/30*FU$4)+(BZ104+CB104)*Cadeirante/30*FU$4+(BY101+BY102+BY103+CA101+CA102+CA103)*Percapita/30*FU$4)+IF(BY104+CA104&gt;=11,Fixo/30*FU$4+(BY104+CA104-10)*Crechee/30*FU$4,0),IF(C101=2,IF(BZ101+BZ102+BZ103+BZ104+CB101+CB102+CB103+CB104=1,Cadeirante/30*FU$4,IF(BZ101+BZ102+BZ103+BZ104+CB101+CB102+CB103+CB104=2,Fixo/30*FU$4,IF(BZ101+BZ102+BZ103+BZ104+CB101+CB102+CB103+CB104&gt;2,Fixo/30*FU$4+(BZ101+BZ102+BZ103+BZ104+CB101+CB102+CB103+CB104-2)*Cadeirante/30*FU$4)))+(BY101+BY102+BY103+CA101+CA102+CA103)*Percapita/30*FU$4+(BY104+CA104)*Crechee/30*FU$4,IF(C101=1,IF(BY101+BY102+BY103+BZ101+BZ102+BZ103+CA101+CA102+CA103+CB101+CB102+CB103&lt;=15,(BY101+BY102+BY103+CA101+CA102+CA103)*Percapita/30*FU$4,IF(BY101+BY102+BY103+BZ101+BZ102+BZ103+CA101+CA102+CA103+CB101+CB102+CB103&gt;=16,Fixo/30*FU$4+(BY101+BY102+BY103+BZ101+BZ102+BZ103+CA101+CA102+CA103+CB101+CB102-16)*Percapita/30*FU$4))))))</f>
        <v>0</v>
      </c>
      <c r="FV101" s="177">
        <f>IF(C101=4,SUM(CC101+CC102+CC103+CE101+CE102+CE103)*Percapita/30*FV$4+(CD101+CD102+CD103+CF101+CF102+CF103)*Cadeirante/30*FV$4,IF(C101=3,IF(CC104+CE104=10,Fixo/30*FV$4+(CC101+CC102+CC103+CE101+CE102+CE103)*Percapita/30*FV$4+(CD104+CF104)*Cadeirante/30*FV$4,IF(CC104+CE104&lt;=9,(CC104+CE104)*Crechee/30*FV$4)+(CD104+CF104)*Cadeirante/30*FV$4+(CC101+CC102+CC103+CE101+CE102+CE103)*Percapita/30*FV$4)+IF(CC104+CE104&gt;=11,Fixo/30*FV$4+(CC104+CE104-10)*Crechee/30*FV$4,0),IF(C101=2,IF(CD101+CD102+CD103+CD104+CF101+CF102+CF103+CF104=1,Cadeirante/30*FV$4,IF(CD101+CD102+CD103+CD104+CF101+CF102+CF103+CF104=2,Fixo/30*FV$4,IF(CD101+CD102+CD103+CD104+CF101+CF102+CF103+CF104&gt;2,Fixo/30*FV$4+(CD101+CD102+CD103+CD104+CF101+CF102+CF103+CF104-2)*Cadeirante/30*FV$4)))+(CC101+CC102+CC103+CE101+CE102+CE103)*Percapita/30*FV$4+(CC104+CE104)*Crechee/30*FV$4,IF(C101=1,IF(CC101+CC102+CC103+CD101+CD102+CD103+CE101+CE102+CE103+CF101+CF102+CF103&lt;=15,(CC101+CC102+CC103+CE101+CE102+CE103)*Percapita/30*FV$4,IF(CC101+CC102+CC103+CD101+CD102+CD103+CE101+CE102+CE103+CF101+CF102+CF103&gt;=16,Fixo/30*FV$4+(CC101+CC102+CC103+CD101+CD102+CD103+CE101+CE102+CE103+CF101+CF102-16)*Percapita/30*FV$4))))))</f>
        <v>0</v>
      </c>
      <c r="FW101" s="177">
        <f>IF(C101=4,SUM(CG101+CG102+CG103+CI101+CI102+CI103)*Percapita/30*FW$4+(CH101+CH102+CH103+CJ101+CJ102+CJ103)*Cadeirante/30*FW$4,IF(C101=3,IF(CG104+CI104=10,Fixo/30*FW$4+(CG101+CG102+CG103+CI101+CI102+CI103)*Percapita/30*FW$4+(CH104+CJ104)*Cadeirante/30*FW$4,IF(CG104+CI104&lt;=9,(CG104+CI104)*Crechee/30*FW$4)+(CH104+CJ104)*Cadeirante/30*FW$4+(CG101+CG102+CG103+CI101+CI102+CI103)*Percapita/30*FW$4)+IF(CG104+CI104&gt;=11,Fixo/30*FW$4+(CG104+CI104-10)*Crechee/30*FW$4,0),IF(C101=2,IF(CH101+CH102+CH103+CH104+CJ101+CJ102+CJ103+CJ104=1,Cadeirante/30*FW$4,IF(CH101+CH102+CH103+CH104+CJ101+CJ102+CJ103+CJ104=2,Fixo/30*FW$4,IF(CH101+CH102+CH103+CH104+CJ101+CJ102+CJ103+CJ104&gt;2,Fixo/30*FW$4+(CH101+CH102+CH103+CH104+CJ101+CJ102+CJ103+CJ104-2)*Cadeirante/30*FW$4)))+(CG101+CG102+CG103+CI101+CI102+CI103)*Percapita/30*FW$4+(CG104+CI104)*Crechee/30*FW$4,IF(C101=1,IF(CG101+CG102+CG103+CH101+CH102+CH103+CI101+CI102+CI103+CJ101+CJ102+CJ103&lt;=15,(CG101+CG102+CG103+CI101+CI102+CI103)*Percapita/30*FW$4,IF(CG101+CG102+CG103+CH101+CH102+CH103+CI101+CI102+CI103+CJ101+CJ102+CJ103&gt;=16,Fixo/30*FW$4+(CG101+CG102+CG103+CH101+CH102+CH103+CI101+CI102+CI103+CJ101+CJ102-16)*Percapita/30*FW$4))))))</f>
        <v>0</v>
      </c>
      <c r="FX101" s="177">
        <f>IF(C101=4,SUM(CK101+CK102+CK103+CM101+CM102+CM103)*Percapita/30*FX$4+(CL101+CL102+CL103+CN101+CN102+CN103)*Cadeirante/30*FX$4,IF(C101=3,IF(CK104+CM104=10,Fixo/30*FX$4+(CK101+CK102+CK103+CM101+CM102+CM103)*Percapita/30*FX$4+(CL104+CN104)*Cadeirante/30*FX$4,IF(CK104+CM104&lt;=9,(CK104+CM104)*Crechee/30*FX$4)+(CL104+CN104)*Cadeirante/30*FX$4+(CK101+CK102+CK103+CM101+CM102+CM103)*Percapita/30*FX$4)+IF(CK104+CM104&gt;=11,Fixo/30*FX$4+(CK104+CM104-10)*Crechee/30*FX$4,0),IF(C101=2,IF(CL101+CL102+CL103+CL104+CN101+CN102+CN103+CN104=1,Cadeirante/30*FX$4,IF(CL101+CL102+CL103+CL104+CN101+CN102+CN103+CN104=2,Fixo/30*FX$4,IF(CL101+CL102+CL103+CL104+CN101+CN102+CN103+CN104&gt;2,Fixo/30*FX$4+(CL101+CL102+CL103+CL104+CN101+CN102+CN103+CN104-2)*Cadeirante/30*FX$4)))+(CK101+CK102+CK103+CM101+CM102+CM103)*Percapita/30*FX$4+(CK104+CM104)*Crechee/30*FX$4,IF(C101=1,IF(CK101+CK102+CK103+CL101+CL102+CL103+CM101+CM102+CM103+CN101+CN102+CN103&lt;=15,(CK101+CK102+CK103+CM101+CM102+CM103)*Percapita/30*FX$4,IF(CK101+CK102+CK103+CL101+CL102+CL103+CM101+CM102+CM103+CN101+CN102+CN103&gt;=16,Fixo/30*FX$4+(CK101+CK102+CK103+CL101+CL102+CL103+CM101+CM102+CM103+CN101+CN102-16)*Percapita/30*FX$4))))))</f>
        <v>0</v>
      </c>
      <c r="FY101" s="177">
        <f>IF(C101=4,SUM(CO101+CO102+CO103+CQ101+CQ102+CQ103)*Percapita/30*FY$4+(CP101+CP102+CP103+CR101+CR102+CR103)*Cadeirante/30*FY$4,IF(C101=3,IF(CO104+CQ104=10,Fixo/30*FY$4+(CO101+CO102+CO103+CQ101+CQ102+CQ103)*Percapita/30*FY$4+(CP104+CR104)*Cadeirante/30*FY$4,IF(CO104+CQ104&lt;=9,(CO104+CQ104)*Crechee/30*FY$4)+(CP104+CR104)*Cadeirante/30*FY$4+(CO101+CO102+CO103+CQ101+CQ102+CQ103)*Percapita/30*FY$4)+IF(CO104+CQ104&gt;=11,Fixo/30*FY$4+(CO104+CQ104-10)*Crechee/30*FY$4,0),IF(C101=2,IF(CP101+CP102+CP103+CP104+CR101+CR102+CR103+CR104=1,Cadeirante/30*FY$4,IF(CP101+CP102+CP103+CP104+CR101+CR102+CR103+CR104=2,Fixo/30*FY$4,IF(CP101+CP102+CP103+CP104+CR101+CR102+CR103+CR104&gt;2,Fixo/30*FY$4+(CP101+CP102+CP103+CP104+CR101+CR102+CR103+CR104-2)*Cadeirante/30*FY$4)))+(CO101+CO102+CO103+CQ101+CQ102+CQ103)*Percapita/30*FY$4+(CO104+CQ104)*Crechee/30*FY$4,IF(C101=1,IF(CO101+CO102+CO103+CP101+CP102+CP103+CQ101+CQ102+CQ103+CR101+CR102+CR103&lt;=15,(CO101+CO102+CO103+CQ101+CQ102+CQ103)*Percapita/30*FY$4,IF(CO101+CO102+CO103+CP101+CP102+CP103+CQ101+CQ102+CQ103+CR101+CR102+CR103&gt;=16,Fixo/30*FY$4+(CO101+CO102+CO103+CP101+CP102+CP103+CQ101+CQ102+CQ103+CR101+CR102-16)*Percapita/30*FY$4))))))</f>
        <v>0</v>
      </c>
      <c r="FZ101" s="177">
        <f>IF(C101=4,SUM(CS101+CS102+CS103+CU101+CU102+CU103)*Percapita/30*FZ$4+(CT101+CT102+CT103+CV101+CV102+CV103)*Cadeirante/30*FZ$4,IF(C101=3,IF(CS104+CU104=10,Fixo/30*FZ$4+(CS101+CS102+CS103+CU101+CU102+CU103)*Percapita/30*FZ$4+(CT104+CV104)*Cadeirante/30*FZ$4,IF(CS104+CU104&lt;=9,(CS104+CU104)*Crechee/30*FZ$4)+(CT104+CV104)*Cadeirante/30*FZ$4+(CS101+CS102+CS103+CU101+CU102+CU103)*Percapita/30*FZ$4)+IF(CS104+CU104&gt;=11,Fixo/30*FZ$4+(CS104+CU104-10)*Crechee/30*FZ$4,0),IF(C101=2,IF(CT101+CT102+CT103+CT104+CV101+CV102+CV103+CV104=1,Cadeirante/30*FZ$4,IF(CT101+CT102+CT103+CT104+CV101+CV102+CV103+CV104=2,Fixo/30*FZ$4,IF(CT101+CT102+CT103+CT104+CV101+CV102+CV103+CV104&gt;2,Fixo/30*FZ$4+(CT101+CT102+CT103+CT104+CV101+CV102+CV103+CV104-2)*Cadeirante/30*FZ$4)))+(CS101+CS102+CS103+CU101+CU102+CU103)*Percapita/30*FZ$4+(CS104+CU104)*Crechee/30*FZ$4,IF(C101=1,IF(CS101+CS102+CS103+CT101+CT102+CT103+CU101+CU102+CU103+CV101+CV102+CV103&lt;=15,(CS101+CS102+CS103+CU101+CU102+CU103)*Percapita/30*FZ$4,IF(CS101+CS102+CS103+CT101+CT102+CT103+CU101+CU102+CU103+CV101+CV102+CV103&gt;=16,Fixo/30*FZ$4+(CS101+CS102+CS103+CT101+CT102+CT103+CU101+CU102+CU103+CV101+CV102-16)*Percapita/30*FZ$4))))))</f>
        <v>0</v>
      </c>
      <c r="GA101" s="177">
        <f>IF(C101=4,SUM(CW101+CW102+CW103+CY101+CY102+CY103)*Percapita/30*GA$4+(CX101+CX102+CX103+CZ101+CZ102+CZ103)*Cadeirante/30*GA$4,IF(C101=3,IF(CW104+CY104=10,Fixo/30*GA$4+(CW101+CW102+CW103+CY101+CY102+CY103)*Percapita/30*GA$4+(CX104+CZ104)*Cadeirante/30*GA$4,IF(CW104+CY104&lt;=9,(CW104+CY104)*Crechee/30*GA$4)+(CX104+CZ104)*Cadeirante/30*GA$4+(CW101+CW102+CW103+CY101+CY102+CY103)*Percapita/30*GA$4)+IF(CW104+CY104&gt;=11,Fixo/30*GA$4+(CW104+CY104-10)*Crechee/30*GA$4,0),IF(C101=2,IF(CX101+CX102+CX103+CX104+CZ101+CZ102+CZ103+CZ104=1,Cadeirante/30*GA$4,IF(CX101+CX102+CX103+CX104+CZ101+CZ102+CZ103+CZ104=2,Fixo/30*GA$4,IF(CX101+CX102+CX103+CX104+CZ101+CZ102+CZ103+CZ104&gt;2,Fixo/30*GA$4+(CX101+CX102+CX103+CX104+CZ101+CZ102+CZ103+CZ104-2)*Cadeirante/30*GA$4)))+(CW101+CW102+CW103+CY101+CY102+CY103)*Percapita/30*GA$4+(CW104+CY104)*Crechee/30*GA$4,IF(C101=1,IF(CW101+CW102+CW103+CX101+CX102+CX103+CY101+CY102+CY103+CZ101+CZ102+CZ103&lt;=15,(CW101+CW102+CW103+CY101+CY102+CY103)*Percapita/30*GA$4,IF(CW101+CW102+CW103+CX101+CX102+CX103+CY101+CY102+CY103+CZ101+CZ102+CZ103&gt;=16,Fixo/30*GA$4+(CW101+CW102+CW103+CX101+CX102+CX103+CY101+CY102+CY103+CZ101+CZ102-16)*Percapita/30*GA$4))))))</f>
        <v>-115.56900000000002</v>
      </c>
      <c r="GB101" s="177">
        <f>IF(C101=4,SUM(DA101+DA102+DA103+DC101+DC102+DC103)*Percapita/30*GB$4+(DB101+DB102+DB103+DD101+DD102+DD103)*Cadeirante/30*GB$4,IF(C101=3,IF(DA104+DC104=10,Fixo/30*GB$4+(DA101+DA102+DA103+DC101+DC102+DC103)*Percapita/30*GB$4+(DB104+DD104)*Cadeirante/30*GB$4,IF(DA104+DC104&lt;=9,(DA104+DC104)*Crechee/30*GB$4)+(DB104+DD104)*Cadeirante/30*GB$4+(DA101+DA102+DA103+DC101+DC102+DC103)*Percapita/30*GB$4)+IF(DA104+DC104&gt;=11,Fixo/30*GB$4+(DA104+DC104-10)*Crechee/30*GB$4,0),IF(C101=2,IF(DB101+DB102+DB103+DB104+DD101+DD102+DD103+DD104=1,Cadeirante/30*GB$4,IF(DB101+DB102+DB103+DB104+DD101+DD102+DD103+DD104=2,Fixo/30*GB$4,IF(DB101+DB102+DB103+DB104+DD101+DD102+DD103+DD104&gt;2,Fixo/30*GB$4+(DB101+DB102+DB103+DB104+DD101+DD102+DD103+DD104-2)*Cadeirante/30*GB$4)))+(DA101+DA102+DA103+DC101+DC102+DC103)*Percapita/30*GB$4+(DA104+DC104)*Crechee/30*GB$4,IF(C101=1,IF(DA101+DA102+DA103+DB101+DB102+DB103+DC101+DC102+DC103+DD101+DD102+DD103&lt;=15,(DA101+DA102+DA103+DC101+DC102+DC103)*Percapita/30*GB$4,IF(DA101+DA102+DA103+DB101+DB102+DB103+DC101+DC102+DC103+DD101+DD102+DD103&gt;=16,Fixo/30*GB$4+(DA101+DA102+DA103+DB101+DB102+DB103+DC101+DC102+DC103+DD101+DD102-16)*Percapita/30*GB$4))))))</f>
        <v>0</v>
      </c>
      <c r="GC101" s="177">
        <f>IF(C101=4,SUM(DE101+DE102+DE103+DG101+DG102+DG103)*Percapita/30*GC$4+(DF101+DF102+DF103+DH101+DH102+DH103)*Cadeirante/30*GC$4,IF(C101=3,IF(DE104+DG104=10,Fixo/30*GC$4+(DE101+DE102+DE103+DG101+DG102+DG103)*Percapita/30*GC$4+(DF104+DH104)*Cadeirante/30*GC$4,IF(DE104+DG104&lt;=9,(DE104+DG104)*Crechee/30*GC$4)+(DF104+DH104)*Cadeirante/30*GC$4+(DE101+DE102+DE103+DG101+DG102+DG103)*Percapita/30*GC$4)+IF(DE104+DG104&gt;=11,Fixo/30*GC$4+(DE104+DG104-10)*Crechee/30*GC$4,0),IF(C101=2,IF(DF101+DF102+DF103+DF104+DH101+DH102+DH103+DH104=1,Cadeirante/30*GC$4,IF(DF101+DF102+DF103+DF104+DH101+DH102+DH103+DH104=2,Fixo/30*GC$4,IF(DF101+DF102+DF103+DF104+DH101+DH102+DH103+DH104&gt;2,Fixo/30*GC$4+(DF101+DF102+DF103+DF104+DH101+DH102+DH103+DH104-2)*Cadeirante/30*GC$4)))+(DE101+DE102+DE103+DG101+DG102+DG103)*Percapita/30*GC$4+(DE104+DG104)*Crechee/30*GC$4,IF(C101=1,IF(DE101+DE102+DE103+DF101+DF102+DF103+DG101+DG102+DG103+DH101+DH102+DH103&lt;=15,(DE101+DE102+DE103+DG101+DG102+DG103)*Percapita/30*GC$4,IF(DE101+DE102+DE103+DF101+DF102+DF103+DG101+DG102+DG103+DH101+DH102+DH103&gt;=16,Fixo/30*GC$4+(DE101+DE102+DE103+DF101+DF102+DF103+DG101+DG102+DG103+DH101+DH102-16)*Percapita/30*GC$4))))))</f>
        <v>89.887</v>
      </c>
      <c r="GD101" s="177">
        <f>IF(C101=4,SUM(DI101+DI102+DI103+DK101+DK102+DK103)*Percapita/30*GD$4+(DJ101+DJ102+DJ103+DL101+DL102+DL103)*Cadeirante/30*GD$4,IF(C101=3,IF(DI104+DK104=10,Fixo/30*GD$4+(DI101+DI102+DI103+DK101+DK102+DK103)*Percapita/30*GD$4+(DJ104+DL104)*Cadeirante/30*GD$4,IF(DI104+DK104&lt;=9,(DI104+DK104)*Crechee/30*GD$4)+(DJ104+DL104)*Cadeirante/30*GD$4+(DI101+DI102+DI103+DK101+DK102+DK103)*Percapita/30*GD$4)+IF(DI104+DK104&gt;=11,Fixo/30*GD$4+(DI104+DK104-10)*Crechee/30*GD$4,0),IF(C101=2,IF(DJ101+DJ102+DJ103+DJ104+DL101+DL102+DL103+DL104=1,Cadeirante/30*GD$4,IF(DJ101+DJ102+DJ103+DJ104+DL101+DL102+DL103+DL104=2,Fixo/30*GD$4,IF(DJ101+DJ102+DJ103+DJ104+DL101+DL102+DL103+DL104&gt;2,Fixo/30*GD$4+(DJ101+DJ102+DJ103+DJ104+DL101+DL102+DL103+DL104-2)*Cadeirante/30*GD$4)))+(DI101+DI102+DI103+DK101+DK102+DK103)*Percapita/30*GD$4+(DI104+DK104)*Crechee/30*GD$4,IF(C101=1,IF(DI101+DI102+DI103+DJ101+DJ102+DJ103+DK101+DK102+DK103+DL101+DL102+DL103&lt;=15,(DI101+DI102+DI103+DK101+DK102+DK103)*Percapita/30*GD$4,IF(DI101+DI102+DI103+DJ101+DJ102+DJ103+DK101+DK102+DK103+DL101+DL102+DL103&gt;=16,Fixo/30*GD$4+(DI101+DI102+DI103+DJ101+DJ102+DJ103+DK101+DK102+DK103+DL101+DL102-16)*Percapita/30*GD$4))))))</f>
        <v>0</v>
      </c>
      <c r="GE101" s="177">
        <f>IF(C101=4,SUM(DM101+DM102+DM103+DO101+DO102+DO103)*Percapita/30*GE$4+(DN101+DN102+DN103+DP101+DP102+DP103)*Cadeirante/30*GE$4,IF(C101=3,IF(DM104+DO104=10,Fixo/30*GE$4+(DM101+DM102+DM103+DO101+DO102+DO103)*Percapita/30*GE$4+(DN104+DP104)*Cadeirante/30*GE$4,IF(DM104+DO104&lt;=9,(DM104+DO104)*Crechee/30*GE$4)+(DN104+DP104)*Cadeirante/30*GE$4+(DM101+DM102+DM103+DO101+DO102+DO103)*Percapita/30*GE$4)+IF(DM104+DO104&gt;=11,Fixo/30*GE$4+(DM104+DO104-10)*Crechee/30*GE$4,0),IF(C101=2,IF(DN101+DN102+DN103+DN104+DP101+DP102+DP103+DP104=1,Cadeirante/30*GE$4,IF(DN101+DN102+DN103+DN104+DP101+DP102+DP103+DP104=2,Fixo/30*GE$4,IF(DN101+DN102+DN103+DN104+DP101+DP102+DP103+DP104&gt;2,Fixo/30*GE$4+(DN101+DN102+DN103+DN104+DP101+DP102+DP103+DP104-2)*Cadeirante/30*GE$4)))+(DM101+DM102+DM103+DO101+DO102+DO103)*Percapita/30*GE$4+(DM104+DO104)*Crechee/30*GE$4,IF(C101=1,IF(DM101+DM102+DM103+DN101+DN102+DN103+DO101+DO102+DO103+DP101+DP102+DP103&lt;=15,(DM101+DM102+DM103+DO101+DO102+DO103)*Percapita/30*GE$4,IF(DM101+DM102+DM103+DN101+DN102+DN103+DO101+DO102+DO103+DP101+DP102+DP103&gt;=16,Fixo/30*GE$4+(DM101+DM102+DM103+DN101+DN102+DN103+DO101+DO102+DO103+DP101+DP102-16)*Percapita/30*GE$4))))))</f>
        <v>0</v>
      </c>
      <c r="GF101" s="177">
        <f>IF(C101=4,SUM(DQ101+DQ102+DQ103+DS101+DS102+DS103)*Percapita/30*GF$4+(DR101+DR102+DR103+DT101+DT102+DT103)*Cadeirante/30*GF$4,IF(C101=3,IF(DQ104+DS104=10,Fixo/30*GF$4+(DQ101+DQ102+DQ103+DS101+DS102+DS103)*Percapita/30*GF$4+(DR104+DT104)*Cadeirante/30*GF$4,IF(DQ104+DS104&lt;=9,(DQ104+DS104)*Crechee/30*GF$4)+(DR104+DT104)*Cadeirante/30*GF$4+(DQ101+DQ102+DQ103+DS101+DS102+DS103)*Percapita/30*GF$4)+IF(DQ104+DS104&gt;=11,Fixo/30*GF$4+(DQ104+DS104-10)*Crechee/30*GF$4,0),IF(C101=2,IF(DR101+DR102+DR103+DR104+DT101+DT102+DT103+DT104=1,Cadeirante/30*GF$4,IF(DR101+DR102+DR103+DR104+DT101+DT102+DT103+DT104=2,Fixo/30*GF$4,IF(DR101+DR102+DR103+DR104+DT101+DT102+DT103+DT104&gt;2,Fixo/30*GF$4+(DR101+DR102+DR103+DR104+DT101+DT102+DT103+DT104-2)*Cadeirante/30*GF$4)))+(DQ101+DQ102+DQ103+DS101+DS102+DS103)*Percapita/30*GF$4+(DQ104+DS104)*Crechee/30*GF$4,IF(C101=1,IF(DQ101+DQ102+DQ103+DR101+DR102+DR103+DS101+DS102+DS103+DT101+DT102+DT103&lt;=15,(DQ101+DQ102+DQ103+DS101+DS102+DS103)*Percapita/30*GF$4,IF(DQ101+DQ102+DQ103+DR101+DR102+DR103+DS101+DS102+DS103+DT101+DT102+DT103&gt;=16,Fixo/30*GF$4+(DQ101+DQ102+DQ103+DR101+DR102+DR103+DS101+DS102+DS103+DT101+DT102-16)*Percapita/30*GF$4))))))</f>
        <v>0</v>
      </c>
      <c r="GG101" s="177">
        <f>IF(C101=4,SUM(DU101+DU102+DU103+DW101+DW102+DW103)*Percapita/30*GG$4+(DV101+DV102+DV103+DX101+DX102+DX103)*Cadeirante/30*GG$4,IF(C101=3,IF(DU104+DW104=10,Fixo/30*GG$4+(DU101+DU102+DU103+DW101+DW102+DW103)*Percapita/30*GG$4+(DV104+DX104)*Cadeirante/30*GG$4,IF(DU104+DW104&lt;=9,(DU104+DW104)*Crechee/30*GG$4)+(DV104+DX104)*Cadeirante/30*GG$4+(DU101+DU102+DU103+DW101+DW102+DW103)*Percapita/30*GG$4)+IF(DU104+DW104&gt;=11,Fixo/30*GG$4+(DU104+DW104-10)*Crechee/30*GG$4,0),IF(C101=2,IF(DV101+DV102+DV103+DV104+DX101+DX102+DX103+DX104=1,Cadeirante/30*GG$4,IF(DV101+DV102+DV103+DV104+DX101+DX102+DX103+DX104=2,Fixo/30*GG$4,IF(DV101+DV102+DV103+DV104+DX101+DX102+DX103+DX104&gt;2,Fixo/30*GG$4+(DV101+DV102+DV103+DV104+DX101+DX102+DX103+DX104-2)*Cadeirante/30*GG$4)))+(DU101+DU102+DU103+DW101+DW102+DW103)*Percapita/30*GG$4+(DU104+DW104)*Crechee/30*GG$4,IF(C101=1,IF(DU101+DU102+DU103+DV101+DV102+DV103+DW101+DW102+DW103+DX101+DX102+DX103&lt;=15,(DU101+DU102+DU103+DW101+DW102+DW103)*Percapita/30*GG$4,IF(DU101+DU102+DU103+DV101+DV102+DV103+DW101+DW102+DW103+DX101+DX102+DX103&gt;=16,Fixo/30*GG$4+(DU101+DU102+DU103+DV101+DV102+DV103+DW101+DW102+DW103+DX101+DX102-16)*Percapita/30*GG$4))))))</f>
        <v>-38.523000000000003</v>
      </c>
      <c r="GH101" s="177">
        <f>IF(C101=4,SUM(DY101+DY102+DY103+EA101+EA102+EA103)*Percapita/30*GH$4+(DZ101+DZ102+DZ103+EB101+EB102+EB103)*Cadeirante/30*GH$4,IF(C101=3,IF(DY104+EA104=10,Fixo/30*GH$4+(DY101+DY102+DY103+EA101+EA102+EA103)*Percapita/30*GH$4+(DZ104+EB104)*Cadeirante/30*GH$4,IF(DY104+EA104&lt;=9,(DY104+EA104)*Crechee/30*GH$4)+(DZ104+EB104)*Cadeirante/30*GH$4+(DY101+DY102+DY103+EA101+EA102+EA103)*Percapita/30*GH$4)+IF(DY104+EA104&gt;=11,Fixo/30*GH$4+(DY104+EA104-10)*Crechee/30*GH$4,0),IF(C101=2,IF(DZ101+DZ102+DZ103+DZ104+EB101+EB102+EB103+EB104=1,Cadeirante/30*GH$4,IF(DZ101+DZ102+DZ103+DZ104+EB101+EB102+EB103+EB104=2,Fixo/30*GH$4,IF(DZ101+DZ102+DZ103+DZ104+EB101+EB102+EB103+EB104&gt;2,Fixo/30*GH$4+(DZ101+DZ102+DZ103+DZ104+EB101+EB102+EB103+EB104-2)*Cadeirante/30*GH$4)))+(DY101+DY102+DY103+EA101+EA102+EA103)*Percapita/30*GH$4+(DY104+EA104)*Crechee/30*GH$4,IF(C101=1,IF(DY101+DY102+DY103+DZ101+DZ102+DZ103+EA101+EA102+EA103+EB101+EB102+EB103&lt;=15,(DY101+DY102+DY103+EA101+EA102+EA103)*Percapita/30*GH$4,IF(DY101+DY102+DY103+DZ101+DZ102+DZ103+EA101+EA102+EA103+EB101+EB102+EB103&gt;=16,Fixo/30*GH$4+(DY101+DY102+DY103+DZ101+DZ102+DZ103+EA101+EA102+EA103+EB101+EB102-16)*Percapita/30*GH$4))))))</f>
        <v>0</v>
      </c>
      <c r="GI101" s="177">
        <f>IF(C101=4,SUM(EC101+EC102+EC103+EE101+EE102+EE103)*Percapita/30*GI$4+(ED101+ED102+ED103+EF101+EF102+EF103)*Cadeirante/30*GI$4,IF(C101=3,IF(EC104+EE104=10,Fixo/30*GI$4+(EC101+EC102+EC103+EE101+EE102+EE103)*Percapita/30*GI$4+(ED104+EF104)*Cadeirante/30*GI$4,IF(EC104+EE104&lt;=9,(EC104+EE104)*Crechee/30*GI$4)+(ED104+EF104)*Cadeirante/30*GI$4+(EC101+EC102+EC103+EE101+EE102+EE103)*Percapita/30*GI$4)+IF(EC104+EE104&gt;=11,Fixo/30*GI$4+(EC104+EE104-10)*Crechee/30*GI$4,0),IF(C101=2,IF(ED101+ED102+ED103+ED104+EF101+EF102+EF103+EF104=1,Cadeirante/30*GI$4,IF(ED101+ED102+ED103+ED104+EF101+EF102+EF103+EF104=2,Fixo/30*GI$4,IF(ED101+ED102+ED103+ED104+EF101+EF102+EF103+EF104&gt;2,Fixo/30*GI$4+(ED101+ED102+ED103+ED104+EF101+EF102+EF103+EF104-2)*Cadeirante/30*GI$4)))+(EC101+EC102+EC103+EE101+EE102+EE103)*Percapita/30*GI$4+(EC104+EE104)*Crechee/30*GI$4,IF(C101=1,IF(EC101+EC102+EC103+ED101+ED102+ED103+EE101+EE102+EE103+EF101+EF102+EF103&lt;=15,(EC101+EC102+EC103+EE101+EE102+EE103)*Percapita/30*GI$4,IF(EC101+EC102+EC103+ED101+ED102+ED103+EE101+EE102+EE103+EF101+EF102+EF103&gt;=16,Fixo/30*GI$4+(EC101+EC102+EC103+ED101+ED102+ED103+EE101+EE102+EE103+EF101+EF102-16)*Percapita/30*GI$4))))))</f>
        <v>0</v>
      </c>
      <c r="GJ101" s="177">
        <f>IF(C101=4,SUM(EG101+EG102+EG103+EI101+EI102+EI103)*Percapita/30*GJ$4+(EH101+EH102+EH103+EJ101+EJ102+EJ103)*Cadeirante/30*GJ$4,IF(C101=3,IF(EG104+EI104=10,Fixo/30*GJ$4+(EG101+EG102+EG103+EI101+EI102+EI103)*Percapita/30*GJ$4+(EH104+EJ104)*Cadeirante/30*GJ$4,IF(EG104+EI104&lt;=9,(EG104+EI104)*Crechee/30*GJ$4)+(EH104+EJ104)*Cadeirante/30*GJ$4+(EG101+EG102+EG103+EI101+EI102+EI103)*Percapita/30*GJ$4)+IF(EG104+EI104&gt;=11,Fixo/30*GJ$4+(EG104+EI104-10)*Crechee/30*GJ$4,0),IF(C101=2,IF(EH101+EH102+EH103+EH104+EJ101+EJ102+EJ103+EJ104=1,Cadeirante/30*GJ$4,IF(EH101+EH102+EH103+EH104+EJ101+EJ102+EJ103+EJ104=2,Fixo/30*GJ$4,IF(EH101+EH102+EH103+EH104+EJ101+EJ102+EJ103+EJ104&gt;2,Fixo/30*GJ$4+(EH101+EH102+EH103+EH104+EJ101+EJ102+EJ103+EJ104-2)*Cadeirante/30*GJ$4)))+(EG101+EG102+EG103+EI101+EI102+EI103)*Percapita/30*GJ$4+(EG104+EI104)*Crechee/30*GJ$4,IF(C101=1,IF(EG101+EG102+EG103+EH101+EH102+EH103+EI101+EI102+EI103+EJ101+EJ102+EJ103&lt;=15,(EG101+EG102+EG103+EI101+EI102+EI103)*Percapita/30*GJ$4,IF(EG101+EG102+EG103+EH101+EH102+EH103+EI101+EI102+EI103+EJ101+EJ102+EJ103&gt;=16,Fixo/30*GJ$4+(EG101+EG102+EG103+EH101+EH102+EH103+EI101+EI102+EI103+EJ101+EJ102-16)*Percapita/30*GJ$4))))))</f>
        <v>0</v>
      </c>
      <c r="GK101" s="178"/>
      <c r="GL101" s="103">
        <f t="shared" si="102"/>
        <v>0</v>
      </c>
      <c r="GM101" s="124"/>
      <c r="GN101" s="104">
        <f>SUMIF(V101:V104,"&lt;0")*Cadeirante/30*GN$4+SUMIF(X101:X104,"&lt;0")*Cadeirante/30*GN$4</f>
        <v>0</v>
      </c>
      <c r="GO101" s="104">
        <f>SUMIF(Z101:Z104,"&lt;0")*Cadeirante/30*GO$4+SUMIF(AB101:AB104,"&lt;0")*Cadeirante/30*GO$4</f>
        <v>0</v>
      </c>
      <c r="GP101" s="104">
        <f>SUMIF(AD101:AD104,"&lt;0")*Cadeirante/30*GP$4+SUMIF(AF101:AF104,"&lt;0")*Cadeirante/30*GP$4</f>
        <v>0</v>
      </c>
      <c r="GQ101" s="104">
        <f>SUMIF(AH101:AH104,"&lt;0")*Cadeirante/30*GQ$4+SUMIF(AJ101:AJ104,"&lt;0")*Cadeirante/30*GQ$4</f>
        <v>0</v>
      </c>
      <c r="GR101" s="104">
        <f>SUMIF(AL101:AL104,"&lt;0")*Cadeirante/30*GR$4+SUMIF(AN101:AN104,"&lt;0")*Cadeirante/30*GR$4</f>
        <v>0</v>
      </c>
      <c r="GS101" s="104">
        <f>SUMIF(AP101:AP104,"&lt;0")*Cadeirante/30*GS$4+SUMIF(AR101:AR104,"&lt;0")*Cadeirante/30*GS$4</f>
        <v>0</v>
      </c>
      <c r="GT101" s="104">
        <f>SUMIF(AT101:AT104,"&lt;0")*Cadeirante/30*GT$4+SUMIF(AV101:AV104,"&lt;0")*Cadeirante/30*GT$4</f>
        <v>0</v>
      </c>
      <c r="GU101" s="104">
        <f>SUMIF(AX101:AX104,"&lt;0")*Cadeirante/30*GU$4+SUMIF(AZ101:AZ104,"&lt;0")*Cadeirante/30*GU$4</f>
        <v>0</v>
      </c>
      <c r="GV101" s="104">
        <f>SUMIF(BB101:BB104,"&lt;0")*Cadeirante/30*GV$4+SUMIF(BD101:BD104,"&lt;0")*Cadeirante/30*GV$4</f>
        <v>0</v>
      </c>
      <c r="GW101" s="104">
        <f>SUMIF(BF101:BF104,"&lt;0")*Cadeirante/30*GW$4+SUMIF(BH101:BH104,"&lt;0")*Cadeirante/30*GW$4</f>
        <v>0</v>
      </c>
      <c r="GX101" s="104">
        <f>SUMIF(BJ101:BJ104,"&lt;0")*Cadeirante/30*GX$4+SUMIF(BL101:BL104,"&lt;0")*Cadeirante/30*GX$4</f>
        <v>0</v>
      </c>
      <c r="GY101" s="104">
        <f>SUMIF(BN101:BN104,"&lt;0")*Cadeirante/30*GY$4+SUMIF(BP101:BP104,"&lt;0")*Cadeirante/30*GY$4</f>
        <v>0</v>
      </c>
      <c r="GZ101" s="104">
        <f>SUMIF(BR101:BR104,"&lt;0")*Cadeirante/30*GZ$4+SUMIF(BT101:BT104,"&lt;0")*Cadeirante/30*GZ$4</f>
        <v>0</v>
      </c>
      <c r="HA101" s="104">
        <f>SUMIF(BV101:BV104,"&lt;0")*Cadeirante/30*HA$4+SUMIF(BX101:BX104,"&lt;0")*Cadeirante/30*HA$4</f>
        <v>0</v>
      </c>
      <c r="HB101" s="104">
        <f>SUMIF(BZ101:BZ104,"&lt;0")*Cadeirante/30*HB$4+SUMIF(CB101:CB104,"&lt;0")*Cadeirante/30*HB$4</f>
        <v>0</v>
      </c>
      <c r="HC101" s="104">
        <f>SUMIF(CD101:CD104,"&lt;0")*Cadeirante/30*HC$4+SUMIF(CF101:CF104,"&lt;0")*Cadeirante/30*HC$4</f>
        <v>0</v>
      </c>
      <c r="HD101" s="104">
        <f>SUMIF(CH101:CH104,"&lt;0")*Cadeirante/30*HD$4+SUMIF(CJ101:CJ104,"&lt;0")*Cadeirante/30*HD$4</f>
        <v>0</v>
      </c>
      <c r="HE101" s="104">
        <f>SUMIF(CL101:CL104,"&lt;0")*Cadeirante/30*HE$4+SUMIF(CN101:CN104,"&lt;0")*Cadeirante/30*HE$4</f>
        <v>0</v>
      </c>
      <c r="HF101" s="104">
        <f>SUMIF(CP101:CP104,"&lt;0")*Cadeirante/30*HF$4+SUMIF(CR101:CR104,"&lt;0")*Cadeirante/30*HF$4</f>
        <v>0</v>
      </c>
      <c r="HG101" s="104">
        <f>SUMIF(CT101:CT104,"&lt;0")*Cadeirante/30*HG$4+SUMIF(CV101:CV104,"&lt;0")*Cadeirante/30*HG$4</f>
        <v>0</v>
      </c>
      <c r="HH101" s="104">
        <f>SUMIF(CX101:CX104,"&lt;0")*Cadeirante/30*HH$4+SUMIF(CZ101:CZ104,"&lt;0")*Cadeirante/30*HH$4</f>
        <v>0</v>
      </c>
      <c r="HI101" s="104">
        <f>SUMIF(DB101:DB104,"&lt;0")*Cadeirante/30*HI$4+SUMIF(DD101:DD104,"&lt;0")*Cadeirante/30*HI$4</f>
        <v>0</v>
      </c>
      <c r="HJ101" s="104">
        <f>SUMIF(DF101:DF104,"&lt;0")*Cadeirante/30*HJ$4+SUMIF(DH101:DH104,"&lt;0")*Cadeirante/30*HJ$4</f>
        <v>0</v>
      </c>
      <c r="HK101" s="104">
        <f>SUMIF(DJ101:DJ104,"&lt;0")*Cadeirante/30*HK$4+SUMIF(DL101:DL104,"&lt;0")*Cadeirante/30*HK$4</f>
        <v>0</v>
      </c>
      <c r="HL101" s="104">
        <f>SUMIF(DN101:DN104,"&lt;0")*Cadeirante/30*HL$4+SUMIF(DP101:DP104,"&lt;0")*Cadeirante/30*HL$4</f>
        <v>0</v>
      </c>
      <c r="HM101" s="104">
        <f>SUMIF(DR101:DR104,"&lt;0")*Cadeirante/30*HM$4+SUMIF(DT101:DT104,"&lt;0")*Cadeirante/30*HM$4</f>
        <v>0</v>
      </c>
      <c r="HN101" s="104">
        <f>SUMIF(DV101:DV104,"&lt;0")*Cadeirante/30*HN$4+SUMIF(DX101:DX104,"&lt;0")*Cadeirante/30*HN$4</f>
        <v>0</v>
      </c>
      <c r="HO101" s="104">
        <f>SUMIF(DZ101:DZ104,"&lt;0")*Cadeirante/30*HO$4+SUMIF(EB101:EB104,"&lt;0")*Cadeirante/30*HO$4</f>
        <v>0</v>
      </c>
      <c r="HP101" s="104">
        <f>SUMIF(ED101:ED104,"&lt;0")*Cadeirante/30*HP$4+SUMIF(EF101:EF104,"&lt;0")*Cadeirante/30*HP$4</f>
        <v>0</v>
      </c>
      <c r="HQ101" s="64"/>
      <c r="HR101" s="64"/>
      <c r="HS101" s="64"/>
      <c r="HT101" s="64"/>
      <c r="HU101" s="64"/>
      <c r="HV101" s="64"/>
      <c r="HW101" s="176">
        <v>17629.309999999998</v>
      </c>
      <c r="HX101" s="64"/>
      <c r="HY101" s="280">
        <f>IF(ISTEXT(EM101), VALUE(EM101), EM101)</f>
        <v>0</v>
      </c>
      <c r="HZ101" s="280">
        <f>IF(ISTEXT(EN101), VALUE(EN101), EN101)</f>
        <v>0</v>
      </c>
      <c r="IA101" s="280">
        <f>IF(ISTEXT(EO101), VALUE(EO101), EO101)</f>
        <v>0</v>
      </c>
      <c r="IB101" s="64" t="b">
        <f>HW101=FE101</f>
        <v>0</v>
      </c>
      <c r="IC101" s="64"/>
    </row>
    <row r="102" spans="1:237" s="106" customFormat="1" ht="22.5" customHeight="1" x14ac:dyDescent="0.25">
      <c r="A102" s="368" t="s">
        <v>3266</v>
      </c>
      <c r="B102" s="369" t="s">
        <v>3267</v>
      </c>
      <c r="C102" s="370" t="s">
        <v>3186</v>
      </c>
      <c r="D102" s="371" t="s">
        <v>3268</v>
      </c>
      <c r="E102" s="371" t="s">
        <v>3269</v>
      </c>
      <c r="F102" s="372" t="s">
        <v>3182</v>
      </c>
      <c r="G102" s="372" t="s">
        <v>3183</v>
      </c>
      <c r="H102" s="373" t="s">
        <v>359</v>
      </c>
      <c r="I102" s="374" t="s">
        <v>359</v>
      </c>
      <c r="J102" s="421" t="s">
        <v>3184</v>
      </c>
      <c r="K102" s="421" t="s">
        <v>3187</v>
      </c>
      <c r="L102" s="329">
        <f>CONTINUA!BV102</f>
        <v>49</v>
      </c>
      <c r="M102" s="329">
        <f>CONTINUA!BW102</f>
        <v>0</v>
      </c>
      <c r="N102" s="895"/>
      <c r="O102" s="896" t="s">
        <v>3293</v>
      </c>
      <c r="P102" s="897">
        <v>0</v>
      </c>
      <c r="Q102" s="400">
        <v>20</v>
      </c>
      <c r="R102" s="401"/>
      <c r="S102" s="400">
        <v>1</v>
      </c>
      <c r="T102" s="401"/>
      <c r="U102" s="400"/>
      <c r="V102" s="401"/>
      <c r="W102" s="400"/>
      <c r="X102" s="401"/>
      <c r="Y102" s="400"/>
      <c r="Z102" s="401"/>
      <c r="AA102" s="400"/>
      <c r="AB102" s="401"/>
      <c r="AC102" s="400"/>
      <c r="AD102" s="401"/>
      <c r="AE102" s="400"/>
      <c r="AF102" s="401"/>
      <c r="AG102" s="400"/>
      <c r="AH102" s="401"/>
      <c r="AI102" s="400"/>
      <c r="AJ102" s="401"/>
      <c r="AK102" s="400"/>
      <c r="AL102" s="401"/>
      <c r="AM102" s="400"/>
      <c r="AN102" s="401"/>
      <c r="AO102" s="400"/>
      <c r="AP102" s="401"/>
      <c r="AQ102" s="400"/>
      <c r="AR102" s="401"/>
      <c r="AS102" s="400"/>
      <c r="AT102" s="401"/>
      <c r="AU102" s="400"/>
      <c r="AV102" s="401"/>
      <c r="AW102" s="400"/>
      <c r="AX102" s="401"/>
      <c r="AY102" s="400"/>
      <c r="AZ102" s="401"/>
      <c r="BA102" s="400">
        <v>1</v>
      </c>
      <c r="BB102" s="401"/>
      <c r="BC102" s="400"/>
      <c r="BD102" s="401"/>
      <c r="BE102" s="400"/>
      <c r="BF102" s="401"/>
      <c r="BG102" s="400"/>
      <c r="BH102" s="401"/>
      <c r="BI102" s="400"/>
      <c r="BJ102" s="401"/>
      <c r="BK102" s="400"/>
      <c r="BL102" s="401"/>
      <c r="BM102" s="400"/>
      <c r="BN102" s="401"/>
      <c r="BO102" s="400"/>
      <c r="BP102" s="401"/>
      <c r="BQ102" s="400"/>
      <c r="BR102" s="401"/>
      <c r="BS102" s="400"/>
      <c r="BT102" s="401"/>
      <c r="BU102" s="400"/>
      <c r="BV102" s="401"/>
      <c r="BW102" s="400"/>
      <c r="BX102" s="401"/>
      <c r="BY102" s="400"/>
      <c r="BZ102" s="401"/>
      <c r="CA102" s="400"/>
      <c r="CB102" s="401"/>
      <c r="CC102" s="400"/>
      <c r="CD102" s="401"/>
      <c r="CE102" s="400"/>
      <c r="CF102" s="401"/>
      <c r="CG102" s="400"/>
      <c r="CH102" s="401"/>
      <c r="CI102" s="400"/>
      <c r="CJ102" s="401"/>
      <c r="CK102" s="400"/>
      <c r="CL102" s="401"/>
      <c r="CM102" s="400"/>
      <c r="CN102" s="401"/>
      <c r="CO102" s="400"/>
      <c r="CP102" s="401"/>
      <c r="CQ102" s="400"/>
      <c r="CR102" s="401"/>
      <c r="CS102" s="400"/>
      <c r="CT102" s="401"/>
      <c r="CU102" s="400"/>
      <c r="CV102" s="401"/>
      <c r="CW102" s="400">
        <v>-1</v>
      </c>
      <c r="CX102" s="401"/>
      <c r="CY102" s="400"/>
      <c r="CZ102" s="401"/>
      <c r="DA102" s="400"/>
      <c r="DB102" s="401"/>
      <c r="DC102" s="400"/>
      <c r="DD102" s="401"/>
      <c r="DE102" s="400"/>
      <c r="DF102" s="401"/>
      <c r="DG102" s="400">
        <v>1</v>
      </c>
      <c r="DH102" s="401"/>
      <c r="DI102" s="400"/>
      <c r="DJ102" s="401"/>
      <c r="DK102" s="400"/>
      <c r="DL102" s="401"/>
      <c r="DM102" s="400"/>
      <c r="DN102" s="401"/>
      <c r="DO102" s="400"/>
      <c r="DP102" s="401"/>
      <c r="DQ102" s="400"/>
      <c r="DR102" s="401"/>
      <c r="DS102" s="400"/>
      <c r="DT102" s="401"/>
      <c r="DU102" s="400"/>
      <c r="DV102" s="401"/>
      <c r="DW102" s="400">
        <v>-1</v>
      </c>
      <c r="DX102" s="401"/>
      <c r="DY102" s="400"/>
      <c r="DZ102" s="401"/>
      <c r="EA102" s="400"/>
      <c r="EB102" s="401"/>
      <c r="EC102" s="400"/>
      <c r="ED102" s="401"/>
      <c r="EE102" s="400"/>
      <c r="EF102" s="401"/>
      <c r="EG102" s="400"/>
      <c r="EH102" s="401"/>
      <c r="EI102" s="400"/>
      <c r="EJ102" s="447"/>
      <c r="EK102" s="511"/>
      <c r="EL102" s="514"/>
      <c r="EM102" s="448"/>
      <c r="EN102" s="344"/>
      <c r="EO102" s="345"/>
      <c r="EP102" s="171">
        <f t="shared" si="95"/>
        <v>20</v>
      </c>
      <c r="EQ102" s="171">
        <f t="shared" si="96"/>
        <v>0</v>
      </c>
      <c r="ER102" s="171">
        <f t="shared" si="97"/>
        <v>1</v>
      </c>
      <c r="ES102" s="171">
        <f t="shared" si="98"/>
        <v>0</v>
      </c>
      <c r="ET102" s="171">
        <f t="shared" si="99"/>
        <v>0</v>
      </c>
      <c r="EU102" s="171">
        <f t="shared" si="100"/>
        <v>0</v>
      </c>
      <c r="EV102" s="172">
        <f t="shared" si="101"/>
        <v>21</v>
      </c>
      <c r="EW102" s="173"/>
      <c r="EX102" s="248">
        <f t="shared" si="128"/>
        <v>0</v>
      </c>
      <c r="EY102" s="174">
        <f>(L102*regular)+(M102*Cadeirantee)</f>
        <v>472.36</v>
      </c>
      <c r="EZ102" s="249">
        <f>SUMIF(FG102:GJ102,"&gt;0")</f>
        <v>0</v>
      </c>
      <c r="FA102" s="249">
        <f>SUMIF(FG102:GJ102,"&lt;0")+SUMIF(GN102:HP102,"&lt;0")</f>
        <v>0</v>
      </c>
      <c r="FB102" s="174">
        <v>0</v>
      </c>
      <c r="FC102" s="126">
        <f>N102*km*'VALORES TABELA'!$B$13</f>
        <v>0</v>
      </c>
      <c r="FD102" s="250">
        <f t="shared" ref="FD102:FD105" si="129">GL102</f>
        <v>0</v>
      </c>
      <c r="FE102" s="105"/>
      <c r="FF102" s="119"/>
      <c r="FG102" s="119"/>
      <c r="FH102" s="119"/>
      <c r="FI102" s="119"/>
      <c r="FJ102" s="119"/>
      <c r="FK102" s="119"/>
      <c r="FL102" s="119"/>
      <c r="FM102" s="119"/>
      <c r="FN102" s="119"/>
      <c r="FO102" s="119"/>
      <c r="FP102" s="119"/>
      <c r="FQ102" s="119"/>
      <c r="FR102" s="119"/>
      <c r="FS102" s="119"/>
      <c r="FT102" s="119"/>
      <c r="FU102" s="119"/>
      <c r="FV102" s="119"/>
      <c r="FW102" s="119"/>
      <c r="FX102" s="119"/>
      <c r="FY102" s="119"/>
      <c r="FZ102" s="119"/>
      <c r="GA102" s="119"/>
      <c r="GB102" s="119"/>
      <c r="GC102" s="119"/>
      <c r="GD102" s="119"/>
      <c r="GE102" s="119"/>
      <c r="GF102" s="119"/>
      <c r="GG102" s="119"/>
      <c r="GH102" s="119"/>
      <c r="GI102" s="119"/>
      <c r="GJ102" s="119"/>
      <c r="GK102" s="251"/>
      <c r="GL102" s="103">
        <f t="shared" si="102"/>
        <v>0</v>
      </c>
      <c r="GM102" s="124"/>
      <c r="GN102" s="104"/>
      <c r="GO102" s="104"/>
      <c r="GP102" s="104"/>
      <c r="GQ102" s="104"/>
      <c r="GR102" s="104"/>
      <c r="GS102" s="104"/>
      <c r="GT102" s="104"/>
      <c r="GU102" s="104"/>
      <c r="GV102" s="104"/>
      <c r="GW102" s="104"/>
      <c r="GX102" s="104"/>
      <c r="GY102" s="104"/>
      <c r="GZ102" s="104"/>
      <c r="HA102" s="104"/>
      <c r="HB102" s="104"/>
      <c r="HC102" s="104"/>
      <c r="HD102" s="104"/>
      <c r="HE102" s="104"/>
      <c r="HF102" s="104"/>
      <c r="HG102" s="104"/>
      <c r="HH102" s="104"/>
      <c r="HI102" s="104"/>
      <c r="HJ102" s="104"/>
      <c r="HK102" s="104"/>
      <c r="HL102" s="104"/>
      <c r="HM102" s="104"/>
      <c r="HN102" s="104"/>
      <c r="HO102" s="104"/>
      <c r="HP102" s="104"/>
      <c r="HQ102" s="64"/>
      <c r="HR102" s="64"/>
      <c r="HS102" s="64"/>
      <c r="HT102" s="64"/>
      <c r="HU102" s="64"/>
      <c r="HV102" s="64"/>
      <c r="HW102" s="105"/>
      <c r="HX102" s="64"/>
      <c r="HY102" s="280">
        <f t="shared" ref="HY102:HY105" si="130">IF(ISTEXT(EM102), VALUE(EM102), EM102)</f>
        <v>0</v>
      </c>
      <c r="HZ102" s="280">
        <f t="shared" ref="HZ102:HZ105" si="131">IF(ISTEXT(EN102), VALUE(EN102), EN102)</f>
        <v>0</v>
      </c>
      <c r="IA102" s="280">
        <f t="shared" ref="IA102:IA105" si="132">IF(ISTEXT(EO102), VALUE(EO102), EO102)</f>
        <v>0</v>
      </c>
      <c r="IB102" s="64"/>
      <c r="IC102" s="64"/>
    </row>
    <row r="103" spans="1:237" s="106" customFormat="1" ht="22.5" customHeight="1" x14ac:dyDescent="0.25">
      <c r="A103" s="368" t="s">
        <v>3266</v>
      </c>
      <c r="B103" s="369" t="s">
        <v>3267</v>
      </c>
      <c r="C103" s="375" t="s">
        <v>3186</v>
      </c>
      <c r="D103" s="371" t="s">
        <v>3268</v>
      </c>
      <c r="E103" s="371" t="s">
        <v>3269</v>
      </c>
      <c r="F103" s="376" t="s">
        <v>3182</v>
      </c>
      <c r="G103" s="376" t="s">
        <v>3183</v>
      </c>
      <c r="H103" s="373" t="s">
        <v>359</v>
      </c>
      <c r="I103" s="374" t="s">
        <v>359</v>
      </c>
      <c r="J103" s="421" t="s">
        <v>3184</v>
      </c>
      <c r="K103" s="422" t="s">
        <v>3188</v>
      </c>
      <c r="L103" s="329">
        <f>CONTINUA!BV103</f>
        <v>0</v>
      </c>
      <c r="M103" s="329">
        <f>CONTINUA!BW103</f>
        <v>0</v>
      </c>
      <c r="N103" s="895"/>
      <c r="O103" s="896" t="s">
        <v>3293</v>
      </c>
      <c r="P103" s="897">
        <v>0</v>
      </c>
      <c r="Q103" s="400"/>
      <c r="R103" s="401"/>
      <c r="S103" s="400"/>
      <c r="T103" s="401"/>
      <c r="U103" s="400"/>
      <c r="V103" s="401"/>
      <c r="W103" s="400"/>
      <c r="X103" s="401"/>
      <c r="Y103" s="400"/>
      <c r="Z103" s="401"/>
      <c r="AA103" s="400"/>
      <c r="AB103" s="401"/>
      <c r="AC103" s="400"/>
      <c r="AD103" s="401"/>
      <c r="AE103" s="400"/>
      <c r="AF103" s="401"/>
      <c r="AG103" s="400"/>
      <c r="AH103" s="401"/>
      <c r="AI103" s="400"/>
      <c r="AJ103" s="401"/>
      <c r="AK103" s="400"/>
      <c r="AL103" s="401"/>
      <c r="AM103" s="400"/>
      <c r="AN103" s="401"/>
      <c r="AO103" s="400"/>
      <c r="AP103" s="401"/>
      <c r="AQ103" s="400"/>
      <c r="AR103" s="401"/>
      <c r="AS103" s="400"/>
      <c r="AT103" s="401"/>
      <c r="AU103" s="400"/>
      <c r="AV103" s="401"/>
      <c r="AW103" s="400"/>
      <c r="AX103" s="401"/>
      <c r="AY103" s="400"/>
      <c r="AZ103" s="401"/>
      <c r="BA103" s="400"/>
      <c r="BB103" s="401"/>
      <c r="BC103" s="400"/>
      <c r="BD103" s="401"/>
      <c r="BE103" s="400"/>
      <c r="BF103" s="401"/>
      <c r="BG103" s="400"/>
      <c r="BH103" s="401"/>
      <c r="BI103" s="400"/>
      <c r="BJ103" s="401"/>
      <c r="BK103" s="400"/>
      <c r="BL103" s="401"/>
      <c r="BM103" s="400"/>
      <c r="BN103" s="401"/>
      <c r="BO103" s="400"/>
      <c r="BP103" s="401"/>
      <c r="BQ103" s="400"/>
      <c r="BR103" s="401"/>
      <c r="BS103" s="400"/>
      <c r="BT103" s="401"/>
      <c r="BU103" s="400"/>
      <c r="BV103" s="401"/>
      <c r="BW103" s="400"/>
      <c r="BX103" s="401"/>
      <c r="BY103" s="400"/>
      <c r="BZ103" s="401"/>
      <c r="CA103" s="400"/>
      <c r="CB103" s="401"/>
      <c r="CC103" s="400"/>
      <c r="CD103" s="401"/>
      <c r="CE103" s="400"/>
      <c r="CF103" s="401"/>
      <c r="CG103" s="400"/>
      <c r="CH103" s="401"/>
      <c r="CI103" s="400"/>
      <c r="CJ103" s="401"/>
      <c r="CK103" s="400"/>
      <c r="CL103" s="401"/>
      <c r="CM103" s="400"/>
      <c r="CN103" s="401"/>
      <c r="CO103" s="400"/>
      <c r="CP103" s="401"/>
      <c r="CQ103" s="400"/>
      <c r="CR103" s="401"/>
      <c r="CS103" s="400"/>
      <c r="CT103" s="401"/>
      <c r="CU103" s="400"/>
      <c r="CV103" s="401"/>
      <c r="CW103" s="400"/>
      <c r="CX103" s="401"/>
      <c r="CY103" s="400"/>
      <c r="CZ103" s="401"/>
      <c r="DA103" s="400"/>
      <c r="DB103" s="401"/>
      <c r="DC103" s="400"/>
      <c r="DD103" s="401"/>
      <c r="DE103" s="400"/>
      <c r="DF103" s="401"/>
      <c r="DG103" s="400"/>
      <c r="DH103" s="401"/>
      <c r="DI103" s="400"/>
      <c r="DJ103" s="401"/>
      <c r="DK103" s="400"/>
      <c r="DL103" s="401"/>
      <c r="DM103" s="400"/>
      <c r="DN103" s="401"/>
      <c r="DO103" s="400"/>
      <c r="DP103" s="401"/>
      <c r="DQ103" s="400"/>
      <c r="DR103" s="401"/>
      <c r="DS103" s="400"/>
      <c r="DT103" s="401"/>
      <c r="DU103" s="400"/>
      <c r="DV103" s="401"/>
      <c r="DW103" s="400"/>
      <c r="DX103" s="401"/>
      <c r="DY103" s="400"/>
      <c r="DZ103" s="401"/>
      <c r="EA103" s="400"/>
      <c r="EB103" s="401"/>
      <c r="EC103" s="400"/>
      <c r="ED103" s="401"/>
      <c r="EE103" s="400"/>
      <c r="EF103" s="401"/>
      <c r="EG103" s="400"/>
      <c r="EH103" s="401"/>
      <c r="EI103" s="400"/>
      <c r="EJ103" s="447"/>
      <c r="EK103" s="511"/>
      <c r="EL103" s="514"/>
      <c r="EM103" s="448"/>
      <c r="EN103" s="344"/>
      <c r="EO103" s="345"/>
      <c r="EP103" s="171">
        <f t="shared" si="95"/>
        <v>0</v>
      </c>
      <c r="EQ103" s="171">
        <f t="shared" si="96"/>
        <v>0</v>
      </c>
      <c r="ER103" s="171">
        <f t="shared" si="97"/>
        <v>0</v>
      </c>
      <c r="ES103" s="171">
        <f t="shared" si="98"/>
        <v>0</v>
      </c>
      <c r="ET103" s="171">
        <f t="shared" si="99"/>
        <v>0</v>
      </c>
      <c r="EU103" s="171">
        <f t="shared" si="100"/>
        <v>0</v>
      </c>
      <c r="EV103" s="172">
        <f t="shared" si="101"/>
        <v>0</v>
      </c>
      <c r="EW103" s="125"/>
      <c r="EX103" s="248">
        <f t="shared" si="128"/>
        <v>0</v>
      </c>
      <c r="EY103" s="174">
        <f>(L103*regular)+(M103*Cadeirantee)</f>
        <v>0</v>
      </c>
      <c r="EZ103" s="249">
        <f>SUMIF(FG103:GJ103,"&gt;0")</f>
        <v>0</v>
      </c>
      <c r="FA103" s="249">
        <f>SUMIF(FG103:GJ103,"&lt;0")+SUMIF(GN103:HP103,"&lt;0")</f>
        <v>0</v>
      </c>
      <c r="FB103" s="174">
        <v>0</v>
      </c>
      <c r="FC103" s="126">
        <f>N103*km*'VALORES TABELA'!$B$13</f>
        <v>0</v>
      </c>
      <c r="FD103" s="250">
        <f t="shared" si="129"/>
        <v>0</v>
      </c>
      <c r="FE103" s="105"/>
      <c r="FF103" s="108"/>
      <c r="FG103" s="108"/>
      <c r="FH103" s="108"/>
      <c r="FI103" s="108"/>
      <c r="FJ103" s="108"/>
      <c r="FK103" s="108"/>
      <c r="FL103" s="108"/>
      <c r="FM103" s="108"/>
      <c r="FN103" s="108"/>
      <c r="FO103" s="108"/>
      <c r="FP103" s="108"/>
      <c r="FQ103" s="108"/>
      <c r="FR103" s="108"/>
      <c r="FS103" s="108"/>
      <c r="FT103" s="108"/>
      <c r="FU103" s="108"/>
      <c r="FV103" s="108"/>
      <c r="FW103" s="108"/>
      <c r="FX103" s="108"/>
      <c r="FY103" s="108"/>
      <c r="FZ103" s="108"/>
      <c r="GA103" s="108"/>
      <c r="GB103" s="108"/>
      <c r="GC103" s="108"/>
      <c r="GD103" s="108"/>
      <c r="GE103" s="108"/>
      <c r="GF103" s="108"/>
      <c r="GG103" s="108"/>
      <c r="GH103" s="108"/>
      <c r="GI103" s="108"/>
      <c r="GJ103" s="108"/>
      <c r="GK103" s="251"/>
      <c r="GL103" s="103">
        <f t="shared" si="102"/>
        <v>0</v>
      </c>
      <c r="GM103" s="124"/>
      <c r="GN103" s="104"/>
      <c r="GO103" s="104"/>
      <c r="GP103" s="104"/>
      <c r="GQ103" s="104"/>
      <c r="GR103" s="104"/>
      <c r="GS103" s="104"/>
      <c r="GT103" s="104"/>
      <c r="GU103" s="104"/>
      <c r="GV103" s="104"/>
      <c r="GW103" s="104"/>
      <c r="GX103" s="104"/>
      <c r="GY103" s="104"/>
      <c r="GZ103" s="104"/>
      <c r="HA103" s="104"/>
      <c r="HB103" s="104"/>
      <c r="HC103" s="104"/>
      <c r="HD103" s="104"/>
      <c r="HE103" s="104"/>
      <c r="HF103" s="104"/>
      <c r="HG103" s="104"/>
      <c r="HH103" s="104"/>
      <c r="HI103" s="104"/>
      <c r="HJ103" s="104"/>
      <c r="HK103" s="104"/>
      <c r="HL103" s="104"/>
      <c r="HM103" s="104"/>
      <c r="HN103" s="104"/>
      <c r="HO103" s="104"/>
      <c r="HP103" s="104"/>
      <c r="HQ103" s="64"/>
      <c r="HR103" s="64"/>
      <c r="HS103" s="64"/>
      <c r="HT103" s="64"/>
      <c r="HU103" s="64"/>
      <c r="HV103" s="64"/>
      <c r="HW103" s="105"/>
      <c r="HX103" s="64"/>
      <c r="HY103" s="280">
        <f t="shared" si="130"/>
        <v>0</v>
      </c>
      <c r="HZ103" s="280">
        <f t="shared" si="131"/>
        <v>0</v>
      </c>
      <c r="IA103" s="280">
        <f t="shared" si="132"/>
        <v>0</v>
      </c>
      <c r="IB103" s="64"/>
      <c r="IC103" s="64"/>
    </row>
    <row r="104" spans="1:237" s="106" customFormat="1" ht="22.5" customHeight="1" x14ac:dyDescent="0.25">
      <c r="A104" s="368" t="s">
        <v>3266</v>
      </c>
      <c r="B104" s="369" t="s">
        <v>3267</v>
      </c>
      <c r="C104" s="375" t="s">
        <v>3186</v>
      </c>
      <c r="D104" s="371" t="s">
        <v>3268</v>
      </c>
      <c r="E104" s="371" t="s">
        <v>3269</v>
      </c>
      <c r="F104" s="376" t="s">
        <v>3182</v>
      </c>
      <c r="G104" s="376" t="s">
        <v>3183</v>
      </c>
      <c r="H104" s="373" t="s">
        <v>359</v>
      </c>
      <c r="I104" s="374" t="s">
        <v>359</v>
      </c>
      <c r="J104" s="421" t="s">
        <v>3184</v>
      </c>
      <c r="K104" s="423" t="s">
        <v>3189</v>
      </c>
      <c r="L104" s="329">
        <f>CONTINUA!BV104</f>
        <v>0</v>
      </c>
      <c r="M104" s="329">
        <f>CONTINUA!BW104</f>
        <v>0</v>
      </c>
      <c r="N104" s="895"/>
      <c r="O104" s="896" t="s">
        <v>3293</v>
      </c>
      <c r="P104" s="897">
        <v>0</v>
      </c>
      <c r="Q104" s="400"/>
      <c r="R104" s="401"/>
      <c r="S104" s="400"/>
      <c r="T104" s="401"/>
      <c r="U104" s="400"/>
      <c r="V104" s="401"/>
      <c r="W104" s="400"/>
      <c r="X104" s="401"/>
      <c r="Y104" s="400"/>
      <c r="Z104" s="401"/>
      <c r="AA104" s="400"/>
      <c r="AB104" s="401"/>
      <c r="AC104" s="400"/>
      <c r="AD104" s="401"/>
      <c r="AE104" s="400"/>
      <c r="AF104" s="401"/>
      <c r="AG104" s="400"/>
      <c r="AH104" s="401"/>
      <c r="AI104" s="400"/>
      <c r="AJ104" s="401"/>
      <c r="AK104" s="400"/>
      <c r="AL104" s="401"/>
      <c r="AM104" s="400"/>
      <c r="AN104" s="401"/>
      <c r="AO104" s="400"/>
      <c r="AP104" s="401"/>
      <c r="AQ104" s="400"/>
      <c r="AR104" s="401"/>
      <c r="AS104" s="400"/>
      <c r="AT104" s="401"/>
      <c r="AU104" s="400"/>
      <c r="AV104" s="401"/>
      <c r="AW104" s="400"/>
      <c r="AX104" s="401"/>
      <c r="AY104" s="400"/>
      <c r="AZ104" s="401"/>
      <c r="BA104" s="400"/>
      <c r="BB104" s="401"/>
      <c r="BC104" s="400"/>
      <c r="BD104" s="401"/>
      <c r="BE104" s="400"/>
      <c r="BF104" s="401"/>
      <c r="BG104" s="400"/>
      <c r="BH104" s="401"/>
      <c r="BI104" s="400"/>
      <c r="BJ104" s="401"/>
      <c r="BK104" s="400"/>
      <c r="BL104" s="401"/>
      <c r="BM104" s="400"/>
      <c r="BN104" s="401"/>
      <c r="BO104" s="400"/>
      <c r="BP104" s="401"/>
      <c r="BQ104" s="400"/>
      <c r="BR104" s="401"/>
      <c r="BS104" s="400"/>
      <c r="BT104" s="401"/>
      <c r="BU104" s="400"/>
      <c r="BV104" s="401"/>
      <c r="BW104" s="400"/>
      <c r="BX104" s="401"/>
      <c r="BY104" s="400"/>
      <c r="BZ104" s="401"/>
      <c r="CA104" s="400"/>
      <c r="CB104" s="401"/>
      <c r="CC104" s="400"/>
      <c r="CD104" s="401"/>
      <c r="CE104" s="400"/>
      <c r="CF104" s="401"/>
      <c r="CG104" s="400"/>
      <c r="CH104" s="401"/>
      <c r="CI104" s="400"/>
      <c r="CJ104" s="401"/>
      <c r="CK104" s="400"/>
      <c r="CL104" s="401"/>
      <c r="CM104" s="400"/>
      <c r="CN104" s="401"/>
      <c r="CO104" s="400"/>
      <c r="CP104" s="401"/>
      <c r="CQ104" s="400"/>
      <c r="CR104" s="401"/>
      <c r="CS104" s="400"/>
      <c r="CT104" s="401"/>
      <c r="CU104" s="400"/>
      <c r="CV104" s="401"/>
      <c r="CW104" s="400"/>
      <c r="CX104" s="401"/>
      <c r="CY104" s="400"/>
      <c r="CZ104" s="401"/>
      <c r="DA104" s="400"/>
      <c r="DB104" s="401"/>
      <c r="DC104" s="400"/>
      <c r="DD104" s="401"/>
      <c r="DE104" s="400"/>
      <c r="DF104" s="401"/>
      <c r="DG104" s="400"/>
      <c r="DH104" s="401"/>
      <c r="DI104" s="400"/>
      <c r="DJ104" s="401"/>
      <c r="DK104" s="400"/>
      <c r="DL104" s="401"/>
      <c r="DM104" s="400"/>
      <c r="DN104" s="401"/>
      <c r="DO104" s="400"/>
      <c r="DP104" s="401"/>
      <c r="DQ104" s="400"/>
      <c r="DR104" s="401"/>
      <c r="DS104" s="400"/>
      <c r="DT104" s="401"/>
      <c r="DU104" s="400"/>
      <c r="DV104" s="401"/>
      <c r="DW104" s="400"/>
      <c r="DX104" s="401"/>
      <c r="DY104" s="400"/>
      <c r="DZ104" s="401"/>
      <c r="EA104" s="400"/>
      <c r="EB104" s="401"/>
      <c r="EC104" s="400"/>
      <c r="ED104" s="401"/>
      <c r="EE104" s="400"/>
      <c r="EF104" s="401"/>
      <c r="EG104" s="400"/>
      <c r="EH104" s="401"/>
      <c r="EI104" s="400"/>
      <c r="EJ104" s="447"/>
      <c r="EK104" s="511"/>
      <c r="EL104" s="514"/>
      <c r="EM104" s="448"/>
      <c r="EN104" s="344"/>
      <c r="EO104" s="345"/>
      <c r="EP104" s="171">
        <f t="shared" si="95"/>
        <v>0</v>
      </c>
      <c r="EQ104" s="171">
        <f t="shared" si="96"/>
        <v>0</v>
      </c>
      <c r="ER104" s="171">
        <f t="shared" si="97"/>
        <v>0</v>
      </c>
      <c r="ES104" s="171">
        <f t="shared" si="98"/>
        <v>0</v>
      </c>
      <c r="ET104" s="171">
        <f t="shared" si="99"/>
        <v>0</v>
      </c>
      <c r="EU104" s="171">
        <f t="shared" si="100"/>
        <v>0</v>
      </c>
      <c r="EV104" s="172">
        <f t="shared" si="101"/>
        <v>0</v>
      </c>
      <c r="EW104" s="127"/>
      <c r="EX104" s="248">
        <f t="shared" si="128"/>
        <v>0</v>
      </c>
      <c r="EY104" s="174">
        <f>(L104*regular)+(M104*Cadeirantee)</f>
        <v>0</v>
      </c>
      <c r="EZ104" s="249">
        <f>SUMIF(FG104:GJ104,"&gt;0")</f>
        <v>0</v>
      </c>
      <c r="FA104" s="249">
        <f>SUMIF(FG104:GJ104,"&lt;0")+SUMIF(GN104:HP104,"&lt;0")</f>
        <v>0</v>
      </c>
      <c r="FB104" s="174">
        <v>0</v>
      </c>
      <c r="FC104" s="126">
        <f>N104*km*'VALORES TABELA'!$B$13</f>
        <v>0</v>
      </c>
      <c r="FD104" s="250">
        <f t="shared" si="129"/>
        <v>0</v>
      </c>
      <c r="FE104" s="105"/>
      <c r="FF104" s="118"/>
      <c r="FG104" s="118"/>
      <c r="FH104" s="118"/>
      <c r="FI104" s="118"/>
      <c r="FJ104" s="118"/>
      <c r="FK104" s="118"/>
      <c r="FL104" s="118"/>
      <c r="FM104" s="118"/>
      <c r="FN104" s="118"/>
      <c r="FO104" s="118"/>
      <c r="FP104" s="118"/>
      <c r="FQ104" s="118"/>
      <c r="FR104" s="118"/>
      <c r="FS104" s="118"/>
      <c r="FT104" s="118"/>
      <c r="FU104" s="118"/>
      <c r="FV104" s="118"/>
      <c r="FW104" s="118"/>
      <c r="FX104" s="118"/>
      <c r="FY104" s="118"/>
      <c r="FZ104" s="118"/>
      <c r="GA104" s="118"/>
      <c r="GB104" s="118"/>
      <c r="GC104" s="118"/>
      <c r="GD104" s="118"/>
      <c r="GE104" s="118"/>
      <c r="GF104" s="118"/>
      <c r="GG104" s="118"/>
      <c r="GH104" s="118"/>
      <c r="GI104" s="118"/>
      <c r="GJ104" s="118"/>
      <c r="GK104" s="252"/>
      <c r="GL104" s="103">
        <f t="shared" si="102"/>
        <v>0</v>
      </c>
      <c r="GM104" s="124"/>
      <c r="GN104" s="104"/>
      <c r="GO104" s="104"/>
      <c r="GP104" s="104"/>
      <c r="GQ104" s="104"/>
      <c r="GR104" s="104"/>
      <c r="GS104" s="104"/>
      <c r="GT104" s="104"/>
      <c r="GU104" s="104"/>
      <c r="GV104" s="104"/>
      <c r="GW104" s="104"/>
      <c r="GX104" s="104"/>
      <c r="GY104" s="104"/>
      <c r="GZ104" s="104"/>
      <c r="HA104" s="104"/>
      <c r="HB104" s="104"/>
      <c r="HC104" s="104"/>
      <c r="HD104" s="104"/>
      <c r="HE104" s="104"/>
      <c r="HF104" s="104"/>
      <c r="HG104" s="104"/>
      <c r="HH104" s="104"/>
      <c r="HI104" s="104"/>
      <c r="HJ104" s="104"/>
      <c r="HK104" s="104"/>
      <c r="HL104" s="104"/>
      <c r="HM104" s="104"/>
      <c r="HN104" s="104"/>
      <c r="HO104" s="104"/>
      <c r="HP104" s="104"/>
      <c r="HQ104" s="64"/>
      <c r="HR104" s="65"/>
      <c r="HS104" s="65"/>
      <c r="HT104" s="65"/>
      <c r="HU104" s="65"/>
      <c r="HV104" s="65"/>
      <c r="HW104" s="105"/>
      <c r="HX104" s="65"/>
      <c r="HY104" s="280">
        <f t="shared" si="130"/>
        <v>0</v>
      </c>
      <c r="HZ104" s="280">
        <f t="shared" si="131"/>
        <v>0</v>
      </c>
      <c r="IA104" s="280">
        <f t="shared" si="132"/>
        <v>0</v>
      </c>
      <c r="IB104" s="65"/>
      <c r="IC104" s="65"/>
    </row>
    <row r="105" spans="1:237" s="106" customFormat="1" ht="22.5" customHeight="1" thickBot="1" x14ac:dyDescent="0.3">
      <c r="A105" s="377" t="s">
        <v>3266</v>
      </c>
      <c r="B105" s="378" t="s">
        <v>3267</v>
      </c>
      <c r="C105" s="379" t="s">
        <v>3186</v>
      </c>
      <c r="D105" s="380" t="s">
        <v>3268</v>
      </c>
      <c r="E105" s="380" t="s">
        <v>3269</v>
      </c>
      <c r="F105" s="381" t="s">
        <v>3182</v>
      </c>
      <c r="G105" s="381" t="s">
        <v>3183</v>
      </c>
      <c r="H105" s="382" t="s">
        <v>359</v>
      </c>
      <c r="I105" s="383" t="s">
        <v>359</v>
      </c>
      <c r="J105" s="421" t="s">
        <v>3184</v>
      </c>
      <c r="K105" s="424" t="s">
        <v>60</v>
      </c>
      <c r="L105" s="329">
        <f>CONTINUA!BV105</f>
        <v>0</v>
      </c>
      <c r="M105" s="329">
        <f>CONTINUA!BW105</f>
        <v>0</v>
      </c>
      <c r="N105" s="895"/>
      <c r="O105" s="896" t="s">
        <v>3293</v>
      </c>
      <c r="P105" s="897">
        <v>0</v>
      </c>
      <c r="Q105" s="400"/>
      <c r="R105" s="401"/>
      <c r="S105" s="400"/>
      <c r="T105" s="401"/>
      <c r="U105" s="400"/>
      <c r="V105" s="401"/>
      <c r="W105" s="400"/>
      <c r="X105" s="401"/>
      <c r="Y105" s="400"/>
      <c r="Z105" s="401"/>
      <c r="AA105" s="400"/>
      <c r="AB105" s="401"/>
      <c r="AC105" s="400"/>
      <c r="AD105" s="401"/>
      <c r="AE105" s="400"/>
      <c r="AF105" s="401"/>
      <c r="AG105" s="400"/>
      <c r="AH105" s="401"/>
      <c r="AI105" s="400"/>
      <c r="AJ105" s="401"/>
      <c r="AK105" s="400"/>
      <c r="AL105" s="401"/>
      <c r="AM105" s="400"/>
      <c r="AN105" s="401"/>
      <c r="AO105" s="400"/>
      <c r="AP105" s="401"/>
      <c r="AQ105" s="400"/>
      <c r="AR105" s="401"/>
      <c r="AS105" s="400"/>
      <c r="AT105" s="401"/>
      <c r="AU105" s="400"/>
      <c r="AV105" s="401"/>
      <c r="AW105" s="400"/>
      <c r="AX105" s="401"/>
      <c r="AY105" s="400"/>
      <c r="AZ105" s="401"/>
      <c r="BA105" s="400"/>
      <c r="BB105" s="401"/>
      <c r="BC105" s="400"/>
      <c r="BD105" s="401"/>
      <c r="BE105" s="400"/>
      <c r="BF105" s="401"/>
      <c r="BG105" s="400"/>
      <c r="BH105" s="401"/>
      <c r="BI105" s="400"/>
      <c r="BJ105" s="401"/>
      <c r="BK105" s="400"/>
      <c r="BL105" s="401"/>
      <c r="BM105" s="400"/>
      <c r="BN105" s="401"/>
      <c r="BO105" s="400"/>
      <c r="BP105" s="401"/>
      <c r="BQ105" s="400"/>
      <c r="BR105" s="401"/>
      <c r="BS105" s="400"/>
      <c r="BT105" s="401"/>
      <c r="BU105" s="400"/>
      <c r="BV105" s="401"/>
      <c r="BW105" s="400"/>
      <c r="BX105" s="401"/>
      <c r="BY105" s="400"/>
      <c r="BZ105" s="401"/>
      <c r="CA105" s="400"/>
      <c r="CB105" s="401"/>
      <c r="CC105" s="400"/>
      <c r="CD105" s="401"/>
      <c r="CE105" s="400"/>
      <c r="CF105" s="401"/>
      <c r="CG105" s="400"/>
      <c r="CH105" s="401"/>
      <c r="CI105" s="400"/>
      <c r="CJ105" s="401"/>
      <c r="CK105" s="400"/>
      <c r="CL105" s="401"/>
      <c r="CM105" s="400"/>
      <c r="CN105" s="401"/>
      <c r="CO105" s="400"/>
      <c r="CP105" s="401"/>
      <c r="CQ105" s="400"/>
      <c r="CR105" s="401"/>
      <c r="CS105" s="400"/>
      <c r="CT105" s="401"/>
      <c r="CU105" s="400"/>
      <c r="CV105" s="401"/>
      <c r="CW105" s="400"/>
      <c r="CX105" s="401"/>
      <c r="CY105" s="400"/>
      <c r="CZ105" s="401"/>
      <c r="DA105" s="400"/>
      <c r="DB105" s="401"/>
      <c r="DC105" s="400"/>
      <c r="DD105" s="401"/>
      <c r="DE105" s="400"/>
      <c r="DF105" s="401"/>
      <c r="DG105" s="400"/>
      <c r="DH105" s="401"/>
      <c r="DI105" s="400"/>
      <c r="DJ105" s="401"/>
      <c r="DK105" s="400"/>
      <c r="DL105" s="401"/>
      <c r="DM105" s="400"/>
      <c r="DN105" s="401"/>
      <c r="DO105" s="400"/>
      <c r="DP105" s="401"/>
      <c r="DQ105" s="400"/>
      <c r="DR105" s="401"/>
      <c r="DS105" s="400"/>
      <c r="DT105" s="401"/>
      <c r="DU105" s="400"/>
      <c r="DV105" s="401"/>
      <c r="DW105" s="400"/>
      <c r="DX105" s="401"/>
      <c r="DY105" s="400"/>
      <c r="DZ105" s="401"/>
      <c r="EA105" s="400"/>
      <c r="EB105" s="401"/>
      <c r="EC105" s="400"/>
      <c r="ED105" s="401"/>
      <c r="EE105" s="400"/>
      <c r="EF105" s="401"/>
      <c r="EG105" s="400"/>
      <c r="EH105" s="401"/>
      <c r="EI105" s="400"/>
      <c r="EJ105" s="447"/>
      <c r="EK105" s="512"/>
      <c r="EL105" s="515"/>
      <c r="EM105" s="450"/>
      <c r="EN105" s="348"/>
      <c r="EO105" s="348"/>
      <c r="EP105" s="179">
        <f t="shared" si="95"/>
        <v>0</v>
      </c>
      <c r="EQ105" s="179">
        <f t="shared" si="96"/>
        <v>0</v>
      </c>
      <c r="ER105" s="179">
        <f t="shared" si="97"/>
        <v>0</v>
      </c>
      <c r="ES105" s="179">
        <f t="shared" si="98"/>
        <v>0</v>
      </c>
      <c r="ET105" s="179">
        <f t="shared" si="99"/>
        <v>0</v>
      </c>
      <c r="EU105" s="179">
        <f t="shared" si="100"/>
        <v>0</v>
      </c>
      <c r="EV105" s="172">
        <f t="shared" si="101"/>
        <v>0</v>
      </c>
      <c r="EW105" s="253"/>
      <c r="EX105" s="254">
        <v>0</v>
      </c>
      <c r="EY105" s="180">
        <v>0</v>
      </c>
      <c r="EZ105" s="255">
        <v>0</v>
      </c>
      <c r="FA105" s="255">
        <v>0</v>
      </c>
      <c r="FB105" s="180">
        <f>SUM(FF105:GI105)/2</f>
        <v>0</v>
      </c>
      <c r="FC105" s="256">
        <f>N105*km*'VALORES TABELA'!$B$13</f>
        <v>0</v>
      </c>
      <c r="FD105" s="250">
        <f t="shared" si="129"/>
        <v>0</v>
      </c>
      <c r="FE105" s="257"/>
      <c r="FF105" s="181">
        <f>((Q105+S105)*Percapita)+((R105+T105)*Cadeirante)</f>
        <v>0</v>
      </c>
      <c r="FG105" s="181">
        <f>((U105+W105)*Percapita/30*FG$4)+((V105+X105)*Cadeirante/30*FG$4)</f>
        <v>0</v>
      </c>
      <c r="FH105" s="181">
        <f>((Y105+AA105)*Percapita/30*FH$4)+((Z105+AB105)*Cadeirante/30*FH$4)</f>
        <v>0</v>
      </c>
      <c r="FI105" s="181">
        <f>((AC105+AE105)*Percapita/30*FI$4)+((AD105+AF105)*Cadeirante/30*FI$4)</f>
        <v>0</v>
      </c>
      <c r="FJ105" s="181">
        <f>((AG105+AI105)*Percapita/30*FJ$4)+((AH105+AJ105)*Cadeirante/30*FJ$4)</f>
        <v>0</v>
      </c>
      <c r="FK105" s="181">
        <f>((AK105+AM105)*Percapita/30*FK$4)+((AL105+AN105)*Cadeirante/30*FK$4)</f>
        <v>0</v>
      </c>
      <c r="FL105" s="181">
        <f>((AO105+AQ105)*Percapita/30*FL$4)+((AP105+AR105)*Cadeirante/30*FL$4)</f>
        <v>0</v>
      </c>
      <c r="FM105" s="181">
        <f>((AS105+AU105)*Percapita/30*FM$4)+((AT105+AV105)*Cadeirante/30*FM$4)</f>
        <v>0</v>
      </c>
      <c r="FN105" s="181">
        <f>((AW105+AY105)*Percapita/30*FN$4)+((AX105+AZ105)*Cadeirante/30*FN$4)</f>
        <v>0</v>
      </c>
      <c r="FO105" s="181">
        <f>((BA105+BC105)*Percapita/30*FO$4)+((BB105+BD105)*Cadeirante/30*FO$4)</f>
        <v>0</v>
      </c>
      <c r="FP105" s="181">
        <f>((BE105+BG105)*Percapita/30*FP$4)+((BF105+BH105)*Cadeirante/30*FP$4)</f>
        <v>0</v>
      </c>
      <c r="FQ105" s="181">
        <f>((BI105+BK105)*Percapita/30*FQ$4)+((BJ105+BL105)*Cadeirante/30*FQ$4)</f>
        <v>0</v>
      </c>
      <c r="FR105" s="181">
        <f>((BM105+BO105)*Percapita/30*FR$4)+((BN105+BP105)*Cadeirante/30*FR$4)</f>
        <v>0</v>
      </c>
      <c r="FS105" s="181">
        <f>((BQ105+BS105)*Percapita/30*FS$4)+((BR105+BT105)*Cadeirante/30*FS$4)</f>
        <v>0</v>
      </c>
      <c r="FT105" s="181">
        <f>((BU105+BW105)*Percapita/30*FT$4)+((BV105+BX105)*Cadeirante/30*FT$4)</f>
        <v>0</v>
      </c>
      <c r="FU105" s="181">
        <f>((BY105+CA105)*Percapita/30*FU$4)+((BZ105+CB105)*Cadeirante/30*FU$4)</f>
        <v>0</v>
      </c>
      <c r="FV105" s="181">
        <f>((CC105+CE105)*Percapita/30*FV$4)+((CD105+CF105)*Cadeirante/30*FV$4)</f>
        <v>0</v>
      </c>
      <c r="FW105" s="181">
        <f>((CG105+CI105)*Percapita/30*FW$4)+((CI105+CK105)*Cadeirante/30*FW$4)</f>
        <v>0</v>
      </c>
      <c r="FX105" s="181">
        <f>((CK105+CM105)*Percapita/30*FX$4)+((CL105+CN105)*Cadeirante/30*FX$4)</f>
        <v>0</v>
      </c>
      <c r="FY105" s="181">
        <f>((CO105+CQ105)*Percapita/30*FY$4)+((CP105+CR105)*Cadeirante/30*FY$4)</f>
        <v>0</v>
      </c>
      <c r="FZ105" s="181">
        <f>((CS105+CU105)*Percapita/30*FZ$4)+((CT105+CV105)*Cadeirante/30*FZ$4)</f>
        <v>0</v>
      </c>
      <c r="GA105" s="181">
        <f>((CW105+CY105)*Percapita/30*GA$4)+((CX105+CZ105)*Cadeirante/30*GA$4)</f>
        <v>0</v>
      </c>
      <c r="GB105" s="181">
        <f>((DA105+DC105)*Percapita/30*GB$4)+((DB105+DD105)*Cadeirante/30*GB$4)</f>
        <v>0</v>
      </c>
      <c r="GC105" s="181">
        <f>((DE105+DG105)*Percapita/30*GC$4)+((DF105+DH105)*Cadeirante/30*GC$4)</f>
        <v>0</v>
      </c>
      <c r="GD105" s="181">
        <f>((DI105+DK105)*Percapita/30*GD$4)+((DJ105+DL105)*Cadeirante/30*GD$4)</f>
        <v>0</v>
      </c>
      <c r="GE105" s="181">
        <f>((DM105+DO105)*Percapita/30*GE$4)+((DN105+DP105)*Cadeirante/30*GE$4)</f>
        <v>0</v>
      </c>
      <c r="GF105" s="181">
        <f>((DQ105+DS105)*Percapita/30*GF$4)+((DR105+DT105)*Cadeirante/30*GF$4)</f>
        <v>0</v>
      </c>
      <c r="GG105" s="181">
        <f>((DU105+DW105)*Percapita/30*GG$4)+((DV105+DX105)*Cadeirante/30*GG$4)</f>
        <v>0</v>
      </c>
      <c r="GH105" s="181">
        <f>((DY105+EA105)*Percapita/30*GH$4)+((DZ105+EB105)*Cadeirante/30*GH$4)</f>
        <v>0</v>
      </c>
      <c r="GI105" s="181">
        <f>((EC105+EE105)*Percapita/30*GI$4)+((ED105+EF105)*Cadeirante/30*GI$4)</f>
        <v>0</v>
      </c>
      <c r="GJ105" s="181">
        <f>((EG105+EI105)*Percapita)+((EH105+EJ105)*Cadeirante)</f>
        <v>0</v>
      </c>
      <c r="GK105" s="258"/>
      <c r="GL105" s="103">
        <f t="shared" si="102"/>
        <v>0</v>
      </c>
      <c r="GM105" s="124"/>
      <c r="GN105" s="182"/>
      <c r="GO105" s="182"/>
      <c r="GP105" s="182"/>
      <c r="GQ105" s="182"/>
      <c r="GR105" s="182"/>
      <c r="GS105" s="182"/>
      <c r="GT105" s="182"/>
      <c r="GU105" s="182"/>
      <c r="GV105" s="182"/>
      <c r="GW105" s="182"/>
      <c r="GX105" s="182"/>
      <c r="GY105" s="182"/>
      <c r="GZ105" s="182"/>
      <c r="HA105" s="182"/>
      <c r="HB105" s="182"/>
      <c r="HC105" s="182"/>
      <c r="HD105" s="182"/>
      <c r="HE105" s="182"/>
      <c r="HF105" s="182"/>
      <c r="HG105" s="182"/>
      <c r="HH105" s="182"/>
      <c r="HI105" s="182"/>
      <c r="HJ105" s="182"/>
      <c r="HK105" s="182"/>
      <c r="HL105" s="182"/>
      <c r="HM105" s="182"/>
      <c r="HN105" s="182"/>
      <c r="HO105" s="182"/>
      <c r="HP105" s="259"/>
      <c r="HQ105" s="64"/>
      <c r="HW105" s="257"/>
      <c r="HY105" s="280">
        <f t="shared" si="130"/>
        <v>0</v>
      </c>
      <c r="HZ105" s="280">
        <f t="shared" si="131"/>
        <v>0</v>
      </c>
      <c r="IA105" s="280">
        <f t="shared" si="132"/>
        <v>0</v>
      </c>
    </row>
    <row r="106" spans="1:237" s="106" customFormat="1" ht="22.5" customHeight="1" x14ac:dyDescent="0.25">
      <c r="A106" t="s">
        <v>3270</v>
      </c>
      <c r="B106" s="522" t="s">
        <v>3271</v>
      </c>
      <c r="C106" s="523">
        <v>1</v>
      </c>
      <c r="D106" s="524" t="s">
        <v>3272</v>
      </c>
      <c r="E106" s="524" t="s">
        <v>3273</v>
      </c>
      <c r="F106" s="525" t="s">
        <v>3182</v>
      </c>
      <c r="G106" s="525" t="s">
        <v>3183</v>
      </c>
      <c r="H106" s="350" t="s">
        <v>361</v>
      </c>
      <c r="I106" s="351" t="s">
        <v>361</v>
      </c>
      <c r="J106" s="409" t="s">
        <v>3184</v>
      </c>
      <c r="K106" s="410" t="s">
        <v>3185</v>
      </c>
      <c r="L106" s="329">
        <f>CONTINUA!BV106</f>
        <v>0</v>
      </c>
      <c r="M106" s="329">
        <f>CONTINUA!BW106</f>
        <v>0</v>
      </c>
      <c r="N106" s="895"/>
      <c r="O106" s="896" t="s">
        <v>3294</v>
      </c>
      <c r="P106" s="897">
        <v>0</v>
      </c>
      <c r="Q106" s="400">
        <v>7</v>
      </c>
      <c r="R106" s="401"/>
      <c r="S106" s="400"/>
      <c r="T106" s="401"/>
      <c r="U106" s="400"/>
      <c r="V106" s="401"/>
      <c r="W106" s="400"/>
      <c r="X106" s="401"/>
      <c r="Y106" s="400"/>
      <c r="Z106" s="401"/>
      <c r="AA106" s="400"/>
      <c r="AB106" s="401"/>
      <c r="AC106" s="400"/>
      <c r="AD106" s="401"/>
      <c r="AE106" s="400"/>
      <c r="AF106" s="401"/>
      <c r="AG106" s="400"/>
      <c r="AH106" s="401"/>
      <c r="AI106" s="400"/>
      <c r="AJ106" s="401"/>
      <c r="AK106" s="400"/>
      <c r="AL106" s="401"/>
      <c r="AM106" s="400"/>
      <c r="AN106" s="401"/>
      <c r="AO106" s="400"/>
      <c r="AP106" s="401"/>
      <c r="AQ106" s="400"/>
      <c r="AR106" s="401"/>
      <c r="AS106" s="400"/>
      <c r="AT106" s="401"/>
      <c r="AU106" s="400"/>
      <c r="AV106" s="401"/>
      <c r="AW106" s="400"/>
      <c r="AX106" s="401"/>
      <c r="AY106" s="400"/>
      <c r="AZ106" s="401"/>
      <c r="BA106" s="400"/>
      <c r="BB106" s="401"/>
      <c r="BC106" s="400"/>
      <c r="BD106" s="401"/>
      <c r="BE106" s="400"/>
      <c r="BF106" s="401"/>
      <c r="BG106" s="400"/>
      <c r="BH106" s="401"/>
      <c r="BI106" s="400"/>
      <c r="BJ106" s="401"/>
      <c r="BK106" s="400"/>
      <c r="BL106" s="401"/>
      <c r="BM106" s="400"/>
      <c r="BN106" s="401"/>
      <c r="BO106" s="400"/>
      <c r="BP106" s="401"/>
      <c r="BQ106" s="400"/>
      <c r="BR106" s="401"/>
      <c r="BS106" s="400"/>
      <c r="BT106" s="401"/>
      <c r="BU106" s="400"/>
      <c r="BV106" s="401"/>
      <c r="BW106" s="400"/>
      <c r="BX106" s="401"/>
      <c r="BY106" s="400"/>
      <c r="BZ106" s="401"/>
      <c r="CA106" s="400"/>
      <c r="CB106" s="401"/>
      <c r="CC106" s="400"/>
      <c r="CD106" s="401"/>
      <c r="CE106" s="400"/>
      <c r="CF106" s="401"/>
      <c r="CG106" s="400"/>
      <c r="CH106" s="401"/>
      <c r="CI106" s="400"/>
      <c r="CJ106" s="401"/>
      <c r="CK106" s="400"/>
      <c r="CL106" s="401"/>
      <c r="CM106" s="400"/>
      <c r="CN106" s="401"/>
      <c r="CO106" s="400"/>
      <c r="CP106" s="401"/>
      <c r="CQ106" s="400"/>
      <c r="CR106" s="401"/>
      <c r="CS106" s="400"/>
      <c r="CT106" s="401"/>
      <c r="CU106" s="400"/>
      <c r="CV106" s="401"/>
      <c r="CW106" s="400"/>
      <c r="CX106" s="401"/>
      <c r="CY106" s="400"/>
      <c r="CZ106" s="401"/>
      <c r="DA106" s="400"/>
      <c r="DB106" s="401"/>
      <c r="DC106" s="400"/>
      <c r="DD106" s="401"/>
      <c r="DE106" s="400"/>
      <c r="DF106" s="401"/>
      <c r="DG106" s="400"/>
      <c r="DH106" s="401"/>
      <c r="DI106" s="400"/>
      <c r="DJ106" s="401"/>
      <c r="DK106" s="400"/>
      <c r="DL106" s="401"/>
      <c r="DM106" s="400"/>
      <c r="DN106" s="401"/>
      <c r="DO106" s="400"/>
      <c r="DP106" s="401"/>
      <c r="DQ106" s="400"/>
      <c r="DR106" s="401"/>
      <c r="DS106" s="400"/>
      <c r="DT106" s="401"/>
      <c r="DU106" s="400"/>
      <c r="DV106" s="401"/>
      <c r="DW106" s="400"/>
      <c r="DX106" s="401"/>
      <c r="DY106" s="400"/>
      <c r="DZ106" s="401"/>
      <c r="EA106" s="400"/>
      <c r="EB106" s="401"/>
      <c r="EC106" s="400"/>
      <c r="ED106" s="401"/>
      <c r="EE106" s="400"/>
      <c r="EF106" s="401"/>
      <c r="EG106" s="400"/>
      <c r="EH106" s="401"/>
      <c r="EI106" s="400"/>
      <c r="EJ106" s="447"/>
      <c r="EK106" s="510"/>
      <c r="EL106" s="513"/>
      <c r="EM106" s="520"/>
      <c r="EN106" s="520"/>
      <c r="EO106" s="520"/>
      <c r="EP106" s="171">
        <f t="shared" si="95"/>
        <v>7</v>
      </c>
      <c r="EQ106" s="171">
        <f t="shared" si="96"/>
        <v>0</v>
      </c>
      <c r="ER106" s="171">
        <f t="shared" si="97"/>
        <v>0</v>
      </c>
      <c r="ES106" s="171">
        <f t="shared" si="98"/>
        <v>0</v>
      </c>
      <c r="ET106" s="171">
        <f t="shared" si="99"/>
        <v>0</v>
      </c>
      <c r="EU106" s="171">
        <f t="shared" si="100"/>
        <v>0</v>
      </c>
      <c r="EV106" s="172">
        <f t="shared" si="101"/>
        <v>7</v>
      </c>
      <c r="EW106" s="367">
        <f>IF(C106=4,IF(MAX(Q106:EJ108)&gt;0,(Especiall/30*(IF(($G106-$F106)=($G$5-$F$5),30,IF(DAY($G106)=31,($G106-$F106),($G106-$F106)+1)))),0),0)</f>
        <v>0</v>
      </c>
      <c r="EX106" s="248">
        <f t="shared" ref="EX106:EX109" si="133">FF106</f>
        <v>22516.49</v>
      </c>
      <c r="EY106" s="174">
        <f>(L106*regular)+(M106*Cadeirantee)</f>
        <v>0</v>
      </c>
      <c r="EZ106" s="249">
        <f>SUMIF(FG106:GJ106,"&gt;0")</f>
        <v>0</v>
      </c>
      <c r="FA106" s="249">
        <f>SUMIF(FG106:GJ106,"&lt;0")+SUMIF(GN106:HP106,"&lt;0")</f>
        <v>0</v>
      </c>
      <c r="FB106" s="174">
        <v>0</v>
      </c>
      <c r="FC106" s="175">
        <f>N106*km*'VALORES TABELA'!$B$13</f>
        <v>0</v>
      </c>
      <c r="FD106" s="250">
        <f>GL106</f>
        <v>0</v>
      </c>
      <c r="FE106" s="176">
        <f>(EW106+EW107+EW108+EW109+EX106+EX107+EX108+EX109+EY106+EY107+EY108+EY109+EY110+EZ106+EZ107+EZ108+EZ109+FA106+FA107+FA108+FA109+FC106+FC107+FC108+FC109+HY106-HZ106-IA106+FD106+FD107+FD108+FD109+FB110)</f>
        <v>23589.0095</v>
      </c>
      <c r="FF106" s="177">
        <f>IF(C106=4,SUM(Q106+Q107+Q108+S106+S107+S108)*Percapita/30*FF$4+(R106+R107+R108+T106+T107+T108)*Cadeirante/30*FF$4,IF(C106=3,IF(Q109+S109=10,Fixo/30*FF$4+(Q106+Q107+Q108+S106+S107+S108)*Percapita/30*FF$4+(R109+T109)*Cadeirante/30*FF$4,IF(Q109+S109&lt;=9,(Q109+S109)*Crechee/30*FF$4)+(R109+T109)*Cadeirante/30*FF$4+(Q106+Q107+Q108+S106+S107+S108)*Percapita/30*FF$4)+IF(Q109+S109&gt;=11,Fixo/30*FF$4+(Q109+S109-10)*Crechee/30*FF$4,0),IF(C106=2,IF(R106+R107+R108+R109+T106+T107+T108+T109=1,Cadeirante/30*FF$4,IF(R106+R107+R108+R109+T106+T107+T108+T109=2,Fixo/30*FF$4,IF(R106+R107+R108+R109+T106+T107+T108+T109&gt;2,Fixo/30*FF$4+(R106+R107+R108+R109+T106+T107+T108+T109-2)*Cadeirante/30*FF$4)))+(Q106+Q107+Q108+S106+S107+S108)*Percapita/30*FF$4+(Q109+S109)*Crechee/30*FF$4,IF(C106=1,IF(Q106+Q107+Q108+R106+R107+R108+S106+S107+S108+T106+T107+T108&lt;=15,(Q106+Q107+Q108+S106+S107+S108)*Percapita/30*FF$4,IF(Q106+Q107+Q108+R106+R107+R108+S106+S107+S108+T106+T107+T108&gt;=16,Fixo/30*FF$4+(Q106+Q107+Q108+R106+R107+R108+S106+S107+S108+T106+T107-16)*Percapita/30*FF$4))))))</f>
        <v>22516.49</v>
      </c>
      <c r="FG106" s="177">
        <f>IF(C106=4,SUM(U106+U107+U108+W106+W107+W108)*Percapita/30*FG$4+(V106+V107+V108+X106+X107+X108)*Cadeirante/30*FG$4,IF(C106=3,IF(U109+W109=10,Fixo/30*FG$4+(U106+U107+U108+W106+W107+W108)*Percapita/30*FG$4+(V109+X109)*Cadeirante/30*FG$4,IF(U109+W109&lt;=9,(U109+W109)*Crechee/30*FG$4)+(V109+X109)*Cadeirante/30*FG$4+(U106+U107+U108+W106+W107+W108)*Percapita/30*FG$4)+IF(U109+W109&gt;=11,Fixo/30*FG$4+(U109+W109-10)*Crechee/30*FG$4,0),IF(C106=2,IF(V106+V107+V108+V109+X106+X107+X108+X109=1,Cadeirante/30*FG$4,IF(V106+V107+V108+V109+X106+X107+X108+X109=2,Fixo/30*FG$4,IF(V106+V107+V108+V109+X106+X107+X108+X109&gt;2,Fixo/30*FG$4+(V106+V107+V108+V109+X106+X107+X108+X109-2)*Cadeirante/30*FG$4)))+(U106+U107+U108+W106+W107+W108)*Percapita/30*FG$4+(U109+W109)*Crechee/30*FG$4,IF(C106=1,IF(U106+U107+U108+V106+V107+V108+W106+W107+W108+X106+X107+X108&lt;=15,(U106+U107+U108+W106+W107+W108)*Percapita/30*FG$4,IF(U106+U107+U108+V106+V107+V108+W106+W107+W108+X106+X107+X108&gt;=16,Fixo/30*FG$4+(U106+U107+U108+V106+V107+V108+W106+W107+W108+X106+X107-16)*Percapita/30*FG$4))))))</f>
        <v>0</v>
      </c>
      <c r="FH106" s="177">
        <f>IF(C106=4,SUM(Y106+Y107+Y108+AA106+AA107+AA108)*Percapita/30*FH$4+(Z106+Z107+Z108+AB106+AB107+AB108)*Cadeirante/30*FH$4,IF(C106=3,IF(Y109+AA109=10,Fixo/30*FH$4+(Y106+Y107+Y108+AA106+AA107+AA108)*Percapita/30*FH$4+(Z109+AB109)*Cadeirante/30*FH$4,IF(Y109+AA109&lt;=9,(Y109+AA109)*Crechee/30*FH$4)+(Z109+AB109)*Cadeirante/30*FH$4+(Y106+Y107+Y108+AA106+AA107+AA108)*Percapita/30*FH$4)+IF(Y109+AA109&gt;=11,Fixo/30*FH$4+(Y109+AA109-10)*Crechee/30*FH$4,0),IF(C106=2,IF(Z106+Z107+Z108+Z109+AB106+AB107+AB108+AB109=1,Cadeirante/30*FH$4,IF(Z106+Z107+Z108+Z109+AB106+AB107+AB108+AB109=2,Fixo/30*FH$4,IF(Z106+Z107+Z108+Z109+AB106+AB107+AB108+AB109&gt;2,Fixo/30*FH$4+(Z106+Z107+Z108+Z109+AB106+AB107+AB108+AB109-2)*Cadeirante/30*FH$4)))+(Y106+Y107+Y108+AA106+AA107+AA108)*Percapita/30*FH$4+(Y109+AA109)*Crechee/30*FH$4,IF(C106=1,IF(Y106+Y107+Y108+Z106+Z107+Z108+AA106+AA107+AA108+AB106+AB107+AB108&lt;=15,(Y106+Y107+Y108+AA106+AA107+AA108)*Percapita/30*FH$4,IF(Y106+Y107+Y108+Z106+Z107+Z108+AA106+AA107+AA108+AB106+AB107+AB108&gt;=16,Fixo/30*FH$4+(Y106+Y107+Y108+Z106+Z107+Z108+AA106+AA107+AA108+AB106+AB107-16)*Percapita/30*FH$4))))))</f>
        <v>0</v>
      </c>
      <c r="FI106" s="177">
        <f>IF(C106=4,SUM(AC106+AC107+AC108+AE106+AE107+AE108)*Percapita/30*FI$4+(AD106+AD107+AD108+AF106+AF107+AF108)*Cadeirante/30*FI$4,IF(C106=3,IF(AC109+AE109=10,Fixo/30*FI$4+(AC106+AC107+AC108+AE106+AE107+AE108)*Percapita/30*FI$4+(AD109+AF109)*Cadeirante/30*FI$4,IF(AC109+AE109&lt;=9,(AC109+AE109)*Crechee/30*FI$4)+(AD109+AF109)*Cadeirante/30*FI$4+(AC106+AC107+AC108+AE106+AE107+AE108)*Percapita/30*FI$4)+IF(AC109+AE109&gt;=11,Fixo/30*FI$4+(AC109+AE109-10)*Crechee/30*FI$4,0),IF(C106=2,IF(AD106+AD107+AD108+AD109+AF106+AF107+AF108+AF109=1,Cadeirante/30*FI$4,IF(AD106+AD107+AD108+AD109+AF106+AF107+AF108+AF109=2,Fixo/30*FI$4,IF(AD106+AD107+AD108+AD109+AF106+AF107+AF108+AF109&gt;2,Fixo/30*FI$4+(AD106+AD107+AD108+AD109+AF106+AF107+AF108+AF109-2)*Cadeirante/30*FI$4)))+(AC106+AC107+AC108+AE106+AE107+AE108)*Percapita/30*FI$4+(AC109+AE109)*Crechee/30*FI$4,IF(C106=1,IF(AC106+AC107+AC108+AD106+AD107+AD108+AE106+AE107+AE108+AF106+AF107+AF108&lt;=15,(AC106+AC107+AC108+AE106+AE107+AE108)*Percapita/30*FI$4,IF(AC106+AC107+AC108+AD106+AD107+AD108+AE106+AE107+AE108+AF106+AF107+AF108&gt;=16,Fixo/30*FI$4+(AC106+AC107+AC108+AD106+AD107+AD108+AE106+AE107+AE108+AF106+AF107-16)*Percapita/30*FI$4))))))</f>
        <v>0</v>
      </c>
      <c r="FJ106" s="177">
        <f>IF(C106=4,SUM(AG106+AG107+AG108+AI106+AI107+AI108)*Percapita/30*FJ$4+(AH106+AH107+AH108+AJ106+AJ107+AJ108)*Cadeirante/30*FJ$4,IF(C106=3,IF(AG109+AI109=10,Fixo/30*FJ$4+(AG106+AG107+AG108+AI106+AI107+AI108)*Percapita/30*FJ$4+(AH109+AJ109)*Cadeirante/30*FJ$4,IF(AG109+AI109&lt;=9,(AG109+AI109)*Crechee/30*FJ$4)+(AH109+AJ109)*Cadeirante/30*FJ$4+(AG106+AG107+AG108+AI106+AI107+AI108)*Percapita/30*FJ$4)+IF(AG109+AI109&gt;=11,Fixo/30*FJ$4+(AG109+AI109-10)*Crechee/30*FJ$4,0),IF(C106=2,IF(AH106+AH107+AH108+AH109+AJ106+AJ107+AJ108+AJ109=1,Cadeirante/30*FJ$4,IF(AH106+AH107+AH108+AH109+AJ106+AJ107+AJ108+AJ109=2,Fixo/30*FJ$4,IF(AH106+AH107+AH108+AH109+AJ106+AJ107+AJ108+AJ109&gt;2,Fixo/30*FJ$4+(AH106+AH107+AH108+AH109+AJ106+AJ107+AJ108+AJ109-2)*Cadeirante/30*FJ$4)))+(AG106+AG107+AG108+AI106+AI107+AI108)*Percapita/30*FJ$4+(AG109+AI109)*Crechee/30*FJ$4,IF(C106=1,IF(AG106+AG107+AG108+AH106+AH107+AH108+AI106+AI107+AI108+AJ106+AJ107+AJ108&lt;=15,(AG106+AG107+AG108+AI106+AI107+AI108)*Percapita/30*FJ$4,IF(AG106+AG107+AG108+AH106+AH107+AH108+AI106+AI107+AI108+AJ106+AJ107+AJ108&gt;=16,Fixo/30*FJ$4+(AG106+AG107+AG108+AH106+AH107+AH108+AI106+AI107+AI108+AJ106+AJ107-16)*Percapita/30*FJ$4))))))</f>
        <v>0</v>
      </c>
      <c r="FK106" s="177">
        <f>IF(C106=4,SUM(AK106+AK107+AK108+AM106+AM107+AM108)*Percapita/30*FK$4+(AL106+AL107+AL108+AN106+AN107+AN108)*Cadeirante/30*FK$4,IF(C106=3,IF(AK109+AM109=10,Fixo/30*FK$4+(AK106+AK107+AK108+AM106+AM107+AM108)*Percapita/30*FK$4+(AL109+AN109)*Cadeirante/30*FK$4,IF(AK109+AM109&lt;=9,(AK109+AM109)*Crechee/30*FK$4)+(AL109+AN109)*Cadeirante/30*FK$4+(AK106+AK107+AK108+AM106+AM107+AM108)*Percapita/30*FK$4)+IF(AK109+AM109&gt;=11,Fixo/30*FK$4+(AK109+AM109-10)*Crechee/30*FK$4,0),IF(C106=2,IF(AL106+AL107+AL108+AL109+AN106+AN107+AN108+AN109=1,Cadeirante/30*FK$4,IF(AL106+AL107+AL108+AL109+AN106+AN107+AN108+AN109=2,Fixo/30*FK$4,IF(AL106+AL107+AL108+AL109+AN106+AN107+AN108+AN109&gt;2,Fixo/30*FK$4+(AL106+AL107+AL108+AL109+AN106+AN107+AN108+AN109-2)*Cadeirante/30*FK$4)))+(AK106+AK107+AK108+AM106+AM107+AM108)*Percapita/30*FK$4+(AK109+AM109)*Crechee/30*FK$4,IF(C106=1,IF(AK106+AK107+AK108+AL106+AL107+AL108+AM106+AM107+AM108+AN106+AN107+AN108&lt;=15,(AK106+AK107+AK108+AM106+AM107+AM108)*Percapita/30*FK$4,IF(AK106+AK107+AK108+AL106+AL107+AL108+AM106+AM107+AM108+AN106+AN107+AN108&gt;=16,Fixo/30*FK$4+(AK106+AK107+AK108+AL106+AL107+AL108+AM106+AM107+AM108+AN106+AN107-16)*Percapita/30*FK$4))))))</f>
        <v>0</v>
      </c>
      <c r="FL106" s="177">
        <f>IF(C106=4,SUM(AO106+AO107+AO108+AQ106+AQ107+AQ108)*Percapita/30*FL$4+(AP106+AP107+AP108+AR106+AR107+AR108)*Cadeirante/30*FL$4,IF(C106=3,IF(AO109+AQ109=10,Fixo/30*FL$4+(AO106+AO107+AO108+AQ106+AQ107+AQ108)*Percapita/30*FL$4+(AP109+AR109)*Cadeirante/30*FL$4,IF(AO109+AQ109&lt;=9,(AO109+AQ109)*Crechee/30*FL$4)+(AP109+AR109)*Cadeirante/30*FL$4+(AO106+AO107+AO108+AQ106+AQ107+AQ108)*Percapita/30*FL$4)+IF(AO109+AQ109&gt;=11,Fixo/30*FL$4+(AO109+AQ109-10)*Crechee/30*FL$4,0),IF(C106=2,IF(AP106+AP107+AP108+AP109+AR106+AR107+AR108+AR109=1,Cadeirante/30*FL$4,IF(AP106+AP107+AP108+AP109+AR106+AR107+AR108+AR109=2,Fixo/30*FL$4,IF(AP106+AP107+AP108+AP109+AR106+AR107+AR108+AR109&gt;2,Fixo/30*FL$4+(AP106+AP107+AP108+AP109+AR106+AR107+AR108+AR109-2)*Cadeirante/30*FL$4)))+(AO106+AO107+AO108+AQ106+AQ107+AQ108)*Percapita/30*FL$4+(AO109+AQ109)*Crechee/30*FL$4,IF(C106=1,IF(AO106+AO107+AO108+AP106+AP107+AP108+AQ106+AQ107+AQ108+AR106+AR107+AR108&lt;=15,(AO106+AO107+AO108+AQ106+AQ107+AQ108)*Percapita/30*FL$4,IF(AO106+AO107+AO108+AP106+AP107+AP108+AQ106+AQ107+AQ108+AR106+AR107+AR108&gt;=16,Fixo/30*FL$4+(AO106+AO107+AO108+AP106+AP107+AP108+AQ106+AQ107+AQ108+AR106+AR107-16)*Percapita/30*FL$4))))))</f>
        <v>0</v>
      </c>
      <c r="FM106" s="177">
        <f>IF(C106=4,SUM(AS106+AS107+AS108+AU106+AU107+AU108)*Percapita/30*FM$4+(AT106+AT107+AT108+AV106+AV107+AV108)*Cadeirante/30*FM$4,IF(C106=3,IF(AS109+AU109=10,Fixo/30*FM$4+(AS106+AS107+AS108+AU106+AU107+AU108)*Percapita/30*FM$4+(AT109+AV109)*Cadeirante/30*FM$4,IF(AS109+AU109&lt;=9,(AS109+AU109)*Crechee/30*FM$4)+(AT109+AV109)*Cadeirante/30*FM$4+(AS106+AS107+AS108+AU106+AU107+AU108)*Percapita/30*FM$4)+IF(AS109+AU109&gt;=11,Fixo/30*FM$4+(AS109+AU109-10)*Crechee/30*FM$4,0),IF(C106=2,IF(AT106+AT107+AT108+AT109+AV106+AV107+AV108+AV109=1,Cadeirante/30*FM$4,IF(AT106+AT107+AT108+AT109+AV106+AV107+AV108+AV109=2,Fixo/30*FM$4,IF(AT106+AT107+AT108+AT109+AV106+AV107+AV108+AV109&gt;2,Fixo/30*FM$4+(AT106+AT107+AT108+AT109+AV106+AV107+AV108+AV109-2)*Cadeirante/30*FM$4)))+(AS106+AS107+AS108+AU106+AU107+AU108)*Percapita/30*FM$4+(AS109+AU109)*Crechee/30*FM$4,IF(C106=1,IF(AS106+AS107+AS108+AT106+AT107+AT108+AU106+AU107+AU108+AV106+AV107+AV108&lt;=15,(AS106+AS107+AS108+AU106+AU107+AU108)*Percapita/30*FM$4,IF(AS106+AS107+AS108+AT106+AT107+AT108+AU106+AU107+AU108+AV106+AV107+AV108&gt;=16,Fixo/30*FM$4+(AS106+AS107+AS108+AT106+AT107+AT108+AU106+AU107+AU108+AV106+AV107-16)*Percapita/30*FM$4))))))</f>
        <v>0</v>
      </c>
      <c r="FN106" s="177">
        <f>IF(C106=4,SUM(AW106+AW107+AW108+AY106+AY107+AY108)*Percapita/30*FN$4+(AX106+AX107+AX108+AZ106+AZ107+AZ108)*Cadeirante/30*FN$4,IF(C106=3,IF(AW109+AY109=10,Fixo/30*FN$4+(AW106+AW107+AW108+AY106+AY107+AY108)*Percapita/30*FN$4+(AX109+AZ109)*Cadeirante/30*FN$4,IF(AW109+AY109&lt;=9,(AW109+AY109)*Crechee/30*FN$4)+(AX109+AZ109)*Cadeirante/30*FN$4+(AW106+AW107+AW108+AY106+AY107+AY108)*Percapita/30*FN$4)+IF(AW109+AY109&gt;=11,Fixo/30*FN$4+(AW109+AY109-10)*Crechee/30*FN$4,0),IF(C106=2,IF(AX106+AX107+AX108+AX109+AZ106+AZ107+AZ108+AZ109=1,Cadeirante/30*FN$4,IF(AX106+AX107+AX108+AX109+AZ106+AZ107+AZ108+AZ109=2,Fixo/30*FN$4,IF(AX106+AX107+AX108+AX109+AZ106+AZ107+AZ108+AZ109&gt;2,Fixo/30*FN$4+(AX106+AX107+AX108+AX109+AZ106+AZ107+AZ108+AZ109-2)*Cadeirante/30*FN$4)))+(AW106+AW107+AW108+AY106+AY107+AY108)*Percapita/30*FN$4+(AW109+AY109)*Crechee/30*FN$4,IF(C106=1,IF(AW106+AW107+AW108+AX106+AX107+AX108+AY106+AY107+AY108+AZ106+AZ107+AZ108&lt;=15,(AW106+AW107+AW108+AY106+AY107+AY108)*Percapita/30*FN$4,IF(AW106+AW107+AW108+AX106+AX107+AX108+AY106+AY107+AY108+AZ106+AZ107+AZ108&gt;=16,Fixo/30*FN$4+(AW106+AW107+AW108+AX106+AX107+AX108+AY106+AY107+AY108+AZ106+AZ107-16)*Percapita/30*FN$4))))))</f>
        <v>0</v>
      </c>
      <c r="FO106" s="177">
        <f>IF(C106=4,SUM(BA106+BA107+BA108+BC106+BC107+BC108)*Percapita/30*FO$4+(BB106+BB107+BB108+BD106+BD107+BD108)*Cadeirante/30*FO$4,IF(C106=3,IF(BA109+BC109=10,Fixo/30*FO$4+(BA106+BA107+BA108+BC106+BC107+BC108)*Percapita/30*FO$4+(BB109+BD109)*Cadeirante/30*FO$4,IF(BA109+BC109&lt;=9,(BA109+BC109)*Crechee/30*FO$4)+(BB109+BD109)*Cadeirante/30*FO$4+(BA106+BA107+BA108+BC106+BC107+BC108)*Percapita/30*FO$4)+IF(BA109+BC109&gt;=11,Fixo/30*FO$4+(BA109+BC109-10)*Crechee/30*FO$4,0),IF(C106=2,IF(BB106+BB107+BB108+BB109+BD106+BD107+BD108+BD109=1,Cadeirante/30*FO$4,IF(BB106+BB107+BB108+BB109+BD106+BD107+BD108+BD109=2,Fixo/30*FO$4,IF(BB106+BB107+BB108+BB109+BD106+BD107+BD108+BD109&gt;2,Fixo/30*FO$4+(BB106+BB107+BB108+BB109+BD106+BD107+BD108+BD109-2)*Cadeirante/30*FO$4)))+(BA106+BA107+BA108+BC106+BC107+BC108)*Percapita/30*FO$4+(BA109+BC109)*Crechee/30*FO$4,IF(C106=1,IF(BA106+BA107+BA108+BB106+BB107+BB108+BC106+BC107+BC108+BD106+BD107+BD108&lt;=15,(BA106+BA107+BA108+BC106+BC107+BC108)*Percapita/30*FO$4,IF(BA106+BA107+BA108+BB106+BB107+BB108+BC106+BC107+BC108+BD106+BD107+BD108&gt;=16,Fixo/30*FO$4+(BA106+BA107+BA108+BB106+BB107+BB108+BC106+BC107+BC108+BD106+BD107-16)*Percapita/30*FO$4))))))</f>
        <v>0</v>
      </c>
      <c r="FP106" s="177">
        <f>IF(C106=4,SUM(BE106+BE107+BE108+BG106+BG107+BG108)*Percapita/30*FP$4+(BF106+BF107+BF108+BH106+BH107+BH108)*Cadeirante/30*FP$4,IF(C106=3,IF(BE109+BG109=10,Fixo/30*FP$4+(BE106+BE107+BE108+BG106+BG107+BG108)*Percapita/30*FP$4+(BF109+BH109)*Cadeirante/30*FP$4,IF(BE109+BG109&lt;=9,(BE109+BG109)*Crechee/30*FP$4)+(BF109+BH109)*Cadeirante/30*FP$4+(BE106+BE107+BE108+BG106+BG107+BG108)*Percapita/30*FP$4)+IF(BE109+BG109&gt;=11,Fixo/30*FP$4+(BE109+BG109-10)*Crechee/30*FP$4,0),IF(C106=2,IF(BF106+BF107+BF108+BF109+BH106+BH107+BH108+BH109=1,Cadeirante/30*FP$4,IF(BF106+BF107+BF108+BF109+BH106+BH107+BH108+BH109=2,Fixo/30*FP$4,IF(BF106+BF107+BF108+BF109+BH106+BH107+BH108+BH109&gt;2,Fixo/30*FP$4+(BF106+BF107+BF108+BF109+BH106+BH107+BH108+BH109-2)*Cadeirante/30*FP$4)))+(BE106+BE107+BE108+BG106+BG107+BG108)*Percapita/30*FP$4+(BE109+BG109)*Crechee/30*FP$4,IF(C106=1,IF(BE106+BE107+BE108+BF106+BF107+BF108+BG106+BG107+BG108+BH106+BH107+BH108&lt;=15,(BE106+BE107+BE108+BG106+BG107+BG108)*Percapita/30*FP$4,IF(BE106+BE107+BE108+BF106+BF107+BF108+BG106+BG107+BG108+BH106+BH107+BH108&gt;=16,Fixo/30*FP$4+(BE106+BE107+BE108+BF106+BF107+BF108+BG106+BG107+BG108+BH106+BH107-16)*Percapita/30*FP$4))))))</f>
        <v>0</v>
      </c>
      <c r="FQ106" s="177">
        <f>IF(C106=4,SUM(BI106+BI107+BI108+BK106+BK107+BK108)*Percapita/30*FQ$4+(BJ106+BJ107+BJ108+BL106+BL107+BL108)*Cadeirante/30*FQ$4,IF(C106=3,IF(BI109+BK109=10,Fixo/30*FQ$4+(BI106+BI107+BI108+BK106+BK107+BK108)*Percapita/30*FQ$4+(BJ109+BL109)*Cadeirante/30*FQ$4,IF(BI109+BK109&lt;=9,(BI109+BK109)*Crechee/30*FQ$4)+(BJ109+BL109)*Cadeirante/30*FQ$4+(BI106+BI107+BI108+BK106+BK107+BK108)*Percapita/30*FQ$4)+IF(BI109+BK109&gt;=11,Fixo/30*FQ$4+(BI109+BK109-10)*Crechee/30*FQ$4,0),IF(C106=2,IF(BJ106+BJ107+BJ108+BJ109+BL106+BL107+BL108+BL109=1,Cadeirante/30*FQ$4,IF(BJ106+BJ107+BJ108+BJ109+BL106+BL107+BL108+BL109=2,Fixo/30*FQ$4,IF(BJ106+BJ107+BJ108+BJ109+BL106+BL107+BL108+BL109&gt;2,Fixo/30*FQ$4+(BJ106+BJ107+BJ108+BJ109+BL106+BL107+BL108+BL109-2)*Cadeirante/30*FQ$4)))+(BI106+BI107+BI108+BK106+BK107+BK108)*Percapita/30*FQ$4+(BI109+BK109)*Crechee/30*FQ$4,IF(C106=1,IF(BI106+BI107+BI108+BJ106+BJ107+BJ108+BK106+BK107+BK108+BL106+BL107+BL108&lt;=15,(BI106+BI107+BI108+BK106+BK107+BK108)*Percapita/30*FQ$4,IF(BI106+BI107+BI108+BJ106+BJ107+BJ108+BK106+BK107+BK108+BL106+BL107+BL108&gt;=16,Fixo/30*FQ$4+(BI106+BI107+BI108+BJ106+BJ107+BJ108+BK106+BK107+BK108+BL106+BL107-16)*Percapita/30*FQ$4))))))</f>
        <v>0</v>
      </c>
      <c r="FR106" s="177">
        <f>IF(C106=4,SUM(BM106+BM107+BM108+BO106+BO107+BO108)*Percapita/30*FR$4+(BN106+BN107+BN108+BP106+BP107+BP108)*Cadeirante/30*FR$4,IF(C106=3,IF(BM109+BO109=10,Fixo/30*FR$4+(BM106+BM107+BM108+BO106+BO107+BO108)*Percapita/30*FR$4+(BN109+BP109)*Cadeirante/30*FR$4,IF(BM109+BO109&lt;=9,(BM109+BO109)*Crechee/30*FR$4)+(BN109+BP109)*Cadeirante/30*FR$4+(BM106+BM107+BM108+BO106+BO107+BO108)*Percapita/30*FR$4)+IF(BM109+BO109&gt;=11,Fixo/30*FR$4+(BM109+BO109-10)*Crechee/30*FR$4,0),IF(C106=2,IF(BN106+BN107+BN108+BN109+BP106+BP107+BP108+BP109=1,Cadeirante/30*FR$4,IF(BN106+BN107+BN108+BN109+BP106+BP107+BP108+BP109=2,Fixo/30*FR$4,IF(BN106+BN107+BN108+BN109+BP106+BP107+BP108+BP109&gt;2,Fixo/30*FR$4+(BN106+BN107+BN108+BN109+BP106+BP107+BP108+BP109-2)*Cadeirante/30*FR$4)))+(BM106+BM107+BM108+BO106+BO107+BO108)*Percapita/30*FR$4+(BM109+BO109)*Crechee/30*FR$4,IF(C106=1,IF(BM106+BM107+BM108+BN106+BN107+BN108+BO106+BO107+BO108+BP106+BP107+BP108&lt;=15,(BM106+BM107+BM108+BO106+BO107+BO108)*Percapita/30*FR$4,IF(BM106+BM107+BM108+BN106+BN107+BN108+BO106+BO107+BO108+BP106+BP107+BP108&gt;=16,Fixo/30*FR$4+(BM106+BM107+BM108+BN106+BN107+BN108+BO106+BO107+BO108+BP106+BP107-16)*Percapita/30*FR$4))))))</f>
        <v>0</v>
      </c>
      <c r="FS106" s="177">
        <f>IF(C106=4,SUM(BQ106+BQ107+BQ108+BS106+BS107+BS108)*Percapita/30*FS$4+(BR106+BR107+BR108+BT106+BT107+BT108)*Cadeirante/30*FS$4,IF(C106=3,IF(BQ109+BS109=10,Fixo/30*FS$4+(BQ106+BQ107+BQ108+BS106+BS107+BS108)*Percapita/30*FS$4+(BR109+BT109)*Cadeirante/30*FS$4,IF(BQ109+BS109&lt;=9,(BQ109+BS109)*Crechee/30*FS$4)+(BR109+BT109)*Cadeirante/30*FS$4+(BQ106+BQ107+BQ108+BS106+BS107+BS108)*Percapita/30*FS$4)+IF(BQ109+BS109&gt;=11,Fixo/30*FS$4+(BQ109+BS109-10)*Crechee/30*FS$4,0),IF(C106=2,IF(BR106+BR107+BR108+BR109+BT106+BT107+BT108+BT109=1,Cadeirante/30*FS$4,IF(BR106+BR107+BR108+BR109+BT106+BT107+BT108+BT109=2,Fixo/30*FS$4,IF(BR106+BR107+BR108+BR109+BT106+BT107+BT108+BT109&gt;2,Fixo/30*FS$4+(BR106+BR107+BR108+BR109+BT106+BT107+BT108+BT109-2)*Cadeirante/30*FS$4)))+(BQ106+BQ107+BQ108+BS106+BS107+BS108)*Percapita/30*FS$4+(BQ109+BS109)*Crechee/30*FS$4,IF(C106=1,IF(BQ106+BQ107+BQ108+BR106+BR107+BR108+BS106+BS107+BS108+BT106+BT107+BT108&lt;=15,(BQ106+BQ107+BQ108+BS106+BS107+BS108)*Percapita/30*FS$4,IF(BQ106+BQ107+BQ108+BR106+BR107+BR108+BS106+BS107+BS108+BT106+BT107+BT108&gt;=16,Fixo/30*FS$4+(BQ106+BQ107+BQ108+BR106+BR107+BR108+BS106+BS107+BS108+BT106+BT107-16)*Percapita/30*FS$4))))))</f>
        <v>0</v>
      </c>
      <c r="FT106" s="177">
        <f>IF(C106=4,SUM(BU106+BU107+BU108+BW106+BW107+BW108)*Percapita/30*FT$4+(BV106+BV107+BV108+BX106+BX107+BX108)*Cadeirante/30*FT$4,IF(C106=3,IF(BU109+BW109=10,Fixo/30*FT$4+(BU106+BU107+BU108+BW106+BW107+BW108)*Percapita/30*FT$4+(BV109+BX109)*Cadeirante/30*FT$4,IF(BU109+BW109&lt;=9,(BU109+BW109)*Crechee/30*FT$4)+(BV109+BX109)*Cadeirante/30*FT$4+(BU106+BU107+BU108+BW106+BW107+BW108)*Percapita/30*FT$4)+IF(BU109+BW109&gt;=11,Fixo/30*FT$4+(BU109+BW109-10)*Crechee/30*FT$4,0),IF(C106=2,IF(BV106+BV107+BV108+BV109+BX106+BX107+BX108+BX109=1,Cadeirante/30*FT$4,IF(BV106+BV107+BV108+BV109+BX106+BX107+BX108+BX109=2,Fixo/30*FT$4,IF(BV106+BV107+BV108+BV109+BX106+BX107+BX108+BX109&gt;2,Fixo/30*FT$4+(BV106+BV107+BV108+BV109+BX106+BX107+BX108+BX109-2)*Cadeirante/30*FT$4)))+(BU106+BU107+BU108+BW106+BW107+BW108)*Percapita/30*FT$4+(BU109+BW109)*Crechee/30*FT$4,IF(C106=1,IF(BU106+BU107+BU108+BV106+BV107+BV108+BW106+BW107+BW108+BX106+BX107+BX108&lt;=15,(BU106+BU107+BU108+BW106+BW107+BW108)*Percapita/30*FT$4,IF(BU106+BU107+BU108+BV106+BV107+BV108+BW106+BW107+BW108+BX106+BX107+BX108&gt;=16,Fixo/30*FT$4+(BU106+BU107+BU108+BV106+BV107+BV108+BW106+BW107+BW108+BX106+BX107-16)*Percapita/30*FT$4))))))</f>
        <v>0</v>
      </c>
      <c r="FU106" s="177">
        <f>IF(C106=4,SUM(BY106+BY107+BY108+CA106+CA107+CA108)*Percapita/30*FU$4+(BZ106+BZ107+BZ108+CB106+CB107+CB108)*Cadeirante/30*FU$4,IF(C106=3,IF(BY109+CA109=10,Fixo/30*FU$4+(BY106+BY107+BY108+CA106+CA107+CA108)*Percapita/30*FU$4+(BZ109+CB109)*Cadeirante/30*FU$4,IF(BY109+CA109&lt;=9,(BY109+CA109)*Crechee/30*FU$4)+(BZ109+CB109)*Cadeirante/30*FU$4+(BY106+BY107+BY108+CA106+CA107+CA108)*Percapita/30*FU$4)+IF(BY109+CA109&gt;=11,Fixo/30*FU$4+(BY109+CA109-10)*Crechee/30*FU$4,0),IF(C106=2,IF(BZ106+BZ107+BZ108+BZ109+CB106+CB107+CB108+CB109=1,Cadeirante/30*FU$4,IF(BZ106+BZ107+BZ108+BZ109+CB106+CB107+CB108+CB109=2,Fixo/30*FU$4,IF(BZ106+BZ107+BZ108+BZ109+CB106+CB107+CB108+CB109&gt;2,Fixo/30*FU$4+(BZ106+BZ107+BZ108+BZ109+CB106+CB107+CB108+CB109-2)*Cadeirante/30*FU$4)))+(BY106+BY107+BY108+CA106+CA107+CA108)*Percapita/30*FU$4+(BY109+CA109)*Crechee/30*FU$4,IF(C106=1,IF(BY106+BY107+BY108+BZ106+BZ107+BZ108+CA106+CA107+CA108+CB106+CB107+CB108&lt;=15,(BY106+BY107+BY108+CA106+CA107+CA108)*Percapita/30*FU$4,IF(BY106+BY107+BY108+BZ106+BZ107+BZ108+CA106+CA107+CA108+CB106+CB107+CB108&gt;=16,Fixo/30*FU$4+(BY106+BY107+BY108+BZ106+BZ107+BZ108+CA106+CA107+CA108+CB106+CB107-16)*Percapita/30*FU$4))))))</f>
        <v>0</v>
      </c>
      <c r="FV106" s="177">
        <f>IF(C106=4,SUM(CC106+CC107+CC108+CE106+CE107+CE108)*Percapita/30*FV$4+(CD106+CD107+CD108+CF106+CF107+CF108)*Cadeirante/30*FV$4,IF(C106=3,IF(CC109+CE109=10,Fixo/30*FV$4+(CC106+CC107+CC108+CE106+CE107+CE108)*Percapita/30*FV$4+(CD109+CF109)*Cadeirante/30*FV$4,IF(CC109+CE109&lt;=9,(CC109+CE109)*Crechee/30*FV$4)+(CD109+CF109)*Cadeirante/30*FV$4+(CC106+CC107+CC108+CE106+CE107+CE108)*Percapita/30*FV$4)+IF(CC109+CE109&gt;=11,Fixo/30*FV$4+(CC109+CE109-10)*Crechee/30*FV$4,0),IF(C106=2,IF(CD106+CD107+CD108+CD109+CF106+CF107+CF108+CF109=1,Cadeirante/30*FV$4,IF(CD106+CD107+CD108+CD109+CF106+CF107+CF108+CF109=2,Fixo/30*FV$4,IF(CD106+CD107+CD108+CD109+CF106+CF107+CF108+CF109&gt;2,Fixo/30*FV$4+(CD106+CD107+CD108+CD109+CF106+CF107+CF108+CF109-2)*Cadeirante/30*FV$4)))+(CC106+CC107+CC108+CE106+CE107+CE108)*Percapita/30*FV$4+(CC109+CE109)*Crechee/30*FV$4,IF(C106=1,IF(CC106+CC107+CC108+CD106+CD107+CD108+CE106+CE107+CE108+CF106+CF107+CF108&lt;=15,(CC106+CC107+CC108+CE106+CE107+CE108)*Percapita/30*FV$4,IF(CC106+CC107+CC108+CD106+CD107+CD108+CE106+CE107+CE108+CF106+CF107+CF108&gt;=16,Fixo/30*FV$4+(CC106+CC107+CC108+CD106+CD107+CD108+CE106+CE107+CE108+CF106+CF107-16)*Percapita/30*FV$4))))))</f>
        <v>0</v>
      </c>
      <c r="FW106" s="177">
        <f>IF(C106=4,SUM(CG106+CG107+CG108+CI106+CI107+CI108)*Percapita/30*FW$4+(CH106+CH107+CH108+CJ106+CJ107+CJ108)*Cadeirante/30*FW$4,IF(C106=3,IF(CG109+CI109=10,Fixo/30*FW$4+(CG106+CG107+CG108+CI106+CI107+CI108)*Percapita/30*FW$4+(CH109+CJ109)*Cadeirante/30*FW$4,IF(CG109+CI109&lt;=9,(CG109+CI109)*Crechee/30*FW$4)+(CH109+CJ109)*Cadeirante/30*FW$4+(CG106+CG107+CG108+CI106+CI107+CI108)*Percapita/30*FW$4)+IF(CG109+CI109&gt;=11,Fixo/30*FW$4+(CG109+CI109-10)*Crechee/30*FW$4,0),IF(C106=2,IF(CH106+CH107+CH108+CH109+CJ106+CJ107+CJ108+CJ109=1,Cadeirante/30*FW$4,IF(CH106+CH107+CH108+CH109+CJ106+CJ107+CJ108+CJ109=2,Fixo/30*FW$4,IF(CH106+CH107+CH108+CH109+CJ106+CJ107+CJ108+CJ109&gt;2,Fixo/30*FW$4+(CH106+CH107+CH108+CH109+CJ106+CJ107+CJ108+CJ109-2)*Cadeirante/30*FW$4)))+(CG106+CG107+CG108+CI106+CI107+CI108)*Percapita/30*FW$4+(CG109+CI109)*Crechee/30*FW$4,IF(C106=1,IF(CG106+CG107+CG108+CH106+CH107+CH108+CI106+CI107+CI108+CJ106+CJ107+CJ108&lt;=15,(CG106+CG107+CG108+CI106+CI107+CI108)*Percapita/30*FW$4,IF(CG106+CG107+CG108+CH106+CH107+CH108+CI106+CI107+CI108+CJ106+CJ107+CJ108&gt;=16,Fixo/30*FW$4+(CG106+CG107+CG108+CH106+CH107+CH108+CI106+CI107+CI108+CJ106+CJ107-16)*Percapita/30*FW$4))))))</f>
        <v>0</v>
      </c>
      <c r="FX106" s="177">
        <f>IF(C106=4,SUM(CK106+CK107+CK108+CM106+CM107+CM108)*Percapita/30*FX$4+(CL106+CL107+CL108+CN106+CN107+CN108)*Cadeirante/30*FX$4,IF(C106=3,IF(CK109+CM109=10,Fixo/30*FX$4+(CK106+CK107+CK108+CM106+CM107+CM108)*Percapita/30*FX$4+(CL109+CN109)*Cadeirante/30*FX$4,IF(CK109+CM109&lt;=9,(CK109+CM109)*Crechee/30*FX$4)+(CL109+CN109)*Cadeirante/30*FX$4+(CK106+CK107+CK108+CM106+CM107+CM108)*Percapita/30*FX$4)+IF(CK109+CM109&gt;=11,Fixo/30*FX$4+(CK109+CM109-10)*Crechee/30*FX$4,0),IF(C106=2,IF(CL106+CL107+CL108+CL109+CN106+CN107+CN108+CN109=1,Cadeirante/30*FX$4,IF(CL106+CL107+CL108+CL109+CN106+CN107+CN108+CN109=2,Fixo/30*FX$4,IF(CL106+CL107+CL108+CL109+CN106+CN107+CN108+CN109&gt;2,Fixo/30*FX$4+(CL106+CL107+CL108+CL109+CN106+CN107+CN108+CN109-2)*Cadeirante/30*FX$4)))+(CK106+CK107+CK108+CM106+CM107+CM108)*Percapita/30*FX$4+(CK109+CM109)*Crechee/30*FX$4,IF(C106=1,IF(CK106+CK107+CK108+CL106+CL107+CL108+CM106+CM107+CM108+CN106+CN107+CN108&lt;=15,(CK106+CK107+CK108+CM106+CM107+CM108)*Percapita/30*FX$4,IF(CK106+CK107+CK108+CL106+CL107+CL108+CM106+CM107+CM108+CN106+CN107+CN108&gt;=16,Fixo/30*FX$4+(CK106+CK107+CK108+CL106+CL107+CL108+CM106+CM107+CM108+CN106+CN107-16)*Percapita/30*FX$4))))))</f>
        <v>0</v>
      </c>
      <c r="FY106" s="177">
        <f>IF(C106=4,SUM(CO106+CO107+CO108+CQ106+CQ107+CQ108)*Percapita/30*FY$4+(CP106+CP107+CP108+CR106+CR107+CR108)*Cadeirante/30*FY$4,IF(C106=3,IF(CO109+CQ109=10,Fixo/30*FY$4+(CO106+CO107+CO108+CQ106+CQ107+CQ108)*Percapita/30*FY$4+(CP109+CR109)*Cadeirante/30*FY$4,IF(CO109+CQ109&lt;=9,(CO109+CQ109)*Crechee/30*FY$4)+(CP109+CR109)*Cadeirante/30*FY$4+(CO106+CO107+CO108+CQ106+CQ107+CQ108)*Percapita/30*FY$4)+IF(CO109+CQ109&gt;=11,Fixo/30*FY$4+(CO109+CQ109-10)*Crechee/30*FY$4,0),IF(C106=2,IF(CP106+CP107+CP108+CP109+CR106+CR107+CR108+CR109=1,Cadeirante/30*FY$4,IF(CP106+CP107+CP108+CP109+CR106+CR107+CR108+CR109=2,Fixo/30*FY$4,IF(CP106+CP107+CP108+CP109+CR106+CR107+CR108+CR109&gt;2,Fixo/30*FY$4+(CP106+CP107+CP108+CP109+CR106+CR107+CR108+CR109-2)*Cadeirante/30*FY$4)))+(CO106+CO107+CO108+CQ106+CQ107+CQ108)*Percapita/30*FY$4+(CO109+CQ109)*Crechee/30*FY$4,IF(C106=1,IF(CO106+CO107+CO108+CP106+CP107+CP108+CQ106+CQ107+CQ108+CR106+CR107+CR108&lt;=15,(CO106+CO107+CO108+CQ106+CQ107+CQ108)*Percapita/30*FY$4,IF(CO106+CO107+CO108+CP106+CP107+CP108+CQ106+CQ107+CQ108+CR106+CR107+CR108&gt;=16,Fixo/30*FY$4+(CO106+CO107+CO108+CP106+CP107+CP108+CQ106+CQ107+CQ108+CR106+CR107-16)*Percapita/30*FY$4))))))</f>
        <v>0</v>
      </c>
      <c r="FZ106" s="177">
        <f>IF(C106=4,SUM(CS106+CS107+CS108+CU106+CU107+CU108)*Percapita/30*FZ$4+(CT106+CT107+CT108+CV106+CV107+CV108)*Cadeirante/30*FZ$4,IF(C106=3,IF(CS109+CU109=10,Fixo/30*FZ$4+(CS106+CS107+CS108+CU106+CU107+CU108)*Percapita/30*FZ$4+(CT109+CV109)*Cadeirante/30*FZ$4,IF(CS109+CU109&lt;=9,(CS109+CU109)*Crechee/30*FZ$4)+(CT109+CV109)*Cadeirante/30*FZ$4+(CS106+CS107+CS108+CU106+CU107+CU108)*Percapita/30*FZ$4)+IF(CS109+CU109&gt;=11,Fixo/30*FZ$4+(CS109+CU109-10)*Crechee/30*FZ$4,0),IF(C106=2,IF(CT106+CT107+CT108+CT109+CV106+CV107+CV108+CV109=1,Cadeirante/30*FZ$4,IF(CT106+CT107+CT108+CT109+CV106+CV107+CV108+CV109=2,Fixo/30*FZ$4,IF(CT106+CT107+CT108+CT109+CV106+CV107+CV108+CV109&gt;2,Fixo/30*FZ$4+(CT106+CT107+CT108+CT109+CV106+CV107+CV108+CV109-2)*Cadeirante/30*FZ$4)))+(CS106+CS107+CS108+CU106+CU107+CU108)*Percapita/30*FZ$4+(CS109+CU109)*Crechee/30*FZ$4,IF(C106=1,IF(CS106+CS107+CS108+CT106+CT107+CT108+CU106+CU107+CU108+CV106+CV107+CV108&lt;=15,(CS106+CS107+CS108+CU106+CU107+CU108)*Percapita/30*FZ$4,IF(CS106+CS107+CS108+CT106+CT107+CT108+CU106+CU107+CU108+CV106+CV107+CV108&gt;=16,Fixo/30*FZ$4+(CS106+CS107+CS108+CT106+CT107+CT108+CU106+CU107+CU108+CV106+CV107-16)*Percapita/30*FZ$4))))))</f>
        <v>0</v>
      </c>
      <c r="GA106" s="177">
        <f>IF(C106=4,SUM(CW106+CW107+CW108+CY106+CY107+CY108)*Percapita/30*GA$4+(CX106+CX107+CX108+CZ106+CZ107+CZ108)*Cadeirante/30*GA$4,IF(C106=3,IF(CW109+CY109=10,Fixo/30*GA$4+(CW106+CW107+CW108+CY106+CY107+CY108)*Percapita/30*GA$4+(CX109+CZ109)*Cadeirante/30*GA$4,IF(CW109+CY109&lt;=9,(CW109+CY109)*Crechee/30*GA$4)+(CX109+CZ109)*Cadeirante/30*GA$4+(CW106+CW107+CW108+CY106+CY107+CY108)*Percapita/30*GA$4)+IF(CW109+CY109&gt;=11,Fixo/30*GA$4+(CW109+CY109-10)*Crechee/30*GA$4,0),IF(C106=2,IF(CX106+CX107+CX108+CX109+CZ106+CZ107+CZ108+CZ109=1,Cadeirante/30*GA$4,IF(CX106+CX107+CX108+CX109+CZ106+CZ107+CZ108+CZ109=2,Fixo/30*GA$4,IF(CX106+CX107+CX108+CX109+CZ106+CZ107+CZ108+CZ109&gt;2,Fixo/30*GA$4+(CX106+CX107+CX108+CX109+CZ106+CZ107+CZ108+CZ109-2)*Cadeirante/30*GA$4)))+(CW106+CW107+CW108+CY106+CY107+CY108)*Percapita/30*GA$4+(CW109+CY109)*Crechee/30*GA$4,IF(C106=1,IF(CW106+CW107+CW108+CX106+CX107+CX108+CY106+CY107+CY108+CZ106+CZ107+CZ108&lt;=15,(CW106+CW107+CW108+CY106+CY107+CY108)*Percapita/30*GA$4,IF(CW106+CW107+CW108+CX106+CX107+CX108+CY106+CY107+CY108+CZ106+CZ107+CZ108&gt;=16,Fixo/30*GA$4+(CW106+CW107+CW108+CX106+CX107+CX108+CY106+CY107+CY108+CZ106+CZ107-16)*Percapita/30*GA$4))))))</f>
        <v>0</v>
      </c>
      <c r="GB106" s="177">
        <f>IF(C106=4,SUM(DA106+DA107+DA108+DC106+DC107+DC108)*Percapita/30*GB$4+(DB106+DB107+DB108+DD106+DD107+DD108)*Cadeirante/30*GB$4,IF(C106=3,IF(DA109+DC109=10,Fixo/30*GB$4+(DA106+DA107+DA108+DC106+DC107+DC108)*Percapita/30*GB$4+(DB109+DD109)*Cadeirante/30*GB$4,IF(DA109+DC109&lt;=9,(DA109+DC109)*Crechee/30*GB$4)+(DB109+DD109)*Cadeirante/30*GB$4+(DA106+DA107+DA108+DC106+DC107+DC108)*Percapita/30*GB$4)+IF(DA109+DC109&gt;=11,Fixo/30*GB$4+(DA109+DC109-10)*Crechee/30*GB$4,0),IF(C106=2,IF(DB106+DB107+DB108+DB109+DD106+DD107+DD108+DD109=1,Cadeirante/30*GB$4,IF(DB106+DB107+DB108+DB109+DD106+DD107+DD108+DD109=2,Fixo/30*GB$4,IF(DB106+DB107+DB108+DB109+DD106+DD107+DD108+DD109&gt;2,Fixo/30*GB$4+(DB106+DB107+DB108+DB109+DD106+DD107+DD108+DD109-2)*Cadeirante/30*GB$4)))+(DA106+DA107+DA108+DC106+DC107+DC108)*Percapita/30*GB$4+(DA109+DC109)*Crechee/30*GB$4,IF(C106=1,IF(DA106+DA107+DA108+DB106+DB107+DB108+DC106+DC107+DC108+DD106+DD107+DD108&lt;=15,(DA106+DA107+DA108+DC106+DC107+DC108)*Percapita/30*GB$4,IF(DA106+DA107+DA108+DB106+DB107+DB108+DC106+DC107+DC108+DD106+DD107+DD108&gt;=16,Fixo/30*GB$4+(DA106+DA107+DA108+DB106+DB107+DB108+DC106+DC107+DC108+DD106+DD107-16)*Percapita/30*GB$4))))))</f>
        <v>0</v>
      </c>
      <c r="GC106" s="177">
        <f>IF(C106=4,SUM(DE106+DE107+DE108+DG106+DG107+DG108)*Percapita/30*GC$4+(DF106+DF107+DF108+DH106+DH107+DH108)*Cadeirante/30*GC$4,IF(C106=3,IF(DE109+DG109=10,Fixo/30*GC$4+(DE106+DE107+DE108+DG106+DG107+DG108)*Percapita/30*GC$4+(DF109+DH109)*Cadeirante/30*GC$4,IF(DE109+DG109&lt;=9,(DE109+DG109)*Crechee/30*GC$4)+(DF109+DH109)*Cadeirante/30*GC$4+(DE106+DE107+DE108+DG106+DG107+DG108)*Percapita/30*GC$4)+IF(DE109+DG109&gt;=11,Fixo/30*GC$4+(DE109+DG109-10)*Crechee/30*GC$4,0),IF(C106=2,IF(DF106+DF107+DF108+DF109+DH106+DH107+DH108+DH109=1,Cadeirante/30*GC$4,IF(DF106+DF107+DF108+DF109+DH106+DH107+DH108+DH109=2,Fixo/30*GC$4,IF(DF106+DF107+DF108+DF109+DH106+DH107+DH108+DH109&gt;2,Fixo/30*GC$4+(DF106+DF107+DF108+DF109+DH106+DH107+DH108+DH109-2)*Cadeirante/30*GC$4)))+(DE106+DE107+DE108+DG106+DG107+DG108)*Percapita/30*GC$4+(DE109+DG109)*Crechee/30*GC$4,IF(C106=1,IF(DE106+DE107+DE108+DF106+DF107+DF108+DG106+DG107+DG108+DH106+DH107+DH108&lt;=15,(DE106+DE107+DE108+DG106+DG107+DG108)*Percapita/30*GC$4,IF(DE106+DE107+DE108+DF106+DF107+DF108+DG106+DG107+DG108+DH106+DH107+DH108&gt;=16,Fixo/30*GC$4+(DE106+DE107+DE108+DF106+DF107+DF108+DG106+DG107+DG108+DH106+DH107-16)*Percapita/30*GC$4))))))</f>
        <v>0</v>
      </c>
      <c r="GD106" s="177">
        <f>IF(C106=4,SUM(DI106+DI107+DI108+DK106+DK107+DK108)*Percapita/30*GD$4+(DJ106+DJ107+DJ108+DL106+DL107+DL108)*Cadeirante/30*GD$4,IF(C106=3,IF(DI109+DK109=10,Fixo/30*GD$4+(DI106+DI107+DI108+DK106+DK107+DK108)*Percapita/30*GD$4+(DJ109+DL109)*Cadeirante/30*GD$4,IF(DI109+DK109&lt;=9,(DI109+DK109)*Crechee/30*GD$4)+(DJ109+DL109)*Cadeirante/30*GD$4+(DI106+DI107+DI108+DK106+DK107+DK108)*Percapita/30*GD$4)+IF(DI109+DK109&gt;=11,Fixo/30*GD$4+(DI109+DK109-10)*Crechee/30*GD$4,0),IF(C106=2,IF(DJ106+DJ107+DJ108+DJ109+DL106+DL107+DL108+DL109=1,Cadeirante/30*GD$4,IF(DJ106+DJ107+DJ108+DJ109+DL106+DL107+DL108+DL109=2,Fixo/30*GD$4,IF(DJ106+DJ107+DJ108+DJ109+DL106+DL107+DL108+DL109&gt;2,Fixo/30*GD$4+(DJ106+DJ107+DJ108+DJ109+DL106+DL107+DL108+DL109-2)*Cadeirante/30*GD$4)))+(DI106+DI107+DI108+DK106+DK107+DK108)*Percapita/30*GD$4+(DI109+DK109)*Crechee/30*GD$4,IF(C106=1,IF(DI106+DI107+DI108+DJ106+DJ107+DJ108+DK106+DK107+DK108+DL106+DL107+DL108&lt;=15,(DI106+DI107+DI108+DK106+DK107+DK108)*Percapita/30*GD$4,IF(DI106+DI107+DI108+DJ106+DJ107+DJ108+DK106+DK107+DK108+DL106+DL107+DL108&gt;=16,Fixo/30*GD$4+(DI106+DI107+DI108+DJ106+DJ107+DJ108+DK106+DK107+DK108+DL106+DL107-16)*Percapita/30*GD$4))))))</f>
        <v>0</v>
      </c>
      <c r="GE106" s="177">
        <f>IF(C106=4,SUM(DM106+DM107+DM108+DO106+DO107+DO108)*Percapita/30*GE$4+(DN106+DN107+DN108+DP106+DP107+DP108)*Cadeirante/30*GE$4,IF(C106=3,IF(DM109+DO109=10,Fixo/30*GE$4+(DM106+DM107+DM108+DO106+DO107+DO108)*Percapita/30*GE$4+(DN109+DP109)*Cadeirante/30*GE$4,IF(DM109+DO109&lt;=9,(DM109+DO109)*Crechee/30*GE$4)+(DN109+DP109)*Cadeirante/30*GE$4+(DM106+DM107+DM108+DO106+DO107+DO108)*Percapita/30*GE$4)+IF(DM109+DO109&gt;=11,Fixo/30*GE$4+(DM109+DO109-10)*Crechee/30*GE$4,0),IF(C106=2,IF(DN106+DN107+DN108+DN109+DP106+DP107+DP108+DP109=1,Cadeirante/30*GE$4,IF(DN106+DN107+DN108+DN109+DP106+DP107+DP108+DP109=2,Fixo/30*GE$4,IF(DN106+DN107+DN108+DN109+DP106+DP107+DP108+DP109&gt;2,Fixo/30*GE$4+(DN106+DN107+DN108+DN109+DP106+DP107+DP108+DP109-2)*Cadeirante/30*GE$4)))+(DM106+DM107+DM108+DO106+DO107+DO108)*Percapita/30*GE$4+(DM109+DO109)*Crechee/30*GE$4,IF(C106=1,IF(DM106+DM107+DM108+DN106+DN107+DN108+DO106+DO107+DO108+DP106+DP107+DP108&lt;=15,(DM106+DM107+DM108+DO106+DO107+DO108)*Percapita/30*GE$4,IF(DM106+DM107+DM108+DN106+DN107+DN108+DO106+DO107+DO108+DP106+DP107+DP108&gt;=16,Fixo/30*GE$4+(DM106+DM107+DM108+DN106+DN107+DN108+DO106+DO107+DO108+DP106+DP107-16)*Percapita/30*GE$4))))))</f>
        <v>0</v>
      </c>
      <c r="GF106" s="177">
        <f>IF(C106=4,SUM(DQ106+DQ107+DQ108+DS106+DS107+DS108)*Percapita/30*GF$4+(DR106+DR107+DR108+DT106+DT107+DT108)*Cadeirante/30*GF$4,IF(C106=3,IF(DQ109+DS109=10,Fixo/30*GF$4+(DQ106+DQ107+DQ108+DS106+DS107+DS108)*Percapita/30*GF$4+(DR109+DT109)*Cadeirante/30*GF$4,IF(DQ109+DS109&lt;=9,(DQ109+DS109)*Crechee/30*GF$4)+(DR109+DT109)*Cadeirante/30*GF$4+(DQ106+DQ107+DQ108+DS106+DS107+DS108)*Percapita/30*GF$4)+IF(DQ109+DS109&gt;=11,Fixo/30*GF$4+(DQ109+DS109-10)*Crechee/30*GF$4,0),IF(C106=2,IF(DR106+DR107+DR108+DR109+DT106+DT107+DT108+DT109=1,Cadeirante/30*GF$4,IF(DR106+DR107+DR108+DR109+DT106+DT107+DT108+DT109=2,Fixo/30*GF$4,IF(DR106+DR107+DR108+DR109+DT106+DT107+DT108+DT109&gt;2,Fixo/30*GF$4+(DR106+DR107+DR108+DR109+DT106+DT107+DT108+DT109-2)*Cadeirante/30*GF$4)))+(DQ106+DQ107+DQ108+DS106+DS107+DS108)*Percapita/30*GF$4+(DQ109+DS109)*Crechee/30*GF$4,IF(C106=1,IF(DQ106+DQ107+DQ108+DR106+DR107+DR108+DS106+DS107+DS108+DT106+DT107+DT108&lt;=15,(DQ106+DQ107+DQ108+DS106+DS107+DS108)*Percapita/30*GF$4,IF(DQ106+DQ107+DQ108+DR106+DR107+DR108+DS106+DS107+DS108+DT106+DT107+DT108&gt;=16,Fixo/30*GF$4+(DQ106+DQ107+DQ108+DR106+DR107+DR108+DS106+DS107+DS108+DT106+DT107-16)*Percapita/30*GF$4))))))</f>
        <v>0</v>
      </c>
      <c r="GG106" s="177">
        <f>IF(C106=4,SUM(DU106+DU107+DU108+DW106+DW107+DW108)*Percapita/30*GG$4+(DV106+DV107+DV108+DX106+DX107+DX108)*Cadeirante/30*GG$4,IF(C106=3,IF(DU109+DW109=10,Fixo/30*GG$4+(DU106+DU107+DU108+DW106+DW107+DW108)*Percapita/30*GG$4+(DV109+DX109)*Cadeirante/30*GG$4,IF(DU109+DW109&lt;=9,(DU109+DW109)*Crechee/30*GG$4)+(DV109+DX109)*Cadeirante/30*GG$4+(DU106+DU107+DU108+DW106+DW107+DW108)*Percapita/30*GG$4)+IF(DU109+DW109&gt;=11,Fixo/30*GG$4+(DU109+DW109-10)*Crechee/30*GG$4,0),IF(C106=2,IF(DV106+DV107+DV108+DV109+DX106+DX107+DX108+DX109=1,Cadeirante/30*GG$4,IF(DV106+DV107+DV108+DV109+DX106+DX107+DX108+DX109=2,Fixo/30*GG$4,IF(DV106+DV107+DV108+DV109+DX106+DX107+DX108+DX109&gt;2,Fixo/30*GG$4+(DV106+DV107+DV108+DV109+DX106+DX107+DX108+DX109-2)*Cadeirante/30*GG$4)))+(DU106+DU107+DU108+DW106+DW107+DW108)*Percapita/30*GG$4+(DU109+DW109)*Crechee/30*GG$4,IF(C106=1,IF(DU106+DU107+DU108+DV106+DV107+DV108+DW106+DW107+DW108+DX106+DX107+DX108&lt;=15,(DU106+DU107+DU108+DW106+DW107+DW108)*Percapita/30*GG$4,IF(DU106+DU107+DU108+DV106+DV107+DV108+DW106+DW107+DW108+DX106+DX107+DX108&gt;=16,Fixo/30*GG$4+(DU106+DU107+DU108+DV106+DV107+DV108+DW106+DW107+DW108+DX106+DX107-16)*Percapita/30*GG$4))))))</f>
        <v>0</v>
      </c>
      <c r="GH106" s="177">
        <f>IF(C106=4,SUM(DY106+DY107+DY108+EA106+EA107+EA108)*Percapita/30*GH$4+(DZ106+DZ107+DZ108+EB106+EB107+EB108)*Cadeirante/30*GH$4,IF(C106=3,IF(DY109+EA109=10,Fixo/30*GH$4+(DY106+DY107+DY108+EA106+EA107+EA108)*Percapita/30*GH$4+(DZ109+EB109)*Cadeirante/30*GH$4,IF(DY109+EA109&lt;=9,(DY109+EA109)*Crechee/30*GH$4)+(DZ109+EB109)*Cadeirante/30*GH$4+(DY106+DY107+DY108+EA106+EA107+EA108)*Percapita/30*GH$4)+IF(DY109+EA109&gt;=11,Fixo/30*GH$4+(DY109+EA109-10)*Crechee/30*GH$4,0),IF(C106=2,IF(DZ106+DZ107+DZ108+DZ109+EB106+EB107+EB108+EB109=1,Cadeirante/30*GH$4,IF(DZ106+DZ107+DZ108+DZ109+EB106+EB107+EB108+EB109=2,Fixo/30*GH$4,IF(DZ106+DZ107+DZ108+DZ109+EB106+EB107+EB108+EB109&gt;2,Fixo/30*GH$4+(DZ106+DZ107+DZ108+DZ109+EB106+EB107+EB108+EB109-2)*Cadeirante/30*GH$4)))+(DY106+DY107+DY108+EA106+EA107+EA108)*Percapita/30*GH$4+(DY109+EA109)*Crechee/30*GH$4,IF(C106=1,IF(DY106+DY107+DY108+DZ106+DZ107+DZ108+EA106+EA107+EA108+EB106+EB107+EB108&lt;=15,(DY106+DY107+DY108+EA106+EA107+EA108)*Percapita/30*GH$4,IF(DY106+DY107+DY108+DZ106+DZ107+DZ108+EA106+EA107+EA108+EB106+EB107+EB108&gt;=16,Fixo/30*GH$4+(DY106+DY107+DY108+DZ106+DZ107+DZ108+EA106+EA107+EA108+EB106+EB107-16)*Percapita/30*GH$4))))))</f>
        <v>0</v>
      </c>
      <c r="GI106" s="177">
        <f>IF(C106=4,SUM(EC106+EC107+EC108+EE106+EE107+EE108)*Percapita/30*GI$4+(ED106+ED107+ED108+EF106+EF107+EF108)*Cadeirante/30*GI$4,IF(C106=3,IF(EC109+EE109=10,Fixo/30*GI$4+(EC106+EC107+EC108+EE106+EE107+EE108)*Percapita/30*GI$4+(ED109+EF109)*Cadeirante/30*GI$4,IF(EC109+EE109&lt;=9,(EC109+EE109)*Crechee/30*GI$4)+(ED109+EF109)*Cadeirante/30*GI$4+(EC106+EC107+EC108+EE106+EE107+EE108)*Percapita/30*GI$4)+IF(EC109+EE109&gt;=11,Fixo/30*GI$4+(EC109+EE109-10)*Crechee/30*GI$4,0),IF(C106=2,IF(ED106+ED107+ED108+ED109+EF106+EF107+EF108+EF109=1,Cadeirante/30*GI$4,IF(ED106+ED107+ED108+ED109+EF106+EF107+EF108+EF109=2,Fixo/30*GI$4,IF(ED106+ED107+ED108+ED109+EF106+EF107+EF108+EF109&gt;2,Fixo/30*GI$4+(ED106+ED107+ED108+ED109+EF106+EF107+EF108+EF109-2)*Cadeirante/30*GI$4)))+(EC106+EC107+EC108+EE106+EE107+EE108)*Percapita/30*GI$4+(EC109+EE109)*Crechee/30*GI$4,IF(C106=1,IF(EC106+EC107+EC108+ED106+ED107+ED108+EE106+EE107+EE108+EF106+EF107+EF108&lt;=15,(EC106+EC107+EC108+EE106+EE107+EE108)*Percapita/30*GI$4,IF(EC106+EC107+EC108+ED106+ED107+ED108+EE106+EE107+EE108+EF106+EF107+EF108&gt;=16,Fixo/30*GI$4+(EC106+EC107+EC108+ED106+ED107+ED108+EE106+EE107+EE108+EF106+EF107-16)*Percapita/30*GI$4))))))</f>
        <v>0</v>
      </c>
      <c r="GJ106" s="177">
        <f>IF(C106=4,SUM(EG106+EG107+EG108+EI106+EI107+EI108)*Percapita/30*GJ$4+(EH106+EH107+EH108+EJ106+EJ107+EJ108)*Cadeirante/30*GJ$4,IF(C106=3,IF(EG109+EI109=10,Fixo/30*GJ$4+(EG106+EG107+EG108+EI106+EI107+EI108)*Percapita/30*GJ$4+(EH109+EJ109)*Cadeirante/30*GJ$4,IF(EG109+EI109&lt;=9,(EG109+EI109)*Crechee/30*GJ$4)+(EH109+EJ109)*Cadeirante/30*GJ$4+(EG106+EG107+EG108+EI106+EI107+EI108)*Percapita/30*GJ$4)+IF(EG109+EI109&gt;=11,Fixo/30*GJ$4+(EG109+EI109-10)*Crechee/30*GJ$4,0),IF(C106=2,IF(EH106+EH107+EH108+EH109+EJ106+EJ107+EJ108+EJ109=1,Cadeirante/30*GJ$4,IF(EH106+EH107+EH108+EH109+EJ106+EJ107+EJ108+EJ109=2,Fixo/30*GJ$4,IF(EH106+EH107+EH108+EH109+EJ106+EJ107+EJ108+EJ109&gt;2,Fixo/30*GJ$4+(EH106+EH107+EH108+EH109+EJ106+EJ107+EJ108+EJ109-2)*Cadeirante/30*GJ$4)))+(EG106+EG107+EG108+EI106+EI107+EI108)*Percapita/30*GJ$4+(EG109+EI109)*Crechee/30*GJ$4,IF(C106=1,IF(EG106+EG107+EG108+EH106+EH107+EH108+EI106+EI107+EI108+EJ106+EJ107+EJ108&lt;=15,(EG106+EG107+EG108+EI106+EI107+EI108)*Percapita/30*GJ$4,IF(EG106+EG107+EG108+EH106+EH107+EH108+EI106+EI107+EI108+EJ106+EJ107+EJ108&gt;=16,Fixo/30*GJ$4+(EG106+EG107+EG108+EH106+EH107+EH108+EI106+EI107+EI108+EJ106+EJ107-16)*Percapita/30*GJ$4))))))</f>
        <v>0</v>
      </c>
      <c r="GK106" s="178"/>
      <c r="GL106" s="103">
        <f t="shared" si="102"/>
        <v>0</v>
      </c>
      <c r="GM106" s="124"/>
      <c r="GN106" s="104">
        <f>SUMIF(V106:V109,"&lt;0")*Cadeirante/30*GN$4+SUMIF(X106:X109,"&lt;0")*Cadeirante/30*GN$4</f>
        <v>0</v>
      </c>
      <c r="GO106" s="104">
        <f>SUMIF(Z106:Z109,"&lt;0")*Cadeirante/30*GO$4+SUMIF(AB106:AB109,"&lt;0")*Cadeirante/30*GO$4</f>
        <v>0</v>
      </c>
      <c r="GP106" s="104">
        <f>SUMIF(AD106:AD109,"&lt;0")*Cadeirante/30*GP$4+SUMIF(AF106:AF109,"&lt;0")*Cadeirante/30*GP$4</f>
        <v>0</v>
      </c>
      <c r="GQ106" s="104">
        <f>SUMIF(AH106:AH109,"&lt;0")*Cadeirante/30*GQ$4+SUMIF(AJ106:AJ109,"&lt;0")*Cadeirante/30*GQ$4</f>
        <v>0</v>
      </c>
      <c r="GR106" s="104">
        <f>SUMIF(AL106:AL109,"&lt;0")*Cadeirante/30*GR$4+SUMIF(AN106:AN109,"&lt;0")*Cadeirante/30*GR$4</f>
        <v>0</v>
      </c>
      <c r="GS106" s="104">
        <f>SUMIF(AP106:AP109,"&lt;0")*Cadeirante/30*GS$4+SUMIF(AR106:AR109,"&lt;0")*Cadeirante/30*GS$4</f>
        <v>0</v>
      </c>
      <c r="GT106" s="104">
        <f>SUMIF(AT106:AT109,"&lt;0")*Cadeirante/30*GT$4+SUMIF(AV106:AV109,"&lt;0")*Cadeirante/30*GT$4</f>
        <v>0</v>
      </c>
      <c r="GU106" s="104">
        <f>SUMIF(AX106:AX109,"&lt;0")*Cadeirante/30*GU$4+SUMIF(AZ106:AZ109,"&lt;0")*Cadeirante/30*GU$4</f>
        <v>0</v>
      </c>
      <c r="GV106" s="104">
        <f>SUMIF(BB106:BB109,"&lt;0")*Cadeirante/30*GV$4+SUMIF(BD106:BD109,"&lt;0")*Cadeirante/30*GV$4</f>
        <v>0</v>
      </c>
      <c r="GW106" s="104">
        <f>SUMIF(BF106:BF109,"&lt;0")*Cadeirante/30*GW$4+SUMIF(BH106:BH109,"&lt;0")*Cadeirante/30*GW$4</f>
        <v>0</v>
      </c>
      <c r="GX106" s="104">
        <f>SUMIF(BJ106:BJ109,"&lt;0")*Cadeirante/30*GX$4+SUMIF(BL106:BL109,"&lt;0")*Cadeirante/30*GX$4</f>
        <v>0</v>
      </c>
      <c r="GY106" s="104">
        <f>SUMIF(BN106:BN109,"&lt;0")*Cadeirante/30*GY$4+SUMIF(BP106:BP109,"&lt;0")*Cadeirante/30*GY$4</f>
        <v>0</v>
      </c>
      <c r="GZ106" s="104">
        <f>SUMIF(BR106:BR109,"&lt;0")*Cadeirante/30*GZ$4+SUMIF(BT106:BT109,"&lt;0")*Cadeirante/30*GZ$4</f>
        <v>0</v>
      </c>
      <c r="HA106" s="104">
        <f>SUMIF(BV106:BV109,"&lt;0")*Cadeirante/30*HA$4+SUMIF(BX106:BX109,"&lt;0")*Cadeirante/30*HA$4</f>
        <v>0</v>
      </c>
      <c r="HB106" s="104">
        <f>SUMIF(BZ106:BZ109,"&lt;0")*Cadeirante/30*HB$4+SUMIF(CB106:CB109,"&lt;0")*Cadeirante/30*HB$4</f>
        <v>0</v>
      </c>
      <c r="HC106" s="104">
        <f>SUMIF(CD106:CD109,"&lt;0")*Cadeirante/30*HC$4+SUMIF(CF106:CF109,"&lt;0")*Cadeirante/30*HC$4</f>
        <v>0</v>
      </c>
      <c r="HD106" s="104">
        <f>SUMIF(CH106:CH109,"&lt;0")*Cadeirante/30*HD$4+SUMIF(CJ106:CJ109,"&lt;0")*Cadeirante/30*HD$4</f>
        <v>0</v>
      </c>
      <c r="HE106" s="104">
        <f>SUMIF(CL106:CL109,"&lt;0")*Cadeirante/30*HE$4+SUMIF(CN106:CN109,"&lt;0")*Cadeirante/30*HE$4</f>
        <v>0</v>
      </c>
      <c r="HF106" s="104">
        <f>SUMIF(CP106:CP109,"&lt;0")*Cadeirante/30*HF$4+SUMIF(CR106:CR109,"&lt;0")*Cadeirante/30*HF$4</f>
        <v>0</v>
      </c>
      <c r="HG106" s="104">
        <f>SUMIF(CT106:CT109,"&lt;0")*Cadeirante/30*HG$4+SUMIF(CV106:CV109,"&lt;0")*Cadeirante/30*HG$4</f>
        <v>0</v>
      </c>
      <c r="HH106" s="104">
        <f>SUMIF(CX106:CX109,"&lt;0")*Cadeirante/30*HH$4+SUMIF(CZ106:CZ109,"&lt;0")*Cadeirante/30*HH$4</f>
        <v>0</v>
      </c>
      <c r="HI106" s="104">
        <f>SUMIF(DB106:DB109,"&lt;0")*Cadeirante/30*HI$4+SUMIF(DD106:DD109,"&lt;0")*Cadeirante/30*HI$4</f>
        <v>0</v>
      </c>
      <c r="HJ106" s="104">
        <f>SUMIF(DF106:DF109,"&lt;0")*Cadeirante/30*HJ$4+SUMIF(DH106:DH109,"&lt;0")*Cadeirante/30*HJ$4</f>
        <v>0</v>
      </c>
      <c r="HK106" s="104">
        <f>SUMIF(DJ106:DJ109,"&lt;0")*Cadeirante/30*HK$4+SUMIF(DL106:DL109,"&lt;0")*Cadeirante/30*HK$4</f>
        <v>0</v>
      </c>
      <c r="HL106" s="104">
        <f>SUMIF(DN106:DN109,"&lt;0")*Cadeirante/30*HL$4+SUMIF(DP106:DP109,"&lt;0")*Cadeirante/30*HL$4</f>
        <v>0</v>
      </c>
      <c r="HM106" s="104">
        <f>SUMIF(DR106:DR109,"&lt;0")*Cadeirante/30*HM$4+SUMIF(DT106:DT109,"&lt;0")*Cadeirante/30*HM$4</f>
        <v>0</v>
      </c>
      <c r="HN106" s="104">
        <f>SUMIF(DV106:DV109,"&lt;0")*Cadeirante/30*HN$4+SUMIF(DX106:DX109,"&lt;0")*Cadeirante/30*HN$4</f>
        <v>0</v>
      </c>
      <c r="HO106" s="104">
        <f>SUMIF(DZ106:DZ109,"&lt;0")*Cadeirante/30*HO$4+SUMIF(EB106:EB109,"&lt;0")*Cadeirante/30*HO$4</f>
        <v>0</v>
      </c>
      <c r="HP106" s="104">
        <f>SUMIF(ED106:ED109,"&lt;0")*Cadeirante/30*HP$4+SUMIF(EF106:EF109,"&lt;0")*Cadeirante/30*HP$4</f>
        <v>0</v>
      </c>
      <c r="HQ106" s="64"/>
      <c r="HR106" s="64"/>
      <c r="HS106" s="64"/>
      <c r="HT106" s="64"/>
      <c r="HU106" s="64"/>
      <c r="HV106" s="64"/>
      <c r="HW106" s="176">
        <v>17629.309999999998</v>
      </c>
      <c r="HX106" s="64"/>
      <c r="HY106" s="280">
        <f>IF(ISTEXT(EM106), VALUE(EM106), EM106)</f>
        <v>0</v>
      </c>
      <c r="HZ106" s="280">
        <f>IF(ISTEXT(EN106), VALUE(EN106), EN106)</f>
        <v>0</v>
      </c>
      <c r="IA106" s="280">
        <f>IF(ISTEXT(EO106), VALUE(EO106), EO106)</f>
        <v>0</v>
      </c>
      <c r="IB106" s="64" t="b">
        <f>HW106=FE106</f>
        <v>0</v>
      </c>
      <c r="IC106" s="64"/>
    </row>
    <row r="107" spans="1:237" s="106" customFormat="1" ht="22.5" customHeight="1" x14ac:dyDescent="0.25">
      <c r="A107" s="368" t="s">
        <v>3270</v>
      </c>
      <c r="B107" s="369" t="s">
        <v>3271</v>
      </c>
      <c r="C107" s="370" t="s">
        <v>3186</v>
      </c>
      <c r="D107" s="371" t="s">
        <v>3272</v>
      </c>
      <c r="E107" s="371" t="s">
        <v>3273</v>
      </c>
      <c r="F107" s="372" t="s">
        <v>3182</v>
      </c>
      <c r="G107" s="372" t="s">
        <v>3183</v>
      </c>
      <c r="H107" s="373" t="s">
        <v>361</v>
      </c>
      <c r="I107" s="374" t="s">
        <v>361</v>
      </c>
      <c r="J107" s="421" t="s">
        <v>3184</v>
      </c>
      <c r="K107" s="421" t="s">
        <v>3187</v>
      </c>
      <c r="L107" s="329">
        <f>CONTINUA!BV107</f>
        <v>32</v>
      </c>
      <c r="M107" s="329">
        <f>CONTINUA!BW107</f>
        <v>0</v>
      </c>
      <c r="N107" s="895"/>
      <c r="O107" s="896" t="s">
        <v>3294</v>
      </c>
      <c r="P107" s="897">
        <v>0</v>
      </c>
      <c r="Q107" s="400">
        <v>48</v>
      </c>
      <c r="R107" s="401"/>
      <c r="S107" s="400"/>
      <c r="T107" s="401"/>
      <c r="U107" s="400"/>
      <c r="V107" s="401"/>
      <c r="W107" s="400"/>
      <c r="X107" s="401"/>
      <c r="Y107" s="400"/>
      <c r="Z107" s="401"/>
      <c r="AA107" s="400"/>
      <c r="AB107" s="401"/>
      <c r="AC107" s="400"/>
      <c r="AD107" s="401"/>
      <c r="AE107" s="400"/>
      <c r="AF107" s="401"/>
      <c r="AG107" s="400"/>
      <c r="AH107" s="401"/>
      <c r="AI107" s="400"/>
      <c r="AJ107" s="401"/>
      <c r="AK107" s="400"/>
      <c r="AL107" s="401"/>
      <c r="AM107" s="400"/>
      <c r="AN107" s="401"/>
      <c r="AO107" s="400"/>
      <c r="AP107" s="401"/>
      <c r="AQ107" s="400"/>
      <c r="AR107" s="401"/>
      <c r="AS107" s="400"/>
      <c r="AT107" s="401"/>
      <c r="AU107" s="400"/>
      <c r="AV107" s="401"/>
      <c r="AW107" s="400"/>
      <c r="AX107" s="401"/>
      <c r="AY107" s="400"/>
      <c r="AZ107" s="401"/>
      <c r="BA107" s="400"/>
      <c r="BB107" s="401"/>
      <c r="BC107" s="400"/>
      <c r="BD107" s="401"/>
      <c r="BE107" s="400"/>
      <c r="BF107" s="401"/>
      <c r="BG107" s="400"/>
      <c r="BH107" s="401"/>
      <c r="BI107" s="400"/>
      <c r="BJ107" s="401"/>
      <c r="BK107" s="400"/>
      <c r="BL107" s="401"/>
      <c r="BM107" s="400"/>
      <c r="BN107" s="401"/>
      <c r="BO107" s="400"/>
      <c r="BP107" s="401"/>
      <c r="BQ107" s="400"/>
      <c r="BR107" s="401"/>
      <c r="BS107" s="400"/>
      <c r="BT107" s="401"/>
      <c r="BU107" s="400"/>
      <c r="BV107" s="401"/>
      <c r="BW107" s="400"/>
      <c r="BX107" s="401"/>
      <c r="BY107" s="400"/>
      <c r="BZ107" s="401"/>
      <c r="CA107" s="400"/>
      <c r="CB107" s="401"/>
      <c r="CC107" s="400"/>
      <c r="CD107" s="401"/>
      <c r="CE107" s="400"/>
      <c r="CF107" s="401"/>
      <c r="CG107" s="400"/>
      <c r="CH107" s="401"/>
      <c r="CI107" s="400"/>
      <c r="CJ107" s="401"/>
      <c r="CK107" s="400"/>
      <c r="CL107" s="401"/>
      <c r="CM107" s="400"/>
      <c r="CN107" s="401"/>
      <c r="CO107" s="400"/>
      <c r="CP107" s="401"/>
      <c r="CQ107" s="400"/>
      <c r="CR107" s="401"/>
      <c r="CS107" s="400"/>
      <c r="CT107" s="401"/>
      <c r="CU107" s="400"/>
      <c r="CV107" s="401"/>
      <c r="CW107" s="400"/>
      <c r="CX107" s="401"/>
      <c r="CY107" s="400"/>
      <c r="CZ107" s="401"/>
      <c r="DA107" s="400"/>
      <c r="DB107" s="401"/>
      <c r="DC107" s="400"/>
      <c r="DD107" s="401"/>
      <c r="DE107" s="400"/>
      <c r="DF107" s="401"/>
      <c r="DG107" s="400"/>
      <c r="DH107" s="401"/>
      <c r="DI107" s="400"/>
      <c r="DJ107" s="401"/>
      <c r="DK107" s="400"/>
      <c r="DL107" s="401"/>
      <c r="DM107" s="400"/>
      <c r="DN107" s="401"/>
      <c r="DO107" s="400"/>
      <c r="DP107" s="401"/>
      <c r="DQ107" s="400"/>
      <c r="DR107" s="401"/>
      <c r="DS107" s="400"/>
      <c r="DT107" s="401"/>
      <c r="DU107" s="400"/>
      <c r="DV107" s="401"/>
      <c r="DW107" s="400"/>
      <c r="DX107" s="401"/>
      <c r="DY107" s="400"/>
      <c r="DZ107" s="401"/>
      <c r="EA107" s="400"/>
      <c r="EB107" s="401"/>
      <c r="EC107" s="400"/>
      <c r="ED107" s="401"/>
      <c r="EE107" s="400"/>
      <c r="EF107" s="401"/>
      <c r="EG107" s="400"/>
      <c r="EH107" s="401"/>
      <c r="EI107" s="400"/>
      <c r="EJ107" s="447"/>
      <c r="EK107" s="511"/>
      <c r="EL107" s="514"/>
      <c r="EM107" s="448"/>
      <c r="EN107" s="344"/>
      <c r="EO107" s="345"/>
      <c r="EP107" s="171">
        <f t="shared" si="95"/>
        <v>48</v>
      </c>
      <c r="EQ107" s="171">
        <f t="shared" si="96"/>
        <v>0</v>
      </c>
      <c r="ER107" s="171">
        <f t="shared" si="97"/>
        <v>0</v>
      </c>
      <c r="ES107" s="171">
        <f t="shared" si="98"/>
        <v>0</v>
      </c>
      <c r="ET107" s="171">
        <f t="shared" si="99"/>
        <v>0</v>
      </c>
      <c r="EU107" s="171">
        <f t="shared" si="100"/>
        <v>0</v>
      </c>
      <c r="EV107" s="172">
        <f t="shared" si="101"/>
        <v>48</v>
      </c>
      <c r="EW107" s="173"/>
      <c r="EX107" s="248">
        <f t="shared" si="133"/>
        <v>0</v>
      </c>
      <c r="EY107" s="174">
        <f>(L107*regular)+(M107*Cadeirantee)</f>
        <v>308.48</v>
      </c>
      <c r="EZ107" s="249">
        <f>SUMIF(FG107:GJ107,"&gt;0")</f>
        <v>0</v>
      </c>
      <c r="FA107" s="249">
        <f>SUMIF(FG107:GJ107,"&lt;0")+SUMIF(GN107:HP107,"&lt;0")</f>
        <v>0</v>
      </c>
      <c r="FB107" s="174">
        <v>0</v>
      </c>
      <c r="FC107" s="126">
        <f>N107*km*'VALORES TABELA'!$B$13</f>
        <v>0</v>
      </c>
      <c r="FD107" s="250">
        <f t="shared" ref="FD107:FD110" si="134">GL107</f>
        <v>0</v>
      </c>
      <c r="FE107" s="105"/>
      <c r="FF107" s="119"/>
      <c r="FG107" s="119"/>
      <c r="FH107" s="119"/>
      <c r="FI107" s="119"/>
      <c r="FJ107" s="119"/>
      <c r="FK107" s="119"/>
      <c r="FL107" s="119"/>
      <c r="FM107" s="119"/>
      <c r="FN107" s="119"/>
      <c r="FO107" s="119"/>
      <c r="FP107" s="119"/>
      <c r="FQ107" s="119"/>
      <c r="FR107" s="119"/>
      <c r="FS107" s="119"/>
      <c r="FT107" s="119"/>
      <c r="FU107" s="119"/>
      <c r="FV107" s="119"/>
      <c r="FW107" s="119"/>
      <c r="FX107" s="119"/>
      <c r="FY107" s="119"/>
      <c r="FZ107" s="119"/>
      <c r="GA107" s="119"/>
      <c r="GB107" s="119"/>
      <c r="GC107" s="119"/>
      <c r="GD107" s="119"/>
      <c r="GE107" s="119"/>
      <c r="GF107" s="119"/>
      <c r="GG107" s="119"/>
      <c r="GH107" s="119"/>
      <c r="GI107" s="119"/>
      <c r="GJ107" s="119"/>
      <c r="GK107" s="251"/>
      <c r="GL107" s="103">
        <f t="shared" si="102"/>
        <v>0</v>
      </c>
      <c r="GM107" s="124"/>
      <c r="GN107" s="104"/>
      <c r="GO107" s="104"/>
      <c r="GP107" s="104"/>
      <c r="GQ107" s="104"/>
      <c r="GR107" s="104"/>
      <c r="GS107" s="104"/>
      <c r="GT107" s="104"/>
      <c r="GU107" s="104"/>
      <c r="GV107" s="104"/>
      <c r="GW107" s="104"/>
      <c r="GX107" s="104"/>
      <c r="GY107" s="104"/>
      <c r="GZ107" s="104"/>
      <c r="HA107" s="104"/>
      <c r="HB107" s="104"/>
      <c r="HC107" s="104"/>
      <c r="HD107" s="104"/>
      <c r="HE107" s="104"/>
      <c r="HF107" s="104"/>
      <c r="HG107" s="104"/>
      <c r="HH107" s="104"/>
      <c r="HI107" s="104"/>
      <c r="HJ107" s="104"/>
      <c r="HK107" s="104"/>
      <c r="HL107" s="104"/>
      <c r="HM107" s="104"/>
      <c r="HN107" s="104"/>
      <c r="HO107" s="104"/>
      <c r="HP107" s="104"/>
      <c r="HQ107" s="64"/>
      <c r="HR107" s="64"/>
      <c r="HS107" s="64"/>
      <c r="HT107" s="64"/>
      <c r="HU107" s="64"/>
      <c r="HV107" s="64"/>
      <c r="HW107" s="105"/>
      <c r="HX107" s="64"/>
      <c r="HY107" s="280">
        <f t="shared" ref="HY107:HY110" si="135">IF(ISTEXT(EM107), VALUE(EM107), EM107)</f>
        <v>0</v>
      </c>
      <c r="HZ107" s="280">
        <f t="shared" ref="HZ107:HZ110" si="136">IF(ISTEXT(EN107), VALUE(EN107), EN107)</f>
        <v>0</v>
      </c>
      <c r="IA107" s="280">
        <f t="shared" ref="IA107:IA110" si="137">IF(ISTEXT(EO107), VALUE(EO107), EO107)</f>
        <v>0</v>
      </c>
      <c r="IB107" s="64"/>
      <c r="IC107" s="64"/>
    </row>
    <row r="108" spans="1:237" s="106" customFormat="1" ht="22.5" customHeight="1" x14ac:dyDescent="0.25">
      <c r="A108" s="368" t="s">
        <v>3270</v>
      </c>
      <c r="B108" s="369" t="s">
        <v>3271</v>
      </c>
      <c r="C108" s="375" t="s">
        <v>3186</v>
      </c>
      <c r="D108" s="371" t="s">
        <v>3272</v>
      </c>
      <c r="E108" s="371" t="s">
        <v>3273</v>
      </c>
      <c r="F108" s="376" t="s">
        <v>3182</v>
      </c>
      <c r="G108" s="376" t="s">
        <v>3183</v>
      </c>
      <c r="H108" s="373" t="s">
        <v>361</v>
      </c>
      <c r="I108" s="374" t="s">
        <v>361</v>
      </c>
      <c r="J108" s="421" t="s">
        <v>3184</v>
      </c>
      <c r="K108" s="422" t="s">
        <v>3188</v>
      </c>
      <c r="L108" s="329">
        <f>CONTINUA!BV108</f>
        <v>0</v>
      </c>
      <c r="M108" s="329">
        <f>CONTINUA!BW108</f>
        <v>0</v>
      </c>
      <c r="N108" s="895"/>
      <c r="O108" s="896" t="s">
        <v>3294</v>
      </c>
      <c r="P108" s="897">
        <v>0</v>
      </c>
      <c r="Q108" s="400"/>
      <c r="R108" s="401"/>
      <c r="S108" s="400"/>
      <c r="T108" s="401"/>
      <c r="U108" s="400"/>
      <c r="V108" s="401"/>
      <c r="W108" s="400"/>
      <c r="X108" s="401"/>
      <c r="Y108" s="400"/>
      <c r="Z108" s="401"/>
      <c r="AA108" s="400"/>
      <c r="AB108" s="401"/>
      <c r="AC108" s="400"/>
      <c r="AD108" s="401"/>
      <c r="AE108" s="400"/>
      <c r="AF108" s="401"/>
      <c r="AG108" s="400"/>
      <c r="AH108" s="401"/>
      <c r="AI108" s="400"/>
      <c r="AJ108" s="401"/>
      <c r="AK108" s="400"/>
      <c r="AL108" s="401"/>
      <c r="AM108" s="400"/>
      <c r="AN108" s="401"/>
      <c r="AO108" s="400"/>
      <c r="AP108" s="401"/>
      <c r="AQ108" s="400"/>
      <c r="AR108" s="401"/>
      <c r="AS108" s="400"/>
      <c r="AT108" s="401"/>
      <c r="AU108" s="400"/>
      <c r="AV108" s="401"/>
      <c r="AW108" s="400"/>
      <c r="AX108" s="401"/>
      <c r="AY108" s="400"/>
      <c r="AZ108" s="401"/>
      <c r="BA108" s="400"/>
      <c r="BB108" s="401"/>
      <c r="BC108" s="400"/>
      <c r="BD108" s="401"/>
      <c r="BE108" s="400"/>
      <c r="BF108" s="401"/>
      <c r="BG108" s="400"/>
      <c r="BH108" s="401"/>
      <c r="BI108" s="400"/>
      <c r="BJ108" s="401"/>
      <c r="BK108" s="400"/>
      <c r="BL108" s="401"/>
      <c r="BM108" s="400"/>
      <c r="BN108" s="401"/>
      <c r="BO108" s="400"/>
      <c r="BP108" s="401"/>
      <c r="BQ108" s="400"/>
      <c r="BR108" s="401"/>
      <c r="BS108" s="400"/>
      <c r="BT108" s="401"/>
      <c r="BU108" s="400"/>
      <c r="BV108" s="401"/>
      <c r="BW108" s="400"/>
      <c r="BX108" s="401"/>
      <c r="BY108" s="400"/>
      <c r="BZ108" s="401"/>
      <c r="CA108" s="400"/>
      <c r="CB108" s="401"/>
      <c r="CC108" s="400"/>
      <c r="CD108" s="401"/>
      <c r="CE108" s="400"/>
      <c r="CF108" s="401"/>
      <c r="CG108" s="400"/>
      <c r="CH108" s="401"/>
      <c r="CI108" s="400"/>
      <c r="CJ108" s="401"/>
      <c r="CK108" s="400"/>
      <c r="CL108" s="401"/>
      <c r="CM108" s="400"/>
      <c r="CN108" s="401"/>
      <c r="CO108" s="400"/>
      <c r="CP108" s="401"/>
      <c r="CQ108" s="400"/>
      <c r="CR108" s="401"/>
      <c r="CS108" s="400"/>
      <c r="CT108" s="401"/>
      <c r="CU108" s="400"/>
      <c r="CV108" s="401"/>
      <c r="CW108" s="400"/>
      <c r="CX108" s="401"/>
      <c r="CY108" s="400"/>
      <c r="CZ108" s="401"/>
      <c r="DA108" s="400"/>
      <c r="DB108" s="401"/>
      <c r="DC108" s="400"/>
      <c r="DD108" s="401"/>
      <c r="DE108" s="400"/>
      <c r="DF108" s="401"/>
      <c r="DG108" s="400"/>
      <c r="DH108" s="401"/>
      <c r="DI108" s="400"/>
      <c r="DJ108" s="401"/>
      <c r="DK108" s="400"/>
      <c r="DL108" s="401"/>
      <c r="DM108" s="400"/>
      <c r="DN108" s="401"/>
      <c r="DO108" s="400"/>
      <c r="DP108" s="401"/>
      <c r="DQ108" s="400"/>
      <c r="DR108" s="401"/>
      <c r="DS108" s="400"/>
      <c r="DT108" s="401"/>
      <c r="DU108" s="400"/>
      <c r="DV108" s="401"/>
      <c r="DW108" s="400"/>
      <c r="DX108" s="401"/>
      <c r="DY108" s="400"/>
      <c r="DZ108" s="401"/>
      <c r="EA108" s="400"/>
      <c r="EB108" s="401"/>
      <c r="EC108" s="400"/>
      <c r="ED108" s="401"/>
      <c r="EE108" s="400"/>
      <c r="EF108" s="401"/>
      <c r="EG108" s="400"/>
      <c r="EH108" s="401"/>
      <c r="EI108" s="400"/>
      <c r="EJ108" s="447"/>
      <c r="EK108" s="511"/>
      <c r="EL108" s="514"/>
      <c r="EM108" s="448"/>
      <c r="EN108" s="344"/>
      <c r="EO108" s="345"/>
      <c r="EP108" s="171">
        <f t="shared" si="95"/>
        <v>0</v>
      </c>
      <c r="EQ108" s="171">
        <f t="shared" si="96"/>
        <v>0</v>
      </c>
      <c r="ER108" s="171">
        <f t="shared" si="97"/>
        <v>0</v>
      </c>
      <c r="ES108" s="171">
        <f t="shared" si="98"/>
        <v>0</v>
      </c>
      <c r="ET108" s="171">
        <f t="shared" si="99"/>
        <v>0</v>
      </c>
      <c r="EU108" s="171">
        <f t="shared" si="100"/>
        <v>0</v>
      </c>
      <c r="EV108" s="172">
        <f t="shared" si="101"/>
        <v>0</v>
      </c>
      <c r="EW108" s="125"/>
      <c r="EX108" s="248">
        <f t="shared" si="133"/>
        <v>0</v>
      </c>
      <c r="EY108" s="174">
        <f>(L108*regular)+(M108*Cadeirantee)</f>
        <v>0</v>
      </c>
      <c r="EZ108" s="249">
        <f>SUMIF(FG108:GJ108,"&gt;0")</f>
        <v>0</v>
      </c>
      <c r="FA108" s="249">
        <f>SUMIF(FG108:GJ108,"&lt;0")+SUMIF(GN108:HP108,"&lt;0")</f>
        <v>0</v>
      </c>
      <c r="FB108" s="174">
        <v>0</v>
      </c>
      <c r="FC108" s="126">
        <f>N108*km*'VALORES TABELA'!$B$13</f>
        <v>0</v>
      </c>
      <c r="FD108" s="250">
        <f t="shared" si="134"/>
        <v>0</v>
      </c>
      <c r="FE108" s="105"/>
      <c r="FF108" s="108"/>
      <c r="FG108" s="108"/>
      <c r="FH108" s="108"/>
      <c r="FI108" s="108"/>
      <c r="FJ108" s="108"/>
      <c r="FK108" s="108"/>
      <c r="FL108" s="108"/>
      <c r="FM108" s="108"/>
      <c r="FN108" s="108"/>
      <c r="FO108" s="108"/>
      <c r="FP108" s="108"/>
      <c r="FQ108" s="108"/>
      <c r="FR108" s="108"/>
      <c r="FS108" s="108"/>
      <c r="FT108" s="108"/>
      <c r="FU108" s="108"/>
      <c r="FV108" s="108"/>
      <c r="FW108" s="108"/>
      <c r="FX108" s="108"/>
      <c r="FY108" s="108"/>
      <c r="FZ108" s="108"/>
      <c r="GA108" s="108"/>
      <c r="GB108" s="108"/>
      <c r="GC108" s="108"/>
      <c r="GD108" s="108"/>
      <c r="GE108" s="108"/>
      <c r="GF108" s="108"/>
      <c r="GG108" s="108"/>
      <c r="GH108" s="108"/>
      <c r="GI108" s="108"/>
      <c r="GJ108" s="108"/>
      <c r="GK108" s="251"/>
      <c r="GL108" s="103">
        <f t="shared" si="102"/>
        <v>0</v>
      </c>
      <c r="GM108" s="124"/>
      <c r="GN108" s="104"/>
      <c r="GO108" s="104"/>
      <c r="GP108" s="104"/>
      <c r="GQ108" s="104"/>
      <c r="GR108" s="104"/>
      <c r="GS108" s="104"/>
      <c r="GT108" s="104"/>
      <c r="GU108" s="104"/>
      <c r="GV108" s="104"/>
      <c r="GW108" s="104"/>
      <c r="GX108" s="104"/>
      <c r="GY108" s="104"/>
      <c r="GZ108" s="104"/>
      <c r="HA108" s="104"/>
      <c r="HB108" s="104"/>
      <c r="HC108" s="104"/>
      <c r="HD108" s="104"/>
      <c r="HE108" s="104"/>
      <c r="HF108" s="104"/>
      <c r="HG108" s="104"/>
      <c r="HH108" s="104"/>
      <c r="HI108" s="104"/>
      <c r="HJ108" s="104"/>
      <c r="HK108" s="104"/>
      <c r="HL108" s="104"/>
      <c r="HM108" s="104"/>
      <c r="HN108" s="104"/>
      <c r="HO108" s="104"/>
      <c r="HP108" s="104"/>
      <c r="HQ108" s="64"/>
      <c r="HR108" s="64"/>
      <c r="HS108" s="64"/>
      <c r="HT108" s="64"/>
      <c r="HU108" s="64"/>
      <c r="HV108" s="64"/>
      <c r="HW108" s="105"/>
      <c r="HX108" s="64"/>
      <c r="HY108" s="280">
        <f t="shared" si="135"/>
        <v>0</v>
      </c>
      <c r="HZ108" s="280">
        <f t="shared" si="136"/>
        <v>0</v>
      </c>
      <c r="IA108" s="280">
        <f t="shared" si="137"/>
        <v>0</v>
      </c>
      <c r="IB108" s="64"/>
      <c r="IC108" s="64"/>
    </row>
    <row r="109" spans="1:237" s="106" customFormat="1" ht="22.5" customHeight="1" x14ac:dyDescent="0.25">
      <c r="A109" s="368" t="s">
        <v>3270</v>
      </c>
      <c r="B109" s="369" t="s">
        <v>3271</v>
      </c>
      <c r="C109" s="375" t="s">
        <v>3186</v>
      </c>
      <c r="D109" s="371" t="s">
        <v>3272</v>
      </c>
      <c r="E109" s="371" t="s">
        <v>3273</v>
      </c>
      <c r="F109" s="376" t="s">
        <v>3182</v>
      </c>
      <c r="G109" s="376" t="s">
        <v>3183</v>
      </c>
      <c r="H109" s="373" t="s">
        <v>361</v>
      </c>
      <c r="I109" s="374" t="s">
        <v>361</v>
      </c>
      <c r="J109" s="421" t="s">
        <v>3184</v>
      </c>
      <c r="K109" s="423" t="s">
        <v>3189</v>
      </c>
      <c r="L109" s="329">
        <f>CONTINUA!BV109</f>
        <v>0</v>
      </c>
      <c r="M109" s="329">
        <f>CONTINUA!BW109</f>
        <v>0</v>
      </c>
      <c r="N109" s="895"/>
      <c r="O109" s="896" t="s">
        <v>3294</v>
      </c>
      <c r="P109" s="897">
        <v>0</v>
      </c>
      <c r="Q109" s="400"/>
      <c r="R109" s="401"/>
      <c r="S109" s="400"/>
      <c r="T109" s="401"/>
      <c r="U109" s="400"/>
      <c r="V109" s="401"/>
      <c r="W109" s="400"/>
      <c r="X109" s="401"/>
      <c r="Y109" s="400"/>
      <c r="Z109" s="401"/>
      <c r="AA109" s="400"/>
      <c r="AB109" s="401"/>
      <c r="AC109" s="400"/>
      <c r="AD109" s="401"/>
      <c r="AE109" s="400"/>
      <c r="AF109" s="401"/>
      <c r="AG109" s="400"/>
      <c r="AH109" s="401"/>
      <c r="AI109" s="400"/>
      <c r="AJ109" s="401"/>
      <c r="AK109" s="400"/>
      <c r="AL109" s="401"/>
      <c r="AM109" s="400"/>
      <c r="AN109" s="401"/>
      <c r="AO109" s="400"/>
      <c r="AP109" s="401"/>
      <c r="AQ109" s="400"/>
      <c r="AR109" s="401"/>
      <c r="AS109" s="400"/>
      <c r="AT109" s="401"/>
      <c r="AU109" s="400"/>
      <c r="AV109" s="401"/>
      <c r="AW109" s="400"/>
      <c r="AX109" s="401"/>
      <c r="AY109" s="400"/>
      <c r="AZ109" s="401"/>
      <c r="BA109" s="400"/>
      <c r="BB109" s="401"/>
      <c r="BC109" s="400"/>
      <c r="BD109" s="401"/>
      <c r="BE109" s="400"/>
      <c r="BF109" s="401"/>
      <c r="BG109" s="400"/>
      <c r="BH109" s="401"/>
      <c r="BI109" s="400"/>
      <c r="BJ109" s="401"/>
      <c r="BK109" s="400"/>
      <c r="BL109" s="401"/>
      <c r="BM109" s="400"/>
      <c r="BN109" s="401"/>
      <c r="BO109" s="400"/>
      <c r="BP109" s="401"/>
      <c r="BQ109" s="400"/>
      <c r="BR109" s="401"/>
      <c r="BS109" s="400"/>
      <c r="BT109" s="401"/>
      <c r="BU109" s="400"/>
      <c r="BV109" s="401"/>
      <c r="BW109" s="400"/>
      <c r="BX109" s="401"/>
      <c r="BY109" s="400"/>
      <c r="BZ109" s="401"/>
      <c r="CA109" s="400"/>
      <c r="CB109" s="401"/>
      <c r="CC109" s="400"/>
      <c r="CD109" s="401"/>
      <c r="CE109" s="400"/>
      <c r="CF109" s="401"/>
      <c r="CG109" s="400"/>
      <c r="CH109" s="401"/>
      <c r="CI109" s="400"/>
      <c r="CJ109" s="401"/>
      <c r="CK109" s="400"/>
      <c r="CL109" s="401"/>
      <c r="CM109" s="400"/>
      <c r="CN109" s="401"/>
      <c r="CO109" s="400"/>
      <c r="CP109" s="401"/>
      <c r="CQ109" s="400"/>
      <c r="CR109" s="401"/>
      <c r="CS109" s="400"/>
      <c r="CT109" s="401"/>
      <c r="CU109" s="400"/>
      <c r="CV109" s="401"/>
      <c r="CW109" s="400"/>
      <c r="CX109" s="401"/>
      <c r="CY109" s="400"/>
      <c r="CZ109" s="401"/>
      <c r="DA109" s="400"/>
      <c r="DB109" s="401"/>
      <c r="DC109" s="400"/>
      <c r="DD109" s="401"/>
      <c r="DE109" s="400"/>
      <c r="DF109" s="401"/>
      <c r="DG109" s="400"/>
      <c r="DH109" s="401"/>
      <c r="DI109" s="400"/>
      <c r="DJ109" s="401"/>
      <c r="DK109" s="400"/>
      <c r="DL109" s="401"/>
      <c r="DM109" s="400"/>
      <c r="DN109" s="401"/>
      <c r="DO109" s="400"/>
      <c r="DP109" s="401"/>
      <c r="DQ109" s="400"/>
      <c r="DR109" s="401"/>
      <c r="DS109" s="400"/>
      <c r="DT109" s="401"/>
      <c r="DU109" s="400"/>
      <c r="DV109" s="401"/>
      <c r="DW109" s="400"/>
      <c r="DX109" s="401"/>
      <c r="DY109" s="400"/>
      <c r="DZ109" s="401"/>
      <c r="EA109" s="400"/>
      <c r="EB109" s="401"/>
      <c r="EC109" s="400"/>
      <c r="ED109" s="401"/>
      <c r="EE109" s="400"/>
      <c r="EF109" s="401"/>
      <c r="EG109" s="400"/>
      <c r="EH109" s="401"/>
      <c r="EI109" s="400"/>
      <c r="EJ109" s="447"/>
      <c r="EK109" s="511"/>
      <c r="EL109" s="514"/>
      <c r="EM109" s="448"/>
      <c r="EN109" s="344"/>
      <c r="EO109" s="345"/>
      <c r="EP109" s="171">
        <f t="shared" si="95"/>
        <v>0</v>
      </c>
      <c r="EQ109" s="171">
        <f t="shared" si="96"/>
        <v>0</v>
      </c>
      <c r="ER109" s="171">
        <f t="shared" si="97"/>
        <v>0</v>
      </c>
      <c r="ES109" s="171">
        <f t="shared" si="98"/>
        <v>0</v>
      </c>
      <c r="ET109" s="171">
        <f t="shared" si="99"/>
        <v>0</v>
      </c>
      <c r="EU109" s="171">
        <f t="shared" si="100"/>
        <v>0</v>
      </c>
      <c r="EV109" s="172">
        <f t="shared" si="101"/>
        <v>0</v>
      </c>
      <c r="EW109" s="127"/>
      <c r="EX109" s="248">
        <f t="shared" si="133"/>
        <v>0</v>
      </c>
      <c r="EY109" s="174">
        <f>(L109*regular)+(M109*Cadeirantee)</f>
        <v>0</v>
      </c>
      <c r="EZ109" s="249">
        <f>SUMIF(FG109:GJ109,"&gt;0")</f>
        <v>0</v>
      </c>
      <c r="FA109" s="249">
        <f>SUMIF(FG109:GJ109,"&lt;0")+SUMIF(GN109:HP109,"&lt;0")</f>
        <v>0</v>
      </c>
      <c r="FB109" s="174">
        <v>0</v>
      </c>
      <c r="FC109" s="126">
        <f>N109*km*'VALORES TABELA'!$B$13</f>
        <v>0</v>
      </c>
      <c r="FD109" s="250">
        <f t="shared" si="134"/>
        <v>0</v>
      </c>
      <c r="FE109" s="105"/>
      <c r="FF109" s="118"/>
      <c r="FG109" s="118"/>
      <c r="FH109" s="118"/>
      <c r="FI109" s="118"/>
      <c r="FJ109" s="118"/>
      <c r="FK109" s="118"/>
      <c r="FL109" s="118"/>
      <c r="FM109" s="118"/>
      <c r="FN109" s="118"/>
      <c r="FO109" s="118"/>
      <c r="FP109" s="118"/>
      <c r="FQ109" s="118"/>
      <c r="FR109" s="118"/>
      <c r="FS109" s="118"/>
      <c r="FT109" s="118"/>
      <c r="FU109" s="118"/>
      <c r="FV109" s="118"/>
      <c r="FW109" s="118"/>
      <c r="FX109" s="118"/>
      <c r="FY109" s="118"/>
      <c r="FZ109" s="118"/>
      <c r="GA109" s="118"/>
      <c r="GB109" s="118"/>
      <c r="GC109" s="118"/>
      <c r="GD109" s="118"/>
      <c r="GE109" s="118"/>
      <c r="GF109" s="118"/>
      <c r="GG109" s="118"/>
      <c r="GH109" s="118"/>
      <c r="GI109" s="118"/>
      <c r="GJ109" s="118"/>
      <c r="GK109" s="252"/>
      <c r="GL109" s="103">
        <f t="shared" si="102"/>
        <v>0</v>
      </c>
      <c r="GM109" s="124"/>
      <c r="GN109" s="104"/>
      <c r="GO109" s="104"/>
      <c r="GP109" s="104"/>
      <c r="GQ109" s="104"/>
      <c r="GR109" s="104"/>
      <c r="GS109" s="104"/>
      <c r="GT109" s="104"/>
      <c r="GU109" s="104"/>
      <c r="GV109" s="104"/>
      <c r="GW109" s="104"/>
      <c r="GX109" s="104"/>
      <c r="GY109" s="104"/>
      <c r="GZ109" s="104"/>
      <c r="HA109" s="104"/>
      <c r="HB109" s="104"/>
      <c r="HC109" s="104"/>
      <c r="HD109" s="104"/>
      <c r="HE109" s="104"/>
      <c r="HF109" s="104"/>
      <c r="HG109" s="104"/>
      <c r="HH109" s="104"/>
      <c r="HI109" s="104"/>
      <c r="HJ109" s="104"/>
      <c r="HK109" s="104"/>
      <c r="HL109" s="104"/>
      <c r="HM109" s="104"/>
      <c r="HN109" s="104"/>
      <c r="HO109" s="104"/>
      <c r="HP109" s="104"/>
      <c r="HQ109" s="64"/>
      <c r="HR109" s="65"/>
      <c r="HS109" s="65"/>
      <c r="HT109" s="65"/>
      <c r="HU109" s="65"/>
      <c r="HV109" s="65"/>
      <c r="HW109" s="105"/>
      <c r="HX109" s="65"/>
      <c r="HY109" s="280">
        <f t="shared" si="135"/>
        <v>0</v>
      </c>
      <c r="HZ109" s="280">
        <f t="shared" si="136"/>
        <v>0</v>
      </c>
      <c r="IA109" s="280">
        <f t="shared" si="137"/>
        <v>0</v>
      </c>
      <c r="IB109" s="65"/>
      <c r="IC109" s="65"/>
    </row>
    <row r="110" spans="1:237" s="106" customFormat="1" ht="22.5" customHeight="1" thickBot="1" x14ac:dyDescent="0.3">
      <c r="A110" s="377" t="s">
        <v>3270</v>
      </c>
      <c r="B110" s="378" t="s">
        <v>3271</v>
      </c>
      <c r="C110" s="379" t="s">
        <v>3186</v>
      </c>
      <c r="D110" s="380" t="s">
        <v>3272</v>
      </c>
      <c r="E110" s="380" t="s">
        <v>3273</v>
      </c>
      <c r="F110" s="381" t="s">
        <v>3182</v>
      </c>
      <c r="G110" s="381" t="s">
        <v>3183</v>
      </c>
      <c r="H110" s="382" t="s">
        <v>361</v>
      </c>
      <c r="I110" s="383" t="s">
        <v>361</v>
      </c>
      <c r="J110" s="421" t="s">
        <v>3184</v>
      </c>
      <c r="K110" s="424" t="s">
        <v>60</v>
      </c>
      <c r="L110" s="329">
        <f>CONTINUA!BV110</f>
        <v>0</v>
      </c>
      <c r="M110" s="329">
        <f>CONTINUA!BW110</f>
        <v>0</v>
      </c>
      <c r="N110" s="895"/>
      <c r="O110" s="896" t="s">
        <v>3294</v>
      </c>
      <c r="P110" s="897">
        <v>0</v>
      </c>
      <c r="Q110" s="400">
        <v>3</v>
      </c>
      <c r="R110" s="401"/>
      <c r="S110" s="400"/>
      <c r="T110" s="401"/>
      <c r="U110" s="400">
        <v>1</v>
      </c>
      <c r="V110" s="401"/>
      <c r="W110" s="400"/>
      <c r="X110" s="401"/>
      <c r="Y110" s="400"/>
      <c r="Z110" s="401"/>
      <c r="AA110" s="400"/>
      <c r="AB110" s="401"/>
      <c r="AC110" s="400"/>
      <c r="AD110" s="401"/>
      <c r="AE110" s="400"/>
      <c r="AF110" s="401"/>
      <c r="AG110" s="400"/>
      <c r="AH110" s="401"/>
      <c r="AI110" s="400"/>
      <c r="AJ110" s="401"/>
      <c r="AK110" s="400"/>
      <c r="AL110" s="401"/>
      <c r="AM110" s="400"/>
      <c r="AN110" s="401"/>
      <c r="AO110" s="400"/>
      <c r="AP110" s="401"/>
      <c r="AQ110" s="400"/>
      <c r="AR110" s="401"/>
      <c r="AS110" s="400"/>
      <c r="AT110" s="401"/>
      <c r="AU110" s="400"/>
      <c r="AV110" s="401"/>
      <c r="AW110" s="400"/>
      <c r="AX110" s="401"/>
      <c r="AY110" s="400"/>
      <c r="AZ110" s="401"/>
      <c r="BA110" s="400"/>
      <c r="BB110" s="401"/>
      <c r="BC110" s="400"/>
      <c r="BD110" s="401"/>
      <c r="BE110" s="400"/>
      <c r="BF110" s="401"/>
      <c r="BG110" s="400"/>
      <c r="BH110" s="401"/>
      <c r="BI110" s="400"/>
      <c r="BJ110" s="401"/>
      <c r="BK110" s="400"/>
      <c r="BL110" s="401"/>
      <c r="BM110" s="400"/>
      <c r="BN110" s="401"/>
      <c r="BO110" s="400"/>
      <c r="BP110" s="401"/>
      <c r="BQ110" s="400"/>
      <c r="BR110" s="401"/>
      <c r="BS110" s="400"/>
      <c r="BT110" s="401"/>
      <c r="BU110" s="400"/>
      <c r="BV110" s="401"/>
      <c r="BW110" s="400"/>
      <c r="BX110" s="401"/>
      <c r="BY110" s="400"/>
      <c r="BZ110" s="401"/>
      <c r="CA110" s="400"/>
      <c r="CB110" s="401"/>
      <c r="CC110" s="400"/>
      <c r="CD110" s="401"/>
      <c r="CE110" s="400"/>
      <c r="CF110" s="401"/>
      <c r="CG110" s="400"/>
      <c r="CH110" s="401"/>
      <c r="CI110" s="400"/>
      <c r="CJ110" s="401"/>
      <c r="CK110" s="400"/>
      <c r="CL110" s="401"/>
      <c r="CM110" s="400"/>
      <c r="CN110" s="401"/>
      <c r="CO110" s="400"/>
      <c r="CP110" s="401"/>
      <c r="CQ110" s="400"/>
      <c r="CR110" s="401"/>
      <c r="CS110" s="400"/>
      <c r="CT110" s="401"/>
      <c r="CU110" s="400"/>
      <c r="CV110" s="401"/>
      <c r="CW110" s="400"/>
      <c r="CX110" s="401"/>
      <c r="CY110" s="400"/>
      <c r="CZ110" s="401"/>
      <c r="DA110" s="400"/>
      <c r="DB110" s="401"/>
      <c r="DC110" s="400"/>
      <c r="DD110" s="401"/>
      <c r="DE110" s="400"/>
      <c r="DF110" s="401"/>
      <c r="DG110" s="400"/>
      <c r="DH110" s="401"/>
      <c r="DI110" s="400"/>
      <c r="DJ110" s="401"/>
      <c r="DK110" s="400"/>
      <c r="DL110" s="401"/>
      <c r="DM110" s="400"/>
      <c r="DN110" s="401"/>
      <c r="DO110" s="400"/>
      <c r="DP110" s="401"/>
      <c r="DQ110" s="400"/>
      <c r="DR110" s="401"/>
      <c r="DS110" s="400"/>
      <c r="DT110" s="401"/>
      <c r="DU110" s="400"/>
      <c r="DV110" s="401"/>
      <c r="DW110" s="400"/>
      <c r="DX110" s="401"/>
      <c r="DY110" s="400"/>
      <c r="DZ110" s="401"/>
      <c r="EA110" s="400"/>
      <c r="EB110" s="401"/>
      <c r="EC110" s="400"/>
      <c r="ED110" s="401"/>
      <c r="EE110" s="400"/>
      <c r="EF110" s="401"/>
      <c r="EG110" s="400"/>
      <c r="EH110" s="401"/>
      <c r="EI110" s="400"/>
      <c r="EJ110" s="447"/>
      <c r="EK110" s="512"/>
      <c r="EL110" s="515"/>
      <c r="EM110" s="450"/>
      <c r="EN110" s="348"/>
      <c r="EO110" s="348"/>
      <c r="EP110" s="179">
        <f t="shared" si="95"/>
        <v>3</v>
      </c>
      <c r="EQ110" s="179">
        <f t="shared" si="96"/>
        <v>1</v>
      </c>
      <c r="ER110" s="179">
        <f t="shared" si="97"/>
        <v>0</v>
      </c>
      <c r="ES110" s="179">
        <f t="shared" si="98"/>
        <v>0</v>
      </c>
      <c r="ET110" s="179">
        <f t="shared" si="99"/>
        <v>0</v>
      </c>
      <c r="EU110" s="179">
        <f t="shared" si="100"/>
        <v>0</v>
      </c>
      <c r="EV110" s="172">
        <f t="shared" si="101"/>
        <v>4</v>
      </c>
      <c r="EW110" s="253"/>
      <c r="EX110" s="254">
        <v>0</v>
      </c>
      <c r="EY110" s="180">
        <v>0</v>
      </c>
      <c r="EZ110" s="255">
        <v>0</v>
      </c>
      <c r="FA110" s="255">
        <v>0</v>
      </c>
      <c r="FB110" s="180">
        <f>SUM(FF110:GI110)/2</f>
        <v>764.03950000000009</v>
      </c>
      <c r="FC110" s="256">
        <f>N110*km*'VALORES TABELA'!$B$13</f>
        <v>0</v>
      </c>
      <c r="FD110" s="250">
        <f t="shared" si="134"/>
        <v>0</v>
      </c>
      <c r="FE110" s="257"/>
      <c r="FF110" s="181">
        <f>((Q110+S110)*Percapita)+((R110+T110)*Cadeirante)</f>
        <v>1155.69</v>
      </c>
      <c r="FG110" s="181">
        <f>((U110+W110)*Percapita/30*FG$4)+((V110+X110)*Cadeirante/30*FG$4)</f>
        <v>372.38900000000001</v>
      </c>
      <c r="FH110" s="181">
        <f>((Y110+AA110)*Percapita/30*FH$4)+((Z110+AB110)*Cadeirante/30*FH$4)</f>
        <v>0</v>
      </c>
      <c r="FI110" s="181">
        <f>((AC110+AE110)*Percapita/30*FI$4)+((AD110+AF110)*Cadeirante/30*FI$4)</f>
        <v>0</v>
      </c>
      <c r="FJ110" s="181">
        <f>((AG110+AI110)*Percapita/30*FJ$4)+((AH110+AJ110)*Cadeirante/30*FJ$4)</f>
        <v>0</v>
      </c>
      <c r="FK110" s="181">
        <f>((AK110+AM110)*Percapita/30*FK$4)+((AL110+AN110)*Cadeirante/30*FK$4)</f>
        <v>0</v>
      </c>
      <c r="FL110" s="181">
        <f>((AO110+AQ110)*Percapita/30*FL$4)+((AP110+AR110)*Cadeirante/30*FL$4)</f>
        <v>0</v>
      </c>
      <c r="FM110" s="181">
        <f>((AS110+AU110)*Percapita/30*FM$4)+((AT110+AV110)*Cadeirante/30*FM$4)</f>
        <v>0</v>
      </c>
      <c r="FN110" s="181">
        <f>((AW110+AY110)*Percapita/30*FN$4)+((AX110+AZ110)*Cadeirante/30*FN$4)</f>
        <v>0</v>
      </c>
      <c r="FO110" s="181">
        <f>((BA110+BC110)*Percapita/30*FO$4)+((BB110+BD110)*Cadeirante/30*FO$4)</f>
        <v>0</v>
      </c>
      <c r="FP110" s="181">
        <f>((BE110+BG110)*Percapita/30*FP$4)+((BF110+BH110)*Cadeirante/30*FP$4)</f>
        <v>0</v>
      </c>
      <c r="FQ110" s="181">
        <f>((BI110+BK110)*Percapita/30*FQ$4)+((BJ110+BL110)*Cadeirante/30*FQ$4)</f>
        <v>0</v>
      </c>
      <c r="FR110" s="181">
        <f>((BM110+BO110)*Percapita/30*FR$4)+((BN110+BP110)*Cadeirante/30*FR$4)</f>
        <v>0</v>
      </c>
      <c r="FS110" s="181">
        <f>((BQ110+BS110)*Percapita/30*FS$4)+((BR110+BT110)*Cadeirante/30*FS$4)</f>
        <v>0</v>
      </c>
      <c r="FT110" s="181">
        <f>((BU110+BW110)*Percapita/30*FT$4)+((BV110+BX110)*Cadeirante/30*FT$4)</f>
        <v>0</v>
      </c>
      <c r="FU110" s="181">
        <f>((BY110+CA110)*Percapita/30*FU$4)+((BZ110+CB110)*Cadeirante/30*FU$4)</f>
        <v>0</v>
      </c>
      <c r="FV110" s="181">
        <f>((CC110+CE110)*Percapita/30*FV$4)+((CD110+CF110)*Cadeirante/30*FV$4)</f>
        <v>0</v>
      </c>
      <c r="FW110" s="181">
        <f>((CG110+CI110)*Percapita/30*FW$4)+((CI110+CK110)*Cadeirante/30*FW$4)</f>
        <v>0</v>
      </c>
      <c r="FX110" s="181">
        <f>((CK110+CM110)*Percapita/30*FX$4)+((CL110+CN110)*Cadeirante/30*FX$4)</f>
        <v>0</v>
      </c>
      <c r="FY110" s="181">
        <f>((CO110+CQ110)*Percapita/30*FY$4)+((CP110+CR110)*Cadeirante/30*FY$4)</f>
        <v>0</v>
      </c>
      <c r="FZ110" s="181">
        <f>((CS110+CU110)*Percapita/30*FZ$4)+((CT110+CV110)*Cadeirante/30*FZ$4)</f>
        <v>0</v>
      </c>
      <c r="GA110" s="181">
        <f>((CW110+CY110)*Percapita/30*GA$4)+((CX110+CZ110)*Cadeirante/30*GA$4)</f>
        <v>0</v>
      </c>
      <c r="GB110" s="181">
        <f>((DA110+DC110)*Percapita/30*GB$4)+((DB110+DD110)*Cadeirante/30*GB$4)</f>
        <v>0</v>
      </c>
      <c r="GC110" s="181">
        <f>((DE110+DG110)*Percapita/30*GC$4)+((DF110+DH110)*Cadeirante/30*GC$4)</f>
        <v>0</v>
      </c>
      <c r="GD110" s="181">
        <f>((DI110+DK110)*Percapita/30*GD$4)+((DJ110+DL110)*Cadeirante/30*GD$4)</f>
        <v>0</v>
      </c>
      <c r="GE110" s="181">
        <f>((DM110+DO110)*Percapita/30*GE$4)+((DN110+DP110)*Cadeirante/30*GE$4)</f>
        <v>0</v>
      </c>
      <c r="GF110" s="181">
        <f>((DQ110+DS110)*Percapita/30*GF$4)+((DR110+DT110)*Cadeirante/30*GF$4)</f>
        <v>0</v>
      </c>
      <c r="GG110" s="181">
        <f>((DU110+DW110)*Percapita/30*GG$4)+((DV110+DX110)*Cadeirante/30*GG$4)</f>
        <v>0</v>
      </c>
      <c r="GH110" s="181">
        <f>((DY110+EA110)*Percapita/30*GH$4)+((DZ110+EB110)*Cadeirante/30*GH$4)</f>
        <v>0</v>
      </c>
      <c r="GI110" s="181">
        <f>((EC110+EE110)*Percapita/30*GI$4)+((ED110+EF110)*Cadeirante/30*GI$4)</f>
        <v>0</v>
      </c>
      <c r="GJ110" s="181">
        <f>((EG110+EI110)*Percapita)+((EH110+EJ110)*Cadeirante)</f>
        <v>0</v>
      </c>
      <c r="GK110" s="258"/>
      <c r="GL110" s="103">
        <f t="shared" si="102"/>
        <v>0</v>
      </c>
      <c r="GM110" s="124"/>
      <c r="GN110" s="182"/>
      <c r="GO110" s="182"/>
      <c r="GP110" s="182"/>
      <c r="GQ110" s="182"/>
      <c r="GR110" s="182"/>
      <c r="GS110" s="182"/>
      <c r="GT110" s="182"/>
      <c r="GU110" s="182"/>
      <c r="GV110" s="182"/>
      <c r="GW110" s="182"/>
      <c r="GX110" s="182"/>
      <c r="GY110" s="182"/>
      <c r="GZ110" s="182"/>
      <c r="HA110" s="182"/>
      <c r="HB110" s="182"/>
      <c r="HC110" s="182"/>
      <c r="HD110" s="182"/>
      <c r="HE110" s="182"/>
      <c r="HF110" s="182"/>
      <c r="HG110" s="182"/>
      <c r="HH110" s="182"/>
      <c r="HI110" s="182"/>
      <c r="HJ110" s="182"/>
      <c r="HK110" s="182"/>
      <c r="HL110" s="182"/>
      <c r="HM110" s="182"/>
      <c r="HN110" s="182"/>
      <c r="HO110" s="182"/>
      <c r="HP110" s="259"/>
      <c r="HQ110" s="64"/>
      <c r="HW110" s="257"/>
      <c r="HY110" s="280">
        <f t="shared" si="135"/>
        <v>0</v>
      </c>
      <c r="HZ110" s="280">
        <f t="shared" si="136"/>
        <v>0</v>
      </c>
      <c r="IA110" s="280">
        <f t="shared" si="137"/>
        <v>0</v>
      </c>
    </row>
    <row r="111" spans="1:237" ht="11.25" x14ac:dyDescent="0.2">
      <c r="G111" s="7"/>
      <c r="H111" s="7"/>
      <c r="I111" s="7"/>
      <c r="J111" s="7"/>
      <c r="K111" s="7"/>
      <c r="L111" s="7">
        <f t="shared" ref="L111:P112" si="138">K111+1</f>
        <v>1</v>
      </c>
      <c r="M111" s="7">
        <f t="shared" si="138"/>
        <v>2</v>
      </c>
      <c r="N111" s="7">
        <f t="shared" si="138"/>
        <v>3</v>
      </c>
      <c r="O111" s="7">
        <f t="shared" si="138"/>
        <v>4</v>
      </c>
      <c r="P111" s="7">
        <f t="shared" si="138"/>
        <v>5</v>
      </c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>
        <f t="shared" ref="EM111:EQ112" si="139">EL111+1</f>
        <v>1</v>
      </c>
      <c r="EN111" s="7">
        <f t="shared" si="139"/>
        <v>2</v>
      </c>
      <c r="EO111" s="7">
        <f t="shared" si="139"/>
        <v>3</v>
      </c>
      <c r="EP111" s="7">
        <f t="shared" si="139"/>
        <v>4</v>
      </c>
      <c r="EQ111" s="7">
        <f t="shared" si="139"/>
        <v>5</v>
      </c>
      <c r="ER111" s="7">
        <f t="shared" ref="ER111:GO112" si="140">EQ111+1</f>
        <v>6</v>
      </c>
      <c r="ES111" s="7">
        <f t="shared" si="140"/>
        <v>7</v>
      </c>
      <c r="ET111" s="7">
        <f t="shared" si="140"/>
        <v>8</v>
      </c>
      <c r="EU111" s="7">
        <f t="shared" si="140"/>
        <v>9</v>
      </c>
      <c r="EV111" s="7">
        <f t="shared" si="140"/>
        <v>10</v>
      </c>
      <c r="EW111" s="7">
        <f t="shared" si="140"/>
        <v>11</v>
      </c>
      <c r="EX111" s="7">
        <f t="shared" si="140"/>
        <v>12</v>
      </c>
      <c r="EY111" s="7">
        <f t="shared" si="140"/>
        <v>13</v>
      </c>
      <c r="EZ111" s="7">
        <f t="shared" si="140"/>
        <v>14</v>
      </c>
      <c r="FA111" s="7">
        <f t="shared" si="140"/>
        <v>15</v>
      </c>
      <c r="FB111" s="7">
        <f t="shared" si="140"/>
        <v>16</v>
      </c>
      <c r="FC111" s="7">
        <f t="shared" si="140"/>
        <v>17</v>
      </c>
      <c r="FD111" s="7">
        <f t="shared" si="140"/>
        <v>18</v>
      </c>
      <c r="FE111" s="7">
        <f t="shared" si="140"/>
        <v>19</v>
      </c>
      <c r="FF111" s="7">
        <f t="shared" si="140"/>
        <v>20</v>
      </c>
      <c r="FG111" s="7">
        <f t="shared" si="140"/>
        <v>21</v>
      </c>
      <c r="FH111" s="7">
        <f t="shared" si="140"/>
        <v>22</v>
      </c>
      <c r="FI111" s="7">
        <f t="shared" si="140"/>
        <v>23</v>
      </c>
      <c r="FJ111" s="7">
        <f t="shared" si="140"/>
        <v>24</v>
      </c>
      <c r="FK111" s="7">
        <f t="shared" si="140"/>
        <v>25</v>
      </c>
      <c r="FL111" s="7">
        <f t="shared" si="140"/>
        <v>26</v>
      </c>
      <c r="FM111" s="7">
        <f t="shared" si="140"/>
        <v>27</v>
      </c>
      <c r="FN111" s="7">
        <f t="shared" si="140"/>
        <v>28</v>
      </c>
      <c r="FO111" s="7">
        <f t="shared" si="140"/>
        <v>29</v>
      </c>
      <c r="FP111" s="7">
        <f t="shared" si="140"/>
        <v>30</v>
      </c>
      <c r="FQ111" s="7">
        <f t="shared" si="140"/>
        <v>31</v>
      </c>
      <c r="FR111" s="7">
        <f t="shared" si="140"/>
        <v>32</v>
      </c>
      <c r="FS111" s="7">
        <f t="shared" si="140"/>
        <v>33</v>
      </c>
      <c r="FT111" s="7">
        <f t="shared" si="140"/>
        <v>34</v>
      </c>
      <c r="FU111" s="7">
        <f t="shared" si="140"/>
        <v>35</v>
      </c>
      <c r="FV111" s="7">
        <f t="shared" si="140"/>
        <v>36</v>
      </c>
      <c r="FW111" s="7">
        <f t="shared" si="140"/>
        <v>37</v>
      </c>
      <c r="FX111" s="7">
        <f t="shared" si="140"/>
        <v>38</v>
      </c>
      <c r="FY111" s="7">
        <f t="shared" si="140"/>
        <v>39</v>
      </c>
      <c r="FZ111" s="7">
        <f t="shared" si="140"/>
        <v>40</v>
      </c>
      <c r="GA111" s="7">
        <f t="shared" si="140"/>
        <v>41</v>
      </c>
      <c r="GB111" s="7">
        <f t="shared" si="140"/>
        <v>42</v>
      </c>
      <c r="GC111" s="7">
        <f t="shared" si="140"/>
        <v>43</v>
      </c>
      <c r="GD111" s="7">
        <f t="shared" si="140"/>
        <v>44</v>
      </c>
      <c r="GE111" s="7">
        <f t="shared" si="140"/>
        <v>45</v>
      </c>
      <c r="GF111" s="7">
        <f t="shared" si="140"/>
        <v>46</v>
      </c>
      <c r="GG111" s="7">
        <f t="shared" si="140"/>
        <v>47</v>
      </c>
      <c r="GH111" s="7">
        <f t="shared" si="140"/>
        <v>48</v>
      </c>
      <c r="GI111" s="7">
        <f t="shared" si="140"/>
        <v>49</v>
      </c>
      <c r="GJ111" s="7">
        <f t="shared" si="140"/>
        <v>50</v>
      </c>
      <c r="GK111" s="7">
        <f t="shared" si="140"/>
        <v>51</v>
      </c>
      <c r="GL111" s="7">
        <f t="shared" si="140"/>
        <v>52</v>
      </c>
      <c r="GM111" s="7">
        <f t="shared" si="140"/>
        <v>53</v>
      </c>
      <c r="GN111" s="7">
        <f t="shared" si="140"/>
        <v>54</v>
      </c>
      <c r="GO111" s="7">
        <f t="shared" si="140"/>
        <v>55</v>
      </c>
      <c r="GP111" s="7">
        <f t="shared" ref="GP111:IA111" si="141">GO111+1</f>
        <v>56</v>
      </c>
      <c r="GQ111" s="7">
        <f t="shared" si="141"/>
        <v>57</v>
      </c>
      <c r="GR111" s="7">
        <f t="shared" si="141"/>
        <v>58</v>
      </c>
      <c r="GS111" s="7">
        <f t="shared" si="141"/>
        <v>59</v>
      </c>
      <c r="GT111" s="7">
        <f t="shared" si="141"/>
        <v>60</v>
      </c>
      <c r="GU111" s="7">
        <f t="shared" si="141"/>
        <v>61</v>
      </c>
      <c r="GV111" s="7">
        <f t="shared" si="141"/>
        <v>62</v>
      </c>
      <c r="GW111" s="7">
        <f t="shared" si="141"/>
        <v>63</v>
      </c>
      <c r="GX111" s="7">
        <f t="shared" si="141"/>
        <v>64</v>
      </c>
      <c r="GY111" s="7">
        <f t="shared" si="141"/>
        <v>65</v>
      </c>
      <c r="GZ111" s="7">
        <f t="shared" si="141"/>
        <v>66</v>
      </c>
      <c r="HA111" s="7">
        <f t="shared" si="141"/>
        <v>67</v>
      </c>
      <c r="HB111" s="7">
        <f t="shared" si="141"/>
        <v>68</v>
      </c>
      <c r="HC111" s="7">
        <f t="shared" si="141"/>
        <v>69</v>
      </c>
      <c r="HD111" s="7">
        <f t="shared" si="141"/>
        <v>70</v>
      </c>
      <c r="HE111" s="7">
        <f t="shared" si="141"/>
        <v>71</v>
      </c>
      <c r="HF111" s="7">
        <f t="shared" si="141"/>
        <v>72</v>
      </c>
      <c r="HG111" s="7">
        <f t="shared" si="141"/>
        <v>73</v>
      </c>
      <c r="HH111" s="7">
        <f t="shared" si="141"/>
        <v>74</v>
      </c>
      <c r="HI111" s="7">
        <f t="shared" si="141"/>
        <v>75</v>
      </c>
      <c r="HJ111" s="7">
        <f t="shared" si="141"/>
        <v>76</v>
      </c>
      <c r="HK111" s="7">
        <f t="shared" si="141"/>
        <v>77</v>
      </c>
      <c r="HL111" s="7">
        <f t="shared" si="141"/>
        <v>78</v>
      </c>
      <c r="HM111" s="7">
        <f t="shared" si="141"/>
        <v>79</v>
      </c>
      <c r="HN111" s="7">
        <f t="shared" si="141"/>
        <v>80</v>
      </c>
      <c r="HO111" s="7">
        <f t="shared" si="141"/>
        <v>81</v>
      </c>
      <c r="HP111" s="7">
        <f t="shared" si="141"/>
        <v>82</v>
      </c>
      <c r="HQ111" s="7">
        <f t="shared" si="141"/>
        <v>83</v>
      </c>
      <c r="HR111" s="7">
        <f t="shared" si="141"/>
        <v>84</v>
      </c>
      <c r="HS111" s="7">
        <f t="shared" si="141"/>
        <v>85</v>
      </c>
      <c r="HT111" s="7">
        <f t="shared" si="141"/>
        <v>86</v>
      </c>
      <c r="HU111" s="7">
        <f t="shared" si="141"/>
        <v>87</v>
      </c>
      <c r="HV111" s="7">
        <f t="shared" si="141"/>
        <v>88</v>
      </c>
      <c r="HW111" s="7">
        <f t="shared" si="141"/>
        <v>89</v>
      </c>
      <c r="HX111" s="7">
        <f t="shared" si="141"/>
        <v>90</v>
      </c>
      <c r="HY111" s="7">
        <f t="shared" si="141"/>
        <v>91</v>
      </c>
      <c r="HZ111" s="7">
        <f t="shared" si="141"/>
        <v>92</v>
      </c>
      <c r="IA111" s="7">
        <f t="shared" si="141"/>
        <v>93</v>
      </c>
    </row>
    <row r="112" spans="1:237" ht="11.25" x14ac:dyDescent="0.2">
      <c r="G112" s="7"/>
      <c r="H112" s="7"/>
      <c r="I112" s="7"/>
      <c r="J112" s="7"/>
      <c r="K112" s="7"/>
      <c r="L112" s="7">
        <f t="shared" si="138"/>
        <v>1</v>
      </c>
      <c r="M112" s="7">
        <f t="shared" si="138"/>
        <v>2</v>
      </c>
      <c r="N112" s="7">
        <f t="shared" si="138"/>
        <v>3</v>
      </c>
      <c r="O112" s="7">
        <f t="shared" si="138"/>
        <v>4</v>
      </c>
      <c r="P112" s="7">
        <f t="shared" si="138"/>
        <v>5</v>
      </c>
      <c r="Q112" s="7">
        <f t="shared" ref="Q112" si="142">P112+1</f>
        <v>6</v>
      </c>
      <c r="R112" s="7">
        <f t="shared" ref="R112" si="143">Q112+1</f>
        <v>7</v>
      </c>
      <c r="S112" s="7">
        <f t="shared" ref="S112" si="144">R112+1</f>
        <v>8</v>
      </c>
      <c r="T112" s="7">
        <f t="shared" ref="T112" si="145">S112+1</f>
        <v>9</v>
      </c>
      <c r="U112" s="7">
        <f t="shared" ref="U112" si="146">T112+1</f>
        <v>10</v>
      </c>
      <c r="V112" s="7">
        <f t="shared" ref="V112" si="147">U112+1</f>
        <v>11</v>
      </c>
      <c r="W112" s="7">
        <f t="shared" ref="W112" si="148">V112+1</f>
        <v>12</v>
      </c>
      <c r="X112" s="7">
        <f t="shared" ref="X112" si="149">W112+1</f>
        <v>13</v>
      </c>
      <c r="Y112" s="7">
        <f t="shared" ref="Y112" si="150">X112+1</f>
        <v>14</v>
      </c>
      <c r="Z112" s="7">
        <f t="shared" ref="Z112" si="151">Y112+1</f>
        <v>15</v>
      </c>
      <c r="AA112" s="7">
        <f t="shared" ref="AA112" si="152">Z112+1</f>
        <v>16</v>
      </c>
      <c r="AB112" s="7">
        <f t="shared" ref="AB112" si="153">AA112+1</f>
        <v>17</v>
      </c>
      <c r="AC112" s="7">
        <f t="shared" ref="AC112" si="154">AB112+1</f>
        <v>18</v>
      </c>
      <c r="AD112" s="7">
        <f t="shared" ref="AD112" si="155">AC112+1</f>
        <v>19</v>
      </c>
      <c r="AE112" s="7">
        <f t="shared" ref="AE112" si="156">AD112+1</f>
        <v>20</v>
      </c>
      <c r="AF112" s="7">
        <f t="shared" ref="AF112" si="157">AE112+1</f>
        <v>21</v>
      </c>
      <c r="AG112" s="7">
        <f t="shared" ref="AG112" si="158">AF112+1</f>
        <v>22</v>
      </c>
      <c r="AH112" s="7">
        <f t="shared" ref="AH112" si="159">AG112+1</f>
        <v>23</v>
      </c>
      <c r="AI112" s="7">
        <f t="shared" ref="AI112" si="160">AH112+1</f>
        <v>24</v>
      </c>
      <c r="AJ112" s="7">
        <f t="shared" ref="AJ112" si="161">AI112+1</f>
        <v>25</v>
      </c>
      <c r="AK112" s="7">
        <f t="shared" ref="AK112" si="162">AJ112+1</f>
        <v>26</v>
      </c>
      <c r="AL112" s="7">
        <f t="shared" ref="AL112" si="163">AK112+1</f>
        <v>27</v>
      </c>
      <c r="AM112" s="7">
        <f t="shared" ref="AM112" si="164">AL112+1</f>
        <v>28</v>
      </c>
      <c r="AN112" s="7">
        <f t="shared" ref="AN112" si="165">AM112+1</f>
        <v>29</v>
      </c>
      <c r="AO112" s="7">
        <f t="shared" ref="AO112" si="166">AN112+1</f>
        <v>30</v>
      </c>
      <c r="AP112" s="7">
        <f t="shared" ref="AP112" si="167">AO112+1</f>
        <v>31</v>
      </c>
      <c r="AQ112" s="7">
        <f t="shared" ref="AQ112" si="168">AP112+1</f>
        <v>32</v>
      </c>
      <c r="AR112" s="7">
        <f t="shared" ref="AR112" si="169">AQ112+1</f>
        <v>33</v>
      </c>
      <c r="AS112" s="7">
        <f t="shared" ref="AS112" si="170">AR112+1</f>
        <v>34</v>
      </c>
      <c r="AT112" s="7">
        <f t="shared" ref="AT112" si="171">AS112+1</f>
        <v>35</v>
      </c>
      <c r="AU112" s="7">
        <f t="shared" ref="AU112" si="172">AT112+1</f>
        <v>36</v>
      </c>
      <c r="AV112" s="7">
        <f t="shared" ref="AV112" si="173">AU112+1</f>
        <v>37</v>
      </c>
      <c r="AW112" s="7">
        <f t="shared" ref="AW112" si="174">AV112+1</f>
        <v>38</v>
      </c>
      <c r="AX112" s="7">
        <f t="shared" ref="AX112" si="175">AW112+1</f>
        <v>39</v>
      </c>
      <c r="AY112" s="7">
        <f t="shared" ref="AY112" si="176">AX112+1</f>
        <v>40</v>
      </c>
      <c r="AZ112" s="7">
        <f t="shared" ref="AZ112" si="177">AY112+1</f>
        <v>41</v>
      </c>
      <c r="BA112" s="7">
        <f t="shared" ref="BA112" si="178">AZ112+1</f>
        <v>42</v>
      </c>
      <c r="BB112" s="7">
        <f t="shared" ref="BB112" si="179">BA112+1</f>
        <v>43</v>
      </c>
      <c r="BC112" s="7">
        <f t="shared" ref="BC112" si="180">BB112+1</f>
        <v>44</v>
      </c>
      <c r="BD112" s="7">
        <f t="shared" ref="BD112" si="181">BC112+1</f>
        <v>45</v>
      </c>
      <c r="BE112" s="7">
        <f t="shared" ref="BE112" si="182">BD112+1</f>
        <v>46</v>
      </c>
      <c r="BF112" s="7">
        <f t="shared" ref="BF112" si="183">BE112+1</f>
        <v>47</v>
      </c>
      <c r="BG112" s="7">
        <f t="shared" ref="BG112" si="184">BF112+1</f>
        <v>48</v>
      </c>
      <c r="BH112" s="7">
        <f t="shared" ref="BH112" si="185">BG112+1</f>
        <v>49</v>
      </c>
      <c r="BI112" s="7">
        <f t="shared" ref="BI112" si="186">BH112+1</f>
        <v>50</v>
      </c>
      <c r="BJ112" s="7">
        <f t="shared" ref="BJ112" si="187">BI112+1</f>
        <v>51</v>
      </c>
      <c r="BK112" s="7">
        <f t="shared" ref="BK112" si="188">BJ112+1</f>
        <v>52</v>
      </c>
      <c r="BL112" s="7">
        <f t="shared" ref="BL112" si="189">BK112+1</f>
        <v>53</v>
      </c>
      <c r="BM112" s="7">
        <f t="shared" ref="BM112" si="190">BL112+1</f>
        <v>54</v>
      </c>
      <c r="BN112" s="7">
        <f t="shared" ref="BN112" si="191">BM112+1</f>
        <v>55</v>
      </c>
      <c r="BO112" s="7">
        <f t="shared" ref="BO112" si="192">BN112+1</f>
        <v>56</v>
      </c>
      <c r="BP112" s="7">
        <f t="shared" ref="BP112" si="193">BO112+1</f>
        <v>57</v>
      </c>
      <c r="BQ112" s="7">
        <f t="shared" ref="BQ112" si="194">BP112+1</f>
        <v>58</v>
      </c>
      <c r="BR112" s="7">
        <f t="shared" ref="BR112" si="195">BQ112+1</f>
        <v>59</v>
      </c>
      <c r="BS112" s="7">
        <f t="shared" ref="BS112" si="196">BR112+1</f>
        <v>60</v>
      </c>
      <c r="BT112" s="7">
        <f t="shared" ref="BT112" si="197">BS112+1</f>
        <v>61</v>
      </c>
      <c r="BU112" s="7">
        <f t="shared" ref="BU112" si="198">BT112+1</f>
        <v>62</v>
      </c>
      <c r="BV112" s="7">
        <f t="shared" ref="BV112" si="199">BU112+1</f>
        <v>63</v>
      </c>
      <c r="BW112" s="7">
        <f t="shared" ref="BW112" si="200">BV112+1</f>
        <v>64</v>
      </c>
      <c r="BX112" s="7">
        <f t="shared" ref="BX112" si="201">BW112+1</f>
        <v>65</v>
      </c>
      <c r="BY112" s="7">
        <f t="shared" ref="BY112" si="202">BX112+1</f>
        <v>66</v>
      </c>
      <c r="BZ112" s="7">
        <f t="shared" ref="BZ112" si="203">BY112+1</f>
        <v>67</v>
      </c>
      <c r="CA112" s="7">
        <f t="shared" ref="CA112" si="204">BZ112+1</f>
        <v>68</v>
      </c>
      <c r="CB112" s="7">
        <f t="shared" ref="CB112" si="205">CA112+1</f>
        <v>69</v>
      </c>
      <c r="CC112" s="7">
        <f t="shared" ref="CC112" si="206">CB112+1</f>
        <v>70</v>
      </c>
      <c r="CD112" s="7">
        <f t="shared" ref="CD112" si="207">CC112+1</f>
        <v>71</v>
      </c>
      <c r="CE112" s="7">
        <f t="shared" ref="CE112" si="208">CD112+1</f>
        <v>72</v>
      </c>
      <c r="CF112" s="7">
        <f t="shared" ref="CF112" si="209">CE112+1</f>
        <v>73</v>
      </c>
      <c r="CG112" s="7">
        <f t="shared" ref="CG112" si="210">CF112+1</f>
        <v>74</v>
      </c>
      <c r="CH112" s="7">
        <f t="shared" ref="CH112" si="211">CG112+1</f>
        <v>75</v>
      </c>
      <c r="CI112" s="7">
        <f t="shared" ref="CI112" si="212">CH112+1</f>
        <v>76</v>
      </c>
      <c r="CJ112" s="7">
        <f t="shared" ref="CJ112" si="213">CI112+1</f>
        <v>77</v>
      </c>
      <c r="CK112" s="7">
        <f t="shared" ref="CK112" si="214">CJ112+1</f>
        <v>78</v>
      </c>
      <c r="CL112" s="7">
        <f t="shared" ref="CL112" si="215">CK112+1</f>
        <v>79</v>
      </c>
      <c r="CM112" s="7">
        <f t="shared" ref="CM112" si="216">CL112+1</f>
        <v>80</v>
      </c>
      <c r="CN112" s="7">
        <f t="shared" ref="CN112" si="217">CM112+1</f>
        <v>81</v>
      </c>
      <c r="CO112" s="7">
        <f t="shared" ref="CO112" si="218">CN112+1</f>
        <v>82</v>
      </c>
      <c r="CP112" s="7">
        <f t="shared" ref="CP112" si="219">CO112+1</f>
        <v>83</v>
      </c>
      <c r="CQ112" s="7">
        <f t="shared" ref="CQ112" si="220">CP112+1</f>
        <v>84</v>
      </c>
      <c r="CR112" s="7">
        <f t="shared" ref="CR112" si="221">CQ112+1</f>
        <v>85</v>
      </c>
      <c r="CS112" s="7">
        <f t="shared" ref="CS112" si="222">CR112+1</f>
        <v>86</v>
      </c>
      <c r="CT112" s="7">
        <f t="shared" ref="CT112" si="223">CS112+1</f>
        <v>87</v>
      </c>
      <c r="CU112" s="7">
        <f t="shared" ref="CU112" si="224">CT112+1</f>
        <v>88</v>
      </c>
      <c r="CV112" s="7">
        <f t="shared" ref="CV112" si="225">CU112+1</f>
        <v>89</v>
      </c>
      <c r="CW112" s="7">
        <f t="shared" ref="CW112" si="226">CV112+1</f>
        <v>90</v>
      </c>
      <c r="CX112" s="7">
        <f t="shared" ref="CX112" si="227">CW112+1</f>
        <v>91</v>
      </c>
      <c r="CY112" s="7">
        <f t="shared" ref="CY112" si="228">CX112+1</f>
        <v>92</v>
      </c>
      <c r="CZ112" s="7">
        <f t="shared" ref="CZ112" si="229">CY112+1</f>
        <v>93</v>
      </c>
      <c r="DA112" s="7">
        <f t="shared" ref="DA112" si="230">CZ112+1</f>
        <v>94</v>
      </c>
      <c r="DB112" s="7">
        <f t="shared" ref="DB112" si="231">DA112+1</f>
        <v>95</v>
      </c>
      <c r="DC112" s="7">
        <f t="shared" ref="DC112" si="232">DB112+1</f>
        <v>96</v>
      </c>
      <c r="DD112" s="7">
        <f t="shared" ref="DD112" si="233">DC112+1</f>
        <v>97</v>
      </c>
      <c r="DE112" s="7">
        <f t="shared" ref="DE112" si="234">DD112+1</f>
        <v>98</v>
      </c>
      <c r="DF112" s="7">
        <f t="shared" ref="DF112" si="235">DE112+1</f>
        <v>99</v>
      </c>
      <c r="DG112" s="7">
        <f t="shared" ref="DG112" si="236">DF112+1</f>
        <v>100</v>
      </c>
      <c r="DH112" s="7">
        <f t="shared" ref="DH112" si="237">DG112+1</f>
        <v>101</v>
      </c>
      <c r="DI112" s="7">
        <f t="shared" ref="DI112" si="238">DH112+1</f>
        <v>102</v>
      </c>
      <c r="DJ112" s="7">
        <f t="shared" ref="DJ112" si="239">DI112+1</f>
        <v>103</v>
      </c>
      <c r="DK112" s="7">
        <f t="shared" ref="DK112" si="240">DJ112+1</f>
        <v>104</v>
      </c>
      <c r="DL112" s="7">
        <f t="shared" ref="DL112" si="241">DK112+1</f>
        <v>105</v>
      </c>
      <c r="DM112" s="7">
        <f t="shared" ref="DM112" si="242">DL112+1</f>
        <v>106</v>
      </c>
      <c r="DN112" s="7">
        <f t="shared" ref="DN112" si="243">DM112+1</f>
        <v>107</v>
      </c>
      <c r="DO112" s="7">
        <f t="shared" ref="DO112" si="244">DN112+1</f>
        <v>108</v>
      </c>
      <c r="DP112" s="7">
        <f t="shared" ref="DP112" si="245">DO112+1</f>
        <v>109</v>
      </c>
      <c r="DQ112" s="7">
        <f t="shared" ref="DQ112" si="246">DP112+1</f>
        <v>110</v>
      </c>
      <c r="DR112" s="7">
        <f t="shared" ref="DR112" si="247">DQ112+1</f>
        <v>111</v>
      </c>
      <c r="DS112" s="7">
        <f t="shared" ref="DS112" si="248">DR112+1</f>
        <v>112</v>
      </c>
      <c r="DT112" s="7">
        <f t="shared" ref="DT112" si="249">DS112+1</f>
        <v>113</v>
      </c>
      <c r="DU112" s="7">
        <f t="shared" ref="DU112" si="250">DT112+1</f>
        <v>114</v>
      </c>
      <c r="DV112" s="7">
        <f t="shared" ref="DV112" si="251">DU112+1</f>
        <v>115</v>
      </c>
      <c r="DW112" s="7">
        <f t="shared" ref="DW112" si="252">DV112+1</f>
        <v>116</v>
      </c>
      <c r="DX112" s="7">
        <f t="shared" ref="DX112" si="253">DW112+1</f>
        <v>117</v>
      </c>
      <c r="DY112" s="7">
        <f t="shared" ref="DY112" si="254">DX112+1</f>
        <v>118</v>
      </c>
      <c r="DZ112" s="7">
        <f t="shared" ref="DZ112" si="255">DY112+1</f>
        <v>119</v>
      </c>
      <c r="EA112" s="7">
        <f t="shared" ref="EA112" si="256">DZ112+1</f>
        <v>120</v>
      </c>
      <c r="EB112" s="7">
        <f t="shared" ref="EB112" si="257">EA112+1</f>
        <v>121</v>
      </c>
      <c r="EC112" s="7">
        <f t="shared" ref="EC112" si="258">EB112+1</f>
        <v>122</v>
      </c>
      <c r="ED112" s="7">
        <f t="shared" ref="ED112" si="259">EC112+1</f>
        <v>123</v>
      </c>
      <c r="EE112" s="7">
        <f t="shared" ref="EE112" si="260">ED112+1</f>
        <v>124</v>
      </c>
      <c r="EF112" s="7">
        <f t="shared" ref="EF112" si="261">EE112+1</f>
        <v>125</v>
      </c>
      <c r="EG112" s="7">
        <f t="shared" ref="EG112" si="262">EF112+1</f>
        <v>126</v>
      </c>
      <c r="EH112" s="7">
        <f t="shared" ref="EH112" si="263">EG112+1</f>
        <v>127</v>
      </c>
      <c r="EI112" s="7">
        <f t="shared" ref="EI112" si="264">EH112+1</f>
        <v>128</v>
      </c>
      <c r="EJ112" s="7">
        <f t="shared" ref="EJ112" si="265">EI112+1</f>
        <v>129</v>
      </c>
      <c r="EK112" s="7">
        <f t="shared" ref="EK112" si="266">EJ112+1</f>
        <v>130</v>
      </c>
      <c r="EL112" s="7">
        <f t="shared" ref="EL112" si="267">EK112+1</f>
        <v>131</v>
      </c>
      <c r="EM112" s="7">
        <f t="shared" si="139"/>
        <v>132</v>
      </c>
      <c r="EN112" s="7">
        <f t="shared" si="139"/>
        <v>133</v>
      </c>
      <c r="EO112" s="7">
        <f t="shared" si="139"/>
        <v>134</v>
      </c>
      <c r="EP112" s="7">
        <f t="shared" si="139"/>
        <v>135</v>
      </c>
      <c r="EQ112" s="7">
        <f t="shared" si="139"/>
        <v>136</v>
      </c>
      <c r="ER112" s="7">
        <f t="shared" si="140"/>
        <v>137</v>
      </c>
      <c r="ES112" s="7">
        <f t="shared" si="140"/>
        <v>138</v>
      </c>
      <c r="ET112" s="7">
        <f t="shared" si="140"/>
        <v>139</v>
      </c>
      <c r="EU112" s="7">
        <f t="shared" si="140"/>
        <v>140</v>
      </c>
      <c r="EV112" s="7">
        <f t="shared" si="140"/>
        <v>141</v>
      </c>
      <c r="EW112" s="7">
        <f t="shared" si="140"/>
        <v>142</v>
      </c>
      <c r="EX112" s="7">
        <f t="shared" si="140"/>
        <v>143</v>
      </c>
      <c r="EY112" s="7">
        <f t="shared" si="140"/>
        <v>144</v>
      </c>
      <c r="EZ112" s="7">
        <f t="shared" si="140"/>
        <v>145</v>
      </c>
      <c r="FA112" s="7">
        <f t="shared" si="140"/>
        <v>146</v>
      </c>
      <c r="FB112" s="7">
        <f t="shared" si="140"/>
        <v>147</v>
      </c>
      <c r="FC112" s="7">
        <f t="shared" si="140"/>
        <v>148</v>
      </c>
      <c r="FD112" s="7">
        <f t="shared" si="140"/>
        <v>149</v>
      </c>
      <c r="FE112" s="7">
        <f t="shared" si="140"/>
        <v>150</v>
      </c>
      <c r="FF112" s="7">
        <f t="shared" si="140"/>
        <v>151</v>
      </c>
      <c r="FG112" s="7">
        <f t="shared" si="140"/>
        <v>152</v>
      </c>
      <c r="FH112" s="7">
        <f t="shared" si="140"/>
        <v>153</v>
      </c>
      <c r="FI112" s="7">
        <f t="shared" si="140"/>
        <v>154</v>
      </c>
      <c r="FJ112" s="7">
        <f t="shared" si="140"/>
        <v>155</v>
      </c>
      <c r="FK112" s="7">
        <f t="shared" si="140"/>
        <v>156</v>
      </c>
      <c r="FL112" s="7">
        <f t="shared" si="140"/>
        <v>157</v>
      </c>
      <c r="FM112" s="7">
        <f t="shared" si="140"/>
        <v>158</v>
      </c>
      <c r="FN112" s="7">
        <f t="shared" si="140"/>
        <v>159</v>
      </c>
      <c r="FO112" s="7">
        <f t="shared" si="140"/>
        <v>160</v>
      </c>
      <c r="FP112" s="7">
        <f t="shared" si="140"/>
        <v>161</v>
      </c>
      <c r="FQ112" s="7">
        <f t="shared" si="140"/>
        <v>162</v>
      </c>
      <c r="FR112" s="7">
        <f t="shared" si="140"/>
        <v>163</v>
      </c>
      <c r="FS112" s="7">
        <f t="shared" si="140"/>
        <v>164</v>
      </c>
      <c r="FT112" s="7">
        <f t="shared" si="140"/>
        <v>165</v>
      </c>
      <c r="FU112" s="7">
        <f t="shared" si="140"/>
        <v>166</v>
      </c>
      <c r="FV112" s="7">
        <f t="shared" si="140"/>
        <v>167</v>
      </c>
      <c r="FW112" s="7">
        <f t="shared" si="140"/>
        <v>168</v>
      </c>
      <c r="FX112" s="7">
        <f t="shared" si="140"/>
        <v>169</v>
      </c>
      <c r="FY112" s="7">
        <f t="shared" si="140"/>
        <v>170</v>
      </c>
    </row>
    <row r="113" spans="14:16" x14ac:dyDescent="0.25">
      <c r="N113"/>
      <c r="P113" s="84"/>
    </row>
    <row r="114" spans="14:16" x14ac:dyDescent="0.25">
      <c r="P114" s="84"/>
    </row>
    <row r="115" spans="14:16" x14ac:dyDescent="0.25">
      <c r="P115" s="84"/>
    </row>
    <row r="116" spans="14:16" x14ac:dyDescent="0.25">
      <c r="P116" s="84"/>
    </row>
    <row r="117" spans="14:16" x14ac:dyDescent="0.25">
      <c r="P117" s="84"/>
    </row>
    <row r="118" spans="14:16" x14ac:dyDescent="0.25">
      <c r="P118" s="84"/>
    </row>
    <row r="119" spans="14:16" x14ac:dyDescent="0.25">
      <c r="P119" s="84"/>
    </row>
    <row r="120" spans="14:16" x14ac:dyDescent="0.25">
      <c r="P120" s="84"/>
    </row>
    <row r="121" spans="14:16" x14ac:dyDescent="0.25">
      <c r="P121" s="84"/>
    </row>
    <row r="122" spans="14:16" x14ac:dyDescent="0.25">
      <c r="P122" s="84"/>
    </row>
    <row r="123" spans="14:16" x14ac:dyDescent="0.25">
      <c r="P123" s="84"/>
    </row>
    <row r="124" spans="14:16" x14ac:dyDescent="0.25">
      <c r="P124" s="84"/>
    </row>
    <row r="125" spans="14:16" x14ac:dyDescent="0.25">
      <c r="P125" s="84"/>
    </row>
    <row r="126" spans="14:16" x14ac:dyDescent="0.25">
      <c r="P126" s="84"/>
    </row>
    <row r="127" spans="14:16" x14ac:dyDescent="0.25">
      <c r="P127" s="84"/>
    </row>
    <row r="128" spans="14:16" x14ac:dyDescent="0.25">
      <c r="P128" s="84"/>
    </row>
    <row r="129" spans="16:16" x14ac:dyDescent="0.25">
      <c r="P129" s="84"/>
    </row>
    <row r="130" spans="16:16" x14ac:dyDescent="0.25">
      <c r="P130" s="84"/>
    </row>
    <row r="131" spans="16:16" x14ac:dyDescent="0.25">
      <c r="P131" s="84"/>
    </row>
    <row r="132" spans="16:16" x14ac:dyDescent="0.25">
      <c r="P132" s="84"/>
    </row>
    <row r="133" spans="16:16" x14ac:dyDescent="0.25">
      <c r="P133" s="84"/>
    </row>
    <row r="134" spans="16:16" x14ac:dyDescent="0.25">
      <c r="P134" s="84"/>
    </row>
    <row r="135" spans="16:16" x14ac:dyDescent="0.25">
      <c r="P135" s="84"/>
    </row>
    <row r="136" spans="16:16" x14ac:dyDescent="0.25">
      <c r="P136" s="84"/>
    </row>
    <row r="137" spans="16:16" x14ac:dyDescent="0.25">
      <c r="P137" s="84"/>
    </row>
    <row r="138" spans="16:16" x14ac:dyDescent="0.25">
      <c r="P138" s="84"/>
    </row>
    <row r="139" spans="16:16" x14ac:dyDescent="0.25">
      <c r="P139" s="84"/>
    </row>
    <row r="140" spans="16:16" x14ac:dyDescent="0.25">
      <c r="P140" s="84"/>
    </row>
    <row r="141" spans="16:16" x14ac:dyDescent="0.25">
      <c r="P141" s="84"/>
    </row>
    <row r="142" spans="16:16" x14ac:dyDescent="0.25">
      <c r="P142" s="84"/>
    </row>
    <row r="143" spans="16:16" x14ac:dyDescent="0.25">
      <c r="P143" s="84"/>
    </row>
    <row r="144" spans="16:16" x14ac:dyDescent="0.25">
      <c r="P144" s="84"/>
    </row>
    <row r="145" spans="16:16" x14ac:dyDescent="0.25">
      <c r="P145" s="84"/>
    </row>
    <row r="146" spans="16:16" x14ac:dyDescent="0.25">
      <c r="P146" s="84"/>
    </row>
    <row r="147" spans="16:16" x14ac:dyDescent="0.25">
      <c r="P147" s="84"/>
    </row>
    <row r="148" spans="16:16" x14ac:dyDescent="0.25">
      <c r="P148" s="84"/>
    </row>
    <row r="149" spans="16:16" x14ac:dyDescent="0.25">
      <c r="P149" s="84"/>
    </row>
    <row r="150" spans="16:16" x14ac:dyDescent="0.25">
      <c r="P150" s="84"/>
    </row>
    <row r="151" spans="16:16" x14ac:dyDescent="0.25">
      <c r="P151" s="84"/>
    </row>
    <row r="152" spans="16:16" x14ac:dyDescent="0.25">
      <c r="P152" s="84"/>
    </row>
    <row r="153" spans="16:16" x14ac:dyDescent="0.25">
      <c r="P153" s="84"/>
    </row>
    <row r="154" spans="16:16" x14ac:dyDescent="0.25">
      <c r="P154" s="84"/>
    </row>
    <row r="155" spans="16:16" x14ac:dyDescent="0.25">
      <c r="P155" s="84"/>
    </row>
    <row r="156" spans="16:16" x14ac:dyDescent="0.25">
      <c r="P156" s="84"/>
    </row>
    <row r="157" spans="16:16" x14ac:dyDescent="0.25">
      <c r="P157" s="84"/>
    </row>
    <row r="158" spans="16:16" x14ac:dyDescent="0.25">
      <c r="P158" s="84"/>
    </row>
    <row r="159" spans="16:16" x14ac:dyDescent="0.25">
      <c r="P159" s="84"/>
    </row>
    <row r="160" spans="16:16" x14ac:dyDescent="0.25">
      <c r="P160" s="84"/>
    </row>
    <row r="161" spans="16:16" x14ac:dyDescent="0.25">
      <c r="P161" s="84"/>
    </row>
    <row r="162" spans="16:16" x14ac:dyDescent="0.25">
      <c r="P162" s="84"/>
    </row>
    <row r="163" spans="16:16" x14ac:dyDescent="0.25">
      <c r="P163" s="84"/>
    </row>
    <row r="164" spans="16:16" x14ac:dyDescent="0.25">
      <c r="P164" s="84"/>
    </row>
    <row r="165" spans="16:16" x14ac:dyDescent="0.25">
      <c r="P165" s="84"/>
    </row>
    <row r="166" spans="16:16" x14ac:dyDescent="0.25">
      <c r="P166" s="84"/>
    </row>
    <row r="167" spans="16:16" x14ac:dyDescent="0.25">
      <c r="P167" s="84"/>
    </row>
    <row r="168" spans="16:16" x14ac:dyDescent="0.25">
      <c r="P168" s="84"/>
    </row>
    <row r="169" spans="16:16" x14ac:dyDescent="0.25">
      <c r="P169" s="84"/>
    </row>
    <row r="170" spans="16:16" x14ac:dyDescent="0.25">
      <c r="P170" s="84"/>
    </row>
    <row r="171" spans="16:16" x14ac:dyDescent="0.25">
      <c r="P171" s="84"/>
    </row>
    <row r="172" spans="16:16" x14ac:dyDescent="0.25">
      <c r="P172" s="84"/>
    </row>
    <row r="173" spans="16:16" x14ac:dyDescent="0.25">
      <c r="P173" s="84"/>
    </row>
  </sheetData>
  <sheetProtection autoFilter="0"/>
  <dataConsolidate/>
  <mergeCells count="34">
    <mergeCell ref="EL1:EL2"/>
    <mergeCell ref="CW4:CZ4"/>
    <mergeCell ref="BY4:CB4"/>
    <mergeCell ref="BI4:BL4"/>
    <mergeCell ref="BM4:BP4"/>
    <mergeCell ref="BE4:BH4"/>
    <mergeCell ref="CC4:CF4"/>
    <mergeCell ref="CG4:CJ4"/>
    <mergeCell ref="AG4:AJ4"/>
    <mergeCell ref="AK4:AN4"/>
    <mergeCell ref="AO4:AR4"/>
    <mergeCell ref="AS4:AV4"/>
    <mergeCell ref="AW4:AZ4"/>
    <mergeCell ref="I1:J2"/>
    <mergeCell ref="Q4:T4"/>
    <mergeCell ref="U4:X4"/>
    <mergeCell ref="Y4:AB4"/>
    <mergeCell ref="AC4:AF4"/>
    <mergeCell ref="A1:F2"/>
    <mergeCell ref="EG4:EJ4"/>
    <mergeCell ref="DA4:DD4"/>
    <mergeCell ref="DE4:DH4"/>
    <mergeCell ref="DI4:DL4"/>
    <mergeCell ref="DM4:DP4"/>
    <mergeCell ref="DQ4:DT4"/>
    <mergeCell ref="DU4:DX4"/>
    <mergeCell ref="CK4:CN4"/>
    <mergeCell ref="CO4:CR4"/>
    <mergeCell ref="CS4:CV4"/>
    <mergeCell ref="DY4:EB4"/>
    <mergeCell ref="EC4:EF4"/>
    <mergeCell ref="BQ4:BT4"/>
    <mergeCell ref="BU4:BX4"/>
    <mergeCell ref="BA4:BD4"/>
  </mergeCells>
  <phoneticPr fontId="37" type="noConversion"/>
  <conditionalFormatting sqref="EW5:EW110">
    <cfRule type="cellIs" dxfId="296" priority="8121" operator="greaterThan">
      <formula>0</formula>
    </cfRule>
  </conditionalFormatting>
  <conditionalFormatting sqref="J6:J110">
    <cfRule type="cellIs" dxfId="295" priority="1" operator="equal">
      <formula>"CRECHE"</formula>
    </cfRule>
    <cfRule type="cellIs" dxfId="294" priority="2" operator="equal">
      <formula>"ADAPTADO"</formula>
    </cfRule>
  </conditionalFormatting>
  <dataValidations disablePrompts="1" count="1">
    <dataValidation type="custom" allowBlank="1" showInputMessage="1" showErrorMessage="1" errorTitle="Atenção!" error="Veículo não é Adaptado" sqref="R6:R110 T6:T110 V6:V110 X6:X110 Z6:Z110 AB6:AB110 AD6:AD110 AF6:AF110 AH6:AH110 AJ6:AJ110 AL6:AL110 AN6:AN110 AP6:AP110 AR6:AR110 AT6:AT110 AV6:AV110 AX6:AX110 AZ6:AZ110 BB6:BB110 BD6:BD110 BF6:BF110 BH6:BH110 BJ6:BJ110 BL6:BL110 BN6:BN110 BP6:BP110 BR6:BR110 BT6:BT110 BV6:BV110 BX6:BX110 BZ6:BZ110 CB6:CB110 CD6:CD110 CF6:CF110 CH6:CH110 CJ6:CJ110 CL6:CL110 CN6:CN110 CP6:CP110 CR6:CR110 CT6:CT110 CV6:CV110 CX6:CX110 CZ6:CZ110 DB6:DB110 DD6:DD110 DF6:DF110 DH6:DH110 DJ6:DJ110 DL6:DL110 DN6:DN110 DP6:DP110 DR6:DR110 DT6:DT110 DV6:DV110 DX6:DX110 DZ6:DZ110 EB6:EB110 ED6:ED110 EF6:EF110 EH6:EH110 EJ6:EJ110" xr:uid="{00000000-0002-0000-0000-000000000000}">
      <formula1>$J6="ADAPTADO"</formula1>
    </dataValidation>
  </dataValidations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 filterMode="1">
    <tabColor indexed="40"/>
  </sheetPr>
  <dimension ref="A1:B3867"/>
  <sheetViews>
    <sheetView workbookViewId="0"/>
  </sheetViews>
  <sheetFormatPr defaultColWidth="33" defaultRowHeight="12.75" x14ac:dyDescent="0.2"/>
  <cols>
    <col min="1" max="1" width="61.85546875" customWidth="1"/>
  </cols>
  <sheetData>
    <row r="1" spans="1:2" ht="15" x14ac:dyDescent="0.25">
      <c r="A1" s="516" t="s">
        <v>319</v>
      </c>
      <c r="B1" s="516" t="s">
        <v>320</v>
      </c>
    </row>
    <row r="2" spans="1:2" ht="15" hidden="1" x14ac:dyDescent="0.25">
      <c r="A2" s="517" t="s">
        <v>220</v>
      </c>
      <c r="B2" s="517" t="s">
        <v>321</v>
      </c>
    </row>
    <row r="3" spans="1:2" ht="15" hidden="1" x14ac:dyDescent="0.25">
      <c r="A3" s="517" t="s">
        <v>190</v>
      </c>
      <c r="B3" s="517" t="s">
        <v>322</v>
      </c>
    </row>
    <row r="4" spans="1:2" ht="15" hidden="1" x14ac:dyDescent="0.25">
      <c r="A4" s="517" t="s">
        <v>190</v>
      </c>
      <c r="B4" s="517" t="s">
        <v>322</v>
      </c>
    </row>
    <row r="5" spans="1:2" ht="15" hidden="1" x14ac:dyDescent="0.25">
      <c r="A5" s="517" t="s">
        <v>190</v>
      </c>
      <c r="B5" s="517" t="s">
        <v>322</v>
      </c>
    </row>
    <row r="6" spans="1:2" ht="15" hidden="1" x14ac:dyDescent="0.25">
      <c r="A6" s="517" t="s">
        <v>190</v>
      </c>
      <c r="B6" s="517" t="s">
        <v>322</v>
      </c>
    </row>
    <row r="7" spans="1:2" ht="15" hidden="1" x14ac:dyDescent="0.25">
      <c r="A7" s="517" t="s">
        <v>190</v>
      </c>
      <c r="B7" s="517" t="s">
        <v>322</v>
      </c>
    </row>
    <row r="8" spans="1:2" ht="15" hidden="1" x14ac:dyDescent="0.25">
      <c r="A8" s="517" t="s">
        <v>190</v>
      </c>
      <c r="B8" s="517" t="s">
        <v>322</v>
      </c>
    </row>
    <row r="9" spans="1:2" ht="15" hidden="1" x14ac:dyDescent="0.25">
      <c r="A9" s="517" t="s">
        <v>191</v>
      </c>
      <c r="B9" s="517" t="s">
        <v>323</v>
      </c>
    </row>
    <row r="10" spans="1:2" ht="15" hidden="1" x14ac:dyDescent="0.25">
      <c r="A10" s="517" t="s">
        <v>191</v>
      </c>
      <c r="B10" s="517" t="s">
        <v>323</v>
      </c>
    </row>
    <row r="11" spans="1:2" ht="15" hidden="1" x14ac:dyDescent="0.25">
      <c r="A11" s="517" t="s">
        <v>191</v>
      </c>
      <c r="B11" s="517" t="s">
        <v>323</v>
      </c>
    </row>
    <row r="12" spans="1:2" ht="15" hidden="1" x14ac:dyDescent="0.25">
      <c r="A12" s="517" t="s">
        <v>192</v>
      </c>
      <c r="B12" s="517" t="s">
        <v>324</v>
      </c>
    </row>
    <row r="13" spans="1:2" ht="15" hidden="1" x14ac:dyDescent="0.25">
      <c r="A13" s="517" t="s">
        <v>192</v>
      </c>
      <c r="B13" s="517" t="s">
        <v>324</v>
      </c>
    </row>
    <row r="14" spans="1:2" ht="15" hidden="1" x14ac:dyDescent="0.25">
      <c r="A14" s="517" t="s">
        <v>192</v>
      </c>
      <c r="B14" s="517" t="s">
        <v>324</v>
      </c>
    </row>
    <row r="15" spans="1:2" ht="15" hidden="1" x14ac:dyDescent="0.25">
      <c r="A15" s="517" t="s">
        <v>192</v>
      </c>
      <c r="B15" s="517" t="s">
        <v>324</v>
      </c>
    </row>
    <row r="16" spans="1:2" ht="15" hidden="1" x14ac:dyDescent="0.25">
      <c r="A16" s="517" t="s">
        <v>192</v>
      </c>
      <c r="B16" s="517" t="s">
        <v>324</v>
      </c>
    </row>
    <row r="17" spans="1:2" ht="15" hidden="1" x14ac:dyDescent="0.25">
      <c r="A17" s="517" t="s">
        <v>193</v>
      </c>
      <c r="B17" s="517" t="s">
        <v>325</v>
      </c>
    </row>
    <row r="18" spans="1:2" ht="15" hidden="1" x14ac:dyDescent="0.25">
      <c r="A18" s="517" t="s">
        <v>193</v>
      </c>
      <c r="B18" s="517" t="s">
        <v>325</v>
      </c>
    </row>
    <row r="19" spans="1:2" ht="15" hidden="1" x14ac:dyDescent="0.25">
      <c r="A19" s="517" t="s">
        <v>193</v>
      </c>
      <c r="B19" s="517" t="s">
        <v>325</v>
      </c>
    </row>
    <row r="20" spans="1:2" ht="15" hidden="1" x14ac:dyDescent="0.25">
      <c r="A20" s="517" t="s">
        <v>193</v>
      </c>
      <c r="B20" s="517" t="s">
        <v>325</v>
      </c>
    </row>
    <row r="21" spans="1:2" ht="15" hidden="1" x14ac:dyDescent="0.25">
      <c r="A21" s="517" t="s">
        <v>193</v>
      </c>
      <c r="B21" s="517" t="s">
        <v>325</v>
      </c>
    </row>
    <row r="22" spans="1:2" ht="15" hidden="1" x14ac:dyDescent="0.25">
      <c r="A22" s="517" t="s">
        <v>193</v>
      </c>
      <c r="B22" s="517" t="s">
        <v>325</v>
      </c>
    </row>
    <row r="23" spans="1:2" ht="15" hidden="1" x14ac:dyDescent="0.25">
      <c r="A23" s="517" t="s">
        <v>193</v>
      </c>
      <c r="B23" s="517" t="s">
        <v>325</v>
      </c>
    </row>
    <row r="24" spans="1:2" ht="15" hidden="1" x14ac:dyDescent="0.25">
      <c r="A24" s="517" t="s">
        <v>193</v>
      </c>
      <c r="B24" s="517" t="s">
        <v>325</v>
      </c>
    </row>
    <row r="25" spans="1:2" ht="15" hidden="1" x14ac:dyDescent="0.25">
      <c r="A25" s="517" t="s">
        <v>193</v>
      </c>
      <c r="B25" s="517" t="s">
        <v>325</v>
      </c>
    </row>
    <row r="26" spans="1:2" ht="15" hidden="1" x14ac:dyDescent="0.25">
      <c r="A26" s="517" t="s">
        <v>193</v>
      </c>
      <c r="B26" s="517" t="s">
        <v>325</v>
      </c>
    </row>
    <row r="27" spans="1:2" ht="15" hidden="1" x14ac:dyDescent="0.25">
      <c r="A27" s="517" t="s">
        <v>193</v>
      </c>
      <c r="B27" s="517" t="s">
        <v>325</v>
      </c>
    </row>
    <row r="28" spans="1:2" ht="15" hidden="1" x14ac:dyDescent="0.25">
      <c r="A28" s="517" t="s">
        <v>193</v>
      </c>
      <c r="B28" s="517" t="s">
        <v>325</v>
      </c>
    </row>
    <row r="29" spans="1:2" ht="15" hidden="1" x14ac:dyDescent="0.25">
      <c r="A29" s="517" t="s">
        <v>193</v>
      </c>
      <c r="B29" s="517" t="s">
        <v>325</v>
      </c>
    </row>
    <row r="30" spans="1:2" ht="15" hidden="1" x14ac:dyDescent="0.25">
      <c r="A30" s="517" t="s">
        <v>221</v>
      </c>
      <c r="B30" s="517" t="s">
        <v>326</v>
      </c>
    </row>
    <row r="31" spans="1:2" ht="15" hidden="1" x14ac:dyDescent="0.25">
      <c r="A31" s="517" t="s">
        <v>194</v>
      </c>
      <c r="B31" s="517" t="s">
        <v>327</v>
      </c>
    </row>
    <row r="32" spans="1:2" ht="15" hidden="1" x14ac:dyDescent="0.25">
      <c r="A32" s="517" t="s">
        <v>194</v>
      </c>
      <c r="B32" s="517" t="s">
        <v>327</v>
      </c>
    </row>
    <row r="33" spans="1:2" ht="15" hidden="1" x14ac:dyDescent="0.25">
      <c r="A33" s="517" t="s">
        <v>194</v>
      </c>
      <c r="B33" s="517" t="s">
        <v>327</v>
      </c>
    </row>
    <row r="34" spans="1:2" ht="15" hidden="1" x14ac:dyDescent="0.25">
      <c r="A34" s="517" t="s">
        <v>194</v>
      </c>
      <c r="B34" s="517" t="s">
        <v>327</v>
      </c>
    </row>
    <row r="35" spans="1:2" ht="15" hidden="1" x14ac:dyDescent="0.25">
      <c r="A35" s="517" t="s">
        <v>194</v>
      </c>
      <c r="B35" s="517" t="s">
        <v>327</v>
      </c>
    </row>
    <row r="36" spans="1:2" ht="15" hidden="1" x14ac:dyDescent="0.25">
      <c r="A36" s="517" t="s">
        <v>194</v>
      </c>
      <c r="B36" s="517" t="s">
        <v>327</v>
      </c>
    </row>
    <row r="37" spans="1:2" ht="15" hidden="1" x14ac:dyDescent="0.25">
      <c r="A37" s="517" t="s">
        <v>194</v>
      </c>
      <c r="B37" s="517" t="s">
        <v>327</v>
      </c>
    </row>
    <row r="38" spans="1:2" ht="15" hidden="1" x14ac:dyDescent="0.25">
      <c r="A38" s="517" t="s">
        <v>194</v>
      </c>
      <c r="B38" s="517" t="s">
        <v>327</v>
      </c>
    </row>
    <row r="39" spans="1:2" ht="15" hidden="1" x14ac:dyDescent="0.25">
      <c r="A39" s="517" t="s">
        <v>194</v>
      </c>
      <c r="B39" s="517" t="s">
        <v>327</v>
      </c>
    </row>
    <row r="40" spans="1:2" ht="15" hidden="1" x14ac:dyDescent="0.25">
      <c r="A40" s="517" t="s">
        <v>194</v>
      </c>
      <c r="B40" s="517" t="s">
        <v>327</v>
      </c>
    </row>
    <row r="41" spans="1:2" ht="15" hidden="1" x14ac:dyDescent="0.25">
      <c r="A41" s="517" t="s">
        <v>194</v>
      </c>
      <c r="B41" s="517" t="s">
        <v>327</v>
      </c>
    </row>
    <row r="42" spans="1:2" ht="15" hidden="1" x14ac:dyDescent="0.25">
      <c r="A42" s="517" t="s">
        <v>194</v>
      </c>
      <c r="B42" s="517" t="s">
        <v>327</v>
      </c>
    </row>
    <row r="43" spans="1:2" ht="15" hidden="1" x14ac:dyDescent="0.25">
      <c r="A43" s="517" t="s">
        <v>222</v>
      </c>
      <c r="B43" s="517" t="s">
        <v>328</v>
      </c>
    </row>
    <row r="44" spans="1:2" ht="15" hidden="1" x14ac:dyDescent="0.25">
      <c r="A44" s="517" t="s">
        <v>195</v>
      </c>
      <c r="B44" s="517" t="s">
        <v>329</v>
      </c>
    </row>
    <row r="45" spans="1:2" ht="15" hidden="1" x14ac:dyDescent="0.25">
      <c r="A45" s="517" t="s">
        <v>196</v>
      </c>
      <c r="B45" s="517" t="s">
        <v>330</v>
      </c>
    </row>
    <row r="46" spans="1:2" ht="15" hidden="1" x14ac:dyDescent="0.25">
      <c r="A46" s="517" t="s">
        <v>196</v>
      </c>
      <c r="B46" s="517" t="s">
        <v>330</v>
      </c>
    </row>
    <row r="47" spans="1:2" ht="15" hidden="1" x14ac:dyDescent="0.25">
      <c r="A47" s="517" t="s">
        <v>196</v>
      </c>
      <c r="B47" s="517" t="s">
        <v>330</v>
      </c>
    </row>
    <row r="48" spans="1:2" ht="15" hidden="1" x14ac:dyDescent="0.25">
      <c r="A48" s="517" t="s">
        <v>196</v>
      </c>
      <c r="B48" s="517" t="s">
        <v>330</v>
      </c>
    </row>
    <row r="49" spans="1:2" ht="15" hidden="1" x14ac:dyDescent="0.25">
      <c r="A49" s="517" t="s">
        <v>196</v>
      </c>
      <c r="B49" s="517" t="s">
        <v>330</v>
      </c>
    </row>
    <row r="50" spans="1:2" ht="15" hidden="1" x14ac:dyDescent="0.25">
      <c r="A50" s="517" t="s">
        <v>196</v>
      </c>
      <c r="B50" s="517" t="s">
        <v>330</v>
      </c>
    </row>
    <row r="51" spans="1:2" ht="15" hidden="1" x14ac:dyDescent="0.25">
      <c r="A51" s="517" t="s">
        <v>196</v>
      </c>
      <c r="B51" s="517" t="s">
        <v>330</v>
      </c>
    </row>
    <row r="52" spans="1:2" ht="15" hidden="1" x14ac:dyDescent="0.25">
      <c r="A52" s="517" t="s">
        <v>196</v>
      </c>
      <c r="B52" s="517" t="s">
        <v>330</v>
      </c>
    </row>
    <row r="53" spans="1:2" ht="15" hidden="1" x14ac:dyDescent="0.25">
      <c r="A53" s="517" t="s">
        <v>196</v>
      </c>
      <c r="B53" s="517" t="s">
        <v>330</v>
      </c>
    </row>
    <row r="54" spans="1:2" ht="15" hidden="1" x14ac:dyDescent="0.25">
      <c r="A54" s="517" t="s">
        <v>196</v>
      </c>
      <c r="B54" s="517" t="s">
        <v>330</v>
      </c>
    </row>
    <row r="55" spans="1:2" ht="15" hidden="1" x14ac:dyDescent="0.25">
      <c r="A55" s="517" t="s">
        <v>196</v>
      </c>
      <c r="B55" s="517" t="s">
        <v>330</v>
      </c>
    </row>
    <row r="56" spans="1:2" ht="15" hidden="1" x14ac:dyDescent="0.25">
      <c r="A56" s="517" t="s">
        <v>196</v>
      </c>
      <c r="B56" s="517" t="s">
        <v>330</v>
      </c>
    </row>
    <row r="57" spans="1:2" ht="15" hidden="1" x14ac:dyDescent="0.25">
      <c r="A57" s="517" t="s">
        <v>197</v>
      </c>
      <c r="B57" s="517" t="s">
        <v>331</v>
      </c>
    </row>
    <row r="58" spans="1:2" ht="15" hidden="1" x14ac:dyDescent="0.25">
      <c r="A58" s="517" t="s">
        <v>197</v>
      </c>
      <c r="B58" s="517" t="s">
        <v>331</v>
      </c>
    </row>
    <row r="59" spans="1:2" ht="15" hidden="1" x14ac:dyDescent="0.25">
      <c r="A59" s="517" t="s">
        <v>197</v>
      </c>
      <c r="B59" s="517" t="s">
        <v>331</v>
      </c>
    </row>
    <row r="60" spans="1:2" ht="15" hidden="1" x14ac:dyDescent="0.25">
      <c r="A60" s="517" t="s">
        <v>197</v>
      </c>
      <c r="B60" s="517" t="s">
        <v>331</v>
      </c>
    </row>
    <row r="61" spans="1:2" ht="15" hidden="1" x14ac:dyDescent="0.25">
      <c r="A61" s="517" t="s">
        <v>197</v>
      </c>
      <c r="B61" s="517" t="s">
        <v>331</v>
      </c>
    </row>
    <row r="62" spans="1:2" ht="15" hidden="1" x14ac:dyDescent="0.25">
      <c r="A62" s="517" t="s">
        <v>197</v>
      </c>
      <c r="B62" s="517" t="s">
        <v>331</v>
      </c>
    </row>
    <row r="63" spans="1:2" ht="15" hidden="1" x14ac:dyDescent="0.25">
      <c r="A63" s="517" t="s">
        <v>197</v>
      </c>
      <c r="B63" s="517" t="s">
        <v>331</v>
      </c>
    </row>
    <row r="64" spans="1:2" ht="15" hidden="1" x14ac:dyDescent="0.25">
      <c r="A64" s="517" t="s">
        <v>197</v>
      </c>
      <c r="B64" s="517" t="s">
        <v>331</v>
      </c>
    </row>
    <row r="65" spans="1:2" ht="15" hidden="1" x14ac:dyDescent="0.25">
      <c r="A65" s="517" t="s">
        <v>197</v>
      </c>
      <c r="B65" s="517" t="s">
        <v>331</v>
      </c>
    </row>
    <row r="66" spans="1:2" ht="15" hidden="1" x14ac:dyDescent="0.25">
      <c r="A66" s="517" t="s">
        <v>197</v>
      </c>
      <c r="B66" s="517" t="s">
        <v>331</v>
      </c>
    </row>
    <row r="67" spans="1:2" ht="15" hidden="1" x14ac:dyDescent="0.25">
      <c r="A67" s="517" t="s">
        <v>197</v>
      </c>
      <c r="B67" s="517" t="s">
        <v>331</v>
      </c>
    </row>
    <row r="68" spans="1:2" ht="15" hidden="1" x14ac:dyDescent="0.25">
      <c r="A68" s="517" t="s">
        <v>197</v>
      </c>
      <c r="B68" s="517" t="s">
        <v>331</v>
      </c>
    </row>
    <row r="69" spans="1:2" ht="15" hidden="1" x14ac:dyDescent="0.25">
      <c r="A69" s="517" t="s">
        <v>197</v>
      </c>
      <c r="B69" s="517" t="s">
        <v>331</v>
      </c>
    </row>
    <row r="70" spans="1:2" ht="15" hidden="1" x14ac:dyDescent="0.25">
      <c r="A70" s="517" t="s">
        <v>223</v>
      </c>
      <c r="B70" s="517" t="s">
        <v>332</v>
      </c>
    </row>
    <row r="71" spans="1:2" ht="15" hidden="1" x14ac:dyDescent="0.25">
      <c r="A71" s="517" t="s">
        <v>198</v>
      </c>
      <c r="B71" s="517" t="s">
        <v>333</v>
      </c>
    </row>
    <row r="72" spans="1:2" ht="15" hidden="1" x14ac:dyDescent="0.25">
      <c r="A72" s="517" t="s">
        <v>198</v>
      </c>
      <c r="B72" s="517" t="s">
        <v>333</v>
      </c>
    </row>
    <row r="73" spans="1:2" ht="15" hidden="1" x14ac:dyDescent="0.25">
      <c r="A73" s="517" t="s">
        <v>198</v>
      </c>
      <c r="B73" s="517" t="s">
        <v>333</v>
      </c>
    </row>
    <row r="74" spans="1:2" ht="15" hidden="1" x14ac:dyDescent="0.25">
      <c r="A74" s="517" t="s">
        <v>199</v>
      </c>
      <c r="B74" s="517" t="s">
        <v>334</v>
      </c>
    </row>
    <row r="75" spans="1:2" ht="15" hidden="1" x14ac:dyDescent="0.25">
      <c r="A75" s="517" t="s">
        <v>199</v>
      </c>
      <c r="B75" s="517" t="s">
        <v>334</v>
      </c>
    </row>
    <row r="76" spans="1:2" ht="15" hidden="1" x14ac:dyDescent="0.25">
      <c r="A76" s="517" t="s">
        <v>199</v>
      </c>
      <c r="B76" s="517" t="s">
        <v>334</v>
      </c>
    </row>
    <row r="77" spans="1:2" ht="15" hidden="1" x14ac:dyDescent="0.25">
      <c r="A77" s="517" t="s">
        <v>199</v>
      </c>
      <c r="B77" s="517" t="s">
        <v>334</v>
      </c>
    </row>
    <row r="78" spans="1:2" ht="15" hidden="1" x14ac:dyDescent="0.25">
      <c r="A78" s="517" t="s">
        <v>200</v>
      </c>
      <c r="B78" s="517" t="s">
        <v>335</v>
      </c>
    </row>
    <row r="79" spans="1:2" ht="15" hidden="1" x14ac:dyDescent="0.25">
      <c r="A79" s="517" t="s">
        <v>298</v>
      </c>
      <c r="B79" s="517" t="s">
        <v>298</v>
      </c>
    </row>
    <row r="80" spans="1:2" ht="15" hidden="1" x14ac:dyDescent="0.25">
      <c r="A80" s="517" t="s">
        <v>336</v>
      </c>
      <c r="B80" s="517" t="s">
        <v>336</v>
      </c>
    </row>
    <row r="81" spans="1:2" ht="15" hidden="1" x14ac:dyDescent="0.25">
      <c r="A81" s="517" t="s">
        <v>336</v>
      </c>
      <c r="B81" s="517" t="s">
        <v>336</v>
      </c>
    </row>
    <row r="82" spans="1:2" ht="15" hidden="1" x14ac:dyDescent="0.25">
      <c r="A82" s="517" t="s">
        <v>337</v>
      </c>
      <c r="B82" s="517" t="s">
        <v>337</v>
      </c>
    </row>
    <row r="83" spans="1:2" ht="15" hidden="1" x14ac:dyDescent="0.25">
      <c r="A83" s="517" t="s">
        <v>338</v>
      </c>
      <c r="B83" s="517" t="s">
        <v>338</v>
      </c>
    </row>
    <row r="84" spans="1:2" ht="15" hidden="1" x14ac:dyDescent="0.25">
      <c r="A84" s="517" t="s">
        <v>300</v>
      </c>
      <c r="B84" s="517" t="s">
        <v>300</v>
      </c>
    </row>
    <row r="85" spans="1:2" ht="15" hidden="1" x14ac:dyDescent="0.25">
      <c r="A85" s="517" t="s">
        <v>339</v>
      </c>
      <c r="B85" s="517" t="s">
        <v>339</v>
      </c>
    </row>
    <row r="86" spans="1:2" ht="15" hidden="1" x14ac:dyDescent="0.25">
      <c r="A86" s="517" t="s">
        <v>340</v>
      </c>
      <c r="B86" s="517" t="s">
        <v>340</v>
      </c>
    </row>
    <row r="87" spans="1:2" ht="15" hidden="1" x14ac:dyDescent="0.25">
      <c r="A87" s="517" t="s">
        <v>340</v>
      </c>
      <c r="B87" s="517" t="s">
        <v>340</v>
      </c>
    </row>
    <row r="88" spans="1:2" ht="15" hidden="1" x14ac:dyDescent="0.25">
      <c r="A88" s="517" t="s">
        <v>341</v>
      </c>
      <c r="B88" s="517" t="s">
        <v>341</v>
      </c>
    </row>
    <row r="89" spans="1:2" ht="15" hidden="1" x14ac:dyDescent="0.25">
      <c r="A89" s="517" t="s">
        <v>301</v>
      </c>
      <c r="B89" s="517" t="s">
        <v>301</v>
      </c>
    </row>
    <row r="90" spans="1:2" ht="15" hidden="1" x14ac:dyDescent="0.25">
      <c r="A90" s="517" t="s">
        <v>342</v>
      </c>
      <c r="B90" s="517" t="s">
        <v>342</v>
      </c>
    </row>
    <row r="91" spans="1:2" ht="15" hidden="1" x14ac:dyDescent="0.25">
      <c r="A91" s="517" t="s">
        <v>343</v>
      </c>
      <c r="B91" s="517" t="s">
        <v>343</v>
      </c>
    </row>
    <row r="92" spans="1:2" ht="15" hidden="1" x14ac:dyDescent="0.25">
      <c r="A92" s="517" t="s">
        <v>344</v>
      </c>
      <c r="B92" s="517" t="s">
        <v>344</v>
      </c>
    </row>
    <row r="93" spans="1:2" ht="15" hidden="1" x14ac:dyDescent="0.25">
      <c r="A93" s="517" t="s">
        <v>305</v>
      </c>
      <c r="B93" s="517" t="s">
        <v>305</v>
      </c>
    </row>
    <row r="94" spans="1:2" ht="15" hidden="1" x14ac:dyDescent="0.25">
      <c r="A94" s="517" t="s">
        <v>345</v>
      </c>
      <c r="B94" s="517" t="s">
        <v>345</v>
      </c>
    </row>
    <row r="95" spans="1:2" ht="15" hidden="1" x14ac:dyDescent="0.25">
      <c r="A95" s="517" t="s">
        <v>346</v>
      </c>
      <c r="B95" s="517" t="s">
        <v>346</v>
      </c>
    </row>
    <row r="96" spans="1:2" ht="15" hidden="1" x14ac:dyDescent="0.25">
      <c r="A96" s="517" t="s">
        <v>347</v>
      </c>
      <c r="B96" s="517" t="s">
        <v>347</v>
      </c>
    </row>
    <row r="97" spans="1:2" ht="15" hidden="1" x14ac:dyDescent="0.25">
      <c r="A97" s="517" t="s">
        <v>347</v>
      </c>
      <c r="B97" s="517" t="s">
        <v>347</v>
      </c>
    </row>
    <row r="98" spans="1:2" ht="15" hidden="1" x14ac:dyDescent="0.25">
      <c r="A98" s="517" t="s">
        <v>348</v>
      </c>
      <c r="B98" s="517" t="s">
        <v>348</v>
      </c>
    </row>
    <row r="99" spans="1:2" ht="15" hidden="1" x14ac:dyDescent="0.25">
      <c r="A99" s="517" t="s">
        <v>303</v>
      </c>
      <c r="B99" s="517" t="s">
        <v>303</v>
      </c>
    </row>
    <row r="100" spans="1:2" ht="15" hidden="1" x14ac:dyDescent="0.25">
      <c r="A100" s="517" t="s">
        <v>303</v>
      </c>
      <c r="B100" s="517" t="s">
        <v>303</v>
      </c>
    </row>
    <row r="101" spans="1:2" ht="15" hidden="1" x14ac:dyDescent="0.25">
      <c r="A101" s="517" t="s">
        <v>302</v>
      </c>
      <c r="B101" s="517" t="s">
        <v>302</v>
      </c>
    </row>
    <row r="102" spans="1:2" ht="15" hidden="1" x14ac:dyDescent="0.25">
      <c r="A102" s="517" t="s">
        <v>349</v>
      </c>
      <c r="B102" s="517" t="s">
        <v>349</v>
      </c>
    </row>
    <row r="103" spans="1:2" ht="15" hidden="1" x14ac:dyDescent="0.25">
      <c r="A103" s="517" t="s">
        <v>349</v>
      </c>
      <c r="B103" s="517" t="s">
        <v>349</v>
      </c>
    </row>
    <row r="104" spans="1:2" ht="15" hidden="1" x14ac:dyDescent="0.25">
      <c r="A104" s="517" t="s">
        <v>349</v>
      </c>
      <c r="B104" s="517" t="s">
        <v>349</v>
      </c>
    </row>
    <row r="105" spans="1:2" ht="15" hidden="1" x14ac:dyDescent="0.25">
      <c r="A105" s="517" t="s">
        <v>350</v>
      </c>
      <c r="B105" s="517" t="s">
        <v>350</v>
      </c>
    </row>
    <row r="106" spans="1:2" ht="15" hidden="1" x14ac:dyDescent="0.25">
      <c r="A106" s="517" t="s">
        <v>350</v>
      </c>
      <c r="B106" s="517" t="s">
        <v>350</v>
      </c>
    </row>
    <row r="107" spans="1:2" ht="15" hidden="1" x14ac:dyDescent="0.25">
      <c r="A107" s="517" t="s">
        <v>351</v>
      </c>
      <c r="B107" s="517" t="s">
        <v>351</v>
      </c>
    </row>
    <row r="108" spans="1:2" ht="15" hidden="1" x14ac:dyDescent="0.25">
      <c r="A108" s="517" t="s">
        <v>352</v>
      </c>
      <c r="B108" s="517" t="s">
        <v>352</v>
      </c>
    </row>
    <row r="109" spans="1:2" ht="15" hidden="1" x14ac:dyDescent="0.25">
      <c r="A109" s="517" t="s">
        <v>353</v>
      </c>
      <c r="B109" s="517" t="s">
        <v>353</v>
      </c>
    </row>
    <row r="110" spans="1:2" ht="15" hidden="1" x14ac:dyDescent="0.25">
      <c r="A110" s="517" t="s">
        <v>354</v>
      </c>
      <c r="B110" s="517" t="s">
        <v>354</v>
      </c>
    </row>
    <row r="111" spans="1:2" ht="15" hidden="1" x14ac:dyDescent="0.25">
      <c r="A111" s="517" t="s">
        <v>355</v>
      </c>
      <c r="B111" s="517" t="s">
        <v>355</v>
      </c>
    </row>
    <row r="112" spans="1:2" ht="15" hidden="1" x14ac:dyDescent="0.25">
      <c r="A112" s="517" t="s">
        <v>355</v>
      </c>
      <c r="B112" s="517" t="s">
        <v>355</v>
      </c>
    </row>
    <row r="113" spans="1:2" ht="15" hidden="1" x14ac:dyDescent="0.25">
      <c r="A113" s="517" t="s">
        <v>304</v>
      </c>
      <c r="B113" s="517" t="s">
        <v>304</v>
      </c>
    </row>
    <row r="114" spans="1:2" ht="15" hidden="1" x14ac:dyDescent="0.25">
      <c r="A114" s="517" t="s">
        <v>356</v>
      </c>
      <c r="B114" s="517" t="s">
        <v>356</v>
      </c>
    </row>
    <row r="115" spans="1:2" ht="15" hidden="1" x14ac:dyDescent="0.25">
      <c r="A115" s="517" t="s">
        <v>357</v>
      </c>
      <c r="B115" s="517" t="s">
        <v>357</v>
      </c>
    </row>
    <row r="116" spans="1:2" ht="15" hidden="1" x14ac:dyDescent="0.25">
      <c r="A116" s="517" t="s">
        <v>358</v>
      </c>
      <c r="B116" s="517" t="s">
        <v>358</v>
      </c>
    </row>
    <row r="117" spans="1:2" ht="15" hidden="1" x14ac:dyDescent="0.25">
      <c r="A117" s="517" t="s">
        <v>359</v>
      </c>
      <c r="B117" s="517" t="s">
        <v>359</v>
      </c>
    </row>
    <row r="118" spans="1:2" ht="15" hidden="1" x14ac:dyDescent="0.25">
      <c r="A118" s="517" t="s">
        <v>359</v>
      </c>
      <c r="B118" s="517" t="s">
        <v>359</v>
      </c>
    </row>
    <row r="119" spans="1:2" ht="15" hidden="1" x14ac:dyDescent="0.25">
      <c r="A119" s="517" t="s">
        <v>360</v>
      </c>
      <c r="B119" s="517" t="s">
        <v>360</v>
      </c>
    </row>
    <row r="120" spans="1:2" ht="15" hidden="1" x14ac:dyDescent="0.25">
      <c r="A120" s="517" t="s">
        <v>361</v>
      </c>
      <c r="B120" s="517" t="s">
        <v>361</v>
      </c>
    </row>
    <row r="121" spans="1:2" ht="15" hidden="1" x14ac:dyDescent="0.25">
      <c r="A121" s="517" t="s">
        <v>214</v>
      </c>
      <c r="B121" s="517" t="s">
        <v>362</v>
      </c>
    </row>
    <row r="122" spans="1:2" ht="15" hidden="1" x14ac:dyDescent="0.25">
      <c r="A122" s="517" t="s">
        <v>214</v>
      </c>
      <c r="B122" s="517" t="s">
        <v>362</v>
      </c>
    </row>
    <row r="123" spans="1:2" ht="15" hidden="1" x14ac:dyDescent="0.25">
      <c r="A123" s="517" t="s">
        <v>215</v>
      </c>
      <c r="B123" s="517" t="s">
        <v>363</v>
      </c>
    </row>
    <row r="124" spans="1:2" ht="15" hidden="1" x14ac:dyDescent="0.25">
      <c r="A124" s="517" t="s">
        <v>216</v>
      </c>
      <c r="B124" s="517" t="s">
        <v>364</v>
      </c>
    </row>
    <row r="125" spans="1:2" ht="15" hidden="1" x14ac:dyDescent="0.25">
      <c r="A125" s="517" t="s">
        <v>216</v>
      </c>
      <c r="B125" s="517" t="s">
        <v>364</v>
      </c>
    </row>
    <row r="126" spans="1:2" ht="15" hidden="1" x14ac:dyDescent="0.25">
      <c r="A126" s="517" t="s">
        <v>216</v>
      </c>
      <c r="B126" s="517" t="s">
        <v>364</v>
      </c>
    </row>
    <row r="127" spans="1:2" ht="15" hidden="1" x14ac:dyDescent="0.25">
      <c r="A127" s="517" t="s">
        <v>216</v>
      </c>
      <c r="B127" s="517" t="s">
        <v>364</v>
      </c>
    </row>
    <row r="128" spans="1:2" ht="15" hidden="1" x14ac:dyDescent="0.25">
      <c r="A128" s="517" t="s">
        <v>217</v>
      </c>
      <c r="B128" s="517" t="s">
        <v>365</v>
      </c>
    </row>
    <row r="129" spans="1:2" ht="15" hidden="1" x14ac:dyDescent="0.25">
      <c r="A129" s="517" t="s">
        <v>218</v>
      </c>
      <c r="B129" s="517" t="s">
        <v>366</v>
      </c>
    </row>
    <row r="130" spans="1:2" ht="15" hidden="1" x14ac:dyDescent="0.25">
      <c r="A130" s="517" t="s">
        <v>219</v>
      </c>
      <c r="B130" s="517" t="s">
        <v>367</v>
      </c>
    </row>
    <row r="131" spans="1:2" ht="15" hidden="1" x14ac:dyDescent="0.25">
      <c r="A131" s="517" t="s">
        <v>224</v>
      </c>
      <c r="B131" s="517" t="s">
        <v>368</v>
      </c>
    </row>
    <row r="132" spans="1:2" ht="15" hidden="1" x14ac:dyDescent="0.25">
      <c r="A132" s="517" t="s">
        <v>224</v>
      </c>
      <c r="B132" s="517" t="s">
        <v>368</v>
      </c>
    </row>
    <row r="133" spans="1:2" ht="15" hidden="1" x14ac:dyDescent="0.25">
      <c r="A133" s="517" t="s">
        <v>225</v>
      </c>
      <c r="B133" s="517" t="s">
        <v>369</v>
      </c>
    </row>
    <row r="134" spans="1:2" ht="15" hidden="1" x14ac:dyDescent="0.25">
      <c r="A134" s="517" t="s">
        <v>201</v>
      </c>
      <c r="B134" s="517" t="s">
        <v>370</v>
      </c>
    </row>
    <row r="135" spans="1:2" ht="15" hidden="1" x14ac:dyDescent="0.25">
      <c r="A135" s="517" t="s">
        <v>201</v>
      </c>
      <c r="B135" s="517" t="s">
        <v>370</v>
      </c>
    </row>
    <row r="136" spans="1:2" ht="15" hidden="1" x14ac:dyDescent="0.25">
      <c r="A136" s="517" t="s">
        <v>201</v>
      </c>
      <c r="B136" s="517" t="s">
        <v>370</v>
      </c>
    </row>
    <row r="137" spans="1:2" ht="15" hidden="1" x14ac:dyDescent="0.25">
      <c r="A137" s="517" t="s">
        <v>226</v>
      </c>
      <c r="B137" s="517" t="s">
        <v>371</v>
      </c>
    </row>
    <row r="138" spans="1:2" ht="15" hidden="1" x14ac:dyDescent="0.25">
      <c r="A138" s="517" t="s">
        <v>227</v>
      </c>
      <c r="B138" s="517" t="s">
        <v>372</v>
      </c>
    </row>
    <row r="139" spans="1:2" ht="15" hidden="1" x14ac:dyDescent="0.25">
      <c r="A139" s="517" t="s">
        <v>227</v>
      </c>
      <c r="B139" s="517" t="s">
        <v>372</v>
      </c>
    </row>
    <row r="140" spans="1:2" ht="15" hidden="1" x14ac:dyDescent="0.25">
      <c r="A140" s="517" t="s">
        <v>228</v>
      </c>
      <c r="B140" s="517" t="s">
        <v>373</v>
      </c>
    </row>
    <row r="141" spans="1:2" ht="15" hidden="1" x14ac:dyDescent="0.25">
      <c r="A141" s="517" t="s">
        <v>228</v>
      </c>
      <c r="B141" s="517" t="s">
        <v>373</v>
      </c>
    </row>
    <row r="142" spans="1:2" ht="15" hidden="1" x14ac:dyDescent="0.25">
      <c r="A142" s="517" t="s">
        <v>229</v>
      </c>
      <c r="B142" s="517" t="s">
        <v>374</v>
      </c>
    </row>
    <row r="143" spans="1:2" ht="15" hidden="1" x14ac:dyDescent="0.25">
      <c r="A143" s="517" t="s">
        <v>230</v>
      </c>
      <c r="B143" s="517" t="s">
        <v>375</v>
      </c>
    </row>
    <row r="144" spans="1:2" ht="15" hidden="1" x14ac:dyDescent="0.25">
      <c r="A144" s="517" t="s">
        <v>230</v>
      </c>
      <c r="B144" s="517" t="s">
        <v>375</v>
      </c>
    </row>
    <row r="145" spans="1:2" ht="15" hidden="1" x14ac:dyDescent="0.25">
      <c r="A145" s="517" t="s">
        <v>230</v>
      </c>
      <c r="B145" s="517" t="s">
        <v>375</v>
      </c>
    </row>
    <row r="146" spans="1:2" ht="15" hidden="1" x14ac:dyDescent="0.25">
      <c r="A146" s="517" t="s">
        <v>231</v>
      </c>
      <c r="B146" s="517" t="s">
        <v>376</v>
      </c>
    </row>
    <row r="147" spans="1:2" ht="15" hidden="1" x14ac:dyDescent="0.25">
      <c r="A147" s="517" t="s">
        <v>232</v>
      </c>
      <c r="B147" s="517" t="s">
        <v>301</v>
      </c>
    </row>
    <row r="148" spans="1:2" ht="15" hidden="1" x14ac:dyDescent="0.25">
      <c r="A148" s="517" t="s">
        <v>233</v>
      </c>
      <c r="B148" s="517" t="s">
        <v>377</v>
      </c>
    </row>
    <row r="149" spans="1:2" ht="15" hidden="1" x14ac:dyDescent="0.25">
      <c r="A149" s="517" t="s">
        <v>234</v>
      </c>
      <c r="B149" s="517" t="s">
        <v>378</v>
      </c>
    </row>
    <row r="150" spans="1:2" ht="15" hidden="1" x14ac:dyDescent="0.25">
      <c r="A150" s="517" t="s">
        <v>235</v>
      </c>
      <c r="B150" s="517" t="s">
        <v>379</v>
      </c>
    </row>
    <row r="151" spans="1:2" ht="15" hidden="1" x14ac:dyDescent="0.25">
      <c r="A151" s="517" t="s">
        <v>235</v>
      </c>
      <c r="B151" s="517" t="s">
        <v>379</v>
      </c>
    </row>
    <row r="152" spans="1:2" ht="15" hidden="1" x14ac:dyDescent="0.25">
      <c r="A152" s="517" t="s">
        <v>202</v>
      </c>
      <c r="B152" s="517" t="s">
        <v>380</v>
      </c>
    </row>
    <row r="153" spans="1:2" ht="15" hidden="1" x14ac:dyDescent="0.25">
      <c r="A153" s="517" t="s">
        <v>236</v>
      </c>
      <c r="B153" s="517" t="s">
        <v>381</v>
      </c>
    </row>
    <row r="154" spans="1:2" ht="15" hidden="1" x14ac:dyDescent="0.25">
      <c r="A154" s="517" t="s">
        <v>236</v>
      </c>
      <c r="B154" s="517" t="s">
        <v>381</v>
      </c>
    </row>
    <row r="155" spans="1:2" ht="15" hidden="1" x14ac:dyDescent="0.25">
      <c r="A155" s="517" t="s">
        <v>237</v>
      </c>
      <c r="B155" s="517" t="s">
        <v>382</v>
      </c>
    </row>
    <row r="156" spans="1:2" ht="15" hidden="1" x14ac:dyDescent="0.25">
      <c r="A156" s="517" t="s">
        <v>237</v>
      </c>
      <c r="B156" s="517" t="s">
        <v>382</v>
      </c>
    </row>
    <row r="157" spans="1:2" ht="15" hidden="1" x14ac:dyDescent="0.25">
      <c r="A157" s="517" t="s">
        <v>383</v>
      </c>
      <c r="B157" s="517" t="s">
        <v>384</v>
      </c>
    </row>
    <row r="158" spans="1:2" ht="15" hidden="1" x14ac:dyDescent="0.25">
      <c r="A158" s="517" t="s">
        <v>238</v>
      </c>
      <c r="B158" s="517" t="s">
        <v>385</v>
      </c>
    </row>
    <row r="159" spans="1:2" ht="15" hidden="1" x14ac:dyDescent="0.25">
      <c r="A159" s="517" t="s">
        <v>238</v>
      </c>
      <c r="B159" s="517" t="s">
        <v>385</v>
      </c>
    </row>
    <row r="160" spans="1:2" ht="15" hidden="1" x14ac:dyDescent="0.25">
      <c r="A160" s="517" t="s">
        <v>239</v>
      </c>
      <c r="B160" s="517" t="s">
        <v>386</v>
      </c>
    </row>
    <row r="161" spans="1:2" ht="15" hidden="1" x14ac:dyDescent="0.25">
      <c r="A161" s="517" t="s">
        <v>239</v>
      </c>
      <c r="B161" s="517" t="s">
        <v>386</v>
      </c>
    </row>
    <row r="162" spans="1:2" ht="15" hidden="1" x14ac:dyDescent="0.25">
      <c r="A162" s="517" t="s">
        <v>240</v>
      </c>
      <c r="B162" s="517" t="s">
        <v>387</v>
      </c>
    </row>
    <row r="163" spans="1:2" ht="15" hidden="1" x14ac:dyDescent="0.25">
      <c r="A163" s="517" t="s">
        <v>240</v>
      </c>
      <c r="B163" s="517" t="s">
        <v>387</v>
      </c>
    </row>
    <row r="164" spans="1:2" ht="15" hidden="1" x14ac:dyDescent="0.25">
      <c r="A164" s="517" t="s">
        <v>240</v>
      </c>
      <c r="B164" s="517" t="s">
        <v>387</v>
      </c>
    </row>
    <row r="165" spans="1:2" ht="15" hidden="1" x14ac:dyDescent="0.25">
      <c r="A165" s="517" t="s">
        <v>240</v>
      </c>
      <c r="B165" s="517" t="s">
        <v>387</v>
      </c>
    </row>
    <row r="166" spans="1:2" ht="15" hidden="1" x14ac:dyDescent="0.25">
      <c r="A166" s="517" t="s">
        <v>241</v>
      </c>
      <c r="B166" s="517" t="s">
        <v>388</v>
      </c>
    </row>
    <row r="167" spans="1:2" ht="15" hidden="1" x14ac:dyDescent="0.25">
      <c r="A167" s="517" t="s">
        <v>203</v>
      </c>
      <c r="B167" s="517" t="s">
        <v>389</v>
      </c>
    </row>
    <row r="168" spans="1:2" ht="15" hidden="1" x14ac:dyDescent="0.25">
      <c r="A168" s="517" t="s">
        <v>242</v>
      </c>
      <c r="B168" s="517" t="s">
        <v>390</v>
      </c>
    </row>
    <row r="169" spans="1:2" ht="15" hidden="1" x14ac:dyDescent="0.25">
      <c r="A169" s="517" t="s">
        <v>242</v>
      </c>
      <c r="B169" s="517" t="s">
        <v>390</v>
      </c>
    </row>
    <row r="170" spans="1:2" ht="15" hidden="1" x14ac:dyDescent="0.25">
      <c r="A170" s="517" t="s">
        <v>242</v>
      </c>
      <c r="B170" s="517" t="s">
        <v>390</v>
      </c>
    </row>
    <row r="171" spans="1:2" ht="15" hidden="1" x14ac:dyDescent="0.25">
      <c r="A171" s="517" t="s">
        <v>242</v>
      </c>
      <c r="B171" s="517" t="s">
        <v>390</v>
      </c>
    </row>
    <row r="172" spans="1:2" ht="15" hidden="1" x14ac:dyDescent="0.25">
      <c r="A172" s="517" t="s">
        <v>243</v>
      </c>
      <c r="B172" s="517" t="s">
        <v>391</v>
      </c>
    </row>
    <row r="173" spans="1:2" ht="15" hidden="1" x14ac:dyDescent="0.25">
      <c r="A173" s="517" t="s">
        <v>244</v>
      </c>
      <c r="B173" s="517" t="s">
        <v>392</v>
      </c>
    </row>
    <row r="174" spans="1:2" ht="15" hidden="1" x14ac:dyDescent="0.25">
      <c r="A174" s="517" t="s">
        <v>245</v>
      </c>
      <c r="B174" s="517" t="s">
        <v>393</v>
      </c>
    </row>
    <row r="175" spans="1:2" ht="15" hidden="1" x14ac:dyDescent="0.25">
      <c r="A175" s="517" t="s">
        <v>394</v>
      </c>
      <c r="B175" s="517" t="s">
        <v>395</v>
      </c>
    </row>
    <row r="176" spans="1:2" ht="15" hidden="1" x14ac:dyDescent="0.25">
      <c r="A176" s="517" t="s">
        <v>246</v>
      </c>
      <c r="B176" s="517" t="s">
        <v>396</v>
      </c>
    </row>
    <row r="177" spans="1:2" ht="15" hidden="1" x14ac:dyDescent="0.25">
      <c r="A177" s="517" t="s">
        <v>247</v>
      </c>
      <c r="B177" s="517" t="s">
        <v>397</v>
      </c>
    </row>
    <row r="178" spans="1:2" ht="15" hidden="1" x14ac:dyDescent="0.25">
      <c r="A178" s="517" t="s">
        <v>247</v>
      </c>
      <c r="B178" s="517" t="s">
        <v>397</v>
      </c>
    </row>
    <row r="179" spans="1:2" ht="15" hidden="1" x14ac:dyDescent="0.25">
      <c r="A179" s="517" t="s">
        <v>248</v>
      </c>
      <c r="B179" s="517" t="s">
        <v>398</v>
      </c>
    </row>
    <row r="180" spans="1:2" ht="15" hidden="1" x14ac:dyDescent="0.25">
      <c r="A180" s="517" t="s">
        <v>249</v>
      </c>
      <c r="B180" s="517" t="s">
        <v>399</v>
      </c>
    </row>
    <row r="181" spans="1:2" ht="15" hidden="1" x14ac:dyDescent="0.25">
      <c r="A181" s="517" t="s">
        <v>204</v>
      </c>
      <c r="B181" s="517" t="s">
        <v>400</v>
      </c>
    </row>
    <row r="182" spans="1:2" ht="15" hidden="1" x14ac:dyDescent="0.25">
      <c r="A182" s="517" t="s">
        <v>250</v>
      </c>
      <c r="B182" s="517" t="s">
        <v>401</v>
      </c>
    </row>
    <row r="183" spans="1:2" ht="15" hidden="1" x14ac:dyDescent="0.25">
      <c r="A183" s="517" t="s">
        <v>251</v>
      </c>
      <c r="B183" s="517" t="s">
        <v>402</v>
      </c>
    </row>
    <row r="184" spans="1:2" ht="15" hidden="1" x14ac:dyDescent="0.25">
      <c r="A184" s="517" t="s">
        <v>252</v>
      </c>
      <c r="B184" s="517" t="s">
        <v>403</v>
      </c>
    </row>
    <row r="185" spans="1:2" ht="15" hidden="1" x14ac:dyDescent="0.25">
      <c r="A185" s="517" t="s">
        <v>205</v>
      </c>
      <c r="B185" s="517" t="s">
        <v>404</v>
      </c>
    </row>
    <row r="186" spans="1:2" ht="15" hidden="1" x14ac:dyDescent="0.25">
      <c r="A186" s="517" t="s">
        <v>253</v>
      </c>
      <c r="B186" s="517" t="s">
        <v>405</v>
      </c>
    </row>
    <row r="187" spans="1:2" ht="15" hidden="1" x14ac:dyDescent="0.25">
      <c r="A187" s="517" t="s">
        <v>253</v>
      </c>
      <c r="B187" s="517" t="s">
        <v>405</v>
      </c>
    </row>
    <row r="188" spans="1:2" ht="15" hidden="1" x14ac:dyDescent="0.25">
      <c r="A188" s="517" t="s">
        <v>253</v>
      </c>
      <c r="B188" s="517" t="s">
        <v>405</v>
      </c>
    </row>
    <row r="189" spans="1:2" ht="15" hidden="1" x14ac:dyDescent="0.25">
      <c r="A189" s="517" t="s">
        <v>253</v>
      </c>
      <c r="B189" s="517" t="s">
        <v>405</v>
      </c>
    </row>
    <row r="190" spans="1:2" ht="15" hidden="1" x14ac:dyDescent="0.25">
      <c r="A190" s="517" t="s">
        <v>253</v>
      </c>
      <c r="B190" s="517" t="s">
        <v>405</v>
      </c>
    </row>
    <row r="191" spans="1:2" ht="15" hidden="1" x14ac:dyDescent="0.25">
      <c r="A191" s="517" t="s">
        <v>253</v>
      </c>
      <c r="B191" s="517" t="s">
        <v>405</v>
      </c>
    </row>
    <row r="192" spans="1:2" ht="15" hidden="1" x14ac:dyDescent="0.25">
      <c r="A192" s="517" t="s">
        <v>253</v>
      </c>
      <c r="B192" s="517" t="s">
        <v>405</v>
      </c>
    </row>
    <row r="193" spans="1:2" ht="15" hidden="1" x14ac:dyDescent="0.25">
      <c r="A193" s="517" t="s">
        <v>253</v>
      </c>
      <c r="B193" s="517" t="s">
        <v>405</v>
      </c>
    </row>
    <row r="194" spans="1:2" ht="15" hidden="1" x14ac:dyDescent="0.25">
      <c r="A194" s="517" t="s">
        <v>253</v>
      </c>
      <c r="B194" s="517" t="s">
        <v>405</v>
      </c>
    </row>
    <row r="195" spans="1:2" ht="15" hidden="1" x14ac:dyDescent="0.25">
      <c r="A195" s="517" t="s">
        <v>253</v>
      </c>
      <c r="B195" s="517" t="s">
        <v>405</v>
      </c>
    </row>
    <row r="196" spans="1:2" ht="15" hidden="1" x14ac:dyDescent="0.25">
      <c r="A196" s="517" t="s">
        <v>253</v>
      </c>
      <c r="B196" s="517" t="s">
        <v>405</v>
      </c>
    </row>
    <row r="197" spans="1:2" ht="15" hidden="1" x14ac:dyDescent="0.25">
      <c r="A197" s="517" t="s">
        <v>253</v>
      </c>
      <c r="B197" s="517" t="s">
        <v>405</v>
      </c>
    </row>
    <row r="198" spans="1:2" ht="15" hidden="1" x14ac:dyDescent="0.25">
      <c r="A198" s="517" t="s">
        <v>190</v>
      </c>
      <c r="B198" s="517" t="s">
        <v>322</v>
      </c>
    </row>
    <row r="199" spans="1:2" ht="15" hidden="1" x14ac:dyDescent="0.25">
      <c r="A199" s="517" t="s">
        <v>190</v>
      </c>
      <c r="B199" s="517" t="s">
        <v>322</v>
      </c>
    </row>
    <row r="200" spans="1:2" ht="15" hidden="1" x14ac:dyDescent="0.25">
      <c r="A200" s="517" t="s">
        <v>190</v>
      </c>
      <c r="B200" s="517" t="s">
        <v>322</v>
      </c>
    </row>
    <row r="201" spans="1:2" ht="15" hidden="1" x14ac:dyDescent="0.25">
      <c r="A201" s="517" t="s">
        <v>190</v>
      </c>
      <c r="B201" s="517" t="s">
        <v>322</v>
      </c>
    </row>
    <row r="202" spans="1:2" ht="15" hidden="1" x14ac:dyDescent="0.25">
      <c r="A202" s="517" t="s">
        <v>190</v>
      </c>
      <c r="B202" s="517" t="s">
        <v>322</v>
      </c>
    </row>
    <row r="203" spans="1:2" ht="15" hidden="1" x14ac:dyDescent="0.25">
      <c r="A203" s="517" t="s">
        <v>190</v>
      </c>
      <c r="B203" s="517" t="s">
        <v>322</v>
      </c>
    </row>
    <row r="204" spans="1:2" ht="15" hidden="1" x14ac:dyDescent="0.25">
      <c r="A204" s="517" t="s">
        <v>190</v>
      </c>
      <c r="B204" s="517" t="s">
        <v>322</v>
      </c>
    </row>
    <row r="205" spans="1:2" ht="15" hidden="1" x14ac:dyDescent="0.25">
      <c r="A205" s="517" t="s">
        <v>190</v>
      </c>
      <c r="B205" s="517" t="s">
        <v>322</v>
      </c>
    </row>
    <row r="206" spans="1:2" ht="15" hidden="1" x14ac:dyDescent="0.25">
      <c r="A206" s="517" t="s">
        <v>190</v>
      </c>
      <c r="B206" s="517" t="s">
        <v>322</v>
      </c>
    </row>
    <row r="207" spans="1:2" ht="15" hidden="1" x14ac:dyDescent="0.25">
      <c r="A207" s="517" t="s">
        <v>190</v>
      </c>
      <c r="B207" s="517" t="s">
        <v>322</v>
      </c>
    </row>
    <row r="208" spans="1:2" ht="15" hidden="1" x14ac:dyDescent="0.25">
      <c r="A208" s="517" t="s">
        <v>190</v>
      </c>
      <c r="B208" s="517" t="s">
        <v>322</v>
      </c>
    </row>
    <row r="209" spans="1:2" ht="15" hidden="1" x14ac:dyDescent="0.25">
      <c r="A209" s="517" t="s">
        <v>190</v>
      </c>
      <c r="B209" s="517" t="s">
        <v>322</v>
      </c>
    </row>
    <row r="210" spans="1:2" ht="15" hidden="1" x14ac:dyDescent="0.25">
      <c r="A210" s="517" t="s">
        <v>190</v>
      </c>
      <c r="B210" s="517" t="s">
        <v>322</v>
      </c>
    </row>
    <row r="211" spans="1:2" ht="15" hidden="1" x14ac:dyDescent="0.25">
      <c r="A211" s="517" t="s">
        <v>190</v>
      </c>
      <c r="B211" s="517" t="s">
        <v>322</v>
      </c>
    </row>
    <row r="212" spans="1:2" ht="15" hidden="1" x14ac:dyDescent="0.25">
      <c r="A212" s="517" t="s">
        <v>190</v>
      </c>
      <c r="B212" s="517" t="s">
        <v>322</v>
      </c>
    </row>
    <row r="213" spans="1:2" ht="15" hidden="1" x14ac:dyDescent="0.25">
      <c r="A213" s="517" t="s">
        <v>190</v>
      </c>
      <c r="B213" s="517" t="s">
        <v>322</v>
      </c>
    </row>
    <row r="214" spans="1:2" ht="15" hidden="1" x14ac:dyDescent="0.25">
      <c r="A214" s="517" t="s">
        <v>190</v>
      </c>
      <c r="B214" s="517" t="s">
        <v>322</v>
      </c>
    </row>
    <row r="215" spans="1:2" ht="15" hidden="1" x14ac:dyDescent="0.25">
      <c r="A215" s="517" t="s">
        <v>190</v>
      </c>
      <c r="B215" s="517" t="s">
        <v>322</v>
      </c>
    </row>
    <row r="216" spans="1:2" ht="15" hidden="1" x14ac:dyDescent="0.25">
      <c r="A216" s="517" t="s">
        <v>190</v>
      </c>
      <c r="B216" s="517" t="s">
        <v>322</v>
      </c>
    </row>
    <row r="217" spans="1:2" ht="15" hidden="1" x14ac:dyDescent="0.25">
      <c r="A217" s="517" t="s">
        <v>190</v>
      </c>
      <c r="B217" s="517" t="s">
        <v>322</v>
      </c>
    </row>
    <row r="218" spans="1:2" ht="15" hidden="1" x14ac:dyDescent="0.25">
      <c r="A218" s="517" t="s">
        <v>190</v>
      </c>
      <c r="B218" s="517" t="s">
        <v>322</v>
      </c>
    </row>
    <row r="219" spans="1:2" ht="15" hidden="1" x14ac:dyDescent="0.25">
      <c r="A219" s="517" t="s">
        <v>190</v>
      </c>
      <c r="B219" s="517" t="s">
        <v>322</v>
      </c>
    </row>
    <row r="220" spans="1:2" ht="15" hidden="1" x14ac:dyDescent="0.25">
      <c r="A220" s="517" t="s">
        <v>190</v>
      </c>
      <c r="B220" s="517" t="s">
        <v>322</v>
      </c>
    </row>
    <row r="221" spans="1:2" ht="15" hidden="1" x14ac:dyDescent="0.25">
      <c r="A221" s="517" t="s">
        <v>190</v>
      </c>
      <c r="B221" s="517" t="s">
        <v>322</v>
      </c>
    </row>
    <row r="222" spans="1:2" ht="15" hidden="1" x14ac:dyDescent="0.25">
      <c r="A222" s="517" t="s">
        <v>190</v>
      </c>
      <c r="B222" s="517" t="s">
        <v>322</v>
      </c>
    </row>
    <row r="223" spans="1:2" ht="15" hidden="1" x14ac:dyDescent="0.25">
      <c r="A223" s="517" t="s">
        <v>190</v>
      </c>
      <c r="B223" s="517" t="s">
        <v>322</v>
      </c>
    </row>
    <row r="224" spans="1:2" ht="15" hidden="1" x14ac:dyDescent="0.25">
      <c r="A224" s="517" t="s">
        <v>190</v>
      </c>
      <c r="B224" s="517" t="s">
        <v>322</v>
      </c>
    </row>
    <row r="225" spans="1:2" ht="15" hidden="1" x14ac:dyDescent="0.25">
      <c r="A225" s="517" t="s">
        <v>190</v>
      </c>
      <c r="B225" s="517" t="s">
        <v>322</v>
      </c>
    </row>
    <row r="226" spans="1:2" ht="15" hidden="1" x14ac:dyDescent="0.25">
      <c r="A226" s="517" t="s">
        <v>190</v>
      </c>
      <c r="B226" s="517" t="s">
        <v>322</v>
      </c>
    </row>
    <row r="227" spans="1:2" ht="15" hidden="1" x14ac:dyDescent="0.25">
      <c r="A227" s="517" t="s">
        <v>190</v>
      </c>
      <c r="B227" s="517" t="s">
        <v>322</v>
      </c>
    </row>
    <row r="228" spans="1:2" ht="15" hidden="1" x14ac:dyDescent="0.25">
      <c r="A228" s="517" t="s">
        <v>190</v>
      </c>
      <c r="B228" s="517" t="s">
        <v>322</v>
      </c>
    </row>
    <row r="229" spans="1:2" ht="15" hidden="1" x14ac:dyDescent="0.25">
      <c r="A229" s="517" t="s">
        <v>190</v>
      </c>
      <c r="B229" s="517" t="s">
        <v>322</v>
      </c>
    </row>
    <row r="230" spans="1:2" ht="15" hidden="1" x14ac:dyDescent="0.25">
      <c r="A230" s="517" t="s">
        <v>190</v>
      </c>
      <c r="B230" s="517" t="s">
        <v>322</v>
      </c>
    </row>
    <row r="231" spans="1:2" ht="15" hidden="1" x14ac:dyDescent="0.25">
      <c r="A231" s="517" t="s">
        <v>190</v>
      </c>
      <c r="B231" s="517" t="s">
        <v>322</v>
      </c>
    </row>
    <row r="232" spans="1:2" ht="15" hidden="1" x14ac:dyDescent="0.25">
      <c r="A232" s="517" t="s">
        <v>191</v>
      </c>
      <c r="B232" s="517" t="s">
        <v>323</v>
      </c>
    </row>
    <row r="233" spans="1:2" ht="15" hidden="1" x14ac:dyDescent="0.25">
      <c r="A233" s="517" t="s">
        <v>192</v>
      </c>
      <c r="B233" s="517" t="s">
        <v>324</v>
      </c>
    </row>
    <row r="234" spans="1:2" ht="15" hidden="1" x14ac:dyDescent="0.25">
      <c r="A234" s="517" t="s">
        <v>192</v>
      </c>
      <c r="B234" s="517" t="s">
        <v>324</v>
      </c>
    </row>
    <row r="235" spans="1:2" ht="15" hidden="1" x14ac:dyDescent="0.25">
      <c r="A235" s="517" t="s">
        <v>192</v>
      </c>
      <c r="B235" s="517" t="s">
        <v>324</v>
      </c>
    </row>
    <row r="236" spans="1:2" ht="15" hidden="1" x14ac:dyDescent="0.25">
      <c r="A236" s="517" t="s">
        <v>192</v>
      </c>
      <c r="B236" s="517" t="s">
        <v>324</v>
      </c>
    </row>
    <row r="237" spans="1:2" ht="15" hidden="1" x14ac:dyDescent="0.25">
      <c r="A237" s="517" t="s">
        <v>192</v>
      </c>
      <c r="B237" s="517" t="s">
        <v>324</v>
      </c>
    </row>
    <row r="238" spans="1:2" ht="15" hidden="1" x14ac:dyDescent="0.25">
      <c r="A238" s="517" t="s">
        <v>192</v>
      </c>
      <c r="B238" s="517" t="s">
        <v>324</v>
      </c>
    </row>
    <row r="239" spans="1:2" ht="15" hidden="1" x14ac:dyDescent="0.25">
      <c r="A239" s="517" t="s">
        <v>192</v>
      </c>
      <c r="B239" s="517" t="s">
        <v>324</v>
      </c>
    </row>
    <row r="240" spans="1:2" ht="15" hidden="1" x14ac:dyDescent="0.25">
      <c r="A240" s="517" t="s">
        <v>192</v>
      </c>
      <c r="B240" s="517" t="s">
        <v>324</v>
      </c>
    </row>
    <row r="241" spans="1:2" ht="15" hidden="1" x14ac:dyDescent="0.25">
      <c r="A241" s="517" t="s">
        <v>407</v>
      </c>
      <c r="B241" s="517" t="s">
        <v>408</v>
      </c>
    </row>
    <row r="242" spans="1:2" ht="15" hidden="1" x14ac:dyDescent="0.25">
      <c r="A242" s="518" t="s">
        <v>407</v>
      </c>
      <c r="B242" s="517" t="s">
        <v>408</v>
      </c>
    </row>
    <row r="243" spans="1:2" ht="15" hidden="1" x14ac:dyDescent="0.25">
      <c r="A243" s="517" t="s">
        <v>409</v>
      </c>
      <c r="B243" s="517" t="s">
        <v>410</v>
      </c>
    </row>
    <row r="244" spans="1:2" ht="15" hidden="1" x14ac:dyDescent="0.25">
      <c r="A244" s="517" t="s">
        <v>409</v>
      </c>
      <c r="B244" s="517" t="s">
        <v>410</v>
      </c>
    </row>
    <row r="245" spans="1:2" ht="15" hidden="1" x14ac:dyDescent="0.25">
      <c r="A245" s="517" t="s">
        <v>409</v>
      </c>
      <c r="B245" s="517" t="s">
        <v>410</v>
      </c>
    </row>
    <row r="246" spans="1:2" ht="15" hidden="1" x14ac:dyDescent="0.25">
      <c r="A246" s="517" t="s">
        <v>411</v>
      </c>
      <c r="B246" s="517" t="s">
        <v>412</v>
      </c>
    </row>
    <row r="247" spans="1:2" ht="15" hidden="1" x14ac:dyDescent="0.25">
      <c r="A247" s="517" t="s">
        <v>411</v>
      </c>
      <c r="B247" s="517" t="s">
        <v>412</v>
      </c>
    </row>
    <row r="248" spans="1:2" ht="15" hidden="1" x14ac:dyDescent="0.25">
      <c r="A248" s="517" t="s">
        <v>193</v>
      </c>
      <c r="B248" s="517" t="s">
        <v>325</v>
      </c>
    </row>
    <row r="249" spans="1:2" ht="15" hidden="1" x14ac:dyDescent="0.25">
      <c r="A249" s="517" t="s">
        <v>193</v>
      </c>
      <c r="B249" s="517" t="s">
        <v>325</v>
      </c>
    </row>
    <row r="250" spans="1:2" ht="15" hidden="1" x14ac:dyDescent="0.25">
      <c r="A250" s="517" t="s">
        <v>193</v>
      </c>
      <c r="B250" s="517" t="s">
        <v>325</v>
      </c>
    </row>
    <row r="251" spans="1:2" ht="15" hidden="1" x14ac:dyDescent="0.25">
      <c r="A251" s="517" t="s">
        <v>193</v>
      </c>
      <c r="B251" s="517" t="s">
        <v>325</v>
      </c>
    </row>
    <row r="252" spans="1:2" ht="15" hidden="1" x14ac:dyDescent="0.25">
      <c r="A252" s="517" t="s">
        <v>193</v>
      </c>
      <c r="B252" s="517" t="s">
        <v>325</v>
      </c>
    </row>
    <row r="253" spans="1:2" ht="15" hidden="1" x14ac:dyDescent="0.25">
      <c r="A253" s="517" t="s">
        <v>193</v>
      </c>
      <c r="B253" s="517" t="s">
        <v>325</v>
      </c>
    </row>
    <row r="254" spans="1:2" ht="15" hidden="1" x14ac:dyDescent="0.25">
      <c r="A254" s="517" t="s">
        <v>193</v>
      </c>
      <c r="B254" s="517" t="s">
        <v>325</v>
      </c>
    </row>
    <row r="255" spans="1:2" ht="15" hidden="1" x14ac:dyDescent="0.25">
      <c r="A255" s="517" t="s">
        <v>193</v>
      </c>
      <c r="B255" s="517" t="s">
        <v>325</v>
      </c>
    </row>
    <row r="256" spans="1:2" ht="15" hidden="1" x14ac:dyDescent="0.25">
      <c r="A256" s="517" t="s">
        <v>193</v>
      </c>
      <c r="B256" s="517" t="s">
        <v>325</v>
      </c>
    </row>
    <row r="257" spans="1:2" ht="15" hidden="1" x14ac:dyDescent="0.25">
      <c r="A257" s="517" t="s">
        <v>193</v>
      </c>
      <c r="B257" s="517" t="s">
        <v>325</v>
      </c>
    </row>
    <row r="258" spans="1:2" ht="15" hidden="1" x14ac:dyDescent="0.25">
      <c r="A258" s="517" t="s">
        <v>193</v>
      </c>
      <c r="B258" s="517" t="s">
        <v>325</v>
      </c>
    </row>
    <row r="259" spans="1:2" ht="15" hidden="1" x14ac:dyDescent="0.25">
      <c r="A259" s="517" t="s">
        <v>193</v>
      </c>
      <c r="B259" s="517" t="s">
        <v>325</v>
      </c>
    </row>
    <row r="260" spans="1:2" ht="15" hidden="1" x14ac:dyDescent="0.25">
      <c r="A260" s="517" t="s">
        <v>193</v>
      </c>
      <c r="B260" s="517" t="s">
        <v>325</v>
      </c>
    </row>
    <row r="261" spans="1:2" ht="15" hidden="1" x14ac:dyDescent="0.25">
      <c r="A261" s="517" t="s">
        <v>193</v>
      </c>
      <c r="B261" s="517" t="s">
        <v>325</v>
      </c>
    </row>
    <row r="262" spans="1:2" ht="15" hidden="1" x14ac:dyDescent="0.25">
      <c r="A262" s="517" t="s">
        <v>193</v>
      </c>
      <c r="B262" s="517" t="s">
        <v>325</v>
      </c>
    </row>
    <row r="263" spans="1:2" ht="15" hidden="1" x14ac:dyDescent="0.25">
      <c r="A263" s="517" t="s">
        <v>193</v>
      </c>
      <c r="B263" s="517" t="s">
        <v>325</v>
      </c>
    </row>
    <row r="264" spans="1:2" ht="15" hidden="1" x14ac:dyDescent="0.25">
      <c r="A264" s="517" t="s">
        <v>193</v>
      </c>
      <c r="B264" s="517" t="s">
        <v>325</v>
      </c>
    </row>
    <row r="265" spans="1:2" ht="15" hidden="1" x14ac:dyDescent="0.25">
      <c r="A265" s="517" t="s">
        <v>193</v>
      </c>
      <c r="B265" s="517" t="s">
        <v>325</v>
      </c>
    </row>
    <row r="266" spans="1:2" ht="15" hidden="1" x14ac:dyDescent="0.25">
      <c r="A266" s="517" t="s">
        <v>193</v>
      </c>
      <c r="B266" s="517" t="s">
        <v>325</v>
      </c>
    </row>
    <row r="267" spans="1:2" ht="15" hidden="1" x14ac:dyDescent="0.25">
      <c r="A267" s="517" t="s">
        <v>193</v>
      </c>
      <c r="B267" s="517" t="s">
        <v>325</v>
      </c>
    </row>
    <row r="268" spans="1:2" ht="15" hidden="1" x14ac:dyDescent="0.25">
      <c r="A268" s="517" t="s">
        <v>193</v>
      </c>
      <c r="B268" s="517" t="s">
        <v>325</v>
      </c>
    </row>
    <row r="269" spans="1:2" ht="15" hidden="1" x14ac:dyDescent="0.25">
      <c r="A269" s="517" t="s">
        <v>193</v>
      </c>
      <c r="B269" s="517" t="s">
        <v>325</v>
      </c>
    </row>
    <row r="270" spans="1:2" ht="15" hidden="1" x14ac:dyDescent="0.25">
      <c r="A270" s="517" t="s">
        <v>193</v>
      </c>
      <c r="B270" s="517" t="s">
        <v>325</v>
      </c>
    </row>
    <row r="271" spans="1:2" ht="15" hidden="1" x14ac:dyDescent="0.25">
      <c r="A271" s="517" t="s">
        <v>193</v>
      </c>
      <c r="B271" s="517" t="s">
        <v>325</v>
      </c>
    </row>
    <row r="272" spans="1:2" ht="15" hidden="1" x14ac:dyDescent="0.25">
      <c r="A272" s="517" t="s">
        <v>193</v>
      </c>
      <c r="B272" s="517" t="s">
        <v>325</v>
      </c>
    </row>
    <row r="273" spans="1:2" ht="15" hidden="1" x14ac:dyDescent="0.25">
      <c r="A273" s="517" t="s">
        <v>193</v>
      </c>
      <c r="B273" s="517" t="s">
        <v>325</v>
      </c>
    </row>
    <row r="274" spans="1:2" ht="15" hidden="1" x14ac:dyDescent="0.25">
      <c r="A274" s="517" t="s">
        <v>193</v>
      </c>
      <c r="B274" s="517" t="s">
        <v>325</v>
      </c>
    </row>
    <row r="275" spans="1:2" ht="15" hidden="1" x14ac:dyDescent="0.25">
      <c r="A275" s="517" t="s">
        <v>193</v>
      </c>
      <c r="B275" s="517" t="s">
        <v>325</v>
      </c>
    </row>
    <row r="276" spans="1:2" ht="15" hidden="1" x14ac:dyDescent="0.25">
      <c r="A276" s="517" t="s">
        <v>193</v>
      </c>
      <c r="B276" s="517" t="s">
        <v>325</v>
      </c>
    </row>
    <row r="277" spans="1:2" ht="15" hidden="1" x14ac:dyDescent="0.25">
      <c r="A277" s="517" t="s">
        <v>193</v>
      </c>
      <c r="B277" s="517" t="s">
        <v>325</v>
      </c>
    </row>
    <row r="278" spans="1:2" ht="15" hidden="1" x14ac:dyDescent="0.25">
      <c r="A278" s="517" t="s">
        <v>193</v>
      </c>
      <c r="B278" s="517" t="s">
        <v>325</v>
      </c>
    </row>
    <row r="279" spans="1:2" ht="15" hidden="1" x14ac:dyDescent="0.25">
      <c r="A279" s="517" t="s">
        <v>193</v>
      </c>
      <c r="B279" s="517" t="s">
        <v>325</v>
      </c>
    </row>
    <row r="280" spans="1:2" ht="15" hidden="1" x14ac:dyDescent="0.25">
      <c r="A280" s="517" t="s">
        <v>193</v>
      </c>
      <c r="B280" s="517" t="s">
        <v>325</v>
      </c>
    </row>
    <row r="281" spans="1:2" ht="15" hidden="1" x14ac:dyDescent="0.25">
      <c r="A281" s="517" t="s">
        <v>193</v>
      </c>
      <c r="B281" s="517" t="s">
        <v>325</v>
      </c>
    </row>
    <row r="282" spans="1:2" ht="15" hidden="1" x14ac:dyDescent="0.25">
      <c r="A282" s="517" t="s">
        <v>193</v>
      </c>
      <c r="B282" s="517" t="s">
        <v>325</v>
      </c>
    </row>
    <row r="283" spans="1:2" ht="15" hidden="1" x14ac:dyDescent="0.25">
      <c r="A283" s="517" t="s">
        <v>193</v>
      </c>
      <c r="B283" s="517" t="s">
        <v>325</v>
      </c>
    </row>
    <row r="284" spans="1:2" ht="15" hidden="1" x14ac:dyDescent="0.25">
      <c r="A284" s="517" t="s">
        <v>193</v>
      </c>
      <c r="B284" s="517" t="s">
        <v>325</v>
      </c>
    </row>
    <row r="285" spans="1:2" ht="15" hidden="1" x14ac:dyDescent="0.25">
      <c r="A285" s="517" t="s">
        <v>193</v>
      </c>
      <c r="B285" s="517" t="s">
        <v>325</v>
      </c>
    </row>
    <row r="286" spans="1:2" ht="15" hidden="1" x14ac:dyDescent="0.25">
      <c r="A286" s="517" t="s">
        <v>193</v>
      </c>
      <c r="B286" s="517" t="s">
        <v>325</v>
      </c>
    </row>
    <row r="287" spans="1:2" ht="15" hidden="1" x14ac:dyDescent="0.25">
      <c r="A287" s="517" t="s">
        <v>193</v>
      </c>
      <c r="B287" s="517" t="s">
        <v>325</v>
      </c>
    </row>
    <row r="288" spans="1:2" ht="15" hidden="1" x14ac:dyDescent="0.25">
      <c r="A288" s="517" t="s">
        <v>193</v>
      </c>
      <c r="B288" s="517" t="s">
        <v>325</v>
      </c>
    </row>
    <row r="289" spans="1:2" ht="15" hidden="1" x14ac:dyDescent="0.25">
      <c r="A289" s="517" t="s">
        <v>193</v>
      </c>
      <c r="B289" s="517" t="s">
        <v>325</v>
      </c>
    </row>
    <row r="290" spans="1:2" ht="15" hidden="1" x14ac:dyDescent="0.25">
      <c r="A290" s="517" t="s">
        <v>193</v>
      </c>
      <c r="B290" s="517" t="s">
        <v>325</v>
      </c>
    </row>
    <row r="291" spans="1:2" ht="15" hidden="1" x14ac:dyDescent="0.25">
      <c r="A291" s="517" t="s">
        <v>193</v>
      </c>
      <c r="B291" s="517" t="s">
        <v>325</v>
      </c>
    </row>
    <row r="292" spans="1:2" ht="15" hidden="1" x14ac:dyDescent="0.25">
      <c r="A292" s="517" t="s">
        <v>193</v>
      </c>
      <c r="B292" s="517" t="s">
        <v>325</v>
      </c>
    </row>
    <row r="293" spans="1:2" ht="15" hidden="1" x14ac:dyDescent="0.25">
      <c r="A293" s="517" t="s">
        <v>193</v>
      </c>
      <c r="B293" s="517" t="s">
        <v>325</v>
      </c>
    </row>
    <row r="294" spans="1:2" ht="15" hidden="1" x14ac:dyDescent="0.25">
      <c r="A294" s="517" t="s">
        <v>193</v>
      </c>
      <c r="B294" s="517" t="s">
        <v>325</v>
      </c>
    </row>
    <row r="295" spans="1:2" ht="15" hidden="1" x14ac:dyDescent="0.25">
      <c r="A295" s="517" t="s">
        <v>193</v>
      </c>
      <c r="B295" s="517" t="s">
        <v>325</v>
      </c>
    </row>
    <row r="296" spans="1:2" ht="15" hidden="1" x14ac:dyDescent="0.25">
      <c r="A296" s="517" t="s">
        <v>193</v>
      </c>
      <c r="B296" s="517" t="s">
        <v>325</v>
      </c>
    </row>
    <row r="297" spans="1:2" ht="15" hidden="1" x14ac:dyDescent="0.25">
      <c r="A297" s="517" t="s">
        <v>193</v>
      </c>
      <c r="B297" s="517" t="s">
        <v>325</v>
      </c>
    </row>
    <row r="298" spans="1:2" ht="15" hidden="1" x14ac:dyDescent="0.25">
      <c r="A298" s="517" t="s">
        <v>193</v>
      </c>
      <c r="B298" s="517" t="s">
        <v>325</v>
      </c>
    </row>
    <row r="299" spans="1:2" ht="15" hidden="1" x14ac:dyDescent="0.25">
      <c r="A299" s="517" t="s">
        <v>193</v>
      </c>
      <c r="B299" s="517" t="s">
        <v>325</v>
      </c>
    </row>
    <row r="300" spans="1:2" ht="15" hidden="1" x14ac:dyDescent="0.25">
      <c r="A300" s="517" t="s">
        <v>193</v>
      </c>
      <c r="B300" s="517" t="s">
        <v>325</v>
      </c>
    </row>
    <row r="301" spans="1:2" ht="15" hidden="1" x14ac:dyDescent="0.25">
      <c r="A301" s="517" t="s">
        <v>193</v>
      </c>
      <c r="B301" s="517" t="s">
        <v>325</v>
      </c>
    </row>
    <row r="302" spans="1:2" ht="15" hidden="1" x14ac:dyDescent="0.25">
      <c r="A302" s="517" t="s">
        <v>193</v>
      </c>
      <c r="B302" s="517" t="s">
        <v>325</v>
      </c>
    </row>
    <row r="303" spans="1:2" ht="15" hidden="1" x14ac:dyDescent="0.25">
      <c r="A303" s="517" t="s">
        <v>193</v>
      </c>
      <c r="B303" s="517" t="s">
        <v>325</v>
      </c>
    </row>
    <row r="304" spans="1:2" ht="15" hidden="1" x14ac:dyDescent="0.25">
      <c r="A304" s="517" t="s">
        <v>193</v>
      </c>
      <c r="B304" s="517" t="s">
        <v>325</v>
      </c>
    </row>
    <row r="305" spans="1:2" ht="15" hidden="1" x14ac:dyDescent="0.25">
      <c r="A305" s="517" t="s">
        <v>193</v>
      </c>
      <c r="B305" s="517" t="s">
        <v>325</v>
      </c>
    </row>
    <row r="306" spans="1:2" ht="15" hidden="1" x14ac:dyDescent="0.25">
      <c r="A306" s="517" t="s">
        <v>193</v>
      </c>
      <c r="B306" s="517" t="s">
        <v>325</v>
      </c>
    </row>
    <row r="307" spans="1:2" ht="15" hidden="1" x14ac:dyDescent="0.25">
      <c r="A307" s="517" t="s">
        <v>193</v>
      </c>
      <c r="B307" s="517" t="s">
        <v>325</v>
      </c>
    </row>
    <row r="308" spans="1:2" ht="15" hidden="1" x14ac:dyDescent="0.25">
      <c r="A308" s="517" t="s">
        <v>193</v>
      </c>
      <c r="B308" s="517" t="s">
        <v>325</v>
      </c>
    </row>
    <row r="309" spans="1:2" ht="15" hidden="1" x14ac:dyDescent="0.25">
      <c r="A309" s="517" t="s">
        <v>194</v>
      </c>
      <c r="B309" s="517" t="s">
        <v>327</v>
      </c>
    </row>
    <row r="310" spans="1:2" ht="15" hidden="1" x14ac:dyDescent="0.25">
      <c r="A310" s="517" t="s">
        <v>194</v>
      </c>
      <c r="B310" s="517" t="s">
        <v>327</v>
      </c>
    </row>
    <row r="311" spans="1:2" ht="15" hidden="1" x14ac:dyDescent="0.25">
      <c r="A311" s="517" t="s">
        <v>194</v>
      </c>
      <c r="B311" s="517" t="s">
        <v>327</v>
      </c>
    </row>
    <row r="312" spans="1:2" ht="15" hidden="1" x14ac:dyDescent="0.25">
      <c r="A312" s="517" t="s">
        <v>194</v>
      </c>
      <c r="B312" s="517" t="s">
        <v>327</v>
      </c>
    </row>
    <row r="313" spans="1:2" ht="15" hidden="1" x14ac:dyDescent="0.25">
      <c r="A313" s="517" t="s">
        <v>194</v>
      </c>
      <c r="B313" s="517" t="s">
        <v>327</v>
      </c>
    </row>
    <row r="314" spans="1:2" ht="15" hidden="1" x14ac:dyDescent="0.25">
      <c r="A314" s="517" t="s">
        <v>194</v>
      </c>
      <c r="B314" s="517" t="s">
        <v>327</v>
      </c>
    </row>
    <row r="315" spans="1:2" ht="15" hidden="1" x14ac:dyDescent="0.25">
      <c r="A315" s="517" t="s">
        <v>194</v>
      </c>
      <c r="B315" s="517" t="s">
        <v>327</v>
      </c>
    </row>
    <row r="316" spans="1:2" ht="15" hidden="1" x14ac:dyDescent="0.25">
      <c r="A316" s="517" t="s">
        <v>194</v>
      </c>
      <c r="B316" s="517" t="s">
        <v>327</v>
      </c>
    </row>
    <row r="317" spans="1:2" ht="15" hidden="1" x14ac:dyDescent="0.25">
      <c r="A317" s="517" t="s">
        <v>194</v>
      </c>
      <c r="B317" s="517" t="s">
        <v>327</v>
      </c>
    </row>
    <row r="318" spans="1:2" ht="15" hidden="1" x14ac:dyDescent="0.25">
      <c r="A318" s="517" t="s">
        <v>194</v>
      </c>
      <c r="B318" s="517" t="s">
        <v>327</v>
      </c>
    </row>
    <row r="319" spans="1:2" ht="15" hidden="1" x14ac:dyDescent="0.25">
      <c r="A319" s="517" t="s">
        <v>194</v>
      </c>
      <c r="B319" s="517" t="s">
        <v>327</v>
      </c>
    </row>
    <row r="320" spans="1:2" ht="15" hidden="1" x14ac:dyDescent="0.25">
      <c r="A320" s="517" t="s">
        <v>194</v>
      </c>
      <c r="B320" s="517" t="s">
        <v>327</v>
      </c>
    </row>
    <row r="321" spans="1:2" ht="15" hidden="1" x14ac:dyDescent="0.25">
      <c r="A321" s="517" t="s">
        <v>195</v>
      </c>
      <c r="B321" s="517" t="s">
        <v>329</v>
      </c>
    </row>
    <row r="322" spans="1:2" ht="15" hidden="1" x14ac:dyDescent="0.25">
      <c r="A322" s="517" t="s">
        <v>195</v>
      </c>
      <c r="B322" s="517" t="s">
        <v>329</v>
      </c>
    </row>
    <row r="323" spans="1:2" ht="15" hidden="1" x14ac:dyDescent="0.25">
      <c r="A323" s="517" t="s">
        <v>195</v>
      </c>
      <c r="B323" s="517" t="s">
        <v>329</v>
      </c>
    </row>
    <row r="324" spans="1:2" ht="15" hidden="1" x14ac:dyDescent="0.25">
      <c r="A324" s="517" t="s">
        <v>195</v>
      </c>
      <c r="B324" s="517" t="s">
        <v>329</v>
      </c>
    </row>
    <row r="325" spans="1:2" ht="15" hidden="1" x14ac:dyDescent="0.25">
      <c r="A325" s="517" t="s">
        <v>195</v>
      </c>
      <c r="B325" s="517" t="s">
        <v>329</v>
      </c>
    </row>
    <row r="326" spans="1:2" ht="15" hidden="1" x14ac:dyDescent="0.25">
      <c r="A326" s="517" t="s">
        <v>196</v>
      </c>
      <c r="B326" s="517" t="s">
        <v>330</v>
      </c>
    </row>
    <row r="327" spans="1:2" ht="15" hidden="1" x14ac:dyDescent="0.25">
      <c r="A327" s="517" t="s">
        <v>197</v>
      </c>
      <c r="B327" s="517" t="s">
        <v>331</v>
      </c>
    </row>
    <row r="328" spans="1:2" ht="15" hidden="1" x14ac:dyDescent="0.25">
      <c r="A328" s="517" t="s">
        <v>197</v>
      </c>
      <c r="B328" s="517" t="s">
        <v>331</v>
      </c>
    </row>
    <row r="329" spans="1:2" ht="15" hidden="1" x14ac:dyDescent="0.25">
      <c r="A329" s="517" t="s">
        <v>413</v>
      </c>
      <c r="B329" s="517" t="s">
        <v>414</v>
      </c>
    </row>
    <row r="330" spans="1:2" ht="15" hidden="1" x14ac:dyDescent="0.25">
      <c r="A330" s="518" t="s">
        <v>413</v>
      </c>
      <c r="B330" s="517" t="s">
        <v>414</v>
      </c>
    </row>
    <row r="331" spans="1:2" ht="15" hidden="1" x14ac:dyDescent="0.25">
      <c r="A331" s="517" t="s">
        <v>413</v>
      </c>
      <c r="B331" s="517" t="s">
        <v>414</v>
      </c>
    </row>
    <row r="332" spans="1:2" ht="15" hidden="1" x14ac:dyDescent="0.25">
      <c r="A332" s="517" t="s">
        <v>198</v>
      </c>
      <c r="B332" s="517" t="s">
        <v>333</v>
      </c>
    </row>
    <row r="333" spans="1:2" ht="15" hidden="1" x14ac:dyDescent="0.25">
      <c r="A333" s="517" t="s">
        <v>198</v>
      </c>
      <c r="B333" s="517" t="s">
        <v>333</v>
      </c>
    </row>
    <row r="334" spans="1:2" ht="15" hidden="1" x14ac:dyDescent="0.25">
      <c r="A334" s="517" t="s">
        <v>198</v>
      </c>
      <c r="B334" s="517" t="s">
        <v>333</v>
      </c>
    </row>
    <row r="335" spans="1:2" ht="15" hidden="1" x14ac:dyDescent="0.25">
      <c r="A335" s="517" t="s">
        <v>199</v>
      </c>
      <c r="B335" s="517" t="s">
        <v>334</v>
      </c>
    </row>
    <row r="336" spans="1:2" ht="15" hidden="1" x14ac:dyDescent="0.25">
      <c r="A336" s="517" t="s">
        <v>199</v>
      </c>
      <c r="B336" s="517" t="s">
        <v>334</v>
      </c>
    </row>
    <row r="337" spans="1:2" ht="15" hidden="1" x14ac:dyDescent="0.25">
      <c r="A337" s="517" t="s">
        <v>200</v>
      </c>
      <c r="B337" s="517" t="s">
        <v>335</v>
      </c>
    </row>
    <row r="338" spans="1:2" ht="15" hidden="1" x14ac:dyDescent="0.25">
      <c r="A338" s="517" t="s">
        <v>200</v>
      </c>
      <c r="B338" s="517" t="s">
        <v>335</v>
      </c>
    </row>
    <row r="339" spans="1:2" ht="15" hidden="1" x14ac:dyDescent="0.25">
      <c r="A339" s="517" t="s">
        <v>200</v>
      </c>
      <c r="B339" s="517" t="s">
        <v>335</v>
      </c>
    </row>
    <row r="340" spans="1:2" ht="15" hidden="1" x14ac:dyDescent="0.25">
      <c r="A340" s="517" t="s">
        <v>415</v>
      </c>
      <c r="B340" s="517" t="s">
        <v>415</v>
      </c>
    </row>
    <row r="341" spans="1:2" ht="15" hidden="1" x14ac:dyDescent="0.25">
      <c r="A341" s="517" t="s">
        <v>416</v>
      </c>
      <c r="B341" s="517" t="s">
        <v>416</v>
      </c>
    </row>
    <row r="342" spans="1:2" ht="15" hidden="1" x14ac:dyDescent="0.25">
      <c r="A342" s="517" t="s">
        <v>417</v>
      </c>
      <c r="B342" s="517" t="s">
        <v>417</v>
      </c>
    </row>
    <row r="343" spans="1:2" ht="15" hidden="1" x14ac:dyDescent="0.25">
      <c r="A343" s="517" t="s">
        <v>418</v>
      </c>
      <c r="B343" s="517" t="s">
        <v>418</v>
      </c>
    </row>
    <row r="344" spans="1:2" ht="15" hidden="1" x14ac:dyDescent="0.25">
      <c r="A344" s="517" t="s">
        <v>419</v>
      </c>
      <c r="B344" s="517" t="s">
        <v>419</v>
      </c>
    </row>
    <row r="345" spans="1:2" ht="15" hidden="1" x14ac:dyDescent="0.25">
      <c r="A345" s="517" t="s">
        <v>420</v>
      </c>
      <c r="B345" s="517" t="s">
        <v>420</v>
      </c>
    </row>
    <row r="346" spans="1:2" ht="15" hidden="1" x14ac:dyDescent="0.25">
      <c r="A346" s="517" t="s">
        <v>421</v>
      </c>
      <c r="B346" s="517" t="s">
        <v>421</v>
      </c>
    </row>
    <row r="347" spans="1:2" ht="15" hidden="1" x14ac:dyDescent="0.25">
      <c r="A347" s="517" t="s">
        <v>422</v>
      </c>
      <c r="B347" s="517" t="s">
        <v>422</v>
      </c>
    </row>
    <row r="348" spans="1:2" ht="15" hidden="1" x14ac:dyDescent="0.25">
      <c r="A348" s="517" t="s">
        <v>423</v>
      </c>
      <c r="B348" s="517" t="s">
        <v>423</v>
      </c>
    </row>
    <row r="349" spans="1:2" ht="15" hidden="1" x14ac:dyDescent="0.25">
      <c r="A349" s="517" t="s">
        <v>424</v>
      </c>
      <c r="B349" s="517" t="s">
        <v>424</v>
      </c>
    </row>
    <row r="350" spans="1:2" ht="15" hidden="1" x14ac:dyDescent="0.25">
      <c r="A350" s="517" t="s">
        <v>425</v>
      </c>
      <c r="B350" s="517" t="s">
        <v>425</v>
      </c>
    </row>
    <row r="351" spans="1:2" ht="15" hidden="1" x14ac:dyDescent="0.25">
      <c r="A351" s="517" t="s">
        <v>426</v>
      </c>
      <c r="B351" s="517" t="s">
        <v>426</v>
      </c>
    </row>
    <row r="352" spans="1:2" ht="15" hidden="1" x14ac:dyDescent="0.25">
      <c r="A352" s="517" t="s">
        <v>427</v>
      </c>
      <c r="B352" s="517" t="s">
        <v>427</v>
      </c>
    </row>
    <row r="353" spans="1:2" ht="15" hidden="1" x14ac:dyDescent="0.25">
      <c r="A353" s="517" t="s">
        <v>428</v>
      </c>
      <c r="B353" s="517" t="s">
        <v>428</v>
      </c>
    </row>
    <row r="354" spans="1:2" ht="15" hidden="1" x14ac:dyDescent="0.25">
      <c r="A354" s="517" t="s">
        <v>429</v>
      </c>
      <c r="B354" s="517" t="s">
        <v>429</v>
      </c>
    </row>
    <row r="355" spans="1:2" ht="15" hidden="1" x14ac:dyDescent="0.25">
      <c r="A355" s="517" t="s">
        <v>430</v>
      </c>
      <c r="B355" s="517" t="s">
        <v>430</v>
      </c>
    </row>
    <row r="356" spans="1:2" ht="15" hidden="1" x14ac:dyDescent="0.25">
      <c r="A356" s="517" t="s">
        <v>431</v>
      </c>
      <c r="B356" s="517" t="s">
        <v>431</v>
      </c>
    </row>
    <row r="357" spans="1:2" ht="15" hidden="1" x14ac:dyDescent="0.25">
      <c r="A357" s="517" t="s">
        <v>431</v>
      </c>
      <c r="B357" s="517" t="s">
        <v>431</v>
      </c>
    </row>
    <row r="358" spans="1:2" ht="15" hidden="1" x14ac:dyDescent="0.25">
      <c r="A358" s="517" t="s">
        <v>432</v>
      </c>
      <c r="B358" s="517" t="s">
        <v>432</v>
      </c>
    </row>
    <row r="359" spans="1:2" ht="15" hidden="1" x14ac:dyDescent="0.25">
      <c r="A359" s="517" t="s">
        <v>433</v>
      </c>
      <c r="B359" s="517" t="s">
        <v>433</v>
      </c>
    </row>
    <row r="360" spans="1:2" ht="15" hidden="1" x14ac:dyDescent="0.25">
      <c r="A360" s="517" t="s">
        <v>434</v>
      </c>
      <c r="B360" s="517" t="s">
        <v>434</v>
      </c>
    </row>
    <row r="361" spans="1:2" ht="15" hidden="1" x14ac:dyDescent="0.25">
      <c r="A361" s="517" t="s">
        <v>435</v>
      </c>
      <c r="B361" s="517" t="s">
        <v>435</v>
      </c>
    </row>
    <row r="362" spans="1:2" ht="15" hidden="1" x14ac:dyDescent="0.25">
      <c r="A362" s="517" t="s">
        <v>435</v>
      </c>
      <c r="B362" s="517" t="s">
        <v>435</v>
      </c>
    </row>
    <row r="363" spans="1:2" ht="15" hidden="1" x14ac:dyDescent="0.25">
      <c r="A363" s="517" t="s">
        <v>436</v>
      </c>
      <c r="B363" s="517" t="s">
        <v>436</v>
      </c>
    </row>
    <row r="364" spans="1:2" ht="15" hidden="1" x14ac:dyDescent="0.25">
      <c r="A364" s="517" t="s">
        <v>437</v>
      </c>
      <c r="B364" s="517" t="s">
        <v>437</v>
      </c>
    </row>
    <row r="365" spans="1:2" ht="15" hidden="1" x14ac:dyDescent="0.25">
      <c r="A365" s="517" t="s">
        <v>438</v>
      </c>
      <c r="B365" s="517" t="s">
        <v>438</v>
      </c>
    </row>
    <row r="366" spans="1:2" ht="15" hidden="1" x14ac:dyDescent="0.25">
      <c r="A366" s="517" t="s">
        <v>438</v>
      </c>
      <c r="B366" s="517" t="s">
        <v>438</v>
      </c>
    </row>
    <row r="367" spans="1:2" ht="15" hidden="1" x14ac:dyDescent="0.25">
      <c r="A367" s="517" t="s">
        <v>298</v>
      </c>
      <c r="B367" s="517" t="s">
        <v>298</v>
      </c>
    </row>
    <row r="368" spans="1:2" ht="15" hidden="1" x14ac:dyDescent="0.25">
      <c r="A368" s="517" t="s">
        <v>439</v>
      </c>
      <c r="B368" s="517" t="s">
        <v>439</v>
      </c>
    </row>
    <row r="369" spans="1:2" ht="15" hidden="1" x14ac:dyDescent="0.25">
      <c r="A369" s="517" t="s">
        <v>440</v>
      </c>
      <c r="B369" s="517" t="s">
        <v>440</v>
      </c>
    </row>
    <row r="370" spans="1:2" ht="15" hidden="1" x14ac:dyDescent="0.25">
      <c r="A370" s="517" t="s">
        <v>441</v>
      </c>
      <c r="B370" s="517" t="s">
        <v>441</v>
      </c>
    </row>
    <row r="371" spans="1:2" ht="15" hidden="1" x14ac:dyDescent="0.25">
      <c r="A371" s="517" t="s">
        <v>442</v>
      </c>
      <c r="B371" s="517" t="s">
        <v>442</v>
      </c>
    </row>
    <row r="372" spans="1:2" ht="15" hidden="1" x14ac:dyDescent="0.25">
      <c r="A372" s="517" t="s">
        <v>443</v>
      </c>
      <c r="B372" s="517" t="s">
        <v>443</v>
      </c>
    </row>
    <row r="373" spans="1:2" ht="15" hidden="1" x14ac:dyDescent="0.25">
      <c r="A373" s="517" t="s">
        <v>444</v>
      </c>
      <c r="B373" s="517" t="s">
        <v>444</v>
      </c>
    </row>
    <row r="374" spans="1:2" ht="15" hidden="1" x14ac:dyDescent="0.25">
      <c r="A374" s="517" t="s">
        <v>445</v>
      </c>
      <c r="B374" s="517" t="s">
        <v>445</v>
      </c>
    </row>
    <row r="375" spans="1:2" ht="15" hidden="1" x14ac:dyDescent="0.25">
      <c r="A375" s="517" t="s">
        <v>446</v>
      </c>
      <c r="B375" s="517" t="s">
        <v>446</v>
      </c>
    </row>
    <row r="376" spans="1:2" ht="15" hidden="1" x14ac:dyDescent="0.25">
      <c r="A376" s="517" t="s">
        <v>447</v>
      </c>
      <c r="B376" s="517" t="s">
        <v>447</v>
      </c>
    </row>
    <row r="377" spans="1:2" ht="15" hidden="1" x14ac:dyDescent="0.25">
      <c r="A377" s="517" t="s">
        <v>448</v>
      </c>
      <c r="B377" s="517" t="s">
        <v>448</v>
      </c>
    </row>
    <row r="378" spans="1:2" ht="15" hidden="1" x14ac:dyDescent="0.25">
      <c r="A378" s="517" t="s">
        <v>449</v>
      </c>
      <c r="B378" s="517" t="s">
        <v>449</v>
      </c>
    </row>
    <row r="379" spans="1:2" ht="15" hidden="1" x14ac:dyDescent="0.25">
      <c r="A379" s="517" t="s">
        <v>450</v>
      </c>
      <c r="B379" s="517" t="s">
        <v>450</v>
      </c>
    </row>
    <row r="380" spans="1:2" ht="15" hidden="1" x14ac:dyDescent="0.25">
      <c r="A380" s="517" t="s">
        <v>451</v>
      </c>
      <c r="B380" s="517" t="s">
        <v>451</v>
      </c>
    </row>
    <row r="381" spans="1:2" ht="15" hidden="1" x14ac:dyDescent="0.25">
      <c r="A381" s="517" t="s">
        <v>452</v>
      </c>
      <c r="B381" s="517" t="s">
        <v>452</v>
      </c>
    </row>
    <row r="382" spans="1:2" ht="15" hidden="1" x14ac:dyDescent="0.25">
      <c r="A382" s="517" t="s">
        <v>453</v>
      </c>
      <c r="B382" s="517" t="s">
        <v>453</v>
      </c>
    </row>
    <row r="383" spans="1:2" ht="15" hidden="1" x14ac:dyDescent="0.25">
      <c r="A383" s="517" t="s">
        <v>454</v>
      </c>
      <c r="B383" s="517" t="s">
        <v>454</v>
      </c>
    </row>
    <row r="384" spans="1:2" ht="15" hidden="1" x14ac:dyDescent="0.25">
      <c r="A384" s="517" t="s">
        <v>455</v>
      </c>
      <c r="B384" s="517" t="s">
        <v>455</v>
      </c>
    </row>
    <row r="385" spans="1:2" ht="15" hidden="1" x14ac:dyDescent="0.25">
      <c r="A385" s="517" t="s">
        <v>455</v>
      </c>
      <c r="B385" s="517" t="s">
        <v>455</v>
      </c>
    </row>
    <row r="386" spans="1:2" ht="15" hidden="1" x14ac:dyDescent="0.25">
      <c r="A386" s="517" t="s">
        <v>456</v>
      </c>
      <c r="B386" s="517" t="s">
        <v>456</v>
      </c>
    </row>
    <row r="387" spans="1:2" ht="15" hidden="1" x14ac:dyDescent="0.25">
      <c r="A387" s="517" t="s">
        <v>457</v>
      </c>
      <c r="B387" s="517" t="s">
        <v>457</v>
      </c>
    </row>
    <row r="388" spans="1:2" ht="15" hidden="1" x14ac:dyDescent="0.25">
      <c r="A388" s="517" t="s">
        <v>458</v>
      </c>
      <c r="B388" s="517" t="s">
        <v>458</v>
      </c>
    </row>
    <row r="389" spans="1:2" ht="15" hidden="1" x14ac:dyDescent="0.25">
      <c r="A389" s="517" t="s">
        <v>458</v>
      </c>
      <c r="B389" s="517" t="s">
        <v>458</v>
      </c>
    </row>
    <row r="390" spans="1:2" ht="15" hidden="1" x14ac:dyDescent="0.25">
      <c r="A390" s="517" t="s">
        <v>459</v>
      </c>
      <c r="B390" s="517" t="s">
        <v>459</v>
      </c>
    </row>
    <row r="391" spans="1:2" ht="15" hidden="1" x14ac:dyDescent="0.25">
      <c r="A391" s="517" t="s">
        <v>460</v>
      </c>
      <c r="B391" s="517" t="s">
        <v>460</v>
      </c>
    </row>
    <row r="392" spans="1:2" ht="15" hidden="1" x14ac:dyDescent="0.25">
      <c r="A392" s="517" t="s">
        <v>460</v>
      </c>
      <c r="B392" s="517" t="s">
        <v>460</v>
      </c>
    </row>
    <row r="393" spans="1:2" ht="15" hidden="1" x14ac:dyDescent="0.25">
      <c r="A393" s="517" t="s">
        <v>461</v>
      </c>
      <c r="B393" s="517" t="s">
        <v>461</v>
      </c>
    </row>
    <row r="394" spans="1:2" ht="15" hidden="1" x14ac:dyDescent="0.25">
      <c r="A394" s="517" t="s">
        <v>462</v>
      </c>
      <c r="B394" s="517" t="s">
        <v>462</v>
      </c>
    </row>
    <row r="395" spans="1:2" ht="15" hidden="1" x14ac:dyDescent="0.25">
      <c r="A395" s="517" t="s">
        <v>463</v>
      </c>
      <c r="B395" s="517" t="s">
        <v>463</v>
      </c>
    </row>
    <row r="396" spans="1:2" ht="15" hidden="1" x14ac:dyDescent="0.25">
      <c r="A396" s="517" t="s">
        <v>464</v>
      </c>
      <c r="B396" s="517" t="s">
        <v>464</v>
      </c>
    </row>
    <row r="397" spans="1:2" ht="15" hidden="1" x14ac:dyDescent="0.25">
      <c r="A397" s="517" t="s">
        <v>464</v>
      </c>
      <c r="B397" s="517" t="s">
        <v>464</v>
      </c>
    </row>
    <row r="398" spans="1:2" ht="15" hidden="1" x14ac:dyDescent="0.25">
      <c r="A398" s="517" t="s">
        <v>465</v>
      </c>
      <c r="B398" s="517" t="s">
        <v>465</v>
      </c>
    </row>
    <row r="399" spans="1:2" ht="15" hidden="1" x14ac:dyDescent="0.25">
      <c r="A399" s="517" t="s">
        <v>466</v>
      </c>
      <c r="B399" s="517" t="s">
        <v>466</v>
      </c>
    </row>
    <row r="400" spans="1:2" ht="15" hidden="1" x14ac:dyDescent="0.25">
      <c r="A400" s="517" t="s">
        <v>467</v>
      </c>
      <c r="B400" s="517" t="s">
        <v>467</v>
      </c>
    </row>
    <row r="401" spans="1:2" ht="15" hidden="1" x14ac:dyDescent="0.25">
      <c r="A401" s="517" t="s">
        <v>468</v>
      </c>
      <c r="B401" s="517" t="s">
        <v>468</v>
      </c>
    </row>
    <row r="402" spans="1:2" ht="15" hidden="1" x14ac:dyDescent="0.25">
      <c r="A402" s="517" t="s">
        <v>469</v>
      </c>
      <c r="B402" s="517" t="s">
        <v>469</v>
      </c>
    </row>
    <row r="403" spans="1:2" ht="15" hidden="1" x14ac:dyDescent="0.25">
      <c r="A403" s="517" t="s">
        <v>300</v>
      </c>
      <c r="B403" s="517" t="s">
        <v>300</v>
      </c>
    </row>
    <row r="404" spans="1:2" ht="15" hidden="1" x14ac:dyDescent="0.25">
      <c r="A404" s="517" t="s">
        <v>470</v>
      </c>
      <c r="B404" s="517" t="s">
        <v>470</v>
      </c>
    </row>
    <row r="405" spans="1:2" ht="15" hidden="1" x14ac:dyDescent="0.25">
      <c r="A405" s="517" t="s">
        <v>471</v>
      </c>
      <c r="B405" s="517" t="s">
        <v>471</v>
      </c>
    </row>
    <row r="406" spans="1:2" ht="15" hidden="1" x14ac:dyDescent="0.25">
      <c r="A406" s="517" t="s">
        <v>472</v>
      </c>
      <c r="B406" s="517" t="s">
        <v>472</v>
      </c>
    </row>
    <row r="407" spans="1:2" ht="15" hidden="1" x14ac:dyDescent="0.25">
      <c r="A407" s="517" t="s">
        <v>473</v>
      </c>
      <c r="B407" s="517" t="s">
        <v>473</v>
      </c>
    </row>
    <row r="408" spans="1:2" ht="15" hidden="1" x14ac:dyDescent="0.25">
      <c r="A408" s="517" t="s">
        <v>473</v>
      </c>
      <c r="B408" s="517" t="s">
        <v>473</v>
      </c>
    </row>
    <row r="409" spans="1:2" ht="15" hidden="1" x14ac:dyDescent="0.25">
      <c r="A409" s="517" t="s">
        <v>474</v>
      </c>
      <c r="B409" s="517" t="s">
        <v>474</v>
      </c>
    </row>
    <row r="410" spans="1:2" ht="15" hidden="1" x14ac:dyDescent="0.25">
      <c r="A410" s="517" t="s">
        <v>475</v>
      </c>
      <c r="B410" s="517" t="s">
        <v>475</v>
      </c>
    </row>
    <row r="411" spans="1:2" ht="15" hidden="1" x14ac:dyDescent="0.25">
      <c r="A411" s="517" t="s">
        <v>476</v>
      </c>
      <c r="B411" s="517" t="s">
        <v>476</v>
      </c>
    </row>
    <row r="412" spans="1:2" ht="15" hidden="1" x14ac:dyDescent="0.25">
      <c r="A412" s="517" t="s">
        <v>477</v>
      </c>
      <c r="B412" s="517" t="s">
        <v>477</v>
      </c>
    </row>
    <row r="413" spans="1:2" ht="15" hidden="1" x14ac:dyDescent="0.25">
      <c r="A413" s="517" t="s">
        <v>478</v>
      </c>
      <c r="B413" s="517" t="s">
        <v>478</v>
      </c>
    </row>
    <row r="414" spans="1:2" ht="15" hidden="1" x14ac:dyDescent="0.25">
      <c r="A414" s="517" t="s">
        <v>479</v>
      </c>
      <c r="B414" s="517" t="s">
        <v>479</v>
      </c>
    </row>
    <row r="415" spans="1:2" ht="15" hidden="1" x14ac:dyDescent="0.25">
      <c r="A415" s="517" t="s">
        <v>479</v>
      </c>
      <c r="B415" s="517" t="s">
        <v>479</v>
      </c>
    </row>
    <row r="416" spans="1:2" ht="15" hidden="1" x14ac:dyDescent="0.25">
      <c r="A416" s="517" t="s">
        <v>480</v>
      </c>
      <c r="B416" s="517" t="s">
        <v>480</v>
      </c>
    </row>
    <row r="417" spans="1:2" ht="15" hidden="1" x14ac:dyDescent="0.25">
      <c r="A417" s="517" t="s">
        <v>480</v>
      </c>
      <c r="B417" s="517" t="s">
        <v>480</v>
      </c>
    </row>
    <row r="418" spans="1:2" ht="15" hidden="1" x14ac:dyDescent="0.25">
      <c r="A418" s="517" t="s">
        <v>481</v>
      </c>
      <c r="B418" s="517" t="s">
        <v>481</v>
      </c>
    </row>
    <row r="419" spans="1:2" ht="15" hidden="1" x14ac:dyDescent="0.25">
      <c r="A419" s="517" t="s">
        <v>481</v>
      </c>
      <c r="B419" s="517" t="s">
        <v>481</v>
      </c>
    </row>
    <row r="420" spans="1:2" ht="15" hidden="1" x14ac:dyDescent="0.25">
      <c r="A420" s="517" t="s">
        <v>482</v>
      </c>
      <c r="B420" s="517" t="s">
        <v>482</v>
      </c>
    </row>
    <row r="421" spans="1:2" ht="15" hidden="1" x14ac:dyDescent="0.25">
      <c r="A421" s="517" t="s">
        <v>483</v>
      </c>
      <c r="B421" s="517" t="s">
        <v>483</v>
      </c>
    </row>
    <row r="422" spans="1:2" ht="15" hidden="1" x14ac:dyDescent="0.25">
      <c r="A422" s="517" t="s">
        <v>484</v>
      </c>
      <c r="B422" s="517" t="s">
        <v>484</v>
      </c>
    </row>
    <row r="423" spans="1:2" ht="15" hidden="1" x14ac:dyDescent="0.25">
      <c r="A423" s="517" t="s">
        <v>485</v>
      </c>
      <c r="B423" s="517" t="s">
        <v>485</v>
      </c>
    </row>
    <row r="424" spans="1:2" ht="15" hidden="1" x14ac:dyDescent="0.25">
      <c r="A424" s="517" t="s">
        <v>485</v>
      </c>
      <c r="B424" s="517" t="s">
        <v>485</v>
      </c>
    </row>
    <row r="425" spans="1:2" ht="15" hidden="1" x14ac:dyDescent="0.25">
      <c r="A425" s="517" t="s">
        <v>486</v>
      </c>
      <c r="B425" s="517" t="s">
        <v>486</v>
      </c>
    </row>
    <row r="426" spans="1:2" ht="15" hidden="1" x14ac:dyDescent="0.25">
      <c r="A426" s="517" t="s">
        <v>487</v>
      </c>
      <c r="B426" s="517" t="s">
        <v>487</v>
      </c>
    </row>
    <row r="427" spans="1:2" ht="15" hidden="1" x14ac:dyDescent="0.25">
      <c r="A427" s="517" t="s">
        <v>488</v>
      </c>
      <c r="B427" s="517" t="s">
        <v>488</v>
      </c>
    </row>
    <row r="428" spans="1:2" ht="15" hidden="1" x14ac:dyDescent="0.25">
      <c r="A428" s="517" t="s">
        <v>489</v>
      </c>
      <c r="B428" s="517" t="s">
        <v>489</v>
      </c>
    </row>
    <row r="429" spans="1:2" ht="15" hidden="1" x14ac:dyDescent="0.25">
      <c r="A429" s="517" t="s">
        <v>490</v>
      </c>
      <c r="B429" s="517" t="s">
        <v>490</v>
      </c>
    </row>
    <row r="430" spans="1:2" ht="15" hidden="1" x14ac:dyDescent="0.25">
      <c r="A430" s="517" t="s">
        <v>491</v>
      </c>
      <c r="B430" s="517" t="s">
        <v>491</v>
      </c>
    </row>
    <row r="431" spans="1:2" ht="15" hidden="1" x14ac:dyDescent="0.25">
      <c r="A431" s="517" t="s">
        <v>491</v>
      </c>
      <c r="B431" s="517" t="s">
        <v>491</v>
      </c>
    </row>
    <row r="432" spans="1:2" ht="15" hidden="1" x14ac:dyDescent="0.25">
      <c r="A432" s="517" t="s">
        <v>492</v>
      </c>
      <c r="B432" s="517" t="s">
        <v>492</v>
      </c>
    </row>
    <row r="433" spans="1:2" ht="15" hidden="1" x14ac:dyDescent="0.25">
      <c r="A433" s="517" t="s">
        <v>343</v>
      </c>
      <c r="B433" s="517" t="s">
        <v>343</v>
      </c>
    </row>
    <row r="434" spans="1:2" ht="15" hidden="1" x14ac:dyDescent="0.25">
      <c r="A434" s="517" t="s">
        <v>493</v>
      </c>
      <c r="B434" s="517" t="s">
        <v>493</v>
      </c>
    </row>
    <row r="435" spans="1:2" ht="15" hidden="1" x14ac:dyDescent="0.25">
      <c r="A435" s="517" t="s">
        <v>494</v>
      </c>
      <c r="B435" s="517" t="s">
        <v>494</v>
      </c>
    </row>
    <row r="436" spans="1:2" ht="15" hidden="1" x14ac:dyDescent="0.25">
      <c r="A436" s="517" t="s">
        <v>495</v>
      </c>
      <c r="B436" s="517" t="s">
        <v>495</v>
      </c>
    </row>
    <row r="437" spans="1:2" ht="15" hidden="1" x14ac:dyDescent="0.25">
      <c r="A437" s="517" t="s">
        <v>496</v>
      </c>
      <c r="B437" s="517" t="s">
        <v>496</v>
      </c>
    </row>
    <row r="438" spans="1:2" ht="15" hidden="1" x14ac:dyDescent="0.25">
      <c r="A438" s="517" t="s">
        <v>496</v>
      </c>
      <c r="B438" s="517" t="s">
        <v>496</v>
      </c>
    </row>
    <row r="439" spans="1:2" ht="15" hidden="1" x14ac:dyDescent="0.25">
      <c r="A439" s="517" t="s">
        <v>497</v>
      </c>
      <c r="B439" s="517" t="s">
        <v>497</v>
      </c>
    </row>
    <row r="440" spans="1:2" ht="15" hidden="1" x14ac:dyDescent="0.25">
      <c r="A440" s="517" t="s">
        <v>498</v>
      </c>
      <c r="B440" s="517" t="s">
        <v>498</v>
      </c>
    </row>
    <row r="441" spans="1:2" ht="15" hidden="1" x14ac:dyDescent="0.25">
      <c r="A441" s="517" t="s">
        <v>499</v>
      </c>
      <c r="B441" s="517" t="s">
        <v>499</v>
      </c>
    </row>
    <row r="442" spans="1:2" ht="15" hidden="1" x14ac:dyDescent="0.25">
      <c r="A442" s="517" t="s">
        <v>500</v>
      </c>
      <c r="B442" s="517" t="s">
        <v>500</v>
      </c>
    </row>
    <row r="443" spans="1:2" ht="15" hidden="1" x14ac:dyDescent="0.25">
      <c r="A443" s="517" t="s">
        <v>501</v>
      </c>
      <c r="B443" s="517" t="s">
        <v>501</v>
      </c>
    </row>
    <row r="444" spans="1:2" ht="15" hidden="1" x14ac:dyDescent="0.25">
      <c r="A444" s="517" t="s">
        <v>502</v>
      </c>
      <c r="B444" s="517" t="s">
        <v>502</v>
      </c>
    </row>
    <row r="445" spans="1:2" ht="15" hidden="1" x14ac:dyDescent="0.25">
      <c r="A445" s="517" t="s">
        <v>503</v>
      </c>
      <c r="B445" s="517" t="s">
        <v>503</v>
      </c>
    </row>
    <row r="446" spans="1:2" ht="15" hidden="1" x14ac:dyDescent="0.25">
      <c r="A446" s="517" t="s">
        <v>503</v>
      </c>
      <c r="B446" s="517" t="s">
        <v>503</v>
      </c>
    </row>
    <row r="447" spans="1:2" ht="15" hidden="1" x14ac:dyDescent="0.25">
      <c r="A447" s="517" t="s">
        <v>504</v>
      </c>
      <c r="B447" s="517" t="s">
        <v>504</v>
      </c>
    </row>
    <row r="448" spans="1:2" ht="15" hidden="1" x14ac:dyDescent="0.25">
      <c r="A448" s="517" t="s">
        <v>505</v>
      </c>
      <c r="B448" s="517" t="s">
        <v>505</v>
      </c>
    </row>
    <row r="449" spans="1:2" ht="15" hidden="1" x14ac:dyDescent="0.25">
      <c r="A449" s="517" t="s">
        <v>506</v>
      </c>
      <c r="B449" s="517" t="s">
        <v>506</v>
      </c>
    </row>
    <row r="450" spans="1:2" ht="15" hidden="1" x14ac:dyDescent="0.25">
      <c r="A450" s="517" t="s">
        <v>507</v>
      </c>
      <c r="B450" s="517" t="s">
        <v>507</v>
      </c>
    </row>
    <row r="451" spans="1:2" ht="15" hidden="1" x14ac:dyDescent="0.25">
      <c r="A451" s="517" t="s">
        <v>507</v>
      </c>
      <c r="B451" s="517" t="s">
        <v>507</v>
      </c>
    </row>
    <row r="452" spans="1:2" ht="15" hidden="1" x14ac:dyDescent="0.25">
      <c r="A452" s="517" t="s">
        <v>508</v>
      </c>
      <c r="B452" s="517" t="s">
        <v>508</v>
      </c>
    </row>
    <row r="453" spans="1:2" ht="15" hidden="1" x14ac:dyDescent="0.25">
      <c r="A453" s="517" t="s">
        <v>509</v>
      </c>
      <c r="B453" s="517" t="s">
        <v>509</v>
      </c>
    </row>
    <row r="454" spans="1:2" ht="15" hidden="1" x14ac:dyDescent="0.25">
      <c r="A454" s="517" t="s">
        <v>510</v>
      </c>
      <c r="B454" s="517" t="s">
        <v>510</v>
      </c>
    </row>
    <row r="455" spans="1:2" ht="15" hidden="1" x14ac:dyDescent="0.25">
      <c r="A455" s="517" t="s">
        <v>510</v>
      </c>
      <c r="B455" s="517" t="s">
        <v>510</v>
      </c>
    </row>
    <row r="456" spans="1:2" ht="15" hidden="1" x14ac:dyDescent="0.25">
      <c r="A456" s="517" t="s">
        <v>511</v>
      </c>
      <c r="B456" s="517" t="s">
        <v>511</v>
      </c>
    </row>
    <row r="457" spans="1:2" ht="15" hidden="1" x14ac:dyDescent="0.25">
      <c r="A457" s="517" t="s">
        <v>511</v>
      </c>
      <c r="B457" s="517" t="s">
        <v>511</v>
      </c>
    </row>
    <row r="458" spans="1:2" ht="15" hidden="1" x14ac:dyDescent="0.25">
      <c r="A458" s="517" t="s">
        <v>512</v>
      </c>
      <c r="B458" s="517" t="s">
        <v>512</v>
      </c>
    </row>
    <row r="459" spans="1:2" ht="15" hidden="1" x14ac:dyDescent="0.25">
      <c r="A459" s="517" t="s">
        <v>513</v>
      </c>
      <c r="B459" s="517" t="s">
        <v>513</v>
      </c>
    </row>
    <row r="460" spans="1:2" ht="15" hidden="1" x14ac:dyDescent="0.25">
      <c r="A460" s="517" t="s">
        <v>514</v>
      </c>
      <c r="B460" s="517" t="s">
        <v>514</v>
      </c>
    </row>
    <row r="461" spans="1:2" ht="15" hidden="1" x14ac:dyDescent="0.25">
      <c r="A461" s="517" t="s">
        <v>515</v>
      </c>
      <c r="B461" s="517" t="s">
        <v>515</v>
      </c>
    </row>
    <row r="462" spans="1:2" ht="15" hidden="1" x14ac:dyDescent="0.25">
      <c r="A462" s="517" t="s">
        <v>516</v>
      </c>
      <c r="B462" s="517" t="s">
        <v>516</v>
      </c>
    </row>
    <row r="463" spans="1:2" ht="15" hidden="1" x14ac:dyDescent="0.25">
      <c r="A463" s="517" t="s">
        <v>516</v>
      </c>
      <c r="B463" s="517" t="s">
        <v>516</v>
      </c>
    </row>
    <row r="464" spans="1:2" ht="15" hidden="1" x14ac:dyDescent="0.25">
      <c r="A464" s="517" t="s">
        <v>517</v>
      </c>
      <c r="B464" s="517" t="s">
        <v>517</v>
      </c>
    </row>
    <row r="465" spans="1:2" ht="15" hidden="1" x14ac:dyDescent="0.25">
      <c r="A465" s="517" t="s">
        <v>518</v>
      </c>
      <c r="B465" s="517" t="s">
        <v>518</v>
      </c>
    </row>
    <row r="466" spans="1:2" ht="15" hidden="1" x14ac:dyDescent="0.25">
      <c r="A466" s="517" t="s">
        <v>518</v>
      </c>
      <c r="B466" s="517" t="s">
        <v>518</v>
      </c>
    </row>
    <row r="467" spans="1:2" ht="15" hidden="1" x14ac:dyDescent="0.25">
      <c r="A467" s="517" t="s">
        <v>519</v>
      </c>
      <c r="B467" s="517" t="s">
        <v>519</v>
      </c>
    </row>
    <row r="468" spans="1:2" ht="15" hidden="1" x14ac:dyDescent="0.25">
      <c r="A468" s="517" t="s">
        <v>519</v>
      </c>
      <c r="B468" s="517" t="s">
        <v>519</v>
      </c>
    </row>
    <row r="469" spans="1:2" ht="15" hidden="1" x14ac:dyDescent="0.25">
      <c r="A469" s="517" t="s">
        <v>520</v>
      </c>
      <c r="B469" s="517" t="s">
        <v>520</v>
      </c>
    </row>
    <row r="470" spans="1:2" ht="15" hidden="1" x14ac:dyDescent="0.25">
      <c r="A470" s="517" t="s">
        <v>521</v>
      </c>
      <c r="B470" s="517" t="s">
        <v>521</v>
      </c>
    </row>
    <row r="471" spans="1:2" ht="15" hidden="1" x14ac:dyDescent="0.25">
      <c r="A471" s="517" t="s">
        <v>522</v>
      </c>
      <c r="B471" s="517" t="s">
        <v>522</v>
      </c>
    </row>
    <row r="472" spans="1:2" ht="15" hidden="1" x14ac:dyDescent="0.25">
      <c r="A472" s="517" t="s">
        <v>523</v>
      </c>
      <c r="B472" s="517" t="s">
        <v>523</v>
      </c>
    </row>
    <row r="473" spans="1:2" ht="15" hidden="1" x14ac:dyDescent="0.25">
      <c r="A473" s="517" t="s">
        <v>524</v>
      </c>
      <c r="B473" s="517" t="s">
        <v>524</v>
      </c>
    </row>
    <row r="474" spans="1:2" ht="15" hidden="1" x14ac:dyDescent="0.25">
      <c r="A474" s="517" t="s">
        <v>525</v>
      </c>
      <c r="B474" s="517" t="s">
        <v>525</v>
      </c>
    </row>
    <row r="475" spans="1:2" ht="15" hidden="1" x14ac:dyDescent="0.25">
      <c r="A475" s="517" t="s">
        <v>526</v>
      </c>
      <c r="B475" s="517" t="s">
        <v>526</v>
      </c>
    </row>
    <row r="476" spans="1:2" ht="15" hidden="1" x14ac:dyDescent="0.25">
      <c r="A476" s="517" t="s">
        <v>527</v>
      </c>
      <c r="B476" s="517" t="s">
        <v>527</v>
      </c>
    </row>
    <row r="477" spans="1:2" ht="15" hidden="1" x14ac:dyDescent="0.25">
      <c r="A477" s="517" t="s">
        <v>528</v>
      </c>
      <c r="B477" s="517" t="s">
        <v>528</v>
      </c>
    </row>
    <row r="478" spans="1:2" ht="15" hidden="1" x14ac:dyDescent="0.25">
      <c r="A478" s="517" t="s">
        <v>528</v>
      </c>
      <c r="B478" s="517" t="s">
        <v>528</v>
      </c>
    </row>
    <row r="479" spans="1:2" ht="15" hidden="1" x14ac:dyDescent="0.25">
      <c r="A479" s="517" t="s">
        <v>529</v>
      </c>
      <c r="B479" s="517" t="s">
        <v>529</v>
      </c>
    </row>
    <row r="480" spans="1:2" ht="15" hidden="1" x14ac:dyDescent="0.25">
      <c r="A480" s="517" t="s">
        <v>530</v>
      </c>
      <c r="B480" s="517" t="s">
        <v>530</v>
      </c>
    </row>
    <row r="481" spans="1:2" ht="15" hidden="1" x14ac:dyDescent="0.25">
      <c r="A481" s="517" t="s">
        <v>531</v>
      </c>
      <c r="B481" s="517" t="s">
        <v>531</v>
      </c>
    </row>
    <row r="482" spans="1:2" ht="15" hidden="1" x14ac:dyDescent="0.25">
      <c r="A482" s="517" t="s">
        <v>531</v>
      </c>
      <c r="B482" s="517" t="s">
        <v>531</v>
      </c>
    </row>
    <row r="483" spans="1:2" ht="15" hidden="1" x14ac:dyDescent="0.25">
      <c r="A483" s="517" t="s">
        <v>532</v>
      </c>
      <c r="B483" s="517" t="s">
        <v>532</v>
      </c>
    </row>
    <row r="484" spans="1:2" ht="15" hidden="1" x14ac:dyDescent="0.25">
      <c r="A484" s="517" t="s">
        <v>532</v>
      </c>
      <c r="B484" s="517" t="s">
        <v>532</v>
      </c>
    </row>
    <row r="485" spans="1:2" ht="15" hidden="1" x14ac:dyDescent="0.25">
      <c r="A485" s="517" t="s">
        <v>299</v>
      </c>
      <c r="B485" s="517" t="s">
        <v>299</v>
      </c>
    </row>
    <row r="486" spans="1:2" ht="15" hidden="1" x14ac:dyDescent="0.25">
      <c r="A486" s="517" t="s">
        <v>533</v>
      </c>
      <c r="B486" s="517" t="s">
        <v>533</v>
      </c>
    </row>
    <row r="487" spans="1:2" ht="15" hidden="1" x14ac:dyDescent="0.25">
      <c r="A487" s="517" t="s">
        <v>534</v>
      </c>
      <c r="B487" s="517" t="s">
        <v>534</v>
      </c>
    </row>
    <row r="488" spans="1:2" ht="15" hidden="1" x14ac:dyDescent="0.25">
      <c r="A488" s="517" t="s">
        <v>535</v>
      </c>
      <c r="B488" s="517" t="s">
        <v>535</v>
      </c>
    </row>
    <row r="489" spans="1:2" ht="15" hidden="1" x14ac:dyDescent="0.25">
      <c r="A489" s="517" t="s">
        <v>535</v>
      </c>
      <c r="B489" s="517" t="s">
        <v>535</v>
      </c>
    </row>
    <row r="490" spans="1:2" ht="15" hidden="1" x14ac:dyDescent="0.25">
      <c r="A490" s="517" t="s">
        <v>536</v>
      </c>
      <c r="B490" s="517" t="s">
        <v>536</v>
      </c>
    </row>
    <row r="491" spans="1:2" ht="15" hidden="1" x14ac:dyDescent="0.25">
      <c r="A491" s="517" t="s">
        <v>536</v>
      </c>
      <c r="B491" s="517" t="s">
        <v>536</v>
      </c>
    </row>
    <row r="492" spans="1:2" ht="15" hidden="1" x14ac:dyDescent="0.25">
      <c r="A492" s="517" t="s">
        <v>537</v>
      </c>
      <c r="B492" s="517" t="s">
        <v>537</v>
      </c>
    </row>
    <row r="493" spans="1:2" ht="15" hidden="1" x14ac:dyDescent="0.25">
      <c r="A493" s="517" t="s">
        <v>538</v>
      </c>
      <c r="B493" s="517" t="s">
        <v>538</v>
      </c>
    </row>
    <row r="494" spans="1:2" ht="15" hidden="1" x14ac:dyDescent="0.25">
      <c r="A494" s="517" t="s">
        <v>539</v>
      </c>
      <c r="B494" s="517" t="s">
        <v>539</v>
      </c>
    </row>
    <row r="495" spans="1:2" ht="15" hidden="1" x14ac:dyDescent="0.25">
      <c r="A495" s="517" t="s">
        <v>540</v>
      </c>
      <c r="B495" s="517" t="s">
        <v>540</v>
      </c>
    </row>
    <row r="496" spans="1:2" ht="15" hidden="1" x14ac:dyDescent="0.25">
      <c r="A496" s="517" t="s">
        <v>541</v>
      </c>
      <c r="B496" s="517" t="s">
        <v>541</v>
      </c>
    </row>
    <row r="497" spans="1:2" ht="15" hidden="1" x14ac:dyDescent="0.25">
      <c r="A497" s="517" t="s">
        <v>542</v>
      </c>
      <c r="B497" s="517" t="s">
        <v>542</v>
      </c>
    </row>
    <row r="498" spans="1:2" ht="15" hidden="1" x14ac:dyDescent="0.25">
      <c r="A498" s="517" t="s">
        <v>543</v>
      </c>
      <c r="B498" s="517" t="s">
        <v>543</v>
      </c>
    </row>
    <row r="499" spans="1:2" ht="15" hidden="1" x14ac:dyDescent="0.25">
      <c r="A499" s="517" t="s">
        <v>544</v>
      </c>
      <c r="B499" s="517" t="s">
        <v>544</v>
      </c>
    </row>
    <row r="500" spans="1:2" ht="15" hidden="1" x14ac:dyDescent="0.25">
      <c r="A500" s="517" t="s">
        <v>545</v>
      </c>
      <c r="B500" s="517" t="s">
        <v>545</v>
      </c>
    </row>
    <row r="501" spans="1:2" ht="15" hidden="1" x14ac:dyDescent="0.25">
      <c r="A501" s="517" t="s">
        <v>546</v>
      </c>
      <c r="B501" s="517" t="s">
        <v>546</v>
      </c>
    </row>
    <row r="502" spans="1:2" ht="15" hidden="1" x14ac:dyDescent="0.25">
      <c r="A502" s="517" t="s">
        <v>547</v>
      </c>
      <c r="B502" s="517" t="s">
        <v>547</v>
      </c>
    </row>
    <row r="503" spans="1:2" ht="15" hidden="1" x14ac:dyDescent="0.25">
      <c r="A503" s="517" t="s">
        <v>547</v>
      </c>
      <c r="B503" s="517" t="s">
        <v>547</v>
      </c>
    </row>
    <row r="504" spans="1:2" ht="15" hidden="1" x14ac:dyDescent="0.25">
      <c r="A504" s="517" t="s">
        <v>548</v>
      </c>
      <c r="B504" s="517" t="s">
        <v>548</v>
      </c>
    </row>
    <row r="505" spans="1:2" ht="15" hidden="1" x14ac:dyDescent="0.25">
      <c r="A505" s="517" t="s">
        <v>548</v>
      </c>
      <c r="B505" s="517" t="s">
        <v>548</v>
      </c>
    </row>
    <row r="506" spans="1:2" ht="15" hidden="1" x14ac:dyDescent="0.25">
      <c r="A506" s="517" t="s">
        <v>549</v>
      </c>
      <c r="B506" s="517" t="s">
        <v>549</v>
      </c>
    </row>
    <row r="507" spans="1:2" ht="15" hidden="1" x14ac:dyDescent="0.25">
      <c r="A507" s="517" t="s">
        <v>550</v>
      </c>
      <c r="B507" s="517" t="s">
        <v>550</v>
      </c>
    </row>
    <row r="508" spans="1:2" ht="15" hidden="1" x14ac:dyDescent="0.25">
      <c r="A508" s="517" t="s">
        <v>550</v>
      </c>
      <c r="B508" s="517" t="s">
        <v>550</v>
      </c>
    </row>
    <row r="509" spans="1:2" ht="15" hidden="1" x14ac:dyDescent="0.25">
      <c r="A509" s="517" t="s">
        <v>551</v>
      </c>
      <c r="B509" s="517" t="s">
        <v>551</v>
      </c>
    </row>
    <row r="510" spans="1:2" ht="15" hidden="1" x14ac:dyDescent="0.25">
      <c r="A510" s="517" t="s">
        <v>552</v>
      </c>
      <c r="B510" s="517" t="s">
        <v>552</v>
      </c>
    </row>
    <row r="511" spans="1:2" ht="15" hidden="1" x14ac:dyDescent="0.25">
      <c r="A511" s="517" t="s">
        <v>553</v>
      </c>
      <c r="B511" s="517" t="s">
        <v>553</v>
      </c>
    </row>
    <row r="512" spans="1:2" ht="15" hidden="1" x14ac:dyDescent="0.25">
      <c r="A512" s="517" t="s">
        <v>554</v>
      </c>
      <c r="B512" s="517" t="s">
        <v>554</v>
      </c>
    </row>
    <row r="513" spans="1:2" ht="15" hidden="1" x14ac:dyDescent="0.25">
      <c r="A513" s="517" t="s">
        <v>555</v>
      </c>
      <c r="B513" s="517" t="s">
        <v>555</v>
      </c>
    </row>
    <row r="514" spans="1:2" ht="15" hidden="1" x14ac:dyDescent="0.25">
      <c r="A514" s="517" t="s">
        <v>556</v>
      </c>
      <c r="B514" s="517" t="s">
        <v>556</v>
      </c>
    </row>
    <row r="515" spans="1:2" ht="15" hidden="1" x14ac:dyDescent="0.25">
      <c r="A515" s="517" t="s">
        <v>556</v>
      </c>
      <c r="B515" s="517" t="s">
        <v>556</v>
      </c>
    </row>
    <row r="516" spans="1:2" ht="15" hidden="1" x14ac:dyDescent="0.25">
      <c r="A516" s="517" t="s">
        <v>557</v>
      </c>
      <c r="B516" s="517" t="s">
        <v>557</v>
      </c>
    </row>
    <row r="517" spans="1:2" ht="15" hidden="1" x14ac:dyDescent="0.25">
      <c r="A517" s="517" t="s">
        <v>558</v>
      </c>
      <c r="B517" s="517" t="s">
        <v>558</v>
      </c>
    </row>
    <row r="518" spans="1:2" ht="15" hidden="1" x14ac:dyDescent="0.25">
      <c r="A518" s="517" t="s">
        <v>559</v>
      </c>
      <c r="B518" s="517" t="s">
        <v>559</v>
      </c>
    </row>
    <row r="519" spans="1:2" ht="15" hidden="1" x14ac:dyDescent="0.25">
      <c r="A519" s="517" t="s">
        <v>560</v>
      </c>
      <c r="B519" s="517" t="s">
        <v>560</v>
      </c>
    </row>
    <row r="520" spans="1:2" ht="15" hidden="1" x14ac:dyDescent="0.25">
      <c r="A520" s="517" t="s">
        <v>561</v>
      </c>
      <c r="B520" s="517" t="s">
        <v>561</v>
      </c>
    </row>
    <row r="521" spans="1:2" ht="15" hidden="1" x14ac:dyDescent="0.25">
      <c r="A521" s="517" t="s">
        <v>562</v>
      </c>
      <c r="B521" s="517" t="s">
        <v>562</v>
      </c>
    </row>
    <row r="522" spans="1:2" ht="15" hidden="1" x14ac:dyDescent="0.25">
      <c r="A522" s="517" t="s">
        <v>563</v>
      </c>
      <c r="B522" s="517" t="s">
        <v>563</v>
      </c>
    </row>
    <row r="523" spans="1:2" ht="15" hidden="1" x14ac:dyDescent="0.25">
      <c r="A523" s="517" t="s">
        <v>564</v>
      </c>
      <c r="B523" s="517" t="s">
        <v>564</v>
      </c>
    </row>
    <row r="524" spans="1:2" ht="15" hidden="1" x14ac:dyDescent="0.25">
      <c r="A524" s="517" t="s">
        <v>565</v>
      </c>
      <c r="B524" s="517" t="s">
        <v>565</v>
      </c>
    </row>
    <row r="525" spans="1:2" ht="15" hidden="1" x14ac:dyDescent="0.25">
      <c r="A525" s="517" t="s">
        <v>566</v>
      </c>
      <c r="B525" s="517" t="s">
        <v>566</v>
      </c>
    </row>
    <row r="526" spans="1:2" ht="15" hidden="1" x14ac:dyDescent="0.25">
      <c r="A526" s="517" t="s">
        <v>566</v>
      </c>
      <c r="B526" s="517" t="s">
        <v>566</v>
      </c>
    </row>
    <row r="527" spans="1:2" ht="15" hidden="1" x14ac:dyDescent="0.25">
      <c r="A527" s="517" t="s">
        <v>567</v>
      </c>
      <c r="B527" s="517" t="s">
        <v>567</v>
      </c>
    </row>
    <row r="528" spans="1:2" ht="15" hidden="1" x14ac:dyDescent="0.25">
      <c r="A528" s="517" t="s">
        <v>568</v>
      </c>
      <c r="B528" s="517" t="s">
        <v>568</v>
      </c>
    </row>
    <row r="529" spans="1:2" ht="15" hidden="1" x14ac:dyDescent="0.25">
      <c r="A529" s="517" t="s">
        <v>569</v>
      </c>
      <c r="B529" s="517" t="s">
        <v>569</v>
      </c>
    </row>
    <row r="530" spans="1:2" ht="15" hidden="1" x14ac:dyDescent="0.25">
      <c r="A530" s="517" t="s">
        <v>570</v>
      </c>
      <c r="B530" s="517" t="s">
        <v>570</v>
      </c>
    </row>
    <row r="531" spans="1:2" ht="15" hidden="1" x14ac:dyDescent="0.25">
      <c r="A531" s="517" t="s">
        <v>571</v>
      </c>
      <c r="B531" s="517" t="s">
        <v>571</v>
      </c>
    </row>
    <row r="532" spans="1:2" ht="15" hidden="1" x14ac:dyDescent="0.25">
      <c r="A532" s="517" t="s">
        <v>572</v>
      </c>
      <c r="B532" s="517" t="s">
        <v>572</v>
      </c>
    </row>
    <row r="533" spans="1:2" ht="15" hidden="1" x14ac:dyDescent="0.25">
      <c r="A533" s="517" t="s">
        <v>572</v>
      </c>
      <c r="B533" s="517" t="s">
        <v>572</v>
      </c>
    </row>
    <row r="534" spans="1:2" ht="15" hidden="1" x14ac:dyDescent="0.25">
      <c r="A534" s="517" t="s">
        <v>573</v>
      </c>
      <c r="B534" s="517" t="s">
        <v>573</v>
      </c>
    </row>
    <row r="535" spans="1:2" ht="15" hidden="1" x14ac:dyDescent="0.25">
      <c r="A535" s="517" t="s">
        <v>574</v>
      </c>
      <c r="B535" s="517" t="s">
        <v>574</v>
      </c>
    </row>
    <row r="536" spans="1:2" ht="15" hidden="1" x14ac:dyDescent="0.25">
      <c r="A536" s="517" t="s">
        <v>356</v>
      </c>
      <c r="B536" s="517" t="s">
        <v>356</v>
      </c>
    </row>
    <row r="537" spans="1:2" ht="15" hidden="1" x14ac:dyDescent="0.25">
      <c r="A537" s="517" t="s">
        <v>575</v>
      </c>
      <c r="B537" s="517" t="s">
        <v>575</v>
      </c>
    </row>
    <row r="538" spans="1:2" ht="15" hidden="1" x14ac:dyDescent="0.25">
      <c r="A538" s="517" t="s">
        <v>576</v>
      </c>
      <c r="B538" s="517" t="s">
        <v>576</v>
      </c>
    </row>
    <row r="539" spans="1:2" ht="15" hidden="1" x14ac:dyDescent="0.25">
      <c r="A539" s="517" t="s">
        <v>577</v>
      </c>
      <c r="B539" s="517" t="s">
        <v>577</v>
      </c>
    </row>
    <row r="540" spans="1:2" ht="15" hidden="1" x14ac:dyDescent="0.25">
      <c r="A540" s="517" t="s">
        <v>578</v>
      </c>
      <c r="B540" s="517" t="s">
        <v>578</v>
      </c>
    </row>
    <row r="541" spans="1:2" ht="15" hidden="1" x14ac:dyDescent="0.25">
      <c r="A541" s="517" t="s">
        <v>579</v>
      </c>
      <c r="B541" s="517" t="s">
        <v>579</v>
      </c>
    </row>
    <row r="542" spans="1:2" ht="15" hidden="1" x14ac:dyDescent="0.25">
      <c r="A542" s="517" t="s">
        <v>580</v>
      </c>
      <c r="B542" s="517" t="s">
        <v>580</v>
      </c>
    </row>
    <row r="543" spans="1:2" ht="15" hidden="1" x14ac:dyDescent="0.25">
      <c r="A543" s="517" t="s">
        <v>581</v>
      </c>
      <c r="B543" s="517" t="s">
        <v>581</v>
      </c>
    </row>
    <row r="544" spans="1:2" ht="15" hidden="1" x14ac:dyDescent="0.25">
      <c r="A544" s="517" t="s">
        <v>582</v>
      </c>
      <c r="B544" s="517" t="s">
        <v>582</v>
      </c>
    </row>
    <row r="545" spans="1:2" ht="15" hidden="1" x14ac:dyDescent="0.25">
      <c r="A545" s="517" t="s">
        <v>583</v>
      </c>
      <c r="B545" s="517" t="s">
        <v>583</v>
      </c>
    </row>
    <row r="546" spans="1:2" ht="15" hidden="1" x14ac:dyDescent="0.25">
      <c r="A546" s="517" t="s">
        <v>584</v>
      </c>
      <c r="B546" s="517" t="s">
        <v>584</v>
      </c>
    </row>
    <row r="547" spans="1:2" ht="15" hidden="1" x14ac:dyDescent="0.25">
      <c r="A547" s="517" t="s">
        <v>584</v>
      </c>
      <c r="B547" s="517" t="s">
        <v>584</v>
      </c>
    </row>
    <row r="548" spans="1:2" ht="15" hidden="1" x14ac:dyDescent="0.25">
      <c r="A548" s="517" t="s">
        <v>585</v>
      </c>
      <c r="B548" s="517" t="s">
        <v>585</v>
      </c>
    </row>
    <row r="549" spans="1:2" ht="15" hidden="1" x14ac:dyDescent="0.25">
      <c r="A549" s="517" t="s">
        <v>586</v>
      </c>
      <c r="B549" s="517" t="s">
        <v>586</v>
      </c>
    </row>
    <row r="550" spans="1:2" ht="15" hidden="1" x14ac:dyDescent="0.25">
      <c r="A550" s="517" t="s">
        <v>587</v>
      </c>
      <c r="B550" s="517" t="s">
        <v>587</v>
      </c>
    </row>
    <row r="551" spans="1:2" ht="15" hidden="1" x14ac:dyDescent="0.25">
      <c r="A551" s="517" t="s">
        <v>588</v>
      </c>
      <c r="B551" s="517" t="s">
        <v>588</v>
      </c>
    </row>
    <row r="552" spans="1:2" ht="15" hidden="1" x14ac:dyDescent="0.25">
      <c r="A552" s="517" t="s">
        <v>589</v>
      </c>
      <c r="B552" s="517" t="s">
        <v>589</v>
      </c>
    </row>
    <row r="553" spans="1:2" ht="15" hidden="1" x14ac:dyDescent="0.25">
      <c r="A553" s="517" t="s">
        <v>590</v>
      </c>
      <c r="B553" s="517" t="s">
        <v>590</v>
      </c>
    </row>
    <row r="554" spans="1:2" ht="15" hidden="1" x14ac:dyDescent="0.25">
      <c r="A554" s="517" t="s">
        <v>591</v>
      </c>
      <c r="B554" s="517" t="s">
        <v>591</v>
      </c>
    </row>
    <row r="555" spans="1:2" ht="15" hidden="1" x14ac:dyDescent="0.25">
      <c r="A555" s="517" t="s">
        <v>592</v>
      </c>
      <c r="B555" s="517" t="s">
        <v>592</v>
      </c>
    </row>
    <row r="556" spans="1:2" ht="15" hidden="1" x14ac:dyDescent="0.25">
      <c r="A556" s="517" t="s">
        <v>593</v>
      </c>
      <c r="B556" s="517" t="s">
        <v>593</v>
      </c>
    </row>
    <row r="557" spans="1:2" ht="15" hidden="1" x14ac:dyDescent="0.25">
      <c r="A557" s="517" t="s">
        <v>594</v>
      </c>
      <c r="B557" s="517" t="s">
        <v>594</v>
      </c>
    </row>
    <row r="558" spans="1:2" ht="15" hidden="1" x14ac:dyDescent="0.25">
      <c r="A558" s="517" t="s">
        <v>595</v>
      </c>
      <c r="B558" s="517" t="s">
        <v>595</v>
      </c>
    </row>
    <row r="559" spans="1:2" ht="15" hidden="1" x14ac:dyDescent="0.25">
      <c r="A559" s="517" t="s">
        <v>357</v>
      </c>
      <c r="B559" s="517" t="s">
        <v>357</v>
      </c>
    </row>
    <row r="560" spans="1:2" ht="15" hidden="1" x14ac:dyDescent="0.25">
      <c r="A560" s="517" t="s">
        <v>596</v>
      </c>
      <c r="B560" s="517" t="s">
        <v>596</v>
      </c>
    </row>
    <row r="561" spans="1:2" ht="15" hidden="1" x14ac:dyDescent="0.25">
      <c r="A561" s="517" t="s">
        <v>597</v>
      </c>
      <c r="B561" s="517" t="s">
        <v>597</v>
      </c>
    </row>
    <row r="562" spans="1:2" ht="15" hidden="1" x14ac:dyDescent="0.25">
      <c r="A562" s="517" t="s">
        <v>598</v>
      </c>
      <c r="B562" s="517" t="s">
        <v>598</v>
      </c>
    </row>
    <row r="563" spans="1:2" ht="15" hidden="1" x14ac:dyDescent="0.25">
      <c r="A563" s="517" t="s">
        <v>598</v>
      </c>
      <c r="B563" s="517" t="s">
        <v>598</v>
      </c>
    </row>
    <row r="564" spans="1:2" ht="15" hidden="1" x14ac:dyDescent="0.25">
      <c r="A564" s="517" t="s">
        <v>599</v>
      </c>
      <c r="B564" s="517" t="s">
        <v>599</v>
      </c>
    </row>
    <row r="565" spans="1:2" ht="15" hidden="1" x14ac:dyDescent="0.25">
      <c r="A565" s="517" t="s">
        <v>600</v>
      </c>
      <c r="B565" s="517" t="s">
        <v>600</v>
      </c>
    </row>
    <row r="566" spans="1:2" ht="15" hidden="1" x14ac:dyDescent="0.25">
      <c r="A566" s="517" t="s">
        <v>601</v>
      </c>
      <c r="B566" s="517" t="s">
        <v>602</v>
      </c>
    </row>
    <row r="567" spans="1:2" ht="15" hidden="1" x14ac:dyDescent="0.25">
      <c r="A567" s="517" t="s">
        <v>603</v>
      </c>
      <c r="B567" s="517" t="s">
        <v>604</v>
      </c>
    </row>
    <row r="568" spans="1:2" ht="15" hidden="1" x14ac:dyDescent="0.25">
      <c r="A568" s="517" t="s">
        <v>605</v>
      </c>
      <c r="B568" s="517" t="s">
        <v>606</v>
      </c>
    </row>
    <row r="569" spans="1:2" ht="15" hidden="1" x14ac:dyDescent="0.25">
      <c r="A569" s="517" t="s">
        <v>607</v>
      </c>
      <c r="B569" s="517" t="s">
        <v>608</v>
      </c>
    </row>
    <row r="570" spans="1:2" ht="15" hidden="1" x14ac:dyDescent="0.25">
      <c r="A570" s="517" t="s">
        <v>214</v>
      </c>
      <c r="B570" s="517" t="s">
        <v>362</v>
      </c>
    </row>
    <row r="571" spans="1:2" ht="15" hidden="1" x14ac:dyDescent="0.25">
      <c r="A571" s="517" t="s">
        <v>609</v>
      </c>
      <c r="B571" s="517" t="s">
        <v>610</v>
      </c>
    </row>
    <row r="572" spans="1:2" ht="15" hidden="1" x14ac:dyDescent="0.25">
      <c r="A572" s="517" t="s">
        <v>611</v>
      </c>
      <c r="B572" s="517" t="s">
        <v>612</v>
      </c>
    </row>
    <row r="573" spans="1:2" ht="15" hidden="1" x14ac:dyDescent="0.25">
      <c r="A573" s="517" t="s">
        <v>613</v>
      </c>
      <c r="B573" s="517" t="s">
        <v>614</v>
      </c>
    </row>
    <row r="574" spans="1:2" ht="15" hidden="1" x14ac:dyDescent="0.25">
      <c r="A574" s="517" t="s">
        <v>615</v>
      </c>
      <c r="B574" s="517" t="s">
        <v>616</v>
      </c>
    </row>
    <row r="575" spans="1:2" ht="15" hidden="1" x14ac:dyDescent="0.25">
      <c r="A575" s="517" t="s">
        <v>617</v>
      </c>
      <c r="B575" s="517" t="s">
        <v>618</v>
      </c>
    </row>
    <row r="576" spans="1:2" ht="15" hidden="1" x14ac:dyDescent="0.25">
      <c r="A576" s="517" t="s">
        <v>619</v>
      </c>
      <c r="B576" s="517" t="s">
        <v>620</v>
      </c>
    </row>
    <row r="577" spans="1:2" ht="15" hidden="1" x14ac:dyDescent="0.25">
      <c r="A577" s="517" t="s">
        <v>621</v>
      </c>
      <c r="B577" s="517" t="s">
        <v>622</v>
      </c>
    </row>
    <row r="578" spans="1:2" ht="15" hidden="1" x14ac:dyDescent="0.25">
      <c r="A578" s="517" t="s">
        <v>623</v>
      </c>
      <c r="B578" s="517" t="s">
        <v>624</v>
      </c>
    </row>
    <row r="579" spans="1:2" ht="15" hidden="1" x14ac:dyDescent="0.25">
      <c r="A579" s="517" t="s">
        <v>623</v>
      </c>
      <c r="B579" s="517" t="s">
        <v>624</v>
      </c>
    </row>
    <row r="580" spans="1:2" ht="15" hidden="1" x14ac:dyDescent="0.25">
      <c r="A580" s="517" t="s">
        <v>625</v>
      </c>
      <c r="B580" s="517" t="s">
        <v>626</v>
      </c>
    </row>
    <row r="581" spans="1:2" ht="15" hidden="1" x14ac:dyDescent="0.25">
      <c r="A581" s="517" t="s">
        <v>627</v>
      </c>
      <c r="B581" s="517" t="s">
        <v>628</v>
      </c>
    </row>
    <row r="582" spans="1:2" ht="15" hidden="1" x14ac:dyDescent="0.25">
      <c r="A582" s="517" t="s">
        <v>629</v>
      </c>
      <c r="B582" s="517" t="s">
        <v>630</v>
      </c>
    </row>
    <row r="583" spans="1:2" ht="15" hidden="1" x14ac:dyDescent="0.25">
      <c r="A583" s="517" t="s">
        <v>631</v>
      </c>
      <c r="B583" s="517" t="s">
        <v>632</v>
      </c>
    </row>
    <row r="584" spans="1:2" ht="15" hidden="1" x14ac:dyDescent="0.25">
      <c r="A584" s="517" t="s">
        <v>633</v>
      </c>
      <c r="B584" s="517" t="s">
        <v>634</v>
      </c>
    </row>
    <row r="585" spans="1:2" ht="15" hidden="1" x14ac:dyDescent="0.25">
      <c r="A585" s="517" t="s">
        <v>633</v>
      </c>
      <c r="B585" s="517" t="s">
        <v>634</v>
      </c>
    </row>
    <row r="586" spans="1:2" ht="15" hidden="1" x14ac:dyDescent="0.25">
      <c r="A586" s="517" t="s">
        <v>635</v>
      </c>
      <c r="B586" s="517" t="s">
        <v>636</v>
      </c>
    </row>
    <row r="587" spans="1:2" ht="15" hidden="1" x14ac:dyDescent="0.25">
      <c r="A587" s="517" t="s">
        <v>637</v>
      </c>
      <c r="B587" s="517" t="s">
        <v>638</v>
      </c>
    </row>
    <row r="588" spans="1:2" ht="15" hidden="1" x14ac:dyDescent="0.25">
      <c r="A588" s="517" t="s">
        <v>639</v>
      </c>
      <c r="B588" s="517" t="s">
        <v>640</v>
      </c>
    </row>
    <row r="589" spans="1:2" ht="15" hidden="1" x14ac:dyDescent="0.25">
      <c r="A589" s="517" t="s">
        <v>639</v>
      </c>
      <c r="B589" s="517" t="s">
        <v>640</v>
      </c>
    </row>
    <row r="590" spans="1:2" ht="15" hidden="1" x14ac:dyDescent="0.25">
      <c r="A590" s="517" t="s">
        <v>641</v>
      </c>
      <c r="B590" s="517" t="s">
        <v>642</v>
      </c>
    </row>
    <row r="591" spans="1:2" ht="15" hidden="1" x14ac:dyDescent="0.25">
      <c r="A591" s="517" t="s">
        <v>641</v>
      </c>
      <c r="B591" s="517" t="s">
        <v>642</v>
      </c>
    </row>
    <row r="592" spans="1:2" ht="15" hidden="1" x14ac:dyDescent="0.25">
      <c r="A592" s="517" t="s">
        <v>643</v>
      </c>
      <c r="B592" s="517" t="s">
        <v>644</v>
      </c>
    </row>
    <row r="593" spans="1:2" ht="15" hidden="1" x14ac:dyDescent="0.25">
      <c r="A593" s="517" t="s">
        <v>645</v>
      </c>
      <c r="B593" s="517" t="s">
        <v>646</v>
      </c>
    </row>
    <row r="594" spans="1:2" ht="15" hidden="1" x14ac:dyDescent="0.25">
      <c r="A594" s="517" t="s">
        <v>647</v>
      </c>
      <c r="B594" s="517" t="s">
        <v>648</v>
      </c>
    </row>
    <row r="595" spans="1:2" ht="15" hidden="1" x14ac:dyDescent="0.25">
      <c r="A595" s="517" t="s">
        <v>647</v>
      </c>
      <c r="B595" s="517" t="s">
        <v>648</v>
      </c>
    </row>
    <row r="596" spans="1:2" ht="15" hidden="1" x14ac:dyDescent="0.25">
      <c r="A596" s="517" t="s">
        <v>649</v>
      </c>
      <c r="B596" s="517" t="s">
        <v>650</v>
      </c>
    </row>
    <row r="597" spans="1:2" ht="15" hidden="1" x14ac:dyDescent="0.25">
      <c r="A597" s="517" t="s">
        <v>651</v>
      </c>
      <c r="B597" s="517" t="s">
        <v>652</v>
      </c>
    </row>
    <row r="598" spans="1:2" ht="15" hidden="1" x14ac:dyDescent="0.25">
      <c r="A598" s="517" t="s">
        <v>653</v>
      </c>
      <c r="B598" s="517" t="s">
        <v>654</v>
      </c>
    </row>
    <row r="599" spans="1:2" ht="15" hidden="1" x14ac:dyDescent="0.25">
      <c r="A599" s="517" t="s">
        <v>653</v>
      </c>
      <c r="B599" s="517" t="s">
        <v>654</v>
      </c>
    </row>
    <row r="600" spans="1:2" ht="15" hidden="1" x14ac:dyDescent="0.25">
      <c r="A600" s="517" t="s">
        <v>655</v>
      </c>
      <c r="B600" s="517" t="s">
        <v>656</v>
      </c>
    </row>
    <row r="601" spans="1:2" ht="15" hidden="1" x14ac:dyDescent="0.25">
      <c r="A601" s="517" t="s">
        <v>655</v>
      </c>
      <c r="B601" s="517" t="s">
        <v>656</v>
      </c>
    </row>
    <row r="602" spans="1:2" ht="15" hidden="1" x14ac:dyDescent="0.25">
      <c r="A602" s="517" t="s">
        <v>657</v>
      </c>
      <c r="B602" s="517" t="s">
        <v>658</v>
      </c>
    </row>
    <row r="603" spans="1:2" ht="15" hidden="1" x14ac:dyDescent="0.25">
      <c r="A603" s="517" t="s">
        <v>659</v>
      </c>
      <c r="B603" s="517" t="s">
        <v>660</v>
      </c>
    </row>
    <row r="604" spans="1:2" ht="15" hidden="1" x14ac:dyDescent="0.25">
      <c r="A604" s="517" t="s">
        <v>661</v>
      </c>
      <c r="B604" s="517" t="s">
        <v>662</v>
      </c>
    </row>
    <row r="605" spans="1:2" ht="15" hidden="1" x14ac:dyDescent="0.25">
      <c r="A605" s="517" t="s">
        <v>663</v>
      </c>
      <c r="B605" s="517" t="s">
        <v>664</v>
      </c>
    </row>
    <row r="606" spans="1:2" ht="15" hidden="1" x14ac:dyDescent="0.25">
      <c r="A606" s="517" t="s">
        <v>201</v>
      </c>
      <c r="B606" s="517" t="s">
        <v>370</v>
      </c>
    </row>
    <row r="607" spans="1:2" ht="15" hidden="1" x14ac:dyDescent="0.25">
      <c r="A607" s="517" t="s">
        <v>665</v>
      </c>
      <c r="B607" s="517" t="s">
        <v>666</v>
      </c>
    </row>
    <row r="608" spans="1:2" ht="15" hidden="1" x14ac:dyDescent="0.25">
      <c r="A608" s="517" t="s">
        <v>667</v>
      </c>
      <c r="B608" s="517" t="s">
        <v>668</v>
      </c>
    </row>
    <row r="609" spans="1:2" ht="15" hidden="1" x14ac:dyDescent="0.25">
      <c r="A609" s="517" t="s">
        <v>669</v>
      </c>
      <c r="B609" s="517" t="s">
        <v>670</v>
      </c>
    </row>
    <row r="610" spans="1:2" ht="15" hidden="1" x14ac:dyDescent="0.25">
      <c r="A610" s="517" t="s">
        <v>671</v>
      </c>
      <c r="B610" s="517" t="s">
        <v>672</v>
      </c>
    </row>
    <row r="611" spans="1:2" ht="15" hidden="1" x14ac:dyDescent="0.25">
      <c r="A611" s="517" t="s">
        <v>673</v>
      </c>
      <c r="B611" s="517" t="s">
        <v>674</v>
      </c>
    </row>
    <row r="612" spans="1:2" ht="15" hidden="1" x14ac:dyDescent="0.25">
      <c r="A612" s="517" t="s">
        <v>675</v>
      </c>
      <c r="B612" s="517" t="s">
        <v>676</v>
      </c>
    </row>
    <row r="613" spans="1:2" ht="15" hidden="1" x14ac:dyDescent="0.25">
      <c r="A613" s="517" t="s">
        <v>675</v>
      </c>
      <c r="B613" s="517" t="s">
        <v>676</v>
      </c>
    </row>
    <row r="614" spans="1:2" ht="15" hidden="1" x14ac:dyDescent="0.25">
      <c r="A614" s="517" t="s">
        <v>677</v>
      </c>
      <c r="B614" s="517" t="s">
        <v>678</v>
      </c>
    </row>
    <row r="615" spans="1:2" ht="15" hidden="1" x14ac:dyDescent="0.25">
      <c r="A615" s="517" t="s">
        <v>677</v>
      </c>
      <c r="B615" s="517" t="s">
        <v>678</v>
      </c>
    </row>
    <row r="616" spans="1:2" ht="15" hidden="1" x14ac:dyDescent="0.25">
      <c r="A616" s="517" t="s">
        <v>679</v>
      </c>
      <c r="B616" s="517" t="s">
        <v>680</v>
      </c>
    </row>
    <row r="617" spans="1:2" ht="15" hidden="1" x14ac:dyDescent="0.25">
      <c r="A617" s="517" t="s">
        <v>679</v>
      </c>
      <c r="B617" s="517" t="s">
        <v>680</v>
      </c>
    </row>
    <row r="618" spans="1:2" ht="15" hidden="1" x14ac:dyDescent="0.25">
      <c r="A618" s="517" t="s">
        <v>679</v>
      </c>
      <c r="B618" s="517" t="s">
        <v>680</v>
      </c>
    </row>
    <row r="619" spans="1:2" ht="15" hidden="1" x14ac:dyDescent="0.25">
      <c r="A619" s="517" t="s">
        <v>679</v>
      </c>
      <c r="B619" s="517" t="s">
        <v>680</v>
      </c>
    </row>
    <row r="620" spans="1:2" ht="15" hidden="1" x14ac:dyDescent="0.25">
      <c r="A620" s="517" t="s">
        <v>679</v>
      </c>
      <c r="B620" s="517" t="s">
        <v>680</v>
      </c>
    </row>
    <row r="621" spans="1:2" ht="15" hidden="1" x14ac:dyDescent="0.25">
      <c r="A621" s="517" t="s">
        <v>679</v>
      </c>
      <c r="B621" s="517" t="s">
        <v>680</v>
      </c>
    </row>
    <row r="622" spans="1:2" ht="15" hidden="1" x14ac:dyDescent="0.25">
      <c r="A622" s="517" t="s">
        <v>679</v>
      </c>
      <c r="B622" s="517" t="s">
        <v>680</v>
      </c>
    </row>
    <row r="623" spans="1:2" ht="15" hidden="1" x14ac:dyDescent="0.25">
      <c r="A623" s="517" t="s">
        <v>679</v>
      </c>
      <c r="B623" s="517" t="s">
        <v>680</v>
      </c>
    </row>
    <row r="624" spans="1:2" ht="15" hidden="1" x14ac:dyDescent="0.25">
      <c r="A624" s="517" t="s">
        <v>681</v>
      </c>
      <c r="B624" s="517" t="s">
        <v>682</v>
      </c>
    </row>
    <row r="625" spans="1:2" ht="15" hidden="1" x14ac:dyDescent="0.25">
      <c r="A625" s="517" t="s">
        <v>681</v>
      </c>
      <c r="B625" s="517" t="s">
        <v>682</v>
      </c>
    </row>
    <row r="626" spans="1:2" ht="15" hidden="1" x14ac:dyDescent="0.25">
      <c r="A626" s="517" t="s">
        <v>231</v>
      </c>
      <c r="B626" s="517" t="s">
        <v>376</v>
      </c>
    </row>
    <row r="627" spans="1:2" ht="15" hidden="1" x14ac:dyDescent="0.25">
      <c r="A627" s="517" t="s">
        <v>231</v>
      </c>
      <c r="B627" s="517" t="s">
        <v>376</v>
      </c>
    </row>
    <row r="628" spans="1:2" ht="15" hidden="1" x14ac:dyDescent="0.25">
      <c r="A628" s="517" t="s">
        <v>683</v>
      </c>
      <c r="B628" s="517" t="s">
        <v>684</v>
      </c>
    </row>
    <row r="629" spans="1:2" ht="15" hidden="1" x14ac:dyDescent="0.25">
      <c r="A629" s="517" t="s">
        <v>685</v>
      </c>
      <c r="B629" s="517" t="s">
        <v>686</v>
      </c>
    </row>
    <row r="630" spans="1:2" ht="15" hidden="1" x14ac:dyDescent="0.25">
      <c r="A630" s="517" t="s">
        <v>687</v>
      </c>
      <c r="B630" s="517" t="s">
        <v>688</v>
      </c>
    </row>
    <row r="631" spans="1:2" ht="15" hidden="1" x14ac:dyDescent="0.25">
      <c r="A631" s="517" t="s">
        <v>689</v>
      </c>
      <c r="B631" s="517" t="s">
        <v>690</v>
      </c>
    </row>
    <row r="632" spans="1:2" ht="15" hidden="1" x14ac:dyDescent="0.25">
      <c r="A632" s="517" t="s">
        <v>689</v>
      </c>
      <c r="B632" s="517" t="s">
        <v>690</v>
      </c>
    </row>
    <row r="633" spans="1:2" ht="15" hidden="1" x14ac:dyDescent="0.25">
      <c r="A633" s="517" t="s">
        <v>689</v>
      </c>
      <c r="B633" s="517" t="s">
        <v>690</v>
      </c>
    </row>
    <row r="634" spans="1:2" ht="15" hidden="1" x14ac:dyDescent="0.25">
      <c r="A634" s="517" t="s">
        <v>691</v>
      </c>
      <c r="B634" s="517" t="s">
        <v>692</v>
      </c>
    </row>
    <row r="635" spans="1:2" ht="15" hidden="1" x14ac:dyDescent="0.25">
      <c r="A635" s="517" t="s">
        <v>691</v>
      </c>
      <c r="B635" s="517" t="s">
        <v>692</v>
      </c>
    </row>
    <row r="636" spans="1:2" ht="15" hidden="1" x14ac:dyDescent="0.25">
      <c r="A636" s="517" t="s">
        <v>693</v>
      </c>
      <c r="B636" s="517" t="s">
        <v>694</v>
      </c>
    </row>
    <row r="637" spans="1:2" ht="15" hidden="1" x14ac:dyDescent="0.25">
      <c r="A637" s="517" t="s">
        <v>693</v>
      </c>
      <c r="B637" s="517" t="s">
        <v>694</v>
      </c>
    </row>
    <row r="638" spans="1:2" ht="15" hidden="1" x14ac:dyDescent="0.25">
      <c r="A638" s="517" t="s">
        <v>695</v>
      </c>
      <c r="B638" s="517" t="s">
        <v>696</v>
      </c>
    </row>
    <row r="639" spans="1:2" ht="15" hidden="1" x14ac:dyDescent="0.25">
      <c r="A639" s="517" t="s">
        <v>695</v>
      </c>
      <c r="B639" s="517" t="s">
        <v>696</v>
      </c>
    </row>
    <row r="640" spans="1:2" ht="15" hidden="1" x14ac:dyDescent="0.25">
      <c r="A640" s="517" t="s">
        <v>697</v>
      </c>
      <c r="B640" s="517" t="s">
        <v>698</v>
      </c>
    </row>
    <row r="641" spans="1:2" ht="15" hidden="1" x14ac:dyDescent="0.25">
      <c r="A641" s="517" t="s">
        <v>697</v>
      </c>
      <c r="B641" s="517" t="s">
        <v>698</v>
      </c>
    </row>
    <row r="642" spans="1:2" ht="15" hidden="1" x14ac:dyDescent="0.25">
      <c r="A642" s="517" t="s">
        <v>699</v>
      </c>
      <c r="B642" s="517" t="s">
        <v>700</v>
      </c>
    </row>
    <row r="643" spans="1:2" ht="15" hidden="1" x14ac:dyDescent="0.25">
      <c r="A643" s="519" t="s">
        <v>701</v>
      </c>
      <c r="B643" s="519" t="s">
        <v>702</v>
      </c>
    </row>
    <row r="644" spans="1:2" ht="15" hidden="1" x14ac:dyDescent="0.25">
      <c r="A644" s="517" t="s">
        <v>703</v>
      </c>
      <c r="B644" s="517" t="s">
        <v>704</v>
      </c>
    </row>
    <row r="645" spans="1:2" ht="15" hidden="1" x14ac:dyDescent="0.25">
      <c r="A645" s="517" t="s">
        <v>705</v>
      </c>
      <c r="B645" s="517" t="s">
        <v>706</v>
      </c>
    </row>
    <row r="646" spans="1:2" ht="15" hidden="1" x14ac:dyDescent="0.25">
      <c r="A646" s="517" t="s">
        <v>705</v>
      </c>
      <c r="B646" s="517" t="s">
        <v>706</v>
      </c>
    </row>
    <row r="647" spans="1:2" ht="15" hidden="1" x14ac:dyDescent="0.25">
      <c r="A647" s="517" t="s">
        <v>707</v>
      </c>
      <c r="B647" s="517" t="s">
        <v>708</v>
      </c>
    </row>
    <row r="648" spans="1:2" ht="15" hidden="1" x14ac:dyDescent="0.25">
      <c r="A648" s="517" t="s">
        <v>707</v>
      </c>
      <c r="B648" s="517" t="s">
        <v>708</v>
      </c>
    </row>
    <row r="649" spans="1:2" ht="15" hidden="1" x14ac:dyDescent="0.25">
      <c r="A649" s="517" t="s">
        <v>709</v>
      </c>
      <c r="B649" s="517" t="s">
        <v>710</v>
      </c>
    </row>
    <row r="650" spans="1:2" ht="15" hidden="1" x14ac:dyDescent="0.25">
      <c r="A650" s="517" t="s">
        <v>202</v>
      </c>
      <c r="B650" s="517" t="s">
        <v>380</v>
      </c>
    </row>
    <row r="651" spans="1:2" ht="15" hidden="1" x14ac:dyDescent="0.25">
      <c r="A651" s="518" t="s">
        <v>711</v>
      </c>
      <c r="B651" s="517" t="s">
        <v>712</v>
      </c>
    </row>
    <row r="652" spans="1:2" ht="15" hidden="1" x14ac:dyDescent="0.25">
      <c r="A652" s="517" t="s">
        <v>713</v>
      </c>
      <c r="B652" s="517" t="s">
        <v>714</v>
      </c>
    </row>
    <row r="653" spans="1:2" ht="15" hidden="1" x14ac:dyDescent="0.25">
      <c r="A653" s="517" t="s">
        <v>715</v>
      </c>
      <c r="B653" s="517" t="s">
        <v>716</v>
      </c>
    </row>
    <row r="654" spans="1:2" ht="15" hidden="1" x14ac:dyDescent="0.25">
      <c r="A654" s="517" t="s">
        <v>715</v>
      </c>
      <c r="B654" s="517" t="s">
        <v>716</v>
      </c>
    </row>
    <row r="655" spans="1:2" ht="15" hidden="1" x14ac:dyDescent="0.25">
      <c r="A655" s="517" t="s">
        <v>717</v>
      </c>
      <c r="B655" s="517" t="s">
        <v>718</v>
      </c>
    </row>
    <row r="656" spans="1:2" ht="15" hidden="1" x14ac:dyDescent="0.25">
      <c r="A656" s="517" t="s">
        <v>719</v>
      </c>
      <c r="B656" s="517" t="s">
        <v>720</v>
      </c>
    </row>
    <row r="657" spans="1:2" ht="15" hidden="1" x14ac:dyDescent="0.25">
      <c r="A657" s="517" t="s">
        <v>721</v>
      </c>
      <c r="B657" s="517" t="s">
        <v>722</v>
      </c>
    </row>
    <row r="658" spans="1:2" ht="15" hidden="1" x14ac:dyDescent="0.25">
      <c r="A658" s="517" t="s">
        <v>721</v>
      </c>
      <c r="B658" s="517" t="s">
        <v>722</v>
      </c>
    </row>
    <row r="659" spans="1:2" ht="15" hidden="1" x14ac:dyDescent="0.25">
      <c r="A659" s="517" t="s">
        <v>721</v>
      </c>
      <c r="B659" s="517" t="s">
        <v>722</v>
      </c>
    </row>
    <row r="660" spans="1:2" ht="15" hidden="1" x14ac:dyDescent="0.25">
      <c r="A660" s="517" t="s">
        <v>723</v>
      </c>
      <c r="B660" s="517" t="s">
        <v>724</v>
      </c>
    </row>
    <row r="661" spans="1:2" ht="15" hidden="1" x14ac:dyDescent="0.25">
      <c r="A661" s="517" t="s">
        <v>725</v>
      </c>
      <c r="B661" s="517" t="s">
        <v>726</v>
      </c>
    </row>
    <row r="662" spans="1:2" ht="15" hidden="1" x14ac:dyDescent="0.25">
      <c r="A662" s="517" t="s">
        <v>725</v>
      </c>
      <c r="B662" s="517" t="s">
        <v>726</v>
      </c>
    </row>
    <row r="663" spans="1:2" ht="15" hidden="1" x14ac:dyDescent="0.25">
      <c r="A663" s="517" t="s">
        <v>725</v>
      </c>
      <c r="B663" s="517" t="s">
        <v>726</v>
      </c>
    </row>
    <row r="664" spans="1:2" ht="15" hidden="1" x14ac:dyDescent="0.25">
      <c r="A664" s="517" t="s">
        <v>727</v>
      </c>
      <c r="B664" s="517" t="s">
        <v>728</v>
      </c>
    </row>
    <row r="665" spans="1:2" ht="15" hidden="1" x14ac:dyDescent="0.25">
      <c r="A665" s="517" t="s">
        <v>727</v>
      </c>
      <c r="B665" s="517" t="s">
        <v>728</v>
      </c>
    </row>
    <row r="666" spans="1:2" ht="15" hidden="1" x14ac:dyDescent="0.25">
      <c r="A666" s="517" t="s">
        <v>729</v>
      </c>
      <c r="B666" s="517" t="s">
        <v>730</v>
      </c>
    </row>
    <row r="667" spans="1:2" ht="15" hidden="1" x14ac:dyDescent="0.25">
      <c r="A667" s="517" t="s">
        <v>729</v>
      </c>
      <c r="B667" s="517" t="s">
        <v>730</v>
      </c>
    </row>
    <row r="668" spans="1:2" ht="15" hidden="1" x14ac:dyDescent="0.25">
      <c r="A668" s="517" t="s">
        <v>729</v>
      </c>
      <c r="B668" s="517" t="s">
        <v>730</v>
      </c>
    </row>
    <row r="669" spans="1:2" ht="15" hidden="1" x14ac:dyDescent="0.25">
      <c r="A669" s="518" t="s">
        <v>731</v>
      </c>
      <c r="B669" s="517" t="s">
        <v>732</v>
      </c>
    </row>
    <row r="670" spans="1:2" ht="15" hidden="1" x14ac:dyDescent="0.25">
      <c r="A670" s="517" t="s">
        <v>733</v>
      </c>
      <c r="B670" s="517" t="s">
        <v>734</v>
      </c>
    </row>
    <row r="671" spans="1:2" ht="15" hidden="1" x14ac:dyDescent="0.25">
      <c r="A671" s="517" t="s">
        <v>733</v>
      </c>
      <c r="B671" s="517" t="s">
        <v>734</v>
      </c>
    </row>
    <row r="672" spans="1:2" ht="15" hidden="1" x14ac:dyDescent="0.25">
      <c r="A672" s="517" t="s">
        <v>203</v>
      </c>
      <c r="B672" s="517" t="s">
        <v>389</v>
      </c>
    </row>
    <row r="673" spans="1:2" ht="15" hidden="1" x14ac:dyDescent="0.25">
      <c r="A673" s="517" t="s">
        <v>735</v>
      </c>
      <c r="B673" s="517" t="s">
        <v>736</v>
      </c>
    </row>
    <row r="674" spans="1:2" ht="15" hidden="1" x14ac:dyDescent="0.25">
      <c r="A674" s="517" t="s">
        <v>735</v>
      </c>
      <c r="B674" s="517" t="s">
        <v>736</v>
      </c>
    </row>
    <row r="675" spans="1:2" ht="15" hidden="1" x14ac:dyDescent="0.25">
      <c r="A675" s="517" t="s">
        <v>735</v>
      </c>
      <c r="B675" s="517" t="s">
        <v>736</v>
      </c>
    </row>
    <row r="676" spans="1:2" ht="15" hidden="1" x14ac:dyDescent="0.25">
      <c r="A676" s="517" t="s">
        <v>737</v>
      </c>
      <c r="B676" s="517" t="s">
        <v>738</v>
      </c>
    </row>
    <row r="677" spans="1:2" ht="15" hidden="1" x14ac:dyDescent="0.25">
      <c r="A677" s="517" t="s">
        <v>739</v>
      </c>
      <c r="B677" s="517" t="s">
        <v>740</v>
      </c>
    </row>
    <row r="678" spans="1:2" ht="15" hidden="1" x14ac:dyDescent="0.25">
      <c r="A678" s="517" t="s">
        <v>741</v>
      </c>
      <c r="B678" s="517" t="s">
        <v>742</v>
      </c>
    </row>
    <row r="679" spans="1:2" ht="15" hidden="1" x14ac:dyDescent="0.25">
      <c r="A679" s="517" t="s">
        <v>741</v>
      </c>
      <c r="B679" s="517" t="s">
        <v>742</v>
      </c>
    </row>
    <row r="680" spans="1:2" ht="15" hidden="1" x14ac:dyDescent="0.25">
      <c r="A680" s="517" t="s">
        <v>741</v>
      </c>
      <c r="B680" s="517" t="s">
        <v>742</v>
      </c>
    </row>
    <row r="681" spans="1:2" ht="15" hidden="1" x14ac:dyDescent="0.25">
      <c r="A681" s="517" t="s">
        <v>743</v>
      </c>
      <c r="B681" s="517" t="s">
        <v>744</v>
      </c>
    </row>
    <row r="682" spans="1:2" ht="15" hidden="1" x14ac:dyDescent="0.25">
      <c r="A682" s="517" t="s">
        <v>745</v>
      </c>
      <c r="B682" s="517" t="s">
        <v>746</v>
      </c>
    </row>
    <row r="683" spans="1:2" ht="15" hidden="1" x14ac:dyDescent="0.25">
      <c r="A683" s="517" t="s">
        <v>747</v>
      </c>
      <c r="B683" s="517" t="s">
        <v>748</v>
      </c>
    </row>
    <row r="684" spans="1:2" ht="15" hidden="1" x14ac:dyDescent="0.25">
      <c r="A684" s="517" t="s">
        <v>749</v>
      </c>
      <c r="B684" s="517" t="s">
        <v>750</v>
      </c>
    </row>
    <row r="685" spans="1:2" ht="15" hidden="1" x14ac:dyDescent="0.25">
      <c r="A685" s="517" t="s">
        <v>751</v>
      </c>
      <c r="B685" s="517" t="s">
        <v>752</v>
      </c>
    </row>
    <row r="686" spans="1:2" ht="15" hidden="1" x14ac:dyDescent="0.25">
      <c r="A686" s="517" t="s">
        <v>753</v>
      </c>
      <c r="B686" s="517" t="s">
        <v>754</v>
      </c>
    </row>
    <row r="687" spans="1:2" ht="15" hidden="1" x14ac:dyDescent="0.25">
      <c r="A687" s="517" t="s">
        <v>755</v>
      </c>
      <c r="B687" s="517" t="s">
        <v>756</v>
      </c>
    </row>
    <row r="688" spans="1:2" ht="15" hidden="1" x14ac:dyDescent="0.25">
      <c r="A688" s="517" t="s">
        <v>757</v>
      </c>
      <c r="B688" s="517" t="s">
        <v>758</v>
      </c>
    </row>
    <row r="689" spans="1:2" ht="15" hidden="1" x14ac:dyDescent="0.25">
      <c r="A689" s="517" t="s">
        <v>759</v>
      </c>
      <c r="B689" s="517" t="s">
        <v>760</v>
      </c>
    </row>
    <row r="690" spans="1:2" ht="15" hidden="1" x14ac:dyDescent="0.25">
      <c r="A690" s="517" t="s">
        <v>761</v>
      </c>
      <c r="B690" s="517" t="s">
        <v>762</v>
      </c>
    </row>
    <row r="691" spans="1:2" ht="15" hidden="1" x14ac:dyDescent="0.25">
      <c r="A691" s="517" t="s">
        <v>763</v>
      </c>
      <c r="B691" s="517" t="s">
        <v>764</v>
      </c>
    </row>
    <row r="692" spans="1:2" ht="15" hidden="1" x14ac:dyDescent="0.25">
      <c r="A692" s="517" t="s">
        <v>763</v>
      </c>
      <c r="B692" s="517" t="s">
        <v>764</v>
      </c>
    </row>
    <row r="693" spans="1:2" ht="15" hidden="1" x14ac:dyDescent="0.25">
      <c r="A693" s="517" t="s">
        <v>765</v>
      </c>
      <c r="B693" s="517" t="s">
        <v>766</v>
      </c>
    </row>
    <row r="694" spans="1:2" ht="15" hidden="1" x14ac:dyDescent="0.25">
      <c r="A694" s="517" t="s">
        <v>767</v>
      </c>
      <c r="B694" s="517" t="s">
        <v>768</v>
      </c>
    </row>
    <row r="695" spans="1:2" ht="15" hidden="1" x14ac:dyDescent="0.25">
      <c r="A695" s="517" t="s">
        <v>767</v>
      </c>
      <c r="B695" s="517" t="s">
        <v>768</v>
      </c>
    </row>
    <row r="696" spans="1:2" ht="15" hidden="1" x14ac:dyDescent="0.25">
      <c r="A696" s="517" t="s">
        <v>767</v>
      </c>
      <c r="B696" s="517" t="s">
        <v>768</v>
      </c>
    </row>
    <row r="697" spans="1:2" ht="15" hidden="1" x14ac:dyDescent="0.25">
      <c r="A697" s="517" t="s">
        <v>769</v>
      </c>
      <c r="B697" s="517" t="s">
        <v>770</v>
      </c>
    </row>
    <row r="698" spans="1:2" ht="15" hidden="1" x14ac:dyDescent="0.25">
      <c r="A698" s="517" t="s">
        <v>771</v>
      </c>
      <c r="B698" s="517" t="s">
        <v>772</v>
      </c>
    </row>
    <row r="699" spans="1:2" ht="15" hidden="1" x14ac:dyDescent="0.25">
      <c r="A699" s="518" t="s">
        <v>773</v>
      </c>
      <c r="B699" s="517" t="s">
        <v>774</v>
      </c>
    </row>
    <row r="700" spans="1:2" ht="15" hidden="1" x14ac:dyDescent="0.25">
      <c r="A700" s="518" t="s">
        <v>775</v>
      </c>
      <c r="B700" s="517" t="s">
        <v>776</v>
      </c>
    </row>
    <row r="701" spans="1:2" ht="15" hidden="1" x14ac:dyDescent="0.25">
      <c r="A701" s="517" t="s">
        <v>777</v>
      </c>
      <c r="B701" s="517" t="s">
        <v>778</v>
      </c>
    </row>
    <row r="702" spans="1:2" ht="15" hidden="1" x14ac:dyDescent="0.25">
      <c r="A702" s="518" t="s">
        <v>779</v>
      </c>
      <c r="B702" s="518" t="s">
        <v>780</v>
      </c>
    </row>
    <row r="703" spans="1:2" ht="15" hidden="1" x14ac:dyDescent="0.25">
      <c r="A703" s="517" t="s">
        <v>781</v>
      </c>
      <c r="B703" s="517" t="s">
        <v>782</v>
      </c>
    </row>
    <row r="704" spans="1:2" ht="15" hidden="1" x14ac:dyDescent="0.25">
      <c r="A704" s="517" t="s">
        <v>783</v>
      </c>
      <c r="B704" s="517" t="s">
        <v>784</v>
      </c>
    </row>
    <row r="705" spans="1:2" ht="15" hidden="1" x14ac:dyDescent="0.25">
      <c r="A705" s="517" t="s">
        <v>785</v>
      </c>
      <c r="B705" s="517" t="s">
        <v>786</v>
      </c>
    </row>
    <row r="706" spans="1:2" ht="15" hidden="1" x14ac:dyDescent="0.25">
      <c r="A706" s="517" t="s">
        <v>785</v>
      </c>
      <c r="B706" s="517" t="s">
        <v>786</v>
      </c>
    </row>
    <row r="707" spans="1:2" ht="15" hidden="1" x14ac:dyDescent="0.25">
      <c r="A707" s="517" t="s">
        <v>785</v>
      </c>
      <c r="B707" s="517" t="s">
        <v>786</v>
      </c>
    </row>
    <row r="708" spans="1:2" ht="15" hidden="1" x14ac:dyDescent="0.25">
      <c r="A708" s="518" t="s">
        <v>785</v>
      </c>
      <c r="B708" s="517" t="s">
        <v>786</v>
      </c>
    </row>
    <row r="709" spans="1:2" ht="15" hidden="1" x14ac:dyDescent="0.25">
      <c r="A709" s="517" t="s">
        <v>785</v>
      </c>
      <c r="B709" s="517" t="s">
        <v>786</v>
      </c>
    </row>
    <row r="710" spans="1:2" ht="15" hidden="1" x14ac:dyDescent="0.25">
      <c r="A710" s="517" t="s">
        <v>787</v>
      </c>
      <c r="B710" s="517" t="s">
        <v>788</v>
      </c>
    </row>
    <row r="711" spans="1:2" ht="15" hidden="1" x14ac:dyDescent="0.25">
      <c r="A711" s="517" t="s">
        <v>787</v>
      </c>
      <c r="B711" s="517" t="s">
        <v>788</v>
      </c>
    </row>
    <row r="712" spans="1:2" ht="15" hidden="1" x14ac:dyDescent="0.25">
      <c r="A712" s="517" t="s">
        <v>787</v>
      </c>
      <c r="B712" s="517" t="s">
        <v>788</v>
      </c>
    </row>
    <row r="713" spans="1:2" ht="15" hidden="1" x14ac:dyDescent="0.25">
      <c r="A713" s="517" t="s">
        <v>787</v>
      </c>
      <c r="B713" s="517" t="s">
        <v>788</v>
      </c>
    </row>
    <row r="714" spans="1:2" ht="15" hidden="1" x14ac:dyDescent="0.25">
      <c r="A714" s="517" t="s">
        <v>787</v>
      </c>
      <c r="B714" s="517" t="s">
        <v>788</v>
      </c>
    </row>
    <row r="715" spans="1:2" ht="15" hidden="1" x14ac:dyDescent="0.25">
      <c r="A715" s="517" t="s">
        <v>787</v>
      </c>
      <c r="B715" s="517" t="s">
        <v>788</v>
      </c>
    </row>
    <row r="716" spans="1:2" ht="15" hidden="1" x14ac:dyDescent="0.25">
      <c r="A716" s="517" t="s">
        <v>787</v>
      </c>
      <c r="B716" s="517" t="s">
        <v>788</v>
      </c>
    </row>
    <row r="717" spans="1:2" ht="15" hidden="1" x14ac:dyDescent="0.25">
      <c r="A717" s="517" t="s">
        <v>787</v>
      </c>
      <c r="B717" s="517" t="s">
        <v>788</v>
      </c>
    </row>
    <row r="718" spans="1:2" ht="15" hidden="1" x14ac:dyDescent="0.25">
      <c r="A718" s="517" t="s">
        <v>787</v>
      </c>
      <c r="B718" s="517" t="s">
        <v>788</v>
      </c>
    </row>
    <row r="719" spans="1:2" ht="15" hidden="1" x14ac:dyDescent="0.25">
      <c r="A719" s="517" t="s">
        <v>789</v>
      </c>
      <c r="B719" s="517" t="s">
        <v>790</v>
      </c>
    </row>
    <row r="720" spans="1:2" ht="15" hidden="1" x14ac:dyDescent="0.25">
      <c r="A720" s="517" t="s">
        <v>791</v>
      </c>
      <c r="B720" s="517" t="s">
        <v>792</v>
      </c>
    </row>
    <row r="721" spans="1:2" ht="15" hidden="1" x14ac:dyDescent="0.25">
      <c r="A721" s="517" t="s">
        <v>793</v>
      </c>
      <c r="B721" s="517" t="s">
        <v>794</v>
      </c>
    </row>
    <row r="722" spans="1:2" ht="15" hidden="1" x14ac:dyDescent="0.25">
      <c r="A722" s="517" t="s">
        <v>795</v>
      </c>
      <c r="B722" s="517" t="s">
        <v>796</v>
      </c>
    </row>
    <row r="723" spans="1:2" ht="15" hidden="1" x14ac:dyDescent="0.25">
      <c r="A723" s="517" t="s">
        <v>795</v>
      </c>
      <c r="B723" s="517" t="s">
        <v>796</v>
      </c>
    </row>
    <row r="724" spans="1:2" ht="15" hidden="1" x14ac:dyDescent="0.25">
      <c r="A724" s="517" t="s">
        <v>797</v>
      </c>
      <c r="B724" s="517" t="s">
        <v>798</v>
      </c>
    </row>
    <row r="725" spans="1:2" ht="15" hidden="1" x14ac:dyDescent="0.25">
      <c r="A725" s="517" t="s">
        <v>799</v>
      </c>
      <c r="B725" s="517" t="s">
        <v>800</v>
      </c>
    </row>
    <row r="726" spans="1:2" ht="15" hidden="1" x14ac:dyDescent="0.25">
      <c r="A726" s="517" t="s">
        <v>801</v>
      </c>
      <c r="B726" s="517" t="s">
        <v>802</v>
      </c>
    </row>
    <row r="727" spans="1:2" ht="15" hidden="1" x14ac:dyDescent="0.25">
      <c r="A727" s="517" t="s">
        <v>801</v>
      </c>
      <c r="B727" s="517" t="s">
        <v>802</v>
      </c>
    </row>
    <row r="728" spans="1:2" ht="15" hidden="1" x14ac:dyDescent="0.25">
      <c r="A728" s="517" t="s">
        <v>803</v>
      </c>
      <c r="B728" s="517" t="s">
        <v>804</v>
      </c>
    </row>
    <row r="729" spans="1:2" ht="15" hidden="1" x14ac:dyDescent="0.25">
      <c r="A729" s="517" t="s">
        <v>803</v>
      </c>
      <c r="B729" s="517" t="s">
        <v>804</v>
      </c>
    </row>
    <row r="730" spans="1:2" ht="15" hidden="1" x14ac:dyDescent="0.25">
      <c r="A730" s="517" t="s">
        <v>803</v>
      </c>
      <c r="B730" s="517" t="s">
        <v>804</v>
      </c>
    </row>
    <row r="731" spans="1:2" ht="15" hidden="1" x14ac:dyDescent="0.25">
      <c r="A731" s="517" t="s">
        <v>803</v>
      </c>
      <c r="B731" s="517" t="s">
        <v>804</v>
      </c>
    </row>
    <row r="732" spans="1:2" ht="15" hidden="1" x14ac:dyDescent="0.25">
      <c r="A732" s="517" t="s">
        <v>803</v>
      </c>
      <c r="B732" s="517" t="s">
        <v>804</v>
      </c>
    </row>
    <row r="733" spans="1:2" ht="15" hidden="1" x14ac:dyDescent="0.25">
      <c r="A733" s="517" t="s">
        <v>803</v>
      </c>
      <c r="B733" s="517" t="s">
        <v>804</v>
      </c>
    </row>
    <row r="734" spans="1:2" ht="15" hidden="1" x14ac:dyDescent="0.25">
      <c r="A734" s="517" t="s">
        <v>803</v>
      </c>
      <c r="B734" s="517" t="s">
        <v>804</v>
      </c>
    </row>
    <row r="735" spans="1:2" ht="15" hidden="1" x14ac:dyDescent="0.25">
      <c r="A735" s="517" t="s">
        <v>805</v>
      </c>
      <c r="B735" s="517" t="s">
        <v>806</v>
      </c>
    </row>
    <row r="736" spans="1:2" ht="15" hidden="1" x14ac:dyDescent="0.25">
      <c r="A736" s="517" t="s">
        <v>807</v>
      </c>
      <c r="B736" s="517" t="s">
        <v>808</v>
      </c>
    </row>
    <row r="737" spans="1:2" ht="15" hidden="1" x14ac:dyDescent="0.25">
      <c r="A737" s="517" t="s">
        <v>809</v>
      </c>
      <c r="B737" s="517" t="s">
        <v>810</v>
      </c>
    </row>
    <row r="738" spans="1:2" ht="15" hidden="1" x14ac:dyDescent="0.25">
      <c r="A738" s="517" t="s">
        <v>811</v>
      </c>
      <c r="B738" s="517" t="s">
        <v>812</v>
      </c>
    </row>
    <row r="739" spans="1:2" ht="15" hidden="1" x14ac:dyDescent="0.25">
      <c r="A739" s="517" t="s">
        <v>813</v>
      </c>
      <c r="B739" s="517" t="s">
        <v>814</v>
      </c>
    </row>
    <row r="740" spans="1:2" ht="15" hidden="1" x14ac:dyDescent="0.25">
      <c r="A740" s="517" t="s">
        <v>815</v>
      </c>
      <c r="B740" s="517" t="s">
        <v>816</v>
      </c>
    </row>
    <row r="741" spans="1:2" ht="15" hidden="1" x14ac:dyDescent="0.25">
      <c r="A741" s="517" t="s">
        <v>817</v>
      </c>
      <c r="B741" s="517" t="s">
        <v>818</v>
      </c>
    </row>
    <row r="742" spans="1:2" ht="15" hidden="1" x14ac:dyDescent="0.25">
      <c r="A742" s="517" t="s">
        <v>204</v>
      </c>
      <c r="B742" s="517" t="s">
        <v>400</v>
      </c>
    </row>
    <row r="743" spans="1:2" ht="15" hidden="1" x14ac:dyDescent="0.25">
      <c r="A743" s="517" t="s">
        <v>819</v>
      </c>
      <c r="B743" s="517" t="s">
        <v>820</v>
      </c>
    </row>
    <row r="744" spans="1:2" ht="15" hidden="1" x14ac:dyDescent="0.25">
      <c r="A744" s="517" t="s">
        <v>821</v>
      </c>
      <c r="B744" s="517" t="s">
        <v>822</v>
      </c>
    </row>
    <row r="745" spans="1:2" ht="15" hidden="1" x14ac:dyDescent="0.25">
      <c r="A745" s="517" t="s">
        <v>823</v>
      </c>
      <c r="B745" s="517" t="s">
        <v>824</v>
      </c>
    </row>
    <row r="746" spans="1:2" ht="15" hidden="1" x14ac:dyDescent="0.25">
      <c r="A746" s="517" t="s">
        <v>825</v>
      </c>
      <c r="B746" s="517" t="s">
        <v>826</v>
      </c>
    </row>
    <row r="747" spans="1:2" ht="15" hidden="1" x14ac:dyDescent="0.25">
      <c r="A747" s="517" t="s">
        <v>825</v>
      </c>
      <c r="B747" s="517" t="s">
        <v>826</v>
      </c>
    </row>
    <row r="748" spans="1:2" ht="15" hidden="1" x14ac:dyDescent="0.25">
      <c r="A748" s="517" t="s">
        <v>825</v>
      </c>
      <c r="B748" s="517" t="s">
        <v>826</v>
      </c>
    </row>
    <row r="749" spans="1:2" ht="15" hidden="1" x14ac:dyDescent="0.25">
      <c r="A749" s="517" t="s">
        <v>827</v>
      </c>
      <c r="B749" s="517" t="s">
        <v>828</v>
      </c>
    </row>
    <row r="750" spans="1:2" ht="15" hidden="1" x14ac:dyDescent="0.25">
      <c r="A750" s="517" t="s">
        <v>827</v>
      </c>
      <c r="B750" s="517" t="s">
        <v>828</v>
      </c>
    </row>
    <row r="751" spans="1:2" ht="15" hidden="1" x14ac:dyDescent="0.25">
      <c r="A751" s="517" t="s">
        <v>827</v>
      </c>
      <c r="B751" s="517" t="s">
        <v>828</v>
      </c>
    </row>
    <row r="752" spans="1:2" ht="15" hidden="1" x14ac:dyDescent="0.25">
      <c r="A752" s="517" t="s">
        <v>829</v>
      </c>
      <c r="B752" s="517" t="s">
        <v>830</v>
      </c>
    </row>
    <row r="753" spans="1:2" ht="15" hidden="1" x14ac:dyDescent="0.25">
      <c r="A753" s="517" t="s">
        <v>829</v>
      </c>
      <c r="B753" s="517" t="s">
        <v>830</v>
      </c>
    </row>
    <row r="754" spans="1:2" ht="15" hidden="1" x14ac:dyDescent="0.25">
      <c r="A754" s="517" t="s">
        <v>831</v>
      </c>
      <c r="B754" s="517" t="s">
        <v>832</v>
      </c>
    </row>
    <row r="755" spans="1:2" ht="15" hidden="1" x14ac:dyDescent="0.25">
      <c r="A755" s="517" t="s">
        <v>831</v>
      </c>
      <c r="B755" s="517" t="s">
        <v>832</v>
      </c>
    </row>
    <row r="756" spans="1:2" ht="15" hidden="1" x14ac:dyDescent="0.25">
      <c r="A756" s="517" t="s">
        <v>833</v>
      </c>
      <c r="B756" s="517" t="s">
        <v>834</v>
      </c>
    </row>
    <row r="757" spans="1:2" ht="15" hidden="1" x14ac:dyDescent="0.25">
      <c r="A757" s="517" t="s">
        <v>833</v>
      </c>
      <c r="B757" s="517" t="s">
        <v>834</v>
      </c>
    </row>
    <row r="758" spans="1:2" ht="15" hidden="1" x14ac:dyDescent="0.25">
      <c r="A758" s="517" t="s">
        <v>835</v>
      </c>
      <c r="B758" s="517" t="s">
        <v>836</v>
      </c>
    </row>
    <row r="759" spans="1:2" ht="15" hidden="1" x14ac:dyDescent="0.25">
      <c r="A759" s="517" t="s">
        <v>837</v>
      </c>
      <c r="B759" s="517" t="s">
        <v>838</v>
      </c>
    </row>
    <row r="760" spans="1:2" ht="15" hidden="1" x14ac:dyDescent="0.25">
      <c r="A760" s="517" t="s">
        <v>837</v>
      </c>
      <c r="B760" s="517" t="s">
        <v>838</v>
      </c>
    </row>
    <row r="761" spans="1:2" ht="15" hidden="1" x14ac:dyDescent="0.25">
      <c r="A761" s="517" t="s">
        <v>837</v>
      </c>
      <c r="B761" s="517" t="s">
        <v>838</v>
      </c>
    </row>
    <row r="762" spans="1:2" ht="15" hidden="1" x14ac:dyDescent="0.25">
      <c r="A762" s="517" t="s">
        <v>205</v>
      </c>
      <c r="B762" s="517" t="s">
        <v>404</v>
      </c>
    </row>
    <row r="763" spans="1:2" ht="15" hidden="1" x14ac:dyDescent="0.25">
      <c r="A763" s="517" t="s">
        <v>205</v>
      </c>
      <c r="B763" s="517" t="s">
        <v>404</v>
      </c>
    </row>
    <row r="764" spans="1:2" ht="15" hidden="1" x14ac:dyDescent="0.25">
      <c r="A764" s="518" t="s">
        <v>839</v>
      </c>
      <c r="B764" s="517" t="s">
        <v>840</v>
      </c>
    </row>
    <row r="765" spans="1:2" ht="15" hidden="1" x14ac:dyDescent="0.25">
      <c r="A765" s="517" t="s">
        <v>841</v>
      </c>
      <c r="B765" s="517" t="s">
        <v>842</v>
      </c>
    </row>
    <row r="766" spans="1:2" ht="15" hidden="1" x14ac:dyDescent="0.25">
      <c r="A766" s="517" t="s">
        <v>843</v>
      </c>
      <c r="B766" s="517" t="s">
        <v>778</v>
      </c>
    </row>
    <row r="767" spans="1:2" ht="15" hidden="1" x14ac:dyDescent="0.25">
      <c r="A767" s="517" t="s">
        <v>843</v>
      </c>
      <c r="B767" s="517" t="s">
        <v>778</v>
      </c>
    </row>
    <row r="768" spans="1:2" ht="15" hidden="1" x14ac:dyDescent="0.25">
      <c r="A768" s="517" t="s">
        <v>844</v>
      </c>
      <c r="B768" s="517" t="s">
        <v>845</v>
      </c>
    </row>
    <row r="769" spans="1:2" ht="15" hidden="1" x14ac:dyDescent="0.25">
      <c r="A769" s="517" t="s">
        <v>846</v>
      </c>
      <c r="B769" s="517" t="s">
        <v>847</v>
      </c>
    </row>
    <row r="770" spans="1:2" ht="15" hidden="1" x14ac:dyDescent="0.25">
      <c r="A770" s="517" t="s">
        <v>848</v>
      </c>
      <c r="B770" s="517" t="s">
        <v>849</v>
      </c>
    </row>
    <row r="771" spans="1:2" ht="15" hidden="1" x14ac:dyDescent="0.25">
      <c r="A771" s="517" t="s">
        <v>850</v>
      </c>
      <c r="B771" s="517" t="s">
        <v>851</v>
      </c>
    </row>
    <row r="772" spans="1:2" ht="15" hidden="1" x14ac:dyDescent="0.25">
      <c r="A772" s="517" t="s">
        <v>852</v>
      </c>
      <c r="B772" s="517" t="s">
        <v>853</v>
      </c>
    </row>
    <row r="773" spans="1:2" ht="15" hidden="1" x14ac:dyDescent="0.25">
      <c r="A773" s="517" t="s">
        <v>854</v>
      </c>
      <c r="B773" s="517" t="s">
        <v>855</v>
      </c>
    </row>
    <row r="774" spans="1:2" ht="15" hidden="1" x14ac:dyDescent="0.25">
      <c r="A774" s="517" t="s">
        <v>856</v>
      </c>
      <c r="B774" s="517" t="s">
        <v>857</v>
      </c>
    </row>
    <row r="775" spans="1:2" ht="15" hidden="1" x14ac:dyDescent="0.25">
      <c r="A775" s="517" t="s">
        <v>858</v>
      </c>
      <c r="B775" s="517" t="s">
        <v>859</v>
      </c>
    </row>
    <row r="776" spans="1:2" ht="15" hidden="1" x14ac:dyDescent="0.25">
      <c r="A776" s="517" t="s">
        <v>860</v>
      </c>
      <c r="B776" s="517" t="s">
        <v>861</v>
      </c>
    </row>
    <row r="777" spans="1:2" ht="15" hidden="1" x14ac:dyDescent="0.25">
      <c r="A777" s="517" t="s">
        <v>860</v>
      </c>
      <c r="B777" s="517" t="s">
        <v>861</v>
      </c>
    </row>
    <row r="778" spans="1:2" ht="15" hidden="1" x14ac:dyDescent="0.25">
      <c r="A778" s="517" t="s">
        <v>860</v>
      </c>
      <c r="B778" s="517" t="s">
        <v>861</v>
      </c>
    </row>
    <row r="779" spans="1:2" ht="15" hidden="1" x14ac:dyDescent="0.25">
      <c r="A779" s="517" t="s">
        <v>860</v>
      </c>
      <c r="B779" s="517" t="s">
        <v>861</v>
      </c>
    </row>
    <row r="780" spans="1:2" ht="15" hidden="1" x14ac:dyDescent="0.25">
      <c r="A780" s="517" t="s">
        <v>862</v>
      </c>
      <c r="B780" s="517" t="s">
        <v>863</v>
      </c>
    </row>
    <row r="781" spans="1:2" ht="15" hidden="1" x14ac:dyDescent="0.25">
      <c r="A781" s="517" t="s">
        <v>862</v>
      </c>
      <c r="B781" s="517" t="s">
        <v>863</v>
      </c>
    </row>
    <row r="782" spans="1:2" ht="15" hidden="1" x14ac:dyDescent="0.25">
      <c r="A782" s="517" t="s">
        <v>862</v>
      </c>
      <c r="B782" s="517" t="s">
        <v>863</v>
      </c>
    </row>
    <row r="783" spans="1:2" ht="15" hidden="1" x14ac:dyDescent="0.25">
      <c r="A783" s="517" t="s">
        <v>864</v>
      </c>
      <c r="B783" s="517" t="s">
        <v>865</v>
      </c>
    </row>
    <row r="784" spans="1:2" ht="15" hidden="1" x14ac:dyDescent="0.25">
      <c r="A784" s="517" t="s">
        <v>190</v>
      </c>
      <c r="B784" s="517" t="s">
        <v>322</v>
      </c>
    </row>
    <row r="785" spans="1:2" ht="15" hidden="1" x14ac:dyDescent="0.25">
      <c r="A785" s="517" t="s">
        <v>190</v>
      </c>
      <c r="B785" s="517" t="s">
        <v>322</v>
      </c>
    </row>
    <row r="786" spans="1:2" ht="15" hidden="1" x14ac:dyDescent="0.25">
      <c r="A786" s="517" t="s">
        <v>190</v>
      </c>
      <c r="B786" s="517" t="s">
        <v>322</v>
      </c>
    </row>
    <row r="787" spans="1:2" ht="15" hidden="1" x14ac:dyDescent="0.25">
      <c r="A787" s="517" t="s">
        <v>190</v>
      </c>
      <c r="B787" s="517" t="s">
        <v>322</v>
      </c>
    </row>
    <row r="788" spans="1:2" ht="15" hidden="1" x14ac:dyDescent="0.25">
      <c r="A788" s="517" t="s">
        <v>190</v>
      </c>
      <c r="B788" s="517" t="s">
        <v>322</v>
      </c>
    </row>
    <row r="789" spans="1:2" ht="15" hidden="1" x14ac:dyDescent="0.25">
      <c r="A789" s="517" t="s">
        <v>190</v>
      </c>
      <c r="B789" s="517" t="s">
        <v>322</v>
      </c>
    </row>
    <row r="790" spans="1:2" ht="15" hidden="1" x14ac:dyDescent="0.25">
      <c r="A790" s="517" t="s">
        <v>190</v>
      </c>
      <c r="B790" s="517" t="s">
        <v>322</v>
      </c>
    </row>
    <row r="791" spans="1:2" ht="15" hidden="1" x14ac:dyDescent="0.25">
      <c r="A791" s="517" t="s">
        <v>190</v>
      </c>
      <c r="B791" s="517" t="s">
        <v>322</v>
      </c>
    </row>
    <row r="792" spans="1:2" ht="15" hidden="1" x14ac:dyDescent="0.25">
      <c r="A792" s="517" t="s">
        <v>190</v>
      </c>
      <c r="B792" s="517" t="s">
        <v>322</v>
      </c>
    </row>
    <row r="793" spans="1:2" ht="15" hidden="1" x14ac:dyDescent="0.25">
      <c r="A793" s="517" t="s">
        <v>190</v>
      </c>
      <c r="B793" s="517" t="s">
        <v>322</v>
      </c>
    </row>
    <row r="794" spans="1:2" ht="15" hidden="1" x14ac:dyDescent="0.25">
      <c r="A794" s="517" t="s">
        <v>190</v>
      </c>
      <c r="B794" s="517" t="s">
        <v>322</v>
      </c>
    </row>
    <row r="795" spans="1:2" ht="15" hidden="1" x14ac:dyDescent="0.25">
      <c r="A795" s="517" t="s">
        <v>192</v>
      </c>
      <c r="B795" s="517" t="s">
        <v>324</v>
      </c>
    </row>
    <row r="796" spans="1:2" ht="15" hidden="1" x14ac:dyDescent="0.25">
      <c r="A796" s="517" t="s">
        <v>192</v>
      </c>
      <c r="B796" s="517" t="s">
        <v>324</v>
      </c>
    </row>
    <row r="797" spans="1:2" ht="15" hidden="1" x14ac:dyDescent="0.25">
      <c r="A797" s="517" t="s">
        <v>192</v>
      </c>
      <c r="B797" s="517" t="s">
        <v>324</v>
      </c>
    </row>
    <row r="798" spans="1:2" ht="15" hidden="1" x14ac:dyDescent="0.25">
      <c r="A798" s="517" t="s">
        <v>192</v>
      </c>
      <c r="B798" s="517" t="s">
        <v>324</v>
      </c>
    </row>
    <row r="799" spans="1:2" ht="15" hidden="1" x14ac:dyDescent="0.25">
      <c r="A799" s="517" t="s">
        <v>192</v>
      </c>
      <c r="B799" s="517" t="s">
        <v>324</v>
      </c>
    </row>
    <row r="800" spans="1:2" ht="15" hidden="1" x14ac:dyDescent="0.25">
      <c r="A800" s="517" t="s">
        <v>192</v>
      </c>
      <c r="B800" s="517" t="s">
        <v>324</v>
      </c>
    </row>
    <row r="801" spans="1:2" ht="15" hidden="1" x14ac:dyDescent="0.25">
      <c r="A801" s="517" t="s">
        <v>192</v>
      </c>
      <c r="B801" s="517" t="s">
        <v>324</v>
      </c>
    </row>
    <row r="802" spans="1:2" ht="15" hidden="1" x14ac:dyDescent="0.25">
      <c r="A802" s="517" t="s">
        <v>192</v>
      </c>
      <c r="B802" s="517" t="s">
        <v>324</v>
      </c>
    </row>
    <row r="803" spans="1:2" ht="15" hidden="1" x14ac:dyDescent="0.25">
      <c r="A803" s="517" t="s">
        <v>192</v>
      </c>
      <c r="B803" s="517" t="s">
        <v>324</v>
      </c>
    </row>
    <row r="804" spans="1:2" ht="15" hidden="1" x14ac:dyDescent="0.25">
      <c r="A804" s="517" t="s">
        <v>192</v>
      </c>
      <c r="B804" s="517" t="s">
        <v>324</v>
      </c>
    </row>
    <row r="805" spans="1:2" ht="15" hidden="1" x14ac:dyDescent="0.25">
      <c r="A805" s="517" t="s">
        <v>192</v>
      </c>
      <c r="B805" s="517" t="s">
        <v>324</v>
      </c>
    </row>
    <row r="806" spans="1:2" ht="15" hidden="1" x14ac:dyDescent="0.25">
      <c r="A806" s="517" t="s">
        <v>192</v>
      </c>
      <c r="B806" s="517" t="s">
        <v>324</v>
      </c>
    </row>
    <row r="807" spans="1:2" ht="15" hidden="1" x14ac:dyDescent="0.25">
      <c r="A807" s="517" t="s">
        <v>192</v>
      </c>
      <c r="B807" s="517" t="s">
        <v>324</v>
      </c>
    </row>
    <row r="808" spans="1:2" ht="15" hidden="1" x14ac:dyDescent="0.25">
      <c r="A808" s="517" t="s">
        <v>192</v>
      </c>
      <c r="B808" s="517" t="s">
        <v>324</v>
      </c>
    </row>
    <row r="809" spans="1:2" ht="15" hidden="1" x14ac:dyDescent="0.25">
      <c r="A809" s="517" t="s">
        <v>192</v>
      </c>
      <c r="B809" s="517" t="s">
        <v>324</v>
      </c>
    </row>
    <row r="810" spans="1:2" ht="15" hidden="1" x14ac:dyDescent="0.25">
      <c r="A810" s="517" t="s">
        <v>192</v>
      </c>
      <c r="B810" s="517" t="s">
        <v>324</v>
      </c>
    </row>
    <row r="811" spans="1:2" ht="15" hidden="1" x14ac:dyDescent="0.25">
      <c r="A811" s="517" t="s">
        <v>192</v>
      </c>
      <c r="B811" s="517" t="s">
        <v>324</v>
      </c>
    </row>
    <row r="812" spans="1:2" ht="15" hidden="1" x14ac:dyDescent="0.25">
      <c r="A812" s="517" t="s">
        <v>192</v>
      </c>
      <c r="B812" s="517" t="s">
        <v>324</v>
      </c>
    </row>
    <row r="813" spans="1:2" ht="15" hidden="1" x14ac:dyDescent="0.25">
      <c r="A813" s="517" t="s">
        <v>192</v>
      </c>
      <c r="B813" s="517" t="s">
        <v>324</v>
      </c>
    </row>
    <row r="814" spans="1:2" ht="15" hidden="1" x14ac:dyDescent="0.25">
      <c r="A814" s="517" t="s">
        <v>192</v>
      </c>
      <c r="B814" s="517" t="s">
        <v>324</v>
      </c>
    </row>
    <row r="815" spans="1:2" ht="15" hidden="1" x14ac:dyDescent="0.25">
      <c r="A815" s="517" t="s">
        <v>192</v>
      </c>
      <c r="B815" s="517" t="s">
        <v>324</v>
      </c>
    </row>
    <row r="816" spans="1:2" ht="15" hidden="1" x14ac:dyDescent="0.25">
      <c r="A816" s="517" t="s">
        <v>192</v>
      </c>
      <c r="B816" s="517" t="s">
        <v>324</v>
      </c>
    </row>
    <row r="817" spans="1:2" ht="15" hidden="1" x14ac:dyDescent="0.25">
      <c r="A817" s="517" t="s">
        <v>192</v>
      </c>
      <c r="B817" s="517" t="s">
        <v>324</v>
      </c>
    </row>
    <row r="818" spans="1:2" ht="15" hidden="1" x14ac:dyDescent="0.25">
      <c r="A818" s="517" t="s">
        <v>192</v>
      </c>
      <c r="B818" s="517" t="s">
        <v>324</v>
      </c>
    </row>
    <row r="819" spans="1:2" ht="15" hidden="1" x14ac:dyDescent="0.25">
      <c r="A819" s="517" t="s">
        <v>192</v>
      </c>
      <c r="B819" s="517" t="s">
        <v>324</v>
      </c>
    </row>
    <row r="820" spans="1:2" ht="15" hidden="1" x14ac:dyDescent="0.25">
      <c r="A820" s="517" t="s">
        <v>192</v>
      </c>
      <c r="B820" s="517" t="s">
        <v>324</v>
      </c>
    </row>
    <row r="821" spans="1:2" ht="15" hidden="1" x14ac:dyDescent="0.25">
      <c r="A821" s="517" t="s">
        <v>192</v>
      </c>
      <c r="B821" s="517" t="s">
        <v>324</v>
      </c>
    </row>
    <row r="822" spans="1:2" ht="15" hidden="1" x14ac:dyDescent="0.25">
      <c r="A822" s="517" t="s">
        <v>192</v>
      </c>
      <c r="B822" s="517" t="s">
        <v>324</v>
      </c>
    </row>
    <row r="823" spans="1:2" ht="15" hidden="1" x14ac:dyDescent="0.25">
      <c r="A823" s="517" t="s">
        <v>192</v>
      </c>
      <c r="B823" s="517" t="s">
        <v>324</v>
      </c>
    </row>
    <row r="824" spans="1:2" ht="15" hidden="1" x14ac:dyDescent="0.25">
      <c r="A824" s="517" t="s">
        <v>192</v>
      </c>
      <c r="B824" s="517" t="s">
        <v>324</v>
      </c>
    </row>
    <row r="825" spans="1:2" ht="15" hidden="1" x14ac:dyDescent="0.25">
      <c r="A825" s="517" t="s">
        <v>192</v>
      </c>
      <c r="B825" s="517" t="s">
        <v>324</v>
      </c>
    </row>
    <row r="826" spans="1:2" ht="15" hidden="1" x14ac:dyDescent="0.25">
      <c r="A826" s="517" t="s">
        <v>192</v>
      </c>
      <c r="B826" s="517" t="s">
        <v>324</v>
      </c>
    </row>
    <row r="827" spans="1:2" ht="15" hidden="1" x14ac:dyDescent="0.25">
      <c r="A827" s="517" t="s">
        <v>192</v>
      </c>
      <c r="B827" s="517" t="s">
        <v>324</v>
      </c>
    </row>
    <row r="828" spans="1:2" ht="15" hidden="1" x14ac:dyDescent="0.25">
      <c r="A828" s="517" t="s">
        <v>192</v>
      </c>
      <c r="B828" s="517" t="s">
        <v>324</v>
      </c>
    </row>
    <row r="829" spans="1:2" ht="15" hidden="1" x14ac:dyDescent="0.25">
      <c r="A829" s="517" t="s">
        <v>192</v>
      </c>
      <c r="B829" s="517" t="s">
        <v>324</v>
      </c>
    </row>
    <row r="830" spans="1:2" ht="15" hidden="1" x14ac:dyDescent="0.25">
      <c r="A830" s="517" t="s">
        <v>192</v>
      </c>
      <c r="B830" s="517" t="s">
        <v>324</v>
      </c>
    </row>
    <row r="831" spans="1:2" ht="15" hidden="1" x14ac:dyDescent="0.25">
      <c r="A831" s="517" t="s">
        <v>193</v>
      </c>
      <c r="B831" s="517" t="s">
        <v>325</v>
      </c>
    </row>
    <row r="832" spans="1:2" ht="15" hidden="1" x14ac:dyDescent="0.25">
      <c r="A832" s="517" t="s">
        <v>193</v>
      </c>
      <c r="B832" s="517" t="s">
        <v>325</v>
      </c>
    </row>
    <row r="833" spans="1:2" ht="15" hidden="1" x14ac:dyDescent="0.25">
      <c r="A833" s="517" t="s">
        <v>193</v>
      </c>
      <c r="B833" s="517" t="s">
        <v>325</v>
      </c>
    </row>
    <row r="834" spans="1:2" ht="15" hidden="1" x14ac:dyDescent="0.25">
      <c r="A834" s="517" t="s">
        <v>193</v>
      </c>
      <c r="B834" s="517" t="s">
        <v>325</v>
      </c>
    </row>
    <row r="835" spans="1:2" ht="15" hidden="1" x14ac:dyDescent="0.25">
      <c r="A835" s="517" t="s">
        <v>193</v>
      </c>
      <c r="B835" s="517" t="s">
        <v>325</v>
      </c>
    </row>
    <row r="836" spans="1:2" ht="15" hidden="1" x14ac:dyDescent="0.25">
      <c r="A836" s="517" t="s">
        <v>193</v>
      </c>
      <c r="B836" s="517" t="s">
        <v>325</v>
      </c>
    </row>
    <row r="837" spans="1:2" ht="15" hidden="1" x14ac:dyDescent="0.25">
      <c r="A837" s="517" t="s">
        <v>193</v>
      </c>
      <c r="B837" s="517" t="s">
        <v>325</v>
      </c>
    </row>
    <row r="838" spans="1:2" ht="15" hidden="1" x14ac:dyDescent="0.25">
      <c r="A838" s="517" t="s">
        <v>193</v>
      </c>
      <c r="B838" s="517" t="s">
        <v>325</v>
      </c>
    </row>
    <row r="839" spans="1:2" ht="15" hidden="1" x14ac:dyDescent="0.25">
      <c r="A839" s="517" t="s">
        <v>193</v>
      </c>
      <c r="B839" s="517" t="s">
        <v>325</v>
      </c>
    </row>
    <row r="840" spans="1:2" ht="15" hidden="1" x14ac:dyDescent="0.25">
      <c r="A840" s="517" t="s">
        <v>193</v>
      </c>
      <c r="B840" s="517" t="s">
        <v>325</v>
      </c>
    </row>
    <row r="841" spans="1:2" ht="15" hidden="1" x14ac:dyDescent="0.25">
      <c r="A841" s="517" t="s">
        <v>193</v>
      </c>
      <c r="B841" s="517" t="s">
        <v>325</v>
      </c>
    </row>
    <row r="842" spans="1:2" ht="15" hidden="1" x14ac:dyDescent="0.25">
      <c r="A842" s="517" t="s">
        <v>193</v>
      </c>
      <c r="B842" s="517" t="s">
        <v>325</v>
      </c>
    </row>
    <row r="843" spans="1:2" ht="15" hidden="1" x14ac:dyDescent="0.25">
      <c r="A843" s="517" t="s">
        <v>193</v>
      </c>
      <c r="B843" s="517" t="s">
        <v>325</v>
      </c>
    </row>
    <row r="844" spans="1:2" ht="15" hidden="1" x14ac:dyDescent="0.25">
      <c r="A844" s="517" t="s">
        <v>193</v>
      </c>
      <c r="B844" s="517" t="s">
        <v>325</v>
      </c>
    </row>
    <row r="845" spans="1:2" ht="15" hidden="1" x14ac:dyDescent="0.25">
      <c r="A845" s="517" t="s">
        <v>195</v>
      </c>
      <c r="B845" s="517" t="s">
        <v>329</v>
      </c>
    </row>
    <row r="846" spans="1:2" ht="15" hidden="1" x14ac:dyDescent="0.25">
      <c r="A846" s="517" t="s">
        <v>195</v>
      </c>
      <c r="B846" s="517" t="s">
        <v>329</v>
      </c>
    </row>
    <row r="847" spans="1:2" ht="15" hidden="1" x14ac:dyDescent="0.25">
      <c r="A847" s="517" t="s">
        <v>195</v>
      </c>
      <c r="B847" s="517" t="s">
        <v>329</v>
      </c>
    </row>
    <row r="848" spans="1:2" ht="15" hidden="1" x14ac:dyDescent="0.25">
      <c r="A848" s="517" t="s">
        <v>195</v>
      </c>
      <c r="B848" s="517" t="s">
        <v>329</v>
      </c>
    </row>
    <row r="849" spans="1:2" ht="15" hidden="1" x14ac:dyDescent="0.25">
      <c r="A849" s="517" t="s">
        <v>195</v>
      </c>
      <c r="B849" s="517" t="s">
        <v>329</v>
      </c>
    </row>
    <row r="850" spans="1:2" ht="15" hidden="1" x14ac:dyDescent="0.25">
      <c r="A850" s="517" t="s">
        <v>195</v>
      </c>
      <c r="B850" s="517" t="s">
        <v>329</v>
      </c>
    </row>
    <row r="851" spans="1:2" ht="15" hidden="1" x14ac:dyDescent="0.25">
      <c r="A851" s="517" t="s">
        <v>195</v>
      </c>
      <c r="B851" s="517" t="s">
        <v>329</v>
      </c>
    </row>
    <row r="852" spans="1:2" ht="15" hidden="1" x14ac:dyDescent="0.25">
      <c r="A852" s="517" t="s">
        <v>196</v>
      </c>
      <c r="B852" s="517" t="s">
        <v>330</v>
      </c>
    </row>
    <row r="853" spans="1:2" ht="15" hidden="1" x14ac:dyDescent="0.25">
      <c r="A853" s="517" t="s">
        <v>197</v>
      </c>
      <c r="B853" s="517" t="s">
        <v>331</v>
      </c>
    </row>
    <row r="854" spans="1:2" ht="15" hidden="1" x14ac:dyDescent="0.25">
      <c r="A854" s="517" t="s">
        <v>197</v>
      </c>
      <c r="B854" s="517" t="s">
        <v>331</v>
      </c>
    </row>
    <row r="855" spans="1:2" ht="15" hidden="1" x14ac:dyDescent="0.25">
      <c r="A855" s="517" t="s">
        <v>197</v>
      </c>
      <c r="B855" s="517" t="s">
        <v>331</v>
      </c>
    </row>
    <row r="856" spans="1:2" ht="15" hidden="1" x14ac:dyDescent="0.25">
      <c r="A856" s="517" t="s">
        <v>197</v>
      </c>
      <c r="B856" s="517" t="s">
        <v>331</v>
      </c>
    </row>
    <row r="857" spans="1:2" ht="15" hidden="1" x14ac:dyDescent="0.25">
      <c r="A857" s="517" t="s">
        <v>197</v>
      </c>
      <c r="B857" s="517" t="s">
        <v>331</v>
      </c>
    </row>
    <row r="858" spans="1:2" ht="15" hidden="1" x14ac:dyDescent="0.25">
      <c r="A858" s="517" t="s">
        <v>866</v>
      </c>
      <c r="B858" s="517" t="s">
        <v>867</v>
      </c>
    </row>
    <row r="859" spans="1:2" ht="15" hidden="1" x14ac:dyDescent="0.25">
      <c r="A859" s="517" t="s">
        <v>413</v>
      </c>
      <c r="B859" s="517" t="s">
        <v>414</v>
      </c>
    </row>
    <row r="860" spans="1:2" ht="15" hidden="1" x14ac:dyDescent="0.25">
      <c r="A860" s="517" t="s">
        <v>413</v>
      </c>
      <c r="B860" s="517" t="s">
        <v>414</v>
      </c>
    </row>
    <row r="861" spans="1:2" ht="15" hidden="1" x14ac:dyDescent="0.25">
      <c r="A861" s="517" t="s">
        <v>413</v>
      </c>
      <c r="B861" s="517" t="s">
        <v>414</v>
      </c>
    </row>
    <row r="862" spans="1:2" ht="15" hidden="1" x14ac:dyDescent="0.25">
      <c r="A862" s="517" t="s">
        <v>413</v>
      </c>
      <c r="B862" s="517" t="s">
        <v>414</v>
      </c>
    </row>
    <row r="863" spans="1:2" ht="15" hidden="1" x14ac:dyDescent="0.25">
      <c r="A863" s="517" t="s">
        <v>413</v>
      </c>
      <c r="B863" s="517" t="s">
        <v>414</v>
      </c>
    </row>
    <row r="864" spans="1:2" ht="15" hidden="1" x14ac:dyDescent="0.25">
      <c r="A864" s="517" t="s">
        <v>413</v>
      </c>
      <c r="B864" s="517" t="s">
        <v>414</v>
      </c>
    </row>
    <row r="865" spans="1:2" ht="15" hidden="1" x14ac:dyDescent="0.25">
      <c r="A865" s="517" t="s">
        <v>413</v>
      </c>
      <c r="B865" s="517" t="s">
        <v>414</v>
      </c>
    </row>
    <row r="866" spans="1:2" ht="15" hidden="1" x14ac:dyDescent="0.25">
      <c r="A866" s="517" t="s">
        <v>413</v>
      </c>
      <c r="B866" s="517" t="s">
        <v>414</v>
      </c>
    </row>
    <row r="867" spans="1:2" ht="15" hidden="1" x14ac:dyDescent="0.25">
      <c r="A867" s="517" t="s">
        <v>413</v>
      </c>
      <c r="B867" s="517" t="s">
        <v>414</v>
      </c>
    </row>
    <row r="868" spans="1:2" ht="15" hidden="1" x14ac:dyDescent="0.25">
      <c r="A868" s="517" t="s">
        <v>413</v>
      </c>
      <c r="B868" s="517" t="s">
        <v>414</v>
      </c>
    </row>
    <row r="869" spans="1:2" ht="15" hidden="1" x14ac:dyDescent="0.25">
      <c r="A869" s="517" t="s">
        <v>413</v>
      </c>
      <c r="B869" s="517" t="s">
        <v>414</v>
      </c>
    </row>
    <row r="870" spans="1:2" ht="15" hidden="1" x14ac:dyDescent="0.25">
      <c r="A870" s="517" t="s">
        <v>413</v>
      </c>
      <c r="B870" s="517" t="s">
        <v>414</v>
      </c>
    </row>
    <row r="871" spans="1:2" ht="15" hidden="1" x14ac:dyDescent="0.25">
      <c r="A871" s="517" t="s">
        <v>413</v>
      </c>
      <c r="B871" s="517" t="s">
        <v>414</v>
      </c>
    </row>
    <row r="872" spans="1:2" ht="15" hidden="1" x14ac:dyDescent="0.25">
      <c r="A872" s="517" t="s">
        <v>868</v>
      </c>
      <c r="B872" s="517" t="s">
        <v>869</v>
      </c>
    </row>
    <row r="873" spans="1:2" ht="15" hidden="1" x14ac:dyDescent="0.25">
      <c r="A873" s="517" t="s">
        <v>868</v>
      </c>
      <c r="B873" s="517" t="s">
        <v>869</v>
      </c>
    </row>
    <row r="874" spans="1:2" ht="15" hidden="1" x14ac:dyDescent="0.25">
      <c r="A874" s="517" t="s">
        <v>868</v>
      </c>
      <c r="B874" s="517" t="s">
        <v>869</v>
      </c>
    </row>
    <row r="875" spans="1:2" ht="15" hidden="1" x14ac:dyDescent="0.25">
      <c r="A875" s="517" t="s">
        <v>868</v>
      </c>
      <c r="B875" s="517" t="s">
        <v>869</v>
      </c>
    </row>
    <row r="876" spans="1:2" ht="15" hidden="1" x14ac:dyDescent="0.25">
      <c r="A876" s="517" t="s">
        <v>868</v>
      </c>
      <c r="B876" s="517" t="s">
        <v>869</v>
      </c>
    </row>
    <row r="877" spans="1:2" ht="15" hidden="1" x14ac:dyDescent="0.25">
      <c r="A877" s="517" t="s">
        <v>868</v>
      </c>
      <c r="B877" s="517" t="s">
        <v>869</v>
      </c>
    </row>
    <row r="878" spans="1:2" ht="15" hidden="1" x14ac:dyDescent="0.25">
      <c r="A878" s="517" t="s">
        <v>868</v>
      </c>
      <c r="B878" s="517" t="s">
        <v>869</v>
      </c>
    </row>
    <row r="879" spans="1:2" ht="15" hidden="1" x14ac:dyDescent="0.25">
      <c r="A879" s="517" t="s">
        <v>868</v>
      </c>
      <c r="B879" s="517" t="s">
        <v>869</v>
      </c>
    </row>
    <row r="880" spans="1:2" ht="15" hidden="1" x14ac:dyDescent="0.25">
      <c r="A880" s="517" t="s">
        <v>868</v>
      </c>
      <c r="B880" s="517" t="s">
        <v>869</v>
      </c>
    </row>
    <row r="881" spans="1:2" ht="15" hidden="1" x14ac:dyDescent="0.25">
      <c r="A881" s="517" t="s">
        <v>868</v>
      </c>
      <c r="B881" s="517" t="s">
        <v>869</v>
      </c>
    </row>
    <row r="882" spans="1:2" ht="15" hidden="1" x14ac:dyDescent="0.25">
      <c r="A882" s="517" t="s">
        <v>198</v>
      </c>
      <c r="B882" s="517" t="s">
        <v>333</v>
      </c>
    </row>
    <row r="883" spans="1:2" ht="15" hidden="1" x14ac:dyDescent="0.25">
      <c r="A883" s="517" t="s">
        <v>198</v>
      </c>
      <c r="B883" s="517" t="s">
        <v>333</v>
      </c>
    </row>
    <row r="884" spans="1:2" ht="15" hidden="1" x14ac:dyDescent="0.25">
      <c r="A884" s="517" t="s">
        <v>198</v>
      </c>
      <c r="B884" s="517" t="s">
        <v>333</v>
      </c>
    </row>
    <row r="885" spans="1:2" ht="15" hidden="1" x14ac:dyDescent="0.25">
      <c r="A885" s="517" t="s">
        <v>198</v>
      </c>
      <c r="B885" s="517" t="s">
        <v>333</v>
      </c>
    </row>
    <row r="886" spans="1:2" ht="15" hidden="1" x14ac:dyDescent="0.25">
      <c r="A886" s="517" t="s">
        <v>199</v>
      </c>
      <c r="B886" s="517" t="s">
        <v>334</v>
      </c>
    </row>
    <row r="887" spans="1:2" ht="15" hidden="1" x14ac:dyDescent="0.25">
      <c r="A887" s="517" t="s">
        <v>200</v>
      </c>
      <c r="B887" s="517" t="s">
        <v>335</v>
      </c>
    </row>
    <row r="888" spans="1:2" ht="15" hidden="1" x14ac:dyDescent="0.25">
      <c r="A888" s="517" t="s">
        <v>870</v>
      </c>
      <c r="B888" s="517" t="s">
        <v>870</v>
      </c>
    </row>
    <row r="889" spans="1:2" ht="15" hidden="1" x14ac:dyDescent="0.25">
      <c r="A889" s="517" t="s">
        <v>871</v>
      </c>
      <c r="B889" s="517" t="s">
        <v>871</v>
      </c>
    </row>
    <row r="890" spans="1:2" ht="15" hidden="1" x14ac:dyDescent="0.25">
      <c r="A890" s="517" t="s">
        <v>871</v>
      </c>
      <c r="B890" s="517" t="s">
        <v>871</v>
      </c>
    </row>
    <row r="891" spans="1:2" ht="15" hidden="1" x14ac:dyDescent="0.25">
      <c r="A891" s="517" t="s">
        <v>872</v>
      </c>
      <c r="B891" s="517" t="s">
        <v>872</v>
      </c>
    </row>
    <row r="892" spans="1:2" ht="15" hidden="1" x14ac:dyDescent="0.25">
      <c r="A892" s="517" t="s">
        <v>872</v>
      </c>
      <c r="B892" s="517" t="s">
        <v>872</v>
      </c>
    </row>
    <row r="893" spans="1:2" ht="15" hidden="1" x14ac:dyDescent="0.25">
      <c r="A893" s="517" t="s">
        <v>873</v>
      </c>
      <c r="B893" s="517" t="s">
        <v>873</v>
      </c>
    </row>
    <row r="894" spans="1:2" ht="15" hidden="1" x14ac:dyDescent="0.25">
      <c r="A894" s="517" t="s">
        <v>874</v>
      </c>
      <c r="B894" s="517" t="s">
        <v>874</v>
      </c>
    </row>
    <row r="895" spans="1:2" ht="15" hidden="1" x14ac:dyDescent="0.25">
      <c r="A895" s="517" t="s">
        <v>875</v>
      </c>
      <c r="B895" s="517" t="s">
        <v>875</v>
      </c>
    </row>
    <row r="896" spans="1:2" ht="15" hidden="1" x14ac:dyDescent="0.25">
      <c r="A896" s="517" t="s">
        <v>876</v>
      </c>
      <c r="B896" s="517" t="s">
        <v>876</v>
      </c>
    </row>
    <row r="897" spans="1:2" ht="15" hidden="1" x14ac:dyDescent="0.25">
      <c r="A897" s="517" t="s">
        <v>877</v>
      </c>
      <c r="B897" s="517" t="s">
        <v>877</v>
      </c>
    </row>
    <row r="898" spans="1:2" ht="15" hidden="1" x14ac:dyDescent="0.25">
      <c r="A898" s="517" t="s">
        <v>878</v>
      </c>
      <c r="B898" s="517" t="s">
        <v>878</v>
      </c>
    </row>
    <row r="899" spans="1:2" ht="15" hidden="1" x14ac:dyDescent="0.25">
      <c r="A899" s="517" t="s">
        <v>878</v>
      </c>
      <c r="B899" s="517" t="s">
        <v>878</v>
      </c>
    </row>
    <row r="900" spans="1:2" ht="15" hidden="1" x14ac:dyDescent="0.25">
      <c r="A900" s="517" t="s">
        <v>879</v>
      </c>
      <c r="B900" s="517" t="s">
        <v>879</v>
      </c>
    </row>
    <row r="901" spans="1:2" ht="15" hidden="1" x14ac:dyDescent="0.25">
      <c r="A901" s="517" t="s">
        <v>880</v>
      </c>
      <c r="B901" s="517" t="s">
        <v>880</v>
      </c>
    </row>
    <row r="902" spans="1:2" ht="15" hidden="1" x14ac:dyDescent="0.25">
      <c r="A902" s="517" t="s">
        <v>881</v>
      </c>
      <c r="B902" s="517" t="s">
        <v>881</v>
      </c>
    </row>
    <row r="903" spans="1:2" ht="15" hidden="1" x14ac:dyDescent="0.25">
      <c r="A903" s="517" t="s">
        <v>882</v>
      </c>
      <c r="B903" s="517" t="s">
        <v>882</v>
      </c>
    </row>
    <row r="904" spans="1:2" ht="15" hidden="1" x14ac:dyDescent="0.25">
      <c r="A904" s="517" t="s">
        <v>883</v>
      </c>
      <c r="B904" s="517" t="s">
        <v>883</v>
      </c>
    </row>
    <row r="905" spans="1:2" ht="15" hidden="1" x14ac:dyDescent="0.25">
      <c r="A905" s="517" t="s">
        <v>884</v>
      </c>
      <c r="B905" s="517" t="s">
        <v>884</v>
      </c>
    </row>
    <row r="906" spans="1:2" ht="15" hidden="1" x14ac:dyDescent="0.25">
      <c r="A906" s="517" t="s">
        <v>885</v>
      </c>
      <c r="B906" s="517" t="s">
        <v>885</v>
      </c>
    </row>
    <row r="907" spans="1:2" ht="15" hidden="1" x14ac:dyDescent="0.25">
      <c r="A907" s="517" t="s">
        <v>886</v>
      </c>
      <c r="B907" s="517" t="s">
        <v>886</v>
      </c>
    </row>
    <row r="908" spans="1:2" ht="15" hidden="1" x14ac:dyDescent="0.25">
      <c r="A908" s="517" t="s">
        <v>887</v>
      </c>
      <c r="B908" s="517" t="s">
        <v>887</v>
      </c>
    </row>
    <row r="909" spans="1:2" ht="15" hidden="1" x14ac:dyDescent="0.25">
      <c r="A909" s="517" t="s">
        <v>888</v>
      </c>
      <c r="B909" s="517" t="s">
        <v>888</v>
      </c>
    </row>
    <row r="910" spans="1:2" ht="15" hidden="1" x14ac:dyDescent="0.25">
      <c r="A910" s="517" t="s">
        <v>889</v>
      </c>
      <c r="B910" s="517" t="s">
        <v>889</v>
      </c>
    </row>
    <row r="911" spans="1:2" ht="15" hidden="1" x14ac:dyDescent="0.25">
      <c r="A911" s="517" t="s">
        <v>890</v>
      </c>
      <c r="B911" s="517" t="s">
        <v>890</v>
      </c>
    </row>
    <row r="912" spans="1:2" ht="15" hidden="1" x14ac:dyDescent="0.25">
      <c r="A912" s="517" t="s">
        <v>891</v>
      </c>
      <c r="B912" s="517" t="s">
        <v>891</v>
      </c>
    </row>
    <row r="913" spans="1:2" ht="15" hidden="1" x14ac:dyDescent="0.25">
      <c r="A913" s="517" t="s">
        <v>892</v>
      </c>
      <c r="B913" s="517" t="s">
        <v>892</v>
      </c>
    </row>
    <row r="914" spans="1:2" ht="15" hidden="1" x14ac:dyDescent="0.25">
      <c r="A914" s="517" t="s">
        <v>893</v>
      </c>
      <c r="B914" s="517" t="s">
        <v>893</v>
      </c>
    </row>
    <row r="915" spans="1:2" ht="15" hidden="1" x14ac:dyDescent="0.25">
      <c r="A915" s="517" t="s">
        <v>894</v>
      </c>
      <c r="B915" s="517" t="s">
        <v>894</v>
      </c>
    </row>
    <row r="916" spans="1:2" ht="15" hidden="1" x14ac:dyDescent="0.25">
      <c r="A916" s="517" t="s">
        <v>895</v>
      </c>
      <c r="B916" s="517" t="s">
        <v>895</v>
      </c>
    </row>
    <row r="917" spans="1:2" ht="15" hidden="1" x14ac:dyDescent="0.25">
      <c r="A917" s="517" t="s">
        <v>896</v>
      </c>
      <c r="B917" s="517" t="s">
        <v>896</v>
      </c>
    </row>
    <row r="918" spans="1:2" ht="15" hidden="1" x14ac:dyDescent="0.25">
      <c r="A918" s="517" t="s">
        <v>897</v>
      </c>
      <c r="B918" s="517" t="s">
        <v>897</v>
      </c>
    </row>
    <row r="919" spans="1:2" ht="15" hidden="1" x14ac:dyDescent="0.25">
      <c r="A919" s="517" t="s">
        <v>898</v>
      </c>
      <c r="B919" s="517" t="s">
        <v>898</v>
      </c>
    </row>
    <row r="920" spans="1:2" ht="15" hidden="1" x14ac:dyDescent="0.25">
      <c r="A920" s="517" t="s">
        <v>899</v>
      </c>
      <c r="B920" s="517" t="s">
        <v>899</v>
      </c>
    </row>
    <row r="921" spans="1:2" ht="15" hidden="1" x14ac:dyDescent="0.25">
      <c r="A921" s="517" t="s">
        <v>899</v>
      </c>
      <c r="B921" s="517" t="s">
        <v>899</v>
      </c>
    </row>
    <row r="922" spans="1:2" ht="15" hidden="1" x14ac:dyDescent="0.25">
      <c r="A922" s="517" t="s">
        <v>900</v>
      </c>
      <c r="B922" s="517" t="s">
        <v>900</v>
      </c>
    </row>
    <row r="923" spans="1:2" ht="15" hidden="1" x14ac:dyDescent="0.25">
      <c r="A923" s="517" t="s">
        <v>901</v>
      </c>
      <c r="B923" s="517" t="s">
        <v>901</v>
      </c>
    </row>
    <row r="924" spans="1:2" ht="15" hidden="1" x14ac:dyDescent="0.25">
      <c r="A924" s="517" t="s">
        <v>902</v>
      </c>
      <c r="B924" s="517" t="s">
        <v>902</v>
      </c>
    </row>
    <row r="925" spans="1:2" ht="15" hidden="1" x14ac:dyDescent="0.25">
      <c r="A925" s="517" t="s">
        <v>903</v>
      </c>
      <c r="B925" s="517" t="s">
        <v>903</v>
      </c>
    </row>
    <row r="926" spans="1:2" ht="15" hidden="1" x14ac:dyDescent="0.25">
      <c r="A926" s="517" t="s">
        <v>904</v>
      </c>
      <c r="B926" s="517" t="s">
        <v>904</v>
      </c>
    </row>
    <row r="927" spans="1:2" ht="15" hidden="1" x14ac:dyDescent="0.25">
      <c r="A927" s="517" t="s">
        <v>905</v>
      </c>
      <c r="B927" s="517" t="s">
        <v>905</v>
      </c>
    </row>
    <row r="928" spans="1:2" ht="15" hidden="1" x14ac:dyDescent="0.25">
      <c r="A928" s="517" t="s">
        <v>906</v>
      </c>
      <c r="B928" s="517" t="s">
        <v>906</v>
      </c>
    </row>
    <row r="929" spans="1:2" ht="15" hidden="1" x14ac:dyDescent="0.25">
      <c r="A929" s="517" t="s">
        <v>907</v>
      </c>
      <c r="B929" s="517" t="s">
        <v>907</v>
      </c>
    </row>
    <row r="930" spans="1:2" ht="15" hidden="1" x14ac:dyDescent="0.25">
      <c r="A930" s="517" t="s">
        <v>908</v>
      </c>
      <c r="B930" s="517" t="s">
        <v>908</v>
      </c>
    </row>
    <row r="931" spans="1:2" ht="15" hidden="1" x14ac:dyDescent="0.25">
      <c r="A931" s="517" t="s">
        <v>909</v>
      </c>
      <c r="B931" s="517" t="s">
        <v>909</v>
      </c>
    </row>
    <row r="932" spans="1:2" ht="15" hidden="1" x14ac:dyDescent="0.25">
      <c r="A932" s="517" t="s">
        <v>909</v>
      </c>
      <c r="B932" s="517" t="s">
        <v>909</v>
      </c>
    </row>
    <row r="933" spans="1:2" ht="15" hidden="1" x14ac:dyDescent="0.25">
      <c r="A933" s="517" t="s">
        <v>910</v>
      </c>
      <c r="B933" s="517" t="s">
        <v>910</v>
      </c>
    </row>
    <row r="934" spans="1:2" ht="15" hidden="1" x14ac:dyDescent="0.25">
      <c r="A934" s="517" t="s">
        <v>911</v>
      </c>
      <c r="B934" s="517" t="s">
        <v>911</v>
      </c>
    </row>
    <row r="935" spans="1:2" ht="15" hidden="1" x14ac:dyDescent="0.25">
      <c r="A935" s="517" t="s">
        <v>912</v>
      </c>
      <c r="B935" s="517" t="s">
        <v>912</v>
      </c>
    </row>
    <row r="936" spans="1:2" ht="15" hidden="1" x14ac:dyDescent="0.25">
      <c r="A936" s="517" t="s">
        <v>913</v>
      </c>
      <c r="B936" s="517" t="s">
        <v>913</v>
      </c>
    </row>
    <row r="937" spans="1:2" ht="15" hidden="1" x14ac:dyDescent="0.25">
      <c r="A937" s="517" t="s">
        <v>914</v>
      </c>
      <c r="B937" s="517" t="s">
        <v>914</v>
      </c>
    </row>
    <row r="938" spans="1:2" ht="15" hidden="1" x14ac:dyDescent="0.25">
      <c r="A938" s="517" t="s">
        <v>915</v>
      </c>
      <c r="B938" s="517" t="s">
        <v>915</v>
      </c>
    </row>
    <row r="939" spans="1:2" ht="15" hidden="1" x14ac:dyDescent="0.25">
      <c r="A939" s="517" t="s">
        <v>916</v>
      </c>
      <c r="B939" s="517" t="s">
        <v>916</v>
      </c>
    </row>
    <row r="940" spans="1:2" ht="15" hidden="1" x14ac:dyDescent="0.25">
      <c r="A940" s="517" t="s">
        <v>917</v>
      </c>
      <c r="B940" s="517" t="s">
        <v>917</v>
      </c>
    </row>
    <row r="941" spans="1:2" ht="15" hidden="1" x14ac:dyDescent="0.25">
      <c r="A941" s="517" t="s">
        <v>918</v>
      </c>
      <c r="B941" s="517" t="s">
        <v>918</v>
      </c>
    </row>
    <row r="942" spans="1:2" ht="15" hidden="1" x14ac:dyDescent="0.25">
      <c r="A942" s="517" t="s">
        <v>919</v>
      </c>
      <c r="B942" s="517" t="s">
        <v>919</v>
      </c>
    </row>
    <row r="943" spans="1:2" ht="15" hidden="1" x14ac:dyDescent="0.25">
      <c r="A943" s="517" t="s">
        <v>919</v>
      </c>
      <c r="B943" s="517" t="s">
        <v>919</v>
      </c>
    </row>
    <row r="944" spans="1:2" ht="15" hidden="1" x14ac:dyDescent="0.25">
      <c r="A944" s="517" t="s">
        <v>920</v>
      </c>
      <c r="B944" s="517" t="s">
        <v>920</v>
      </c>
    </row>
    <row r="945" spans="1:2" ht="15" hidden="1" x14ac:dyDescent="0.25">
      <c r="A945" s="517" t="s">
        <v>921</v>
      </c>
      <c r="B945" s="517" t="s">
        <v>921</v>
      </c>
    </row>
    <row r="946" spans="1:2" ht="15" hidden="1" x14ac:dyDescent="0.25">
      <c r="A946" s="517" t="s">
        <v>922</v>
      </c>
      <c r="B946" s="517" t="s">
        <v>922</v>
      </c>
    </row>
    <row r="947" spans="1:2" ht="15" hidden="1" x14ac:dyDescent="0.25">
      <c r="A947" s="517" t="s">
        <v>922</v>
      </c>
      <c r="B947" s="517" t="s">
        <v>922</v>
      </c>
    </row>
    <row r="948" spans="1:2" ht="15" hidden="1" x14ac:dyDescent="0.25">
      <c r="A948" s="517" t="s">
        <v>923</v>
      </c>
      <c r="B948" s="517" t="s">
        <v>923</v>
      </c>
    </row>
    <row r="949" spans="1:2" ht="15" hidden="1" x14ac:dyDescent="0.25">
      <c r="A949" s="517" t="s">
        <v>924</v>
      </c>
      <c r="B949" s="517" t="s">
        <v>924</v>
      </c>
    </row>
    <row r="950" spans="1:2" ht="15" hidden="1" x14ac:dyDescent="0.25">
      <c r="A950" s="517" t="s">
        <v>925</v>
      </c>
      <c r="B950" s="517" t="s">
        <v>925</v>
      </c>
    </row>
    <row r="951" spans="1:2" ht="15" hidden="1" x14ac:dyDescent="0.25">
      <c r="A951" s="517" t="s">
        <v>926</v>
      </c>
      <c r="B951" s="517" t="s">
        <v>926</v>
      </c>
    </row>
    <row r="952" spans="1:2" ht="15" hidden="1" x14ac:dyDescent="0.25">
      <c r="A952" s="517" t="s">
        <v>927</v>
      </c>
      <c r="B952" s="517" t="s">
        <v>927</v>
      </c>
    </row>
    <row r="953" spans="1:2" ht="15" hidden="1" x14ac:dyDescent="0.25">
      <c r="A953" s="517" t="s">
        <v>928</v>
      </c>
      <c r="B953" s="517" t="s">
        <v>928</v>
      </c>
    </row>
    <row r="954" spans="1:2" ht="15" hidden="1" x14ac:dyDescent="0.25">
      <c r="A954" s="517" t="s">
        <v>929</v>
      </c>
      <c r="B954" s="517" t="s">
        <v>929</v>
      </c>
    </row>
    <row r="955" spans="1:2" ht="15" hidden="1" x14ac:dyDescent="0.25">
      <c r="A955" s="517" t="s">
        <v>930</v>
      </c>
      <c r="B955" s="517" t="s">
        <v>930</v>
      </c>
    </row>
    <row r="956" spans="1:2" ht="15" hidden="1" x14ac:dyDescent="0.25">
      <c r="A956" s="517" t="s">
        <v>931</v>
      </c>
      <c r="B956" s="517" t="s">
        <v>931</v>
      </c>
    </row>
    <row r="957" spans="1:2" ht="15" hidden="1" x14ac:dyDescent="0.25">
      <c r="A957" s="517" t="s">
        <v>932</v>
      </c>
      <c r="B957" s="517" t="s">
        <v>932</v>
      </c>
    </row>
    <row r="958" spans="1:2" ht="15" hidden="1" x14ac:dyDescent="0.25">
      <c r="A958" s="517" t="s">
        <v>933</v>
      </c>
      <c r="B958" s="517" t="s">
        <v>933</v>
      </c>
    </row>
    <row r="959" spans="1:2" ht="15" hidden="1" x14ac:dyDescent="0.25">
      <c r="A959" s="517" t="s">
        <v>934</v>
      </c>
      <c r="B959" s="517" t="s">
        <v>934</v>
      </c>
    </row>
    <row r="960" spans="1:2" ht="15" hidden="1" x14ac:dyDescent="0.25">
      <c r="A960" s="517" t="s">
        <v>935</v>
      </c>
      <c r="B960" s="517" t="s">
        <v>935</v>
      </c>
    </row>
    <row r="961" spans="1:2" ht="15" hidden="1" x14ac:dyDescent="0.25">
      <c r="A961" s="517" t="s">
        <v>936</v>
      </c>
      <c r="B961" s="517" t="s">
        <v>936</v>
      </c>
    </row>
    <row r="962" spans="1:2" ht="15" hidden="1" x14ac:dyDescent="0.25">
      <c r="A962" s="517" t="s">
        <v>937</v>
      </c>
      <c r="B962" s="517" t="s">
        <v>937</v>
      </c>
    </row>
    <row r="963" spans="1:2" ht="15" hidden="1" x14ac:dyDescent="0.25">
      <c r="A963" s="517" t="s">
        <v>938</v>
      </c>
      <c r="B963" s="517" t="s">
        <v>938</v>
      </c>
    </row>
    <row r="964" spans="1:2" ht="15" hidden="1" x14ac:dyDescent="0.25">
      <c r="A964" s="517" t="s">
        <v>939</v>
      </c>
      <c r="B964" s="517" t="s">
        <v>939</v>
      </c>
    </row>
    <row r="965" spans="1:2" ht="15" hidden="1" x14ac:dyDescent="0.25">
      <c r="A965" s="517" t="s">
        <v>940</v>
      </c>
      <c r="B965" s="517" t="s">
        <v>940</v>
      </c>
    </row>
    <row r="966" spans="1:2" ht="15" hidden="1" x14ac:dyDescent="0.25">
      <c r="A966" s="517" t="s">
        <v>941</v>
      </c>
      <c r="B966" s="517" t="s">
        <v>941</v>
      </c>
    </row>
    <row r="967" spans="1:2" ht="15" hidden="1" x14ac:dyDescent="0.25">
      <c r="A967" s="517" t="s">
        <v>942</v>
      </c>
      <c r="B967" s="517" t="s">
        <v>942</v>
      </c>
    </row>
    <row r="968" spans="1:2" ht="15" hidden="1" x14ac:dyDescent="0.25">
      <c r="A968" s="517" t="s">
        <v>943</v>
      </c>
      <c r="B968" s="517" t="s">
        <v>943</v>
      </c>
    </row>
    <row r="969" spans="1:2" ht="15" hidden="1" x14ac:dyDescent="0.25">
      <c r="A969" s="517" t="s">
        <v>943</v>
      </c>
      <c r="B969" s="517" t="s">
        <v>943</v>
      </c>
    </row>
    <row r="970" spans="1:2" ht="15" hidden="1" x14ac:dyDescent="0.25">
      <c r="A970" s="517" t="s">
        <v>944</v>
      </c>
      <c r="B970" s="517" t="s">
        <v>944</v>
      </c>
    </row>
    <row r="971" spans="1:2" ht="15" hidden="1" x14ac:dyDescent="0.25">
      <c r="A971" s="517" t="s">
        <v>944</v>
      </c>
      <c r="B971" s="517" t="s">
        <v>944</v>
      </c>
    </row>
    <row r="972" spans="1:2" ht="15" hidden="1" x14ac:dyDescent="0.25">
      <c r="A972" s="517" t="s">
        <v>945</v>
      </c>
      <c r="B972" s="517" t="s">
        <v>945</v>
      </c>
    </row>
    <row r="973" spans="1:2" ht="15" hidden="1" x14ac:dyDescent="0.25">
      <c r="A973" s="517" t="s">
        <v>946</v>
      </c>
      <c r="B973" s="517" t="s">
        <v>946</v>
      </c>
    </row>
    <row r="974" spans="1:2" ht="15" hidden="1" x14ac:dyDescent="0.25">
      <c r="A974" s="517" t="s">
        <v>947</v>
      </c>
      <c r="B974" s="517" t="s">
        <v>947</v>
      </c>
    </row>
    <row r="975" spans="1:2" ht="15" hidden="1" x14ac:dyDescent="0.25">
      <c r="A975" s="517" t="s">
        <v>948</v>
      </c>
      <c r="B975" s="517" t="s">
        <v>948</v>
      </c>
    </row>
    <row r="976" spans="1:2" ht="15" hidden="1" x14ac:dyDescent="0.25">
      <c r="A976" s="517" t="s">
        <v>949</v>
      </c>
      <c r="B976" s="517" t="s">
        <v>949</v>
      </c>
    </row>
    <row r="977" spans="1:2" ht="15" hidden="1" x14ac:dyDescent="0.25">
      <c r="A977" s="517" t="s">
        <v>949</v>
      </c>
      <c r="B977" s="517" t="s">
        <v>949</v>
      </c>
    </row>
    <row r="978" spans="1:2" ht="15" hidden="1" x14ac:dyDescent="0.25">
      <c r="A978" s="517" t="s">
        <v>950</v>
      </c>
      <c r="B978" s="517" t="s">
        <v>950</v>
      </c>
    </row>
    <row r="979" spans="1:2" ht="15" hidden="1" x14ac:dyDescent="0.25">
      <c r="A979" s="517" t="s">
        <v>951</v>
      </c>
      <c r="B979" s="517" t="s">
        <v>951</v>
      </c>
    </row>
    <row r="980" spans="1:2" ht="15" hidden="1" x14ac:dyDescent="0.25">
      <c r="A980" s="517" t="s">
        <v>952</v>
      </c>
      <c r="B980" s="517" t="s">
        <v>952</v>
      </c>
    </row>
    <row r="981" spans="1:2" ht="15" hidden="1" x14ac:dyDescent="0.25">
      <c r="A981" s="517" t="s">
        <v>953</v>
      </c>
      <c r="B981" s="517" t="s">
        <v>953</v>
      </c>
    </row>
    <row r="982" spans="1:2" ht="15" hidden="1" x14ac:dyDescent="0.25">
      <c r="A982" s="517" t="s">
        <v>954</v>
      </c>
      <c r="B982" s="517" t="s">
        <v>954</v>
      </c>
    </row>
    <row r="983" spans="1:2" ht="15" hidden="1" x14ac:dyDescent="0.25">
      <c r="A983" s="517" t="s">
        <v>955</v>
      </c>
      <c r="B983" s="517" t="s">
        <v>955</v>
      </c>
    </row>
    <row r="984" spans="1:2" ht="15" hidden="1" x14ac:dyDescent="0.25">
      <c r="A984" s="517" t="s">
        <v>956</v>
      </c>
      <c r="B984" s="517" t="s">
        <v>956</v>
      </c>
    </row>
    <row r="985" spans="1:2" ht="15" hidden="1" x14ac:dyDescent="0.25">
      <c r="A985" s="517" t="s">
        <v>957</v>
      </c>
      <c r="B985" s="517" t="s">
        <v>957</v>
      </c>
    </row>
    <row r="986" spans="1:2" ht="15" hidden="1" x14ac:dyDescent="0.25">
      <c r="A986" s="517" t="s">
        <v>958</v>
      </c>
      <c r="B986" s="517" t="s">
        <v>958</v>
      </c>
    </row>
    <row r="987" spans="1:2" ht="15" hidden="1" x14ac:dyDescent="0.25">
      <c r="A987" s="517" t="s">
        <v>958</v>
      </c>
      <c r="B987" s="517" t="s">
        <v>958</v>
      </c>
    </row>
    <row r="988" spans="1:2" ht="15" hidden="1" x14ac:dyDescent="0.25">
      <c r="A988" s="517" t="s">
        <v>959</v>
      </c>
      <c r="B988" s="517" t="s">
        <v>959</v>
      </c>
    </row>
    <row r="989" spans="1:2" ht="15" hidden="1" x14ac:dyDescent="0.25">
      <c r="A989" s="517" t="s">
        <v>960</v>
      </c>
      <c r="B989" s="517" t="s">
        <v>960</v>
      </c>
    </row>
    <row r="990" spans="1:2" ht="15" hidden="1" x14ac:dyDescent="0.25">
      <c r="A990" s="517" t="s">
        <v>960</v>
      </c>
      <c r="B990" s="517" t="s">
        <v>960</v>
      </c>
    </row>
    <row r="991" spans="1:2" ht="15" hidden="1" x14ac:dyDescent="0.25">
      <c r="A991" s="517" t="s">
        <v>961</v>
      </c>
      <c r="B991" s="517" t="s">
        <v>961</v>
      </c>
    </row>
    <row r="992" spans="1:2" ht="15" hidden="1" x14ac:dyDescent="0.25">
      <c r="A992" s="517" t="s">
        <v>962</v>
      </c>
      <c r="B992" s="517" t="s">
        <v>962</v>
      </c>
    </row>
    <row r="993" spans="1:2" ht="15" hidden="1" x14ac:dyDescent="0.25">
      <c r="A993" s="517" t="s">
        <v>963</v>
      </c>
      <c r="B993" s="517" t="s">
        <v>963</v>
      </c>
    </row>
    <row r="994" spans="1:2" ht="15" hidden="1" x14ac:dyDescent="0.25">
      <c r="A994" s="517" t="s">
        <v>963</v>
      </c>
      <c r="B994" s="517" t="s">
        <v>963</v>
      </c>
    </row>
    <row r="995" spans="1:2" ht="15" hidden="1" x14ac:dyDescent="0.25">
      <c r="A995" s="517" t="s">
        <v>964</v>
      </c>
      <c r="B995" s="517" t="s">
        <v>964</v>
      </c>
    </row>
    <row r="996" spans="1:2" ht="15" hidden="1" x14ac:dyDescent="0.25">
      <c r="A996" s="517" t="s">
        <v>965</v>
      </c>
      <c r="B996" s="517" t="s">
        <v>965</v>
      </c>
    </row>
    <row r="997" spans="1:2" ht="15" hidden="1" x14ac:dyDescent="0.25">
      <c r="A997" s="517" t="s">
        <v>966</v>
      </c>
      <c r="B997" s="517" t="s">
        <v>966</v>
      </c>
    </row>
    <row r="998" spans="1:2" ht="15" hidden="1" x14ac:dyDescent="0.25">
      <c r="A998" s="517" t="s">
        <v>967</v>
      </c>
      <c r="B998" s="517" t="s">
        <v>967</v>
      </c>
    </row>
    <row r="999" spans="1:2" ht="15" hidden="1" x14ac:dyDescent="0.25">
      <c r="A999" s="517" t="s">
        <v>968</v>
      </c>
      <c r="B999" s="517" t="s">
        <v>968</v>
      </c>
    </row>
    <row r="1000" spans="1:2" ht="15" hidden="1" x14ac:dyDescent="0.25">
      <c r="A1000" s="517" t="s">
        <v>969</v>
      </c>
      <c r="B1000" s="517" t="s">
        <v>969</v>
      </c>
    </row>
    <row r="1001" spans="1:2" ht="15" hidden="1" x14ac:dyDescent="0.25">
      <c r="A1001" s="517" t="s">
        <v>969</v>
      </c>
      <c r="B1001" s="517" t="s">
        <v>969</v>
      </c>
    </row>
    <row r="1002" spans="1:2" ht="15" hidden="1" x14ac:dyDescent="0.25">
      <c r="A1002" s="517" t="s">
        <v>970</v>
      </c>
      <c r="B1002" s="517" t="s">
        <v>970</v>
      </c>
    </row>
    <row r="1003" spans="1:2" ht="15" hidden="1" x14ac:dyDescent="0.25">
      <c r="A1003" s="517" t="s">
        <v>971</v>
      </c>
      <c r="B1003" s="517" t="s">
        <v>971</v>
      </c>
    </row>
    <row r="1004" spans="1:2" ht="15" hidden="1" x14ac:dyDescent="0.25">
      <c r="A1004" s="517" t="s">
        <v>971</v>
      </c>
      <c r="B1004" s="517" t="s">
        <v>971</v>
      </c>
    </row>
    <row r="1005" spans="1:2" ht="15" hidden="1" x14ac:dyDescent="0.25">
      <c r="A1005" s="517" t="s">
        <v>972</v>
      </c>
      <c r="B1005" s="517" t="s">
        <v>972</v>
      </c>
    </row>
    <row r="1006" spans="1:2" ht="15" hidden="1" x14ac:dyDescent="0.25">
      <c r="A1006" s="517" t="s">
        <v>973</v>
      </c>
      <c r="B1006" s="517" t="s">
        <v>973</v>
      </c>
    </row>
    <row r="1007" spans="1:2" ht="15" hidden="1" x14ac:dyDescent="0.25">
      <c r="A1007" s="517" t="s">
        <v>974</v>
      </c>
      <c r="B1007" s="517" t="s">
        <v>974</v>
      </c>
    </row>
    <row r="1008" spans="1:2" ht="15" hidden="1" x14ac:dyDescent="0.25">
      <c r="A1008" s="517" t="s">
        <v>975</v>
      </c>
      <c r="B1008" s="517" t="s">
        <v>975</v>
      </c>
    </row>
    <row r="1009" spans="1:2" ht="15" hidden="1" x14ac:dyDescent="0.25">
      <c r="A1009" s="517" t="s">
        <v>976</v>
      </c>
      <c r="B1009" s="517" t="s">
        <v>976</v>
      </c>
    </row>
    <row r="1010" spans="1:2" ht="15" hidden="1" x14ac:dyDescent="0.25">
      <c r="A1010" s="517" t="s">
        <v>977</v>
      </c>
      <c r="B1010" s="517" t="s">
        <v>977</v>
      </c>
    </row>
    <row r="1011" spans="1:2" ht="15" hidden="1" x14ac:dyDescent="0.25">
      <c r="A1011" s="517" t="s">
        <v>978</v>
      </c>
      <c r="B1011" s="517" t="s">
        <v>978</v>
      </c>
    </row>
    <row r="1012" spans="1:2" ht="15" hidden="1" x14ac:dyDescent="0.25">
      <c r="A1012" s="517" t="s">
        <v>979</v>
      </c>
      <c r="B1012" s="517" t="s">
        <v>979</v>
      </c>
    </row>
    <row r="1013" spans="1:2" ht="15" hidden="1" x14ac:dyDescent="0.25">
      <c r="A1013" s="517" t="s">
        <v>979</v>
      </c>
      <c r="B1013" s="517" t="s">
        <v>979</v>
      </c>
    </row>
    <row r="1014" spans="1:2" ht="15" hidden="1" x14ac:dyDescent="0.25">
      <c r="A1014" s="517" t="s">
        <v>980</v>
      </c>
      <c r="B1014" s="517" t="s">
        <v>980</v>
      </c>
    </row>
    <row r="1015" spans="1:2" ht="15" hidden="1" x14ac:dyDescent="0.25">
      <c r="A1015" s="517" t="s">
        <v>981</v>
      </c>
      <c r="B1015" s="517" t="s">
        <v>981</v>
      </c>
    </row>
    <row r="1016" spans="1:2" ht="15" hidden="1" x14ac:dyDescent="0.25">
      <c r="A1016" s="517" t="s">
        <v>982</v>
      </c>
      <c r="B1016" s="517" t="s">
        <v>982</v>
      </c>
    </row>
    <row r="1017" spans="1:2" ht="15" hidden="1" x14ac:dyDescent="0.25">
      <c r="A1017" s="517" t="s">
        <v>983</v>
      </c>
      <c r="B1017" s="517" t="s">
        <v>983</v>
      </c>
    </row>
    <row r="1018" spans="1:2" ht="15" hidden="1" x14ac:dyDescent="0.25">
      <c r="A1018" s="517" t="s">
        <v>984</v>
      </c>
      <c r="B1018" s="517" t="s">
        <v>984</v>
      </c>
    </row>
    <row r="1019" spans="1:2" ht="15" hidden="1" x14ac:dyDescent="0.25">
      <c r="A1019" s="517" t="s">
        <v>985</v>
      </c>
      <c r="B1019" s="517" t="s">
        <v>985</v>
      </c>
    </row>
    <row r="1020" spans="1:2" ht="15" hidden="1" x14ac:dyDescent="0.25">
      <c r="A1020" s="517" t="s">
        <v>986</v>
      </c>
      <c r="B1020" s="517" t="s">
        <v>986</v>
      </c>
    </row>
    <row r="1021" spans="1:2" ht="15" hidden="1" x14ac:dyDescent="0.25">
      <c r="A1021" s="517" t="s">
        <v>987</v>
      </c>
      <c r="B1021" s="517" t="s">
        <v>987</v>
      </c>
    </row>
    <row r="1022" spans="1:2" ht="15" hidden="1" x14ac:dyDescent="0.25">
      <c r="A1022" s="517" t="s">
        <v>988</v>
      </c>
      <c r="B1022" s="517" t="s">
        <v>988</v>
      </c>
    </row>
    <row r="1023" spans="1:2" ht="15" hidden="1" x14ac:dyDescent="0.25">
      <c r="A1023" s="517" t="s">
        <v>989</v>
      </c>
      <c r="B1023" s="517" t="s">
        <v>989</v>
      </c>
    </row>
    <row r="1024" spans="1:2" ht="15" hidden="1" x14ac:dyDescent="0.25">
      <c r="A1024" s="517" t="s">
        <v>990</v>
      </c>
      <c r="B1024" s="517" t="s">
        <v>990</v>
      </c>
    </row>
    <row r="1025" spans="1:2" ht="15" hidden="1" x14ac:dyDescent="0.25">
      <c r="A1025" s="517" t="s">
        <v>991</v>
      </c>
      <c r="B1025" s="517" t="s">
        <v>991</v>
      </c>
    </row>
    <row r="1026" spans="1:2" ht="15" hidden="1" x14ac:dyDescent="0.25">
      <c r="A1026" s="517" t="s">
        <v>992</v>
      </c>
      <c r="B1026" s="517" t="s">
        <v>992</v>
      </c>
    </row>
    <row r="1027" spans="1:2" ht="15" hidden="1" x14ac:dyDescent="0.25">
      <c r="A1027" s="517" t="s">
        <v>993</v>
      </c>
      <c r="B1027" s="517" t="s">
        <v>993</v>
      </c>
    </row>
    <row r="1028" spans="1:2" ht="15" hidden="1" x14ac:dyDescent="0.25">
      <c r="A1028" s="517" t="s">
        <v>994</v>
      </c>
      <c r="B1028" s="517" t="s">
        <v>994</v>
      </c>
    </row>
    <row r="1029" spans="1:2" ht="15" hidden="1" x14ac:dyDescent="0.25">
      <c r="A1029" s="517" t="s">
        <v>995</v>
      </c>
      <c r="B1029" s="517" t="s">
        <v>995</v>
      </c>
    </row>
    <row r="1030" spans="1:2" ht="15" hidden="1" x14ac:dyDescent="0.25">
      <c r="A1030" s="517" t="s">
        <v>996</v>
      </c>
      <c r="B1030" s="517" t="s">
        <v>996</v>
      </c>
    </row>
    <row r="1031" spans="1:2" ht="15" hidden="1" x14ac:dyDescent="0.25">
      <c r="A1031" s="517" t="s">
        <v>997</v>
      </c>
      <c r="B1031" s="517" t="s">
        <v>997</v>
      </c>
    </row>
    <row r="1032" spans="1:2" ht="15" hidden="1" x14ac:dyDescent="0.25">
      <c r="A1032" s="517" t="s">
        <v>998</v>
      </c>
      <c r="B1032" s="517" t="s">
        <v>998</v>
      </c>
    </row>
    <row r="1033" spans="1:2" ht="15" hidden="1" x14ac:dyDescent="0.25">
      <c r="A1033" s="517" t="s">
        <v>999</v>
      </c>
      <c r="B1033" s="517" t="s">
        <v>999</v>
      </c>
    </row>
    <row r="1034" spans="1:2" ht="15" hidden="1" x14ac:dyDescent="0.25">
      <c r="A1034" s="517" t="s">
        <v>999</v>
      </c>
      <c r="B1034" s="517" t="s">
        <v>999</v>
      </c>
    </row>
    <row r="1035" spans="1:2" ht="15" hidden="1" x14ac:dyDescent="0.25">
      <c r="A1035" s="517" t="s">
        <v>1000</v>
      </c>
      <c r="B1035" s="517" t="s">
        <v>1000</v>
      </c>
    </row>
    <row r="1036" spans="1:2" ht="15" hidden="1" x14ac:dyDescent="0.25">
      <c r="A1036" s="517" t="s">
        <v>1001</v>
      </c>
      <c r="B1036" s="517" t="s">
        <v>1001</v>
      </c>
    </row>
    <row r="1037" spans="1:2" ht="15" hidden="1" x14ac:dyDescent="0.25">
      <c r="A1037" s="517" t="s">
        <v>1002</v>
      </c>
      <c r="B1037" s="517" t="s">
        <v>1002</v>
      </c>
    </row>
    <row r="1038" spans="1:2" ht="15" hidden="1" x14ac:dyDescent="0.25">
      <c r="A1038" s="517" t="s">
        <v>1002</v>
      </c>
      <c r="B1038" s="517" t="s">
        <v>1002</v>
      </c>
    </row>
    <row r="1039" spans="1:2" ht="15" hidden="1" x14ac:dyDescent="0.25">
      <c r="A1039" s="517" t="s">
        <v>1003</v>
      </c>
      <c r="B1039" s="517" t="s">
        <v>1003</v>
      </c>
    </row>
    <row r="1040" spans="1:2" ht="15" hidden="1" x14ac:dyDescent="0.25">
      <c r="A1040" s="517" t="s">
        <v>1004</v>
      </c>
      <c r="B1040" s="517" t="s">
        <v>1004</v>
      </c>
    </row>
    <row r="1041" spans="1:2" ht="15" hidden="1" x14ac:dyDescent="0.25">
      <c r="A1041" s="517" t="s">
        <v>1005</v>
      </c>
      <c r="B1041" s="517" t="s">
        <v>1005</v>
      </c>
    </row>
    <row r="1042" spans="1:2" ht="15" hidden="1" x14ac:dyDescent="0.25">
      <c r="A1042" s="517" t="s">
        <v>1006</v>
      </c>
      <c r="B1042" s="517" t="s">
        <v>1006</v>
      </c>
    </row>
    <row r="1043" spans="1:2" ht="15" hidden="1" x14ac:dyDescent="0.25">
      <c r="A1043" s="517" t="s">
        <v>1007</v>
      </c>
      <c r="B1043" s="517" t="s">
        <v>1007</v>
      </c>
    </row>
    <row r="1044" spans="1:2" ht="15" hidden="1" x14ac:dyDescent="0.25">
      <c r="A1044" s="517" t="s">
        <v>1008</v>
      </c>
      <c r="B1044" s="517" t="s">
        <v>1008</v>
      </c>
    </row>
    <row r="1045" spans="1:2" ht="15" hidden="1" x14ac:dyDescent="0.25">
      <c r="A1045" s="517" t="s">
        <v>1008</v>
      </c>
      <c r="B1045" s="517" t="s">
        <v>1008</v>
      </c>
    </row>
    <row r="1046" spans="1:2" ht="15" hidden="1" x14ac:dyDescent="0.25">
      <c r="A1046" s="517" t="s">
        <v>1009</v>
      </c>
      <c r="B1046" s="517" t="s">
        <v>1009</v>
      </c>
    </row>
    <row r="1047" spans="1:2" ht="15" hidden="1" x14ac:dyDescent="0.25">
      <c r="A1047" s="517" t="s">
        <v>1010</v>
      </c>
      <c r="B1047" s="517" t="s">
        <v>1010</v>
      </c>
    </row>
    <row r="1048" spans="1:2" ht="15" hidden="1" x14ac:dyDescent="0.25">
      <c r="A1048" s="517" t="s">
        <v>1011</v>
      </c>
      <c r="B1048" s="517" t="s">
        <v>1011</v>
      </c>
    </row>
    <row r="1049" spans="1:2" ht="15" hidden="1" x14ac:dyDescent="0.25">
      <c r="A1049" s="517" t="s">
        <v>1012</v>
      </c>
      <c r="B1049" s="517" t="s">
        <v>1012</v>
      </c>
    </row>
    <row r="1050" spans="1:2" ht="15" hidden="1" x14ac:dyDescent="0.25">
      <c r="A1050" s="517" t="s">
        <v>1013</v>
      </c>
      <c r="B1050" s="517" t="s">
        <v>1013</v>
      </c>
    </row>
    <row r="1051" spans="1:2" ht="15" hidden="1" x14ac:dyDescent="0.25">
      <c r="A1051" s="517" t="s">
        <v>1013</v>
      </c>
      <c r="B1051" s="517" t="s">
        <v>1013</v>
      </c>
    </row>
    <row r="1052" spans="1:2" ht="15" hidden="1" x14ac:dyDescent="0.25">
      <c r="A1052" s="517" t="s">
        <v>1014</v>
      </c>
      <c r="B1052" s="517" t="s">
        <v>1014</v>
      </c>
    </row>
    <row r="1053" spans="1:2" ht="15" hidden="1" x14ac:dyDescent="0.25">
      <c r="A1053" s="517" t="s">
        <v>1014</v>
      </c>
      <c r="B1053" s="517" t="s">
        <v>1014</v>
      </c>
    </row>
    <row r="1054" spans="1:2" ht="15" hidden="1" x14ac:dyDescent="0.25">
      <c r="A1054" s="517" t="s">
        <v>1015</v>
      </c>
      <c r="B1054" s="517" t="s">
        <v>1015</v>
      </c>
    </row>
    <row r="1055" spans="1:2" ht="15" hidden="1" x14ac:dyDescent="0.25">
      <c r="A1055" s="517" t="s">
        <v>1016</v>
      </c>
      <c r="B1055" s="517" t="s">
        <v>1016</v>
      </c>
    </row>
    <row r="1056" spans="1:2" ht="15" hidden="1" x14ac:dyDescent="0.25">
      <c r="A1056" s="517" t="s">
        <v>1017</v>
      </c>
      <c r="B1056" s="517" t="s">
        <v>1017</v>
      </c>
    </row>
    <row r="1057" spans="1:2" ht="15" hidden="1" x14ac:dyDescent="0.25">
      <c r="A1057" s="517" t="s">
        <v>1017</v>
      </c>
      <c r="B1057" s="517" t="s">
        <v>1017</v>
      </c>
    </row>
    <row r="1058" spans="1:2" ht="15" hidden="1" x14ac:dyDescent="0.25">
      <c r="A1058" s="517" t="s">
        <v>1018</v>
      </c>
      <c r="B1058" s="517" t="s">
        <v>1018</v>
      </c>
    </row>
    <row r="1059" spans="1:2" ht="15" hidden="1" x14ac:dyDescent="0.25">
      <c r="A1059" s="517" t="s">
        <v>1019</v>
      </c>
      <c r="B1059" s="517" t="s">
        <v>1019</v>
      </c>
    </row>
    <row r="1060" spans="1:2" ht="15" hidden="1" x14ac:dyDescent="0.25">
      <c r="A1060" s="517" t="s">
        <v>1020</v>
      </c>
      <c r="B1060" s="517" t="s">
        <v>1020</v>
      </c>
    </row>
    <row r="1061" spans="1:2" ht="15" hidden="1" x14ac:dyDescent="0.25">
      <c r="A1061" s="517" t="s">
        <v>1021</v>
      </c>
      <c r="B1061" s="517" t="s">
        <v>1021</v>
      </c>
    </row>
    <row r="1062" spans="1:2" ht="15" hidden="1" x14ac:dyDescent="0.25">
      <c r="A1062" s="517" t="s">
        <v>1022</v>
      </c>
      <c r="B1062" s="517" t="s">
        <v>1022</v>
      </c>
    </row>
    <row r="1063" spans="1:2" ht="15" hidden="1" x14ac:dyDescent="0.25">
      <c r="A1063" s="517" t="s">
        <v>1023</v>
      </c>
      <c r="B1063" s="517" t="s">
        <v>1023</v>
      </c>
    </row>
    <row r="1064" spans="1:2" ht="15" hidden="1" x14ac:dyDescent="0.25">
      <c r="A1064" s="517" t="s">
        <v>1024</v>
      </c>
      <c r="B1064" s="517" t="s">
        <v>1024</v>
      </c>
    </row>
    <row r="1065" spans="1:2" ht="15" hidden="1" x14ac:dyDescent="0.25">
      <c r="A1065" s="517" t="s">
        <v>1025</v>
      </c>
      <c r="B1065" s="517" t="s">
        <v>1025</v>
      </c>
    </row>
    <row r="1066" spans="1:2" ht="15" hidden="1" x14ac:dyDescent="0.25">
      <c r="A1066" s="517" t="s">
        <v>1025</v>
      </c>
      <c r="B1066" s="517" t="s">
        <v>1025</v>
      </c>
    </row>
    <row r="1067" spans="1:2" ht="15" hidden="1" x14ac:dyDescent="0.25">
      <c r="A1067" s="517" t="s">
        <v>1026</v>
      </c>
      <c r="B1067" s="517" t="s">
        <v>1026</v>
      </c>
    </row>
    <row r="1068" spans="1:2" ht="15" hidden="1" x14ac:dyDescent="0.25">
      <c r="A1068" s="517" t="s">
        <v>1027</v>
      </c>
      <c r="B1068" s="517" t="s">
        <v>1027</v>
      </c>
    </row>
    <row r="1069" spans="1:2" ht="15" hidden="1" x14ac:dyDescent="0.25">
      <c r="A1069" s="517" t="s">
        <v>1028</v>
      </c>
      <c r="B1069" s="517" t="s">
        <v>1028</v>
      </c>
    </row>
    <row r="1070" spans="1:2" ht="15" hidden="1" x14ac:dyDescent="0.25">
      <c r="A1070" s="517" t="s">
        <v>1029</v>
      </c>
      <c r="B1070" s="517" t="s">
        <v>1029</v>
      </c>
    </row>
    <row r="1071" spans="1:2" ht="15" hidden="1" x14ac:dyDescent="0.25">
      <c r="A1071" s="517" t="s">
        <v>1029</v>
      </c>
      <c r="B1071" s="517" t="s">
        <v>1029</v>
      </c>
    </row>
    <row r="1072" spans="1:2" ht="15" hidden="1" x14ac:dyDescent="0.25">
      <c r="A1072" s="517" t="s">
        <v>1030</v>
      </c>
      <c r="B1072" s="517" t="s">
        <v>1030</v>
      </c>
    </row>
    <row r="1073" spans="1:2" ht="15" hidden="1" x14ac:dyDescent="0.25">
      <c r="A1073" s="517" t="s">
        <v>1030</v>
      </c>
      <c r="B1073" s="517" t="s">
        <v>1030</v>
      </c>
    </row>
    <row r="1074" spans="1:2" ht="15" hidden="1" x14ac:dyDescent="0.25">
      <c r="A1074" s="517" t="s">
        <v>1031</v>
      </c>
      <c r="B1074" s="517" t="s">
        <v>1031</v>
      </c>
    </row>
    <row r="1075" spans="1:2" ht="15" hidden="1" x14ac:dyDescent="0.25">
      <c r="A1075" s="517" t="s">
        <v>1032</v>
      </c>
      <c r="B1075" s="517" t="s">
        <v>1032</v>
      </c>
    </row>
    <row r="1076" spans="1:2" ht="15" hidden="1" x14ac:dyDescent="0.25">
      <c r="A1076" s="517" t="s">
        <v>1033</v>
      </c>
      <c r="B1076" s="517" t="s">
        <v>1033</v>
      </c>
    </row>
    <row r="1077" spans="1:2" ht="15" hidden="1" x14ac:dyDescent="0.25">
      <c r="A1077" s="517" t="s">
        <v>1034</v>
      </c>
      <c r="B1077" s="517" t="s">
        <v>1034</v>
      </c>
    </row>
    <row r="1078" spans="1:2" ht="15" hidden="1" x14ac:dyDescent="0.25">
      <c r="A1078" s="517" t="s">
        <v>1035</v>
      </c>
      <c r="B1078" s="517" t="s">
        <v>1035</v>
      </c>
    </row>
    <row r="1079" spans="1:2" ht="15" hidden="1" x14ac:dyDescent="0.25">
      <c r="A1079" s="517" t="s">
        <v>1036</v>
      </c>
      <c r="B1079" s="517" t="s">
        <v>1036</v>
      </c>
    </row>
    <row r="1080" spans="1:2" ht="15" hidden="1" x14ac:dyDescent="0.25">
      <c r="A1080" s="517" t="s">
        <v>1037</v>
      </c>
      <c r="B1080" s="517" t="s">
        <v>1037</v>
      </c>
    </row>
    <row r="1081" spans="1:2" ht="15" hidden="1" x14ac:dyDescent="0.25">
      <c r="A1081" s="517" t="s">
        <v>1038</v>
      </c>
      <c r="B1081" s="517" t="s">
        <v>1038</v>
      </c>
    </row>
    <row r="1082" spans="1:2" ht="15" hidden="1" x14ac:dyDescent="0.25">
      <c r="A1082" s="517" t="s">
        <v>1039</v>
      </c>
      <c r="B1082" s="517" t="s">
        <v>1039</v>
      </c>
    </row>
    <row r="1083" spans="1:2" ht="15" hidden="1" x14ac:dyDescent="0.25">
      <c r="A1083" s="517" t="s">
        <v>1040</v>
      </c>
      <c r="B1083" s="517" t="s">
        <v>1040</v>
      </c>
    </row>
    <row r="1084" spans="1:2" ht="15" hidden="1" x14ac:dyDescent="0.25">
      <c r="A1084" s="517" t="s">
        <v>1041</v>
      </c>
      <c r="B1084" s="517" t="s">
        <v>1041</v>
      </c>
    </row>
    <row r="1085" spans="1:2" ht="15" hidden="1" x14ac:dyDescent="0.25">
      <c r="A1085" s="517" t="s">
        <v>1042</v>
      </c>
      <c r="B1085" s="517" t="s">
        <v>1042</v>
      </c>
    </row>
    <row r="1086" spans="1:2" ht="15" hidden="1" x14ac:dyDescent="0.25">
      <c r="A1086" s="517" t="s">
        <v>1043</v>
      </c>
      <c r="B1086" s="517" t="s">
        <v>1043</v>
      </c>
    </row>
    <row r="1087" spans="1:2" ht="15" hidden="1" x14ac:dyDescent="0.25">
      <c r="A1087" s="517" t="s">
        <v>1044</v>
      </c>
      <c r="B1087" s="517" t="s">
        <v>1044</v>
      </c>
    </row>
    <row r="1088" spans="1:2" ht="15" hidden="1" x14ac:dyDescent="0.25">
      <c r="A1088" s="517" t="s">
        <v>1045</v>
      </c>
      <c r="B1088" s="517" t="s">
        <v>1045</v>
      </c>
    </row>
    <row r="1089" spans="1:2" ht="15" hidden="1" x14ac:dyDescent="0.25">
      <c r="A1089" s="517" t="s">
        <v>1046</v>
      </c>
      <c r="B1089" s="517" t="s">
        <v>1046</v>
      </c>
    </row>
    <row r="1090" spans="1:2" ht="15" hidden="1" x14ac:dyDescent="0.25">
      <c r="A1090" s="517" t="s">
        <v>1047</v>
      </c>
      <c r="B1090" s="517" t="s">
        <v>1047</v>
      </c>
    </row>
    <row r="1091" spans="1:2" ht="15" hidden="1" x14ac:dyDescent="0.25">
      <c r="A1091" s="517" t="s">
        <v>1048</v>
      </c>
      <c r="B1091" s="517" t="s">
        <v>1048</v>
      </c>
    </row>
    <row r="1092" spans="1:2" ht="15" hidden="1" x14ac:dyDescent="0.25">
      <c r="A1092" s="517" t="s">
        <v>1049</v>
      </c>
      <c r="B1092" s="517" t="s">
        <v>1049</v>
      </c>
    </row>
    <row r="1093" spans="1:2" ht="15" hidden="1" x14ac:dyDescent="0.25">
      <c r="A1093" s="517" t="s">
        <v>1050</v>
      </c>
      <c r="B1093" s="517" t="s">
        <v>1050</v>
      </c>
    </row>
    <row r="1094" spans="1:2" ht="15" hidden="1" x14ac:dyDescent="0.25">
      <c r="A1094" s="517" t="s">
        <v>1051</v>
      </c>
      <c r="B1094" s="517" t="s">
        <v>1051</v>
      </c>
    </row>
    <row r="1095" spans="1:2" ht="15" hidden="1" x14ac:dyDescent="0.25">
      <c r="A1095" s="517" t="s">
        <v>1052</v>
      </c>
      <c r="B1095" s="517" t="s">
        <v>1052</v>
      </c>
    </row>
    <row r="1096" spans="1:2" ht="15" hidden="1" x14ac:dyDescent="0.25">
      <c r="A1096" s="517" t="s">
        <v>1053</v>
      </c>
      <c r="B1096" s="517" t="s">
        <v>1053</v>
      </c>
    </row>
    <row r="1097" spans="1:2" ht="15" hidden="1" x14ac:dyDescent="0.25">
      <c r="A1097" s="517" t="s">
        <v>1054</v>
      </c>
      <c r="B1097" s="517" t="s">
        <v>1054</v>
      </c>
    </row>
    <row r="1098" spans="1:2" ht="15" hidden="1" x14ac:dyDescent="0.25">
      <c r="A1098" s="517" t="s">
        <v>1054</v>
      </c>
      <c r="B1098" s="517" t="s">
        <v>1054</v>
      </c>
    </row>
    <row r="1099" spans="1:2" ht="15" hidden="1" x14ac:dyDescent="0.25">
      <c r="A1099" s="517" t="s">
        <v>1055</v>
      </c>
      <c r="B1099" s="517" t="s">
        <v>1055</v>
      </c>
    </row>
    <row r="1100" spans="1:2" ht="15" hidden="1" x14ac:dyDescent="0.25">
      <c r="A1100" s="517" t="s">
        <v>1056</v>
      </c>
      <c r="B1100" s="517" t="s">
        <v>1056</v>
      </c>
    </row>
    <row r="1101" spans="1:2" ht="15" hidden="1" x14ac:dyDescent="0.25">
      <c r="A1101" s="517" t="s">
        <v>1057</v>
      </c>
      <c r="B1101" s="517" t="s">
        <v>1057</v>
      </c>
    </row>
    <row r="1102" spans="1:2" ht="15" hidden="1" x14ac:dyDescent="0.25">
      <c r="A1102" s="517" t="s">
        <v>1058</v>
      </c>
      <c r="B1102" s="517" t="s">
        <v>1058</v>
      </c>
    </row>
    <row r="1103" spans="1:2" ht="15" hidden="1" x14ac:dyDescent="0.25">
      <c r="A1103" s="517" t="s">
        <v>1058</v>
      </c>
      <c r="B1103" s="517" t="s">
        <v>1058</v>
      </c>
    </row>
    <row r="1104" spans="1:2" ht="15" hidden="1" x14ac:dyDescent="0.25">
      <c r="A1104" s="517" t="s">
        <v>1059</v>
      </c>
      <c r="B1104" s="517" t="s">
        <v>1059</v>
      </c>
    </row>
    <row r="1105" spans="1:2" ht="15" hidden="1" x14ac:dyDescent="0.25">
      <c r="A1105" s="517" t="s">
        <v>1060</v>
      </c>
      <c r="B1105" s="517" t="s">
        <v>1060</v>
      </c>
    </row>
    <row r="1106" spans="1:2" ht="15" hidden="1" x14ac:dyDescent="0.25">
      <c r="A1106" s="517" t="s">
        <v>1061</v>
      </c>
      <c r="B1106" s="517" t="s">
        <v>1061</v>
      </c>
    </row>
    <row r="1107" spans="1:2" ht="15" hidden="1" x14ac:dyDescent="0.25">
      <c r="A1107" s="517" t="s">
        <v>1061</v>
      </c>
      <c r="B1107" s="517" t="s">
        <v>1061</v>
      </c>
    </row>
    <row r="1108" spans="1:2" ht="15" hidden="1" x14ac:dyDescent="0.25">
      <c r="A1108" s="517" t="s">
        <v>1062</v>
      </c>
      <c r="B1108" s="517" t="s">
        <v>1062</v>
      </c>
    </row>
    <row r="1109" spans="1:2" ht="15" hidden="1" x14ac:dyDescent="0.25">
      <c r="A1109" s="517" t="s">
        <v>1062</v>
      </c>
      <c r="B1109" s="517" t="s">
        <v>1062</v>
      </c>
    </row>
    <row r="1110" spans="1:2" ht="15" hidden="1" x14ac:dyDescent="0.25">
      <c r="A1110" s="517" t="s">
        <v>1063</v>
      </c>
      <c r="B1110" s="517" t="s">
        <v>1063</v>
      </c>
    </row>
    <row r="1111" spans="1:2" ht="15" hidden="1" x14ac:dyDescent="0.25">
      <c r="A1111" s="517" t="s">
        <v>1063</v>
      </c>
      <c r="B1111" s="517" t="s">
        <v>1063</v>
      </c>
    </row>
    <row r="1112" spans="1:2" ht="15" hidden="1" x14ac:dyDescent="0.25">
      <c r="A1112" s="517" t="s">
        <v>1064</v>
      </c>
      <c r="B1112" s="517" t="s">
        <v>1064</v>
      </c>
    </row>
    <row r="1113" spans="1:2" ht="15" hidden="1" x14ac:dyDescent="0.25">
      <c r="A1113" s="517" t="s">
        <v>1065</v>
      </c>
      <c r="B1113" s="517" t="s">
        <v>1065</v>
      </c>
    </row>
    <row r="1114" spans="1:2" ht="15" hidden="1" x14ac:dyDescent="0.25">
      <c r="A1114" s="517" t="s">
        <v>1066</v>
      </c>
      <c r="B1114" s="517" t="s">
        <v>1066</v>
      </c>
    </row>
    <row r="1115" spans="1:2" ht="15" hidden="1" x14ac:dyDescent="0.25">
      <c r="A1115" s="517" t="s">
        <v>1067</v>
      </c>
      <c r="B1115" s="517" t="s">
        <v>1067</v>
      </c>
    </row>
    <row r="1116" spans="1:2" ht="15" hidden="1" x14ac:dyDescent="0.25">
      <c r="A1116" s="517" t="s">
        <v>1067</v>
      </c>
      <c r="B1116" s="517" t="s">
        <v>1067</v>
      </c>
    </row>
    <row r="1117" spans="1:2" ht="15" hidden="1" x14ac:dyDescent="0.25">
      <c r="A1117" s="517" t="s">
        <v>1068</v>
      </c>
      <c r="B1117" s="517" t="s">
        <v>1068</v>
      </c>
    </row>
    <row r="1118" spans="1:2" ht="15" hidden="1" x14ac:dyDescent="0.25">
      <c r="A1118" s="517" t="s">
        <v>1069</v>
      </c>
      <c r="B1118" s="517" t="s">
        <v>1069</v>
      </c>
    </row>
    <row r="1119" spans="1:2" ht="15" hidden="1" x14ac:dyDescent="0.25">
      <c r="A1119" s="517" t="s">
        <v>1070</v>
      </c>
      <c r="B1119" s="517" t="s">
        <v>1070</v>
      </c>
    </row>
    <row r="1120" spans="1:2" ht="15" hidden="1" x14ac:dyDescent="0.25">
      <c r="A1120" s="517" t="s">
        <v>1071</v>
      </c>
      <c r="B1120" s="517" t="s">
        <v>1071</v>
      </c>
    </row>
    <row r="1121" spans="1:2" ht="15" hidden="1" x14ac:dyDescent="0.25">
      <c r="A1121" s="517" t="s">
        <v>1072</v>
      </c>
      <c r="B1121" s="517" t="s">
        <v>1072</v>
      </c>
    </row>
    <row r="1122" spans="1:2" ht="15" hidden="1" x14ac:dyDescent="0.25">
      <c r="A1122" s="517" t="s">
        <v>1073</v>
      </c>
      <c r="B1122" s="517" t="s">
        <v>1073</v>
      </c>
    </row>
    <row r="1123" spans="1:2" ht="15" hidden="1" x14ac:dyDescent="0.25">
      <c r="A1123" s="517" t="s">
        <v>1074</v>
      </c>
      <c r="B1123" s="517" t="s">
        <v>1074</v>
      </c>
    </row>
    <row r="1124" spans="1:2" ht="15" hidden="1" x14ac:dyDescent="0.25">
      <c r="A1124" s="517" t="s">
        <v>1075</v>
      </c>
      <c r="B1124" s="517" t="s">
        <v>1075</v>
      </c>
    </row>
    <row r="1125" spans="1:2" ht="15" hidden="1" x14ac:dyDescent="0.25">
      <c r="A1125" s="517" t="s">
        <v>1076</v>
      </c>
      <c r="B1125" s="517" t="s">
        <v>1077</v>
      </c>
    </row>
    <row r="1126" spans="1:2" ht="15" hidden="1" x14ac:dyDescent="0.25">
      <c r="A1126" s="517" t="s">
        <v>1076</v>
      </c>
      <c r="B1126" s="517" t="s">
        <v>1077</v>
      </c>
    </row>
    <row r="1127" spans="1:2" ht="15" hidden="1" x14ac:dyDescent="0.25">
      <c r="A1127" s="517" t="s">
        <v>1078</v>
      </c>
      <c r="B1127" s="517" t="s">
        <v>1079</v>
      </c>
    </row>
    <row r="1128" spans="1:2" ht="15" hidden="1" x14ac:dyDescent="0.25">
      <c r="A1128" s="517" t="s">
        <v>1080</v>
      </c>
      <c r="B1128" s="517" t="s">
        <v>1081</v>
      </c>
    </row>
    <row r="1129" spans="1:2" ht="15" hidden="1" x14ac:dyDescent="0.25">
      <c r="A1129" s="517" t="s">
        <v>1082</v>
      </c>
      <c r="B1129" s="517" t="s">
        <v>1083</v>
      </c>
    </row>
    <row r="1130" spans="1:2" ht="15" hidden="1" x14ac:dyDescent="0.25">
      <c r="A1130" s="518" t="s">
        <v>1082</v>
      </c>
      <c r="B1130" s="517" t="s">
        <v>1083</v>
      </c>
    </row>
    <row r="1131" spans="1:2" ht="15" hidden="1" x14ac:dyDescent="0.25">
      <c r="A1131" s="517" t="s">
        <v>1084</v>
      </c>
      <c r="B1131" s="517" t="s">
        <v>1085</v>
      </c>
    </row>
    <row r="1132" spans="1:2" ht="15" hidden="1" x14ac:dyDescent="0.25">
      <c r="A1132" s="517" t="s">
        <v>1086</v>
      </c>
      <c r="B1132" s="517" t="s">
        <v>1087</v>
      </c>
    </row>
    <row r="1133" spans="1:2" ht="15" hidden="1" x14ac:dyDescent="0.25">
      <c r="A1133" s="517" t="s">
        <v>1086</v>
      </c>
      <c r="B1133" s="517" t="s">
        <v>1087</v>
      </c>
    </row>
    <row r="1134" spans="1:2" ht="15" hidden="1" x14ac:dyDescent="0.25">
      <c r="A1134" s="517" t="s">
        <v>631</v>
      </c>
      <c r="B1134" s="517" t="s">
        <v>632</v>
      </c>
    </row>
    <row r="1135" spans="1:2" ht="15" hidden="1" x14ac:dyDescent="0.25">
      <c r="A1135" s="517" t="s">
        <v>1088</v>
      </c>
      <c r="B1135" s="517" t="s">
        <v>1089</v>
      </c>
    </row>
    <row r="1136" spans="1:2" ht="15" hidden="1" x14ac:dyDescent="0.25">
      <c r="A1136" s="517" t="s">
        <v>1090</v>
      </c>
      <c r="B1136" s="517" t="s">
        <v>1091</v>
      </c>
    </row>
    <row r="1137" spans="1:2" ht="15" hidden="1" x14ac:dyDescent="0.25">
      <c r="A1137" s="517" t="s">
        <v>1092</v>
      </c>
      <c r="B1137" s="517" t="s">
        <v>1093</v>
      </c>
    </row>
    <row r="1138" spans="1:2" ht="15" hidden="1" x14ac:dyDescent="0.25">
      <c r="A1138" s="517" t="s">
        <v>635</v>
      </c>
      <c r="B1138" s="517" t="s">
        <v>636</v>
      </c>
    </row>
    <row r="1139" spans="1:2" ht="15" hidden="1" x14ac:dyDescent="0.25">
      <c r="A1139" s="517" t="s">
        <v>635</v>
      </c>
      <c r="B1139" s="517" t="s">
        <v>636</v>
      </c>
    </row>
    <row r="1140" spans="1:2" ht="15" hidden="1" x14ac:dyDescent="0.25">
      <c r="A1140" s="517" t="s">
        <v>635</v>
      </c>
      <c r="B1140" s="517" t="s">
        <v>636</v>
      </c>
    </row>
    <row r="1141" spans="1:2" ht="15" hidden="1" x14ac:dyDescent="0.25">
      <c r="A1141" s="517" t="s">
        <v>1094</v>
      </c>
      <c r="B1141" s="517" t="s">
        <v>1095</v>
      </c>
    </row>
    <row r="1142" spans="1:2" ht="15" hidden="1" x14ac:dyDescent="0.25">
      <c r="A1142" s="517" t="s">
        <v>1094</v>
      </c>
      <c r="B1142" s="517" t="s">
        <v>1095</v>
      </c>
    </row>
    <row r="1143" spans="1:2" ht="15" hidden="1" x14ac:dyDescent="0.25">
      <c r="A1143" s="517" t="s">
        <v>1096</v>
      </c>
      <c r="B1143" s="517" t="s">
        <v>1097</v>
      </c>
    </row>
    <row r="1144" spans="1:2" ht="15" hidden="1" x14ac:dyDescent="0.25">
      <c r="A1144" s="517" t="s">
        <v>1096</v>
      </c>
      <c r="B1144" s="517" t="s">
        <v>1097</v>
      </c>
    </row>
    <row r="1145" spans="1:2" ht="15" hidden="1" x14ac:dyDescent="0.25">
      <c r="A1145" s="517" t="s">
        <v>1098</v>
      </c>
      <c r="B1145" s="517" t="s">
        <v>1099</v>
      </c>
    </row>
    <row r="1146" spans="1:2" ht="15" hidden="1" x14ac:dyDescent="0.25">
      <c r="A1146" s="517" t="s">
        <v>1100</v>
      </c>
      <c r="B1146" s="517" t="s">
        <v>1101</v>
      </c>
    </row>
    <row r="1147" spans="1:2" ht="15" hidden="1" x14ac:dyDescent="0.25">
      <c r="A1147" s="517" t="s">
        <v>1100</v>
      </c>
      <c r="B1147" s="517" t="s">
        <v>1101</v>
      </c>
    </row>
    <row r="1148" spans="1:2" ht="15" hidden="1" x14ac:dyDescent="0.25">
      <c r="A1148" s="517" t="s">
        <v>1102</v>
      </c>
      <c r="B1148" s="517" t="s">
        <v>1103</v>
      </c>
    </row>
    <row r="1149" spans="1:2" ht="15" hidden="1" x14ac:dyDescent="0.25">
      <c r="A1149" s="517" t="s">
        <v>1102</v>
      </c>
      <c r="B1149" s="517" t="s">
        <v>1103</v>
      </c>
    </row>
    <row r="1150" spans="1:2" ht="15" hidden="1" x14ac:dyDescent="0.25">
      <c r="A1150" s="517" t="s">
        <v>1104</v>
      </c>
      <c r="B1150" s="517" t="s">
        <v>1105</v>
      </c>
    </row>
    <row r="1151" spans="1:2" ht="15" hidden="1" x14ac:dyDescent="0.25">
      <c r="A1151" s="517" t="s">
        <v>1106</v>
      </c>
      <c r="B1151" s="517" t="s">
        <v>1107</v>
      </c>
    </row>
    <row r="1152" spans="1:2" ht="15" hidden="1" x14ac:dyDescent="0.25">
      <c r="A1152" s="517" t="s">
        <v>1108</v>
      </c>
      <c r="B1152" s="517" t="s">
        <v>1109</v>
      </c>
    </row>
    <row r="1153" spans="1:2" ht="15" hidden="1" x14ac:dyDescent="0.25">
      <c r="A1153" s="517" t="s">
        <v>1110</v>
      </c>
      <c r="B1153" s="517" t="s">
        <v>1111</v>
      </c>
    </row>
    <row r="1154" spans="1:2" ht="15" hidden="1" x14ac:dyDescent="0.25">
      <c r="A1154" s="517" t="s">
        <v>681</v>
      </c>
      <c r="B1154" s="517" t="s">
        <v>682</v>
      </c>
    </row>
    <row r="1155" spans="1:2" ht="15" hidden="1" x14ac:dyDescent="0.25">
      <c r="A1155" s="517" t="s">
        <v>681</v>
      </c>
      <c r="B1155" s="517" t="s">
        <v>682</v>
      </c>
    </row>
    <row r="1156" spans="1:2" ht="15" hidden="1" x14ac:dyDescent="0.25">
      <c r="A1156" s="517" t="s">
        <v>681</v>
      </c>
      <c r="B1156" s="517" t="s">
        <v>682</v>
      </c>
    </row>
    <row r="1157" spans="1:2" ht="15" hidden="1" x14ac:dyDescent="0.25">
      <c r="A1157" s="517" t="s">
        <v>681</v>
      </c>
      <c r="B1157" s="517" t="s">
        <v>682</v>
      </c>
    </row>
    <row r="1158" spans="1:2" ht="15" hidden="1" x14ac:dyDescent="0.25">
      <c r="A1158" s="517" t="s">
        <v>681</v>
      </c>
      <c r="B1158" s="517" t="s">
        <v>682</v>
      </c>
    </row>
    <row r="1159" spans="1:2" ht="15" hidden="1" x14ac:dyDescent="0.25">
      <c r="A1159" s="517" t="s">
        <v>1112</v>
      </c>
      <c r="B1159" s="517" t="s">
        <v>1113</v>
      </c>
    </row>
    <row r="1160" spans="1:2" ht="15" hidden="1" x14ac:dyDescent="0.25">
      <c r="A1160" s="517" t="s">
        <v>1114</v>
      </c>
      <c r="B1160" s="517" t="s">
        <v>1115</v>
      </c>
    </row>
    <row r="1161" spans="1:2" ht="15" hidden="1" x14ac:dyDescent="0.25">
      <c r="A1161" s="517" t="s">
        <v>1116</v>
      </c>
      <c r="B1161" s="517" t="s">
        <v>1117</v>
      </c>
    </row>
    <row r="1162" spans="1:2" ht="15" hidden="1" x14ac:dyDescent="0.25">
      <c r="A1162" s="517" t="s">
        <v>1118</v>
      </c>
      <c r="B1162" s="517" t="s">
        <v>1119</v>
      </c>
    </row>
    <row r="1163" spans="1:2" ht="15" hidden="1" x14ac:dyDescent="0.25">
      <c r="A1163" s="517" t="s">
        <v>1120</v>
      </c>
      <c r="B1163" s="517" t="s">
        <v>1121</v>
      </c>
    </row>
    <row r="1164" spans="1:2" ht="15" hidden="1" x14ac:dyDescent="0.25">
      <c r="A1164" s="517" t="s">
        <v>1122</v>
      </c>
      <c r="B1164" s="517" t="s">
        <v>1123</v>
      </c>
    </row>
    <row r="1165" spans="1:2" ht="15" hidden="1" x14ac:dyDescent="0.25">
      <c r="A1165" s="517" t="s">
        <v>1124</v>
      </c>
      <c r="B1165" s="517" t="s">
        <v>1125</v>
      </c>
    </row>
    <row r="1166" spans="1:2" ht="15" hidden="1" x14ac:dyDescent="0.25">
      <c r="A1166" s="517" t="s">
        <v>1126</v>
      </c>
      <c r="B1166" s="517" t="s">
        <v>1127</v>
      </c>
    </row>
    <row r="1167" spans="1:2" ht="15" hidden="1" x14ac:dyDescent="0.25">
      <c r="A1167" s="517" t="s">
        <v>1128</v>
      </c>
      <c r="B1167" s="517" t="s">
        <v>1129</v>
      </c>
    </row>
    <row r="1168" spans="1:2" ht="15" hidden="1" x14ac:dyDescent="0.25">
      <c r="A1168" s="517" t="s">
        <v>697</v>
      </c>
      <c r="B1168" s="517" t="s">
        <v>698</v>
      </c>
    </row>
    <row r="1169" spans="1:2" ht="15" hidden="1" x14ac:dyDescent="0.25">
      <c r="A1169" s="517" t="s">
        <v>697</v>
      </c>
      <c r="B1169" s="517" t="s">
        <v>698</v>
      </c>
    </row>
    <row r="1170" spans="1:2" ht="15" hidden="1" x14ac:dyDescent="0.25">
      <c r="A1170" s="517" t="s">
        <v>697</v>
      </c>
      <c r="B1170" s="517" t="s">
        <v>698</v>
      </c>
    </row>
    <row r="1171" spans="1:2" ht="15" hidden="1" x14ac:dyDescent="0.25">
      <c r="A1171" s="517" t="s">
        <v>1130</v>
      </c>
      <c r="B1171" s="517" t="s">
        <v>1131</v>
      </c>
    </row>
    <row r="1172" spans="1:2" ht="15" hidden="1" x14ac:dyDescent="0.25">
      <c r="A1172" s="517" t="s">
        <v>1132</v>
      </c>
      <c r="B1172" s="517" t="s">
        <v>1133</v>
      </c>
    </row>
    <row r="1173" spans="1:2" ht="15" hidden="1" x14ac:dyDescent="0.25">
      <c r="A1173" s="517" t="s">
        <v>1134</v>
      </c>
      <c r="B1173" s="517" t="s">
        <v>1135</v>
      </c>
    </row>
    <row r="1174" spans="1:2" ht="15" hidden="1" x14ac:dyDescent="0.25">
      <c r="A1174" s="517" t="s">
        <v>1136</v>
      </c>
      <c r="B1174" s="517" t="s">
        <v>1137</v>
      </c>
    </row>
    <row r="1175" spans="1:2" ht="15" hidden="1" x14ac:dyDescent="0.25">
      <c r="A1175" s="517" t="s">
        <v>1136</v>
      </c>
      <c r="B1175" s="517" t="s">
        <v>1137</v>
      </c>
    </row>
    <row r="1176" spans="1:2" ht="15" hidden="1" x14ac:dyDescent="0.25">
      <c r="A1176" s="517" t="s">
        <v>1138</v>
      </c>
      <c r="B1176" s="517" t="s">
        <v>1139</v>
      </c>
    </row>
    <row r="1177" spans="1:2" ht="15" hidden="1" x14ac:dyDescent="0.25">
      <c r="A1177" s="517" t="s">
        <v>1140</v>
      </c>
      <c r="B1177" s="517" t="s">
        <v>1141</v>
      </c>
    </row>
    <row r="1178" spans="1:2" ht="15" hidden="1" x14ac:dyDescent="0.25">
      <c r="A1178" s="517" t="s">
        <v>1140</v>
      </c>
      <c r="B1178" s="517" t="s">
        <v>1141</v>
      </c>
    </row>
    <row r="1179" spans="1:2" ht="15" hidden="1" x14ac:dyDescent="0.25">
      <c r="A1179" s="517" t="s">
        <v>1142</v>
      </c>
      <c r="B1179" s="517" t="s">
        <v>1141</v>
      </c>
    </row>
    <row r="1180" spans="1:2" ht="15" hidden="1" x14ac:dyDescent="0.25">
      <c r="A1180" s="517" t="s">
        <v>1142</v>
      </c>
      <c r="B1180" s="517" t="s">
        <v>1141</v>
      </c>
    </row>
    <row r="1181" spans="1:2" ht="15" hidden="1" x14ac:dyDescent="0.25">
      <c r="A1181" s="517" t="s">
        <v>1143</v>
      </c>
      <c r="B1181" s="517" t="s">
        <v>1144</v>
      </c>
    </row>
    <row r="1182" spans="1:2" ht="15" hidden="1" x14ac:dyDescent="0.25">
      <c r="A1182" s="517" t="s">
        <v>1145</v>
      </c>
      <c r="B1182" s="517" t="s">
        <v>1146</v>
      </c>
    </row>
    <row r="1183" spans="1:2" ht="15" hidden="1" x14ac:dyDescent="0.25">
      <c r="A1183" s="517" t="s">
        <v>1145</v>
      </c>
      <c r="B1183" s="517" t="s">
        <v>1146</v>
      </c>
    </row>
    <row r="1184" spans="1:2" ht="15" hidden="1" x14ac:dyDescent="0.25">
      <c r="A1184" s="517" t="s">
        <v>1147</v>
      </c>
      <c r="B1184" s="517" t="s">
        <v>1148</v>
      </c>
    </row>
    <row r="1185" spans="1:2" ht="15" hidden="1" x14ac:dyDescent="0.25">
      <c r="A1185" s="517" t="s">
        <v>1149</v>
      </c>
      <c r="B1185" s="517" t="s">
        <v>1150</v>
      </c>
    </row>
    <row r="1186" spans="1:2" ht="15" hidden="1" x14ac:dyDescent="0.25">
      <c r="A1186" s="517" t="s">
        <v>721</v>
      </c>
      <c r="B1186" s="517" t="s">
        <v>722</v>
      </c>
    </row>
    <row r="1187" spans="1:2" ht="15" hidden="1" x14ac:dyDescent="0.25">
      <c r="A1187" s="517" t="s">
        <v>1151</v>
      </c>
      <c r="B1187" s="517" t="s">
        <v>1152</v>
      </c>
    </row>
    <row r="1188" spans="1:2" ht="15" hidden="1" x14ac:dyDescent="0.25">
      <c r="A1188" s="517" t="s">
        <v>1153</v>
      </c>
      <c r="B1188" s="517" t="s">
        <v>1154</v>
      </c>
    </row>
    <row r="1189" spans="1:2" ht="15" hidden="1" x14ac:dyDescent="0.25">
      <c r="A1189" s="517" t="s">
        <v>1155</v>
      </c>
      <c r="B1189" s="517" t="s">
        <v>1156</v>
      </c>
    </row>
    <row r="1190" spans="1:2" ht="15" hidden="1" x14ac:dyDescent="0.25">
      <c r="A1190" s="517" t="s">
        <v>1157</v>
      </c>
      <c r="B1190" s="517" t="s">
        <v>1158</v>
      </c>
    </row>
    <row r="1191" spans="1:2" ht="15" hidden="1" x14ac:dyDescent="0.25">
      <c r="A1191" s="517" t="s">
        <v>725</v>
      </c>
      <c r="B1191" s="517" t="s">
        <v>726</v>
      </c>
    </row>
    <row r="1192" spans="1:2" ht="15" hidden="1" x14ac:dyDescent="0.25">
      <c r="A1192" s="517" t="s">
        <v>1159</v>
      </c>
      <c r="B1192" s="517" t="s">
        <v>1160</v>
      </c>
    </row>
    <row r="1193" spans="1:2" ht="15" hidden="1" x14ac:dyDescent="0.25">
      <c r="A1193" s="517" t="s">
        <v>1159</v>
      </c>
      <c r="B1193" s="517" t="s">
        <v>1160</v>
      </c>
    </row>
    <row r="1194" spans="1:2" ht="15" hidden="1" x14ac:dyDescent="0.25">
      <c r="A1194" s="517" t="s">
        <v>1159</v>
      </c>
      <c r="B1194" s="517" t="s">
        <v>1160</v>
      </c>
    </row>
    <row r="1195" spans="1:2" ht="15" hidden="1" x14ac:dyDescent="0.25">
      <c r="A1195" s="517" t="s">
        <v>1159</v>
      </c>
      <c r="B1195" s="517" t="s">
        <v>1160</v>
      </c>
    </row>
    <row r="1196" spans="1:2" ht="15" hidden="1" x14ac:dyDescent="0.25">
      <c r="A1196" s="517" t="s">
        <v>1161</v>
      </c>
      <c r="B1196" s="517" t="s">
        <v>1162</v>
      </c>
    </row>
    <row r="1197" spans="1:2" ht="15" hidden="1" x14ac:dyDescent="0.25">
      <c r="A1197" s="517" t="s">
        <v>1161</v>
      </c>
      <c r="B1197" s="517" t="s">
        <v>1162</v>
      </c>
    </row>
    <row r="1198" spans="1:2" ht="15" hidden="1" x14ac:dyDescent="0.25">
      <c r="A1198" s="517" t="s">
        <v>1163</v>
      </c>
      <c r="B1198" s="517" t="s">
        <v>1164</v>
      </c>
    </row>
    <row r="1199" spans="1:2" ht="15" hidden="1" x14ac:dyDescent="0.25">
      <c r="A1199" s="517" t="s">
        <v>1165</v>
      </c>
      <c r="B1199" s="517" t="s">
        <v>1166</v>
      </c>
    </row>
    <row r="1200" spans="1:2" ht="15" hidden="1" x14ac:dyDescent="0.25">
      <c r="A1200" s="517" t="s">
        <v>739</v>
      </c>
      <c r="B1200" s="517" t="s">
        <v>740</v>
      </c>
    </row>
    <row r="1201" spans="1:2" ht="15" hidden="1" x14ac:dyDescent="0.25">
      <c r="A1201" s="517" t="s">
        <v>739</v>
      </c>
      <c r="B1201" s="517" t="s">
        <v>740</v>
      </c>
    </row>
    <row r="1202" spans="1:2" ht="15" hidden="1" x14ac:dyDescent="0.25">
      <c r="A1202" s="517" t="s">
        <v>739</v>
      </c>
      <c r="B1202" s="517" t="s">
        <v>740</v>
      </c>
    </row>
    <row r="1203" spans="1:2" ht="15" hidden="1" x14ac:dyDescent="0.25">
      <c r="A1203" s="517" t="s">
        <v>1167</v>
      </c>
      <c r="B1203" s="517" t="s">
        <v>1168</v>
      </c>
    </row>
    <row r="1204" spans="1:2" ht="15" hidden="1" x14ac:dyDescent="0.25">
      <c r="A1204" s="517" t="s">
        <v>1167</v>
      </c>
      <c r="B1204" s="517" t="s">
        <v>1168</v>
      </c>
    </row>
    <row r="1205" spans="1:2" ht="15" hidden="1" x14ac:dyDescent="0.25">
      <c r="A1205" s="518" t="s">
        <v>1169</v>
      </c>
      <c r="B1205" s="517" t="s">
        <v>1170</v>
      </c>
    </row>
    <row r="1206" spans="1:2" ht="15" hidden="1" x14ac:dyDescent="0.25">
      <c r="A1206" s="517" t="s">
        <v>1171</v>
      </c>
      <c r="B1206" s="517" t="s">
        <v>1172</v>
      </c>
    </row>
    <row r="1207" spans="1:2" ht="15" hidden="1" x14ac:dyDescent="0.25">
      <c r="A1207" s="517" t="s">
        <v>1173</v>
      </c>
      <c r="B1207" s="517" t="s">
        <v>1174</v>
      </c>
    </row>
    <row r="1208" spans="1:2" ht="15" hidden="1" x14ac:dyDescent="0.25">
      <c r="A1208" s="517" t="s">
        <v>1175</v>
      </c>
      <c r="B1208" s="517" t="s">
        <v>1176</v>
      </c>
    </row>
    <row r="1209" spans="1:2" ht="15" hidden="1" x14ac:dyDescent="0.25">
      <c r="A1209" s="517" t="s">
        <v>1177</v>
      </c>
      <c r="B1209" s="517" t="s">
        <v>1178</v>
      </c>
    </row>
    <row r="1210" spans="1:2" ht="15" hidden="1" x14ac:dyDescent="0.25">
      <c r="A1210" s="517" t="s">
        <v>1177</v>
      </c>
      <c r="B1210" s="517" t="s">
        <v>1178</v>
      </c>
    </row>
    <row r="1211" spans="1:2" ht="15" hidden="1" x14ac:dyDescent="0.25">
      <c r="A1211" s="517" t="s">
        <v>1179</v>
      </c>
      <c r="B1211" s="517" t="s">
        <v>1180</v>
      </c>
    </row>
    <row r="1212" spans="1:2" ht="15" hidden="1" x14ac:dyDescent="0.25">
      <c r="A1212" s="517" t="s">
        <v>1181</v>
      </c>
      <c r="B1212" s="517" t="s">
        <v>1182</v>
      </c>
    </row>
    <row r="1213" spans="1:2" ht="15" hidden="1" x14ac:dyDescent="0.25">
      <c r="A1213" s="517" t="s">
        <v>1183</v>
      </c>
      <c r="B1213" s="517" t="s">
        <v>1184</v>
      </c>
    </row>
    <row r="1214" spans="1:2" ht="15" hidden="1" x14ac:dyDescent="0.25">
      <c r="A1214" s="517" t="s">
        <v>1185</v>
      </c>
      <c r="B1214" s="517" t="s">
        <v>1186</v>
      </c>
    </row>
    <row r="1215" spans="1:2" ht="15" hidden="1" x14ac:dyDescent="0.25">
      <c r="A1215" s="517" t="s">
        <v>1187</v>
      </c>
      <c r="B1215" s="517" t="s">
        <v>1188</v>
      </c>
    </row>
    <row r="1216" spans="1:2" ht="15" hidden="1" x14ac:dyDescent="0.25">
      <c r="A1216" s="517" t="s">
        <v>1187</v>
      </c>
      <c r="B1216" s="517" t="s">
        <v>1188</v>
      </c>
    </row>
    <row r="1217" spans="1:2" ht="15" hidden="1" x14ac:dyDescent="0.25">
      <c r="A1217" s="517" t="s">
        <v>1189</v>
      </c>
      <c r="B1217" s="517" t="s">
        <v>1190</v>
      </c>
    </row>
    <row r="1218" spans="1:2" ht="15" hidden="1" x14ac:dyDescent="0.25">
      <c r="A1218" s="519" t="s">
        <v>1189</v>
      </c>
      <c r="B1218" s="519" t="s">
        <v>1191</v>
      </c>
    </row>
    <row r="1219" spans="1:2" ht="15" hidden="1" x14ac:dyDescent="0.25">
      <c r="A1219" s="517" t="s">
        <v>1192</v>
      </c>
      <c r="B1219" s="517" t="s">
        <v>1193</v>
      </c>
    </row>
    <row r="1220" spans="1:2" ht="15" hidden="1" x14ac:dyDescent="0.25">
      <c r="A1220" s="517" t="s">
        <v>1192</v>
      </c>
      <c r="B1220" s="517" t="s">
        <v>1193</v>
      </c>
    </row>
    <row r="1221" spans="1:2" ht="15" hidden="1" x14ac:dyDescent="0.25">
      <c r="A1221" s="517" t="s">
        <v>1194</v>
      </c>
      <c r="B1221" s="517" t="s">
        <v>1195</v>
      </c>
    </row>
    <row r="1222" spans="1:2" ht="15" hidden="1" x14ac:dyDescent="0.25">
      <c r="A1222" s="517" t="s">
        <v>1196</v>
      </c>
      <c r="B1222" s="517" t="s">
        <v>1197</v>
      </c>
    </row>
    <row r="1223" spans="1:2" ht="15" hidden="1" x14ac:dyDescent="0.25">
      <c r="A1223" s="517" t="s">
        <v>1198</v>
      </c>
      <c r="B1223" s="517" t="s">
        <v>1199</v>
      </c>
    </row>
    <row r="1224" spans="1:2" ht="15" hidden="1" x14ac:dyDescent="0.25">
      <c r="A1224" s="517" t="s">
        <v>1200</v>
      </c>
      <c r="B1224" s="517" t="s">
        <v>1201</v>
      </c>
    </row>
    <row r="1225" spans="1:2" ht="15" hidden="1" x14ac:dyDescent="0.25">
      <c r="A1225" s="517" t="s">
        <v>1202</v>
      </c>
      <c r="B1225" s="517" t="s">
        <v>1203</v>
      </c>
    </row>
    <row r="1226" spans="1:2" ht="15" hidden="1" x14ac:dyDescent="0.25">
      <c r="A1226" s="517" t="s">
        <v>1204</v>
      </c>
      <c r="B1226" s="517" t="s">
        <v>1205</v>
      </c>
    </row>
    <row r="1227" spans="1:2" ht="15" hidden="1" x14ac:dyDescent="0.25">
      <c r="A1227" s="517" t="s">
        <v>1206</v>
      </c>
      <c r="B1227" s="517" t="s">
        <v>1207</v>
      </c>
    </row>
    <row r="1228" spans="1:2" ht="15" hidden="1" x14ac:dyDescent="0.25">
      <c r="A1228" s="517" t="s">
        <v>1206</v>
      </c>
      <c r="B1228" s="517" t="s">
        <v>1207</v>
      </c>
    </row>
    <row r="1229" spans="1:2" ht="15" hidden="1" x14ac:dyDescent="0.25">
      <c r="A1229" s="517" t="s">
        <v>1208</v>
      </c>
      <c r="B1229" s="517" t="s">
        <v>1209</v>
      </c>
    </row>
    <row r="1230" spans="1:2" ht="15" hidden="1" x14ac:dyDescent="0.25">
      <c r="A1230" s="517" t="s">
        <v>1208</v>
      </c>
      <c r="B1230" s="517" t="s">
        <v>1209</v>
      </c>
    </row>
    <row r="1231" spans="1:2" ht="15" hidden="1" x14ac:dyDescent="0.25">
      <c r="A1231" s="517" t="s">
        <v>801</v>
      </c>
      <c r="B1231" s="517" t="s">
        <v>802</v>
      </c>
    </row>
    <row r="1232" spans="1:2" ht="15" hidden="1" x14ac:dyDescent="0.25">
      <c r="A1232" s="517" t="s">
        <v>801</v>
      </c>
      <c r="B1232" s="517" t="s">
        <v>802</v>
      </c>
    </row>
    <row r="1233" spans="1:2" ht="15" hidden="1" x14ac:dyDescent="0.25">
      <c r="A1233" s="517" t="s">
        <v>1210</v>
      </c>
      <c r="B1233" s="517" t="s">
        <v>1211</v>
      </c>
    </row>
    <row r="1234" spans="1:2" ht="15" hidden="1" x14ac:dyDescent="0.25">
      <c r="A1234" s="517" t="s">
        <v>1212</v>
      </c>
      <c r="B1234" s="517" t="s">
        <v>1213</v>
      </c>
    </row>
    <row r="1235" spans="1:2" ht="15" hidden="1" x14ac:dyDescent="0.25">
      <c r="A1235" s="517" t="s">
        <v>1212</v>
      </c>
      <c r="B1235" s="517" t="s">
        <v>1213</v>
      </c>
    </row>
    <row r="1236" spans="1:2" ht="15" hidden="1" x14ac:dyDescent="0.25">
      <c r="A1236" s="517" t="s">
        <v>1212</v>
      </c>
      <c r="B1236" s="517" t="s">
        <v>1213</v>
      </c>
    </row>
    <row r="1237" spans="1:2" ht="15" hidden="1" x14ac:dyDescent="0.25">
      <c r="A1237" s="517" t="s">
        <v>1214</v>
      </c>
      <c r="B1237" s="517" t="s">
        <v>1215</v>
      </c>
    </row>
    <row r="1238" spans="1:2" ht="15" hidden="1" x14ac:dyDescent="0.25">
      <c r="A1238" s="517" t="s">
        <v>1214</v>
      </c>
      <c r="B1238" s="517" t="s">
        <v>1215</v>
      </c>
    </row>
    <row r="1239" spans="1:2" ht="15" hidden="1" x14ac:dyDescent="0.25">
      <c r="A1239" s="517" t="s">
        <v>807</v>
      </c>
      <c r="B1239" s="517" t="s">
        <v>808</v>
      </c>
    </row>
    <row r="1240" spans="1:2" ht="15" hidden="1" x14ac:dyDescent="0.25">
      <c r="A1240" s="517" t="s">
        <v>1216</v>
      </c>
      <c r="B1240" s="517" t="s">
        <v>1217</v>
      </c>
    </row>
    <row r="1241" spans="1:2" ht="15" hidden="1" x14ac:dyDescent="0.25">
      <c r="A1241" s="517" t="s">
        <v>1218</v>
      </c>
      <c r="B1241" s="517" t="s">
        <v>1219</v>
      </c>
    </row>
    <row r="1242" spans="1:2" ht="15" hidden="1" x14ac:dyDescent="0.25">
      <c r="A1242" s="517" t="s">
        <v>1220</v>
      </c>
      <c r="B1242" s="517" t="s">
        <v>1221</v>
      </c>
    </row>
    <row r="1243" spans="1:2" ht="15" hidden="1" x14ac:dyDescent="0.25">
      <c r="A1243" s="517" t="s">
        <v>1222</v>
      </c>
      <c r="B1243" s="517" t="s">
        <v>1223</v>
      </c>
    </row>
    <row r="1244" spans="1:2" ht="15" hidden="1" x14ac:dyDescent="0.25">
      <c r="A1244" s="517" t="s">
        <v>1224</v>
      </c>
      <c r="B1244" s="517" t="s">
        <v>1225</v>
      </c>
    </row>
    <row r="1245" spans="1:2" ht="15" hidden="1" x14ac:dyDescent="0.25">
      <c r="A1245" s="517" t="s">
        <v>1226</v>
      </c>
      <c r="B1245" s="517" t="s">
        <v>830</v>
      </c>
    </row>
    <row r="1246" spans="1:2" ht="15" hidden="1" x14ac:dyDescent="0.25">
      <c r="A1246" s="517" t="s">
        <v>1227</v>
      </c>
      <c r="B1246" s="517" t="s">
        <v>1228</v>
      </c>
    </row>
    <row r="1247" spans="1:2" ht="15" hidden="1" x14ac:dyDescent="0.25">
      <c r="A1247" s="517" t="s">
        <v>1229</v>
      </c>
      <c r="B1247" s="517" t="s">
        <v>1230</v>
      </c>
    </row>
    <row r="1248" spans="1:2" ht="15" hidden="1" x14ac:dyDescent="0.25">
      <c r="A1248" s="517" t="s">
        <v>1231</v>
      </c>
      <c r="B1248" s="517" t="s">
        <v>1232</v>
      </c>
    </row>
    <row r="1249" spans="1:2" ht="15" hidden="1" x14ac:dyDescent="0.25">
      <c r="A1249" s="518" t="s">
        <v>1231</v>
      </c>
      <c r="B1249" s="517" t="s">
        <v>1232</v>
      </c>
    </row>
    <row r="1250" spans="1:2" ht="15" hidden="1" x14ac:dyDescent="0.25">
      <c r="A1250" s="517" t="s">
        <v>1233</v>
      </c>
      <c r="B1250" s="517" t="s">
        <v>1234</v>
      </c>
    </row>
    <row r="1251" spans="1:2" ht="15" hidden="1" x14ac:dyDescent="0.25">
      <c r="A1251" s="517" t="s">
        <v>1233</v>
      </c>
      <c r="B1251" s="517" t="s">
        <v>1234</v>
      </c>
    </row>
    <row r="1252" spans="1:2" ht="15" hidden="1" x14ac:dyDescent="0.25">
      <c r="A1252" s="517" t="s">
        <v>1233</v>
      </c>
      <c r="B1252" s="517" t="s">
        <v>1234</v>
      </c>
    </row>
    <row r="1253" spans="1:2" ht="15" hidden="1" x14ac:dyDescent="0.25">
      <c r="A1253" s="517" t="s">
        <v>1235</v>
      </c>
      <c r="B1253" s="517" t="s">
        <v>1236</v>
      </c>
    </row>
    <row r="1254" spans="1:2" ht="15" hidden="1" x14ac:dyDescent="0.25">
      <c r="A1254" s="517" t="s">
        <v>1237</v>
      </c>
      <c r="B1254" s="517" t="s">
        <v>1238</v>
      </c>
    </row>
    <row r="1255" spans="1:2" ht="15" hidden="1" x14ac:dyDescent="0.25">
      <c r="A1255" s="517" t="s">
        <v>1239</v>
      </c>
      <c r="B1255" s="517" t="s">
        <v>1240</v>
      </c>
    </row>
    <row r="1256" spans="1:2" ht="15" hidden="1" x14ac:dyDescent="0.25">
      <c r="A1256" s="517" t="s">
        <v>1241</v>
      </c>
      <c r="B1256" s="517" t="s">
        <v>1242</v>
      </c>
    </row>
    <row r="1257" spans="1:2" ht="15" hidden="1" x14ac:dyDescent="0.25">
      <c r="A1257" s="517" t="s">
        <v>1243</v>
      </c>
      <c r="B1257" s="517" t="s">
        <v>1244</v>
      </c>
    </row>
    <row r="1258" spans="1:2" ht="15" hidden="1" x14ac:dyDescent="0.25">
      <c r="A1258" s="517" t="s">
        <v>1245</v>
      </c>
      <c r="B1258" s="517" t="s">
        <v>1246</v>
      </c>
    </row>
    <row r="1259" spans="1:2" ht="15" hidden="1" x14ac:dyDescent="0.25">
      <c r="A1259" s="517" t="s">
        <v>1247</v>
      </c>
      <c r="B1259" s="517" t="s">
        <v>1248</v>
      </c>
    </row>
    <row r="1260" spans="1:2" ht="15" hidden="1" x14ac:dyDescent="0.25">
      <c r="A1260" s="517" t="s">
        <v>1249</v>
      </c>
      <c r="B1260" s="517" t="s">
        <v>1250</v>
      </c>
    </row>
    <row r="1261" spans="1:2" ht="15" hidden="1" x14ac:dyDescent="0.25">
      <c r="A1261" s="518" t="s">
        <v>1249</v>
      </c>
      <c r="B1261" s="517" t="s">
        <v>1250</v>
      </c>
    </row>
    <row r="1262" spans="1:2" ht="15" hidden="1" x14ac:dyDescent="0.25">
      <c r="A1262" s="517" t="s">
        <v>1249</v>
      </c>
      <c r="B1262" s="517" t="s">
        <v>1250</v>
      </c>
    </row>
    <row r="1263" spans="1:2" ht="15" hidden="1" x14ac:dyDescent="0.25">
      <c r="A1263" s="517" t="s">
        <v>1251</v>
      </c>
      <c r="B1263" s="517" t="s">
        <v>1252</v>
      </c>
    </row>
    <row r="1264" spans="1:2" ht="15" hidden="1" x14ac:dyDescent="0.25">
      <c r="A1264" s="517" t="s">
        <v>1253</v>
      </c>
      <c r="B1264" s="517" t="s">
        <v>1254</v>
      </c>
    </row>
    <row r="1265" spans="1:2" ht="15" hidden="1" x14ac:dyDescent="0.25">
      <c r="A1265" s="517" t="s">
        <v>1253</v>
      </c>
      <c r="B1265" s="517" t="s">
        <v>1254</v>
      </c>
    </row>
    <row r="1266" spans="1:2" ht="15" hidden="1" x14ac:dyDescent="0.25">
      <c r="A1266" s="517" t="s">
        <v>1255</v>
      </c>
      <c r="B1266" s="517" t="s">
        <v>1256</v>
      </c>
    </row>
    <row r="1267" spans="1:2" ht="15" hidden="1" x14ac:dyDescent="0.25">
      <c r="A1267" s="517" t="s">
        <v>1257</v>
      </c>
      <c r="B1267" s="517" t="s">
        <v>1258</v>
      </c>
    </row>
    <row r="1268" spans="1:2" ht="15" hidden="1" x14ac:dyDescent="0.25">
      <c r="A1268" s="517" t="s">
        <v>1259</v>
      </c>
      <c r="B1268" s="517" t="s">
        <v>1260</v>
      </c>
    </row>
    <row r="1269" spans="1:2" ht="15" hidden="1" x14ac:dyDescent="0.25">
      <c r="A1269" s="517" t="s">
        <v>1261</v>
      </c>
      <c r="B1269" s="517" t="s">
        <v>1262</v>
      </c>
    </row>
    <row r="1270" spans="1:2" ht="15" hidden="1" x14ac:dyDescent="0.25">
      <c r="A1270" s="517" t="s">
        <v>1263</v>
      </c>
      <c r="B1270" s="517" t="s">
        <v>1264</v>
      </c>
    </row>
    <row r="1271" spans="1:2" ht="15" hidden="1" x14ac:dyDescent="0.25">
      <c r="A1271" s="518" t="s">
        <v>1265</v>
      </c>
      <c r="B1271" s="517" t="s">
        <v>1266</v>
      </c>
    </row>
    <row r="1272" spans="1:2" ht="15" hidden="1" x14ac:dyDescent="0.25">
      <c r="A1272" s="517" t="s">
        <v>1267</v>
      </c>
      <c r="B1272" s="517" t="s">
        <v>1268</v>
      </c>
    </row>
    <row r="1273" spans="1:2" ht="15" hidden="1" x14ac:dyDescent="0.25">
      <c r="A1273" s="517" t="s">
        <v>1269</v>
      </c>
      <c r="B1273" s="517" t="s">
        <v>1270</v>
      </c>
    </row>
    <row r="1274" spans="1:2" ht="15" hidden="1" x14ac:dyDescent="0.25">
      <c r="A1274" s="517" t="s">
        <v>1271</v>
      </c>
      <c r="B1274" s="517" t="s">
        <v>1272</v>
      </c>
    </row>
    <row r="1275" spans="1:2" ht="15" hidden="1" x14ac:dyDescent="0.25">
      <c r="A1275" s="517" t="s">
        <v>220</v>
      </c>
      <c r="B1275" s="517" t="s">
        <v>321</v>
      </c>
    </row>
    <row r="1276" spans="1:2" ht="15" hidden="1" x14ac:dyDescent="0.25">
      <c r="A1276" s="517" t="s">
        <v>220</v>
      </c>
      <c r="B1276" s="517" t="s">
        <v>321</v>
      </c>
    </row>
    <row r="1277" spans="1:2" ht="15" hidden="1" x14ac:dyDescent="0.25">
      <c r="A1277" s="517" t="s">
        <v>220</v>
      </c>
      <c r="B1277" s="517" t="s">
        <v>321</v>
      </c>
    </row>
    <row r="1278" spans="1:2" ht="15" hidden="1" x14ac:dyDescent="0.25">
      <c r="A1278" s="517" t="s">
        <v>220</v>
      </c>
      <c r="B1278" s="517" t="s">
        <v>321</v>
      </c>
    </row>
    <row r="1279" spans="1:2" ht="15" hidden="1" x14ac:dyDescent="0.25">
      <c r="A1279" s="517" t="s">
        <v>220</v>
      </c>
      <c r="B1279" s="517" t="s">
        <v>321</v>
      </c>
    </row>
    <row r="1280" spans="1:2" ht="15" hidden="1" x14ac:dyDescent="0.25">
      <c r="A1280" s="517" t="s">
        <v>220</v>
      </c>
      <c r="B1280" s="517" t="s">
        <v>321</v>
      </c>
    </row>
    <row r="1281" spans="1:2" ht="15" hidden="1" x14ac:dyDescent="0.25">
      <c r="A1281" s="517" t="s">
        <v>220</v>
      </c>
      <c r="B1281" s="517" t="s">
        <v>321</v>
      </c>
    </row>
    <row r="1282" spans="1:2" ht="15" hidden="1" x14ac:dyDescent="0.25">
      <c r="A1282" s="517" t="s">
        <v>220</v>
      </c>
      <c r="B1282" s="517" t="s">
        <v>321</v>
      </c>
    </row>
    <row r="1283" spans="1:2" ht="15" hidden="1" x14ac:dyDescent="0.25">
      <c r="A1283" s="517" t="s">
        <v>191</v>
      </c>
      <c r="B1283" s="517" t="s">
        <v>323</v>
      </c>
    </row>
    <row r="1284" spans="1:2" ht="15" hidden="1" x14ac:dyDescent="0.25">
      <c r="A1284" s="517" t="s">
        <v>191</v>
      </c>
      <c r="B1284" s="517" t="s">
        <v>323</v>
      </c>
    </row>
    <row r="1285" spans="1:2" ht="15" hidden="1" x14ac:dyDescent="0.25">
      <c r="A1285" s="517" t="s">
        <v>191</v>
      </c>
      <c r="B1285" s="517" t="s">
        <v>323</v>
      </c>
    </row>
    <row r="1286" spans="1:2" ht="15" hidden="1" x14ac:dyDescent="0.25">
      <c r="A1286" s="517" t="s">
        <v>191</v>
      </c>
      <c r="B1286" s="517" t="s">
        <v>323</v>
      </c>
    </row>
    <row r="1287" spans="1:2" ht="15" hidden="1" x14ac:dyDescent="0.25">
      <c r="A1287" s="517" t="s">
        <v>191</v>
      </c>
      <c r="B1287" s="517" t="s">
        <v>323</v>
      </c>
    </row>
    <row r="1288" spans="1:2" ht="15" hidden="1" x14ac:dyDescent="0.25">
      <c r="A1288" s="517" t="s">
        <v>191</v>
      </c>
      <c r="B1288" s="517" t="s">
        <v>323</v>
      </c>
    </row>
    <row r="1289" spans="1:2" ht="15" hidden="1" x14ac:dyDescent="0.25">
      <c r="A1289" s="517" t="s">
        <v>191</v>
      </c>
      <c r="B1289" s="517" t="s">
        <v>323</v>
      </c>
    </row>
    <row r="1290" spans="1:2" ht="15" hidden="1" x14ac:dyDescent="0.25">
      <c r="A1290" s="517" t="s">
        <v>191</v>
      </c>
      <c r="B1290" s="517" t="s">
        <v>323</v>
      </c>
    </row>
    <row r="1291" spans="1:2" ht="15" hidden="1" x14ac:dyDescent="0.25">
      <c r="A1291" s="517" t="s">
        <v>191</v>
      </c>
      <c r="B1291" s="517" t="s">
        <v>323</v>
      </c>
    </row>
    <row r="1292" spans="1:2" ht="15" hidden="1" x14ac:dyDescent="0.25">
      <c r="A1292" s="517" t="s">
        <v>191</v>
      </c>
      <c r="B1292" s="517" t="s">
        <v>323</v>
      </c>
    </row>
    <row r="1293" spans="1:2" ht="15" hidden="1" x14ac:dyDescent="0.25">
      <c r="A1293" s="517" t="s">
        <v>191</v>
      </c>
      <c r="B1293" s="517" t="s">
        <v>323</v>
      </c>
    </row>
    <row r="1294" spans="1:2" ht="15" hidden="1" x14ac:dyDescent="0.25">
      <c r="A1294" s="517" t="s">
        <v>191</v>
      </c>
      <c r="B1294" s="517" t="s">
        <v>323</v>
      </c>
    </row>
    <row r="1295" spans="1:2" ht="15" hidden="1" x14ac:dyDescent="0.25">
      <c r="A1295" s="517" t="s">
        <v>191</v>
      </c>
      <c r="B1295" s="517" t="s">
        <v>323</v>
      </c>
    </row>
    <row r="1296" spans="1:2" ht="15" hidden="1" x14ac:dyDescent="0.25">
      <c r="A1296" s="517" t="s">
        <v>407</v>
      </c>
      <c r="B1296" s="517" t="s">
        <v>408</v>
      </c>
    </row>
    <row r="1297" spans="1:2" ht="15" hidden="1" x14ac:dyDescent="0.25">
      <c r="A1297" s="517" t="s">
        <v>407</v>
      </c>
      <c r="B1297" s="517" t="s">
        <v>408</v>
      </c>
    </row>
    <row r="1298" spans="1:2" ht="15" hidden="1" x14ac:dyDescent="0.25">
      <c r="A1298" s="517" t="s">
        <v>407</v>
      </c>
      <c r="B1298" s="517" t="s">
        <v>408</v>
      </c>
    </row>
    <row r="1299" spans="1:2" ht="15" hidden="1" x14ac:dyDescent="0.25">
      <c r="A1299" s="517" t="s">
        <v>407</v>
      </c>
      <c r="B1299" s="517" t="s">
        <v>408</v>
      </c>
    </row>
    <row r="1300" spans="1:2" ht="15" hidden="1" x14ac:dyDescent="0.25">
      <c r="A1300" s="517" t="s">
        <v>407</v>
      </c>
      <c r="B1300" s="517" t="s">
        <v>408</v>
      </c>
    </row>
    <row r="1301" spans="1:2" ht="15" hidden="1" x14ac:dyDescent="0.25">
      <c r="A1301" s="517" t="s">
        <v>407</v>
      </c>
      <c r="B1301" s="517" t="s">
        <v>408</v>
      </c>
    </row>
    <row r="1302" spans="1:2" ht="15" hidden="1" x14ac:dyDescent="0.25">
      <c r="A1302" s="517" t="s">
        <v>1273</v>
      </c>
      <c r="B1302" s="517" t="s">
        <v>1274</v>
      </c>
    </row>
    <row r="1303" spans="1:2" ht="15" hidden="1" x14ac:dyDescent="0.25">
      <c r="A1303" s="517" t="s">
        <v>221</v>
      </c>
      <c r="B1303" s="517" t="s">
        <v>326</v>
      </c>
    </row>
    <row r="1304" spans="1:2" ht="15" hidden="1" x14ac:dyDescent="0.25">
      <c r="A1304" s="517" t="s">
        <v>221</v>
      </c>
      <c r="B1304" s="517" t="s">
        <v>326</v>
      </c>
    </row>
    <row r="1305" spans="1:2" ht="15" hidden="1" x14ac:dyDescent="0.25">
      <c r="A1305" s="517" t="s">
        <v>194</v>
      </c>
      <c r="B1305" s="517" t="s">
        <v>327</v>
      </c>
    </row>
    <row r="1306" spans="1:2" ht="15" hidden="1" x14ac:dyDescent="0.25">
      <c r="A1306" s="517" t="s">
        <v>194</v>
      </c>
      <c r="B1306" s="517" t="s">
        <v>327</v>
      </c>
    </row>
    <row r="1307" spans="1:2" ht="15" hidden="1" x14ac:dyDescent="0.25">
      <c r="A1307" s="517" t="s">
        <v>194</v>
      </c>
      <c r="B1307" s="517" t="s">
        <v>327</v>
      </c>
    </row>
    <row r="1308" spans="1:2" ht="15" hidden="1" x14ac:dyDescent="0.25">
      <c r="A1308" s="517" t="s">
        <v>222</v>
      </c>
      <c r="B1308" s="517" t="s">
        <v>328</v>
      </c>
    </row>
    <row r="1309" spans="1:2" ht="15" hidden="1" x14ac:dyDescent="0.25">
      <c r="A1309" s="517" t="s">
        <v>222</v>
      </c>
      <c r="B1309" s="517" t="s">
        <v>328</v>
      </c>
    </row>
    <row r="1310" spans="1:2" ht="15" hidden="1" x14ac:dyDescent="0.25">
      <c r="A1310" s="517" t="s">
        <v>222</v>
      </c>
      <c r="B1310" s="517" t="s">
        <v>328</v>
      </c>
    </row>
    <row r="1311" spans="1:2" ht="15" hidden="1" x14ac:dyDescent="0.25">
      <c r="A1311" s="517" t="s">
        <v>222</v>
      </c>
      <c r="B1311" s="517" t="s">
        <v>328</v>
      </c>
    </row>
    <row r="1312" spans="1:2" ht="15" hidden="1" x14ac:dyDescent="0.25">
      <c r="A1312" s="517" t="s">
        <v>222</v>
      </c>
      <c r="B1312" s="517" t="s">
        <v>328</v>
      </c>
    </row>
    <row r="1313" spans="1:2" ht="15" hidden="1" x14ac:dyDescent="0.25">
      <c r="A1313" s="517" t="s">
        <v>195</v>
      </c>
      <c r="B1313" s="517" t="s">
        <v>329</v>
      </c>
    </row>
    <row r="1314" spans="1:2" ht="15" hidden="1" x14ac:dyDescent="0.25">
      <c r="A1314" s="517" t="s">
        <v>196</v>
      </c>
      <c r="B1314" s="517" t="s">
        <v>330</v>
      </c>
    </row>
    <row r="1315" spans="1:2" ht="15" hidden="1" x14ac:dyDescent="0.25">
      <c r="A1315" s="517" t="s">
        <v>197</v>
      </c>
      <c r="B1315" s="517" t="s">
        <v>331</v>
      </c>
    </row>
    <row r="1316" spans="1:2" ht="15" hidden="1" x14ac:dyDescent="0.25">
      <c r="A1316" s="517" t="s">
        <v>197</v>
      </c>
      <c r="B1316" s="517" t="s">
        <v>331</v>
      </c>
    </row>
    <row r="1317" spans="1:2" ht="15" hidden="1" x14ac:dyDescent="0.25">
      <c r="A1317" s="517" t="s">
        <v>197</v>
      </c>
      <c r="B1317" s="517" t="s">
        <v>331</v>
      </c>
    </row>
    <row r="1318" spans="1:2" ht="15" hidden="1" x14ac:dyDescent="0.25">
      <c r="A1318" s="517" t="s">
        <v>197</v>
      </c>
      <c r="B1318" s="517" t="s">
        <v>331</v>
      </c>
    </row>
    <row r="1319" spans="1:2" ht="15" hidden="1" x14ac:dyDescent="0.25">
      <c r="A1319" s="517" t="s">
        <v>1275</v>
      </c>
      <c r="B1319" s="517" t="s">
        <v>1276</v>
      </c>
    </row>
    <row r="1320" spans="1:2" ht="15" hidden="1" x14ac:dyDescent="0.25">
      <c r="A1320" s="517" t="s">
        <v>1277</v>
      </c>
      <c r="B1320" s="517" t="s">
        <v>1278</v>
      </c>
    </row>
    <row r="1321" spans="1:2" ht="15" hidden="1" x14ac:dyDescent="0.25">
      <c r="A1321" s="517" t="s">
        <v>1279</v>
      </c>
      <c r="B1321" s="517" t="s">
        <v>1280</v>
      </c>
    </row>
    <row r="1322" spans="1:2" ht="15" hidden="1" x14ac:dyDescent="0.25">
      <c r="A1322" s="517" t="s">
        <v>1279</v>
      </c>
      <c r="B1322" s="517" t="s">
        <v>1280</v>
      </c>
    </row>
    <row r="1323" spans="1:2" ht="15" hidden="1" x14ac:dyDescent="0.25">
      <c r="A1323" s="517" t="s">
        <v>1279</v>
      </c>
      <c r="B1323" s="517" t="s">
        <v>1280</v>
      </c>
    </row>
    <row r="1324" spans="1:2" ht="15" hidden="1" x14ac:dyDescent="0.25">
      <c r="A1324" s="517" t="s">
        <v>1279</v>
      </c>
      <c r="B1324" s="517" t="s">
        <v>1280</v>
      </c>
    </row>
    <row r="1325" spans="1:2" ht="15" hidden="1" x14ac:dyDescent="0.25">
      <c r="A1325" s="517" t="s">
        <v>199</v>
      </c>
      <c r="B1325" s="517" t="s">
        <v>334</v>
      </c>
    </row>
    <row r="1326" spans="1:2" ht="15" hidden="1" x14ac:dyDescent="0.25">
      <c r="A1326" s="517" t="s">
        <v>1281</v>
      </c>
      <c r="B1326" s="517" t="s">
        <v>1282</v>
      </c>
    </row>
    <row r="1327" spans="1:2" ht="15" hidden="1" x14ac:dyDescent="0.25">
      <c r="A1327" s="517" t="s">
        <v>1281</v>
      </c>
      <c r="B1327" s="517" t="s">
        <v>1282</v>
      </c>
    </row>
    <row r="1328" spans="1:2" ht="15" hidden="1" x14ac:dyDescent="0.25">
      <c r="A1328" s="517" t="s">
        <v>1283</v>
      </c>
      <c r="B1328" s="517" t="s">
        <v>1283</v>
      </c>
    </row>
    <row r="1329" spans="1:2" ht="15" hidden="1" x14ac:dyDescent="0.25">
      <c r="A1329" s="517" t="s">
        <v>1284</v>
      </c>
      <c r="B1329" s="517" t="s">
        <v>1284</v>
      </c>
    </row>
    <row r="1330" spans="1:2" ht="15" hidden="1" x14ac:dyDescent="0.25">
      <c r="A1330" s="517" t="s">
        <v>1285</v>
      </c>
      <c r="B1330" s="517" t="s">
        <v>1285</v>
      </c>
    </row>
    <row r="1331" spans="1:2" ht="15" hidden="1" x14ac:dyDescent="0.25">
      <c r="A1331" s="517" t="s">
        <v>1286</v>
      </c>
      <c r="B1331" s="517" t="s">
        <v>1286</v>
      </c>
    </row>
    <row r="1332" spans="1:2" ht="15" hidden="1" x14ac:dyDescent="0.25">
      <c r="A1332" s="517" t="s">
        <v>1287</v>
      </c>
      <c r="B1332" s="517" t="s">
        <v>1287</v>
      </c>
    </row>
    <row r="1333" spans="1:2" ht="15" hidden="1" x14ac:dyDescent="0.25">
      <c r="A1333" s="517" t="s">
        <v>1288</v>
      </c>
      <c r="B1333" s="517" t="s">
        <v>1288</v>
      </c>
    </row>
    <row r="1334" spans="1:2" ht="15" hidden="1" x14ac:dyDescent="0.25">
      <c r="A1334" s="517" t="s">
        <v>1289</v>
      </c>
      <c r="B1334" s="517" t="s">
        <v>1289</v>
      </c>
    </row>
    <row r="1335" spans="1:2" ht="15" hidden="1" x14ac:dyDescent="0.25">
      <c r="A1335" s="517" t="s">
        <v>1290</v>
      </c>
      <c r="B1335" s="517" t="s">
        <v>1290</v>
      </c>
    </row>
    <row r="1336" spans="1:2" ht="15" hidden="1" x14ac:dyDescent="0.25">
      <c r="A1336" s="517" t="s">
        <v>1291</v>
      </c>
      <c r="B1336" s="517" t="s">
        <v>1291</v>
      </c>
    </row>
    <row r="1337" spans="1:2" ht="15" hidden="1" x14ac:dyDescent="0.25">
      <c r="A1337" s="517" t="s">
        <v>1292</v>
      </c>
      <c r="B1337" s="517" t="s">
        <v>1292</v>
      </c>
    </row>
    <row r="1338" spans="1:2" ht="15" hidden="1" x14ac:dyDescent="0.25">
      <c r="A1338" s="517" t="s">
        <v>1293</v>
      </c>
      <c r="B1338" s="517" t="s">
        <v>1293</v>
      </c>
    </row>
    <row r="1339" spans="1:2" ht="15" hidden="1" x14ac:dyDescent="0.25">
      <c r="A1339" s="517" t="s">
        <v>1294</v>
      </c>
      <c r="B1339" s="517" t="s">
        <v>1294</v>
      </c>
    </row>
    <row r="1340" spans="1:2" ht="15" hidden="1" x14ac:dyDescent="0.25">
      <c r="A1340" s="517" t="s">
        <v>1295</v>
      </c>
      <c r="B1340" s="517" t="s">
        <v>1295</v>
      </c>
    </row>
    <row r="1341" spans="1:2" ht="15" hidden="1" x14ac:dyDescent="0.25">
      <c r="A1341" s="517" t="s">
        <v>1296</v>
      </c>
      <c r="B1341" s="517" t="s">
        <v>1296</v>
      </c>
    </row>
    <row r="1342" spans="1:2" ht="15" hidden="1" x14ac:dyDescent="0.25">
      <c r="A1342" s="517" t="s">
        <v>1297</v>
      </c>
      <c r="B1342" s="517" t="s">
        <v>1297</v>
      </c>
    </row>
    <row r="1343" spans="1:2" ht="15" hidden="1" x14ac:dyDescent="0.25">
      <c r="A1343" s="517" t="s">
        <v>1298</v>
      </c>
      <c r="B1343" s="517" t="s">
        <v>1298</v>
      </c>
    </row>
    <row r="1344" spans="1:2" ht="15" hidden="1" x14ac:dyDescent="0.25">
      <c r="A1344" s="517" t="s">
        <v>1299</v>
      </c>
      <c r="B1344" s="517" t="s">
        <v>1299</v>
      </c>
    </row>
    <row r="1345" spans="1:2" ht="15" hidden="1" x14ac:dyDescent="0.25">
      <c r="A1345" s="517" t="s">
        <v>1300</v>
      </c>
      <c r="B1345" s="517" t="s">
        <v>1300</v>
      </c>
    </row>
    <row r="1346" spans="1:2" ht="15" hidden="1" x14ac:dyDescent="0.25">
      <c r="A1346" s="517" t="s">
        <v>1301</v>
      </c>
      <c r="B1346" s="517" t="s">
        <v>1301</v>
      </c>
    </row>
    <row r="1347" spans="1:2" ht="15" hidden="1" x14ac:dyDescent="0.25">
      <c r="A1347" s="517" t="s">
        <v>1302</v>
      </c>
      <c r="B1347" s="517" t="s">
        <v>1302</v>
      </c>
    </row>
    <row r="1348" spans="1:2" ht="15" hidden="1" x14ac:dyDescent="0.25">
      <c r="A1348" s="517" t="s">
        <v>1303</v>
      </c>
      <c r="B1348" s="517" t="s">
        <v>1303</v>
      </c>
    </row>
    <row r="1349" spans="1:2" ht="15" hidden="1" x14ac:dyDescent="0.25">
      <c r="A1349" s="517" t="s">
        <v>1304</v>
      </c>
      <c r="B1349" s="517" t="s">
        <v>1304</v>
      </c>
    </row>
    <row r="1350" spans="1:2" ht="15" hidden="1" x14ac:dyDescent="0.25">
      <c r="A1350" s="517" t="s">
        <v>1305</v>
      </c>
      <c r="B1350" s="517" t="s">
        <v>1305</v>
      </c>
    </row>
    <row r="1351" spans="1:2" ht="15" hidden="1" x14ac:dyDescent="0.25">
      <c r="A1351" s="517" t="s">
        <v>1305</v>
      </c>
      <c r="B1351" s="517" t="s">
        <v>1305</v>
      </c>
    </row>
    <row r="1352" spans="1:2" ht="15" hidden="1" x14ac:dyDescent="0.25">
      <c r="A1352" s="517" t="s">
        <v>1306</v>
      </c>
      <c r="B1352" s="517" t="s">
        <v>1306</v>
      </c>
    </row>
    <row r="1353" spans="1:2" ht="15" hidden="1" x14ac:dyDescent="0.25">
      <c r="A1353" s="517" t="s">
        <v>1307</v>
      </c>
      <c r="B1353" s="517" t="s">
        <v>1307</v>
      </c>
    </row>
    <row r="1354" spans="1:2" ht="15" hidden="1" x14ac:dyDescent="0.25">
      <c r="A1354" s="517" t="s">
        <v>1308</v>
      </c>
      <c r="B1354" s="517" t="s">
        <v>1308</v>
      </c>
    </row>
    <row r="1355" spans="1:2" ht="15" hidden="1" x14ac:dyDescent="0.25">
      <c r="A1355" s="517" t="s">
        <v>1309</v>
      </c>
      <c r="B1355" s="517" t="s">
        <v>1309</v>
      </c>
    </row>
    <row r="1356" spans="1:2" ht="15" hidden="1" x14ac:dyDescent="0.25">
      <c r="A1356" s="517" t="s">
        <v>1310</v>
      </c>
      <c r="B1356" s="517" t="s">
        <v>1310</v>
      </c>
    </row>
    <row r="1357" spans="1:2" ht="15" hidden="1" x14ac:dyDescent="0.25">
      <c r="A1357" s="517" t="s">
        <v>1311</v>
      </c>
      <c r="B1357" s="517" t="s">
        <v>1311</v>
      </c>
    </row>
    <row r="1358" spans="1:2" ht="15" hidden="1" x14ac:dyDescent="0.25">
      <c r="A1358" s="517" t="s">
        <v>1312</v>
      </c>
      <c r="B1358" s="517" t="s">
        <v>1312</v>
      </c>
    </row>
    <row r="1359" spans="1:2" ht="15" hidden="1" x14ac:dyDescent="0.25">
      <c r="A1359" s="517" t="s">
        <v>1313</v>
      </c>
      <c r="B1359" s="517" t="s">
        <v>1313</v>
      </c>
    </row>
    <row r="1360" spans="1:2" ht="15" hidden="1" x14ac:dyDescent="0.25">
      <c r="A1360" s="517" t="s">
        <v>1314</v>
      </c>
      <c r="B1360" s="517" t="s">
        <v>1314</v>
      </c>
    </row>
    <row r="1361" spans="1:2" ht="15" hidden="1" x14ac:dyDescent="0.25">
      <c r="A1361" s="517" t="s">
        <v>1314</v>
      </c>
      <c r="B1361" s="517" t="s">
        <v>1314</v>
      </c>
    </row>
    <row r="1362" spans="1:2" ht="15" hidden="1" x14ac:dyDescent="0.25">
      <c r="A1362" s="517" t="s">
        <v>1315</v>
      </c>
      <c r="B1362" s="517" t="s">
        <v>1315</v>
      </c>
    </row>
    <row r="1363" spans="1:2" ht="15" hidden="1" x14ac:dyDescent="0.25">
      <c r="A1363" s="517" t="s">
        <v>1316</v>
      </c>
      <c r="B1363" s="517" t="s">
        <v>1316</v>
      </c>
    </row>
    <row r="1364" spans="1:2" ht="15" hidden="1" x14ac:dyDescent="0.25">
      <c r="A1364" s="517" t="s">
        <v>1317</v>
      </c>
      <c r="B1364" s="517" t="s">
        <v>1317</v>
      </c>
    </row>
    <row r="1365" spans="1:2" ht="15" hidden="1" x14ac:dyDescent="0.25">
      <c r="A1365" s="517" t="s">
        <v>1318</v>
      </c>
      <c r="B1365" s="517" t="s">
        <v>1318</v>
      </c>
    </row>
    <row r="1366" spans="1:2" ht="15" hidden="1" x14ac:dyDescent="0.25">
      <c r="A1366" s="517" t="s">
        <v>1319</v>
      </c>
      <c r="B1366" s="517" t="s">
        <v>1319</v>
      </c>
    </row>
    <row r="1367" spans="1:2" ht="15" hidden="1" x14ac:dyDescent="0.25">
      <c r="A1367" s="517" t="s">
        <v>1320</v>
      </c>
      <c r="B1367" s="517" t="s">
        <v>1320</v>
      </c>
    </row>
    <row r="1368" spans="1:2" ht="15" hidden="1" x14ac:dyDescent="0.25">
      <c r="A1368" s="517" t="s">
        <v>1321</v>
      </c>
      <c r="B1368" s="517" t="s">
        <v>1321</v>
      </c>
    </row>
    <row r="1369" spans="1:2" ht="15" hidden="1" x14ac:dyDescent="0.25">
      <c r="A1369" s="517" t="s">
        <v>1322</v>
      </c>
      <c r="B1369" s="517" t="s">
        <v>1322</v>
      </c>
    </row>
    <row r="1370" spans="1:2" ht="15" hidden="1" x14ac:dyDescent="0.25">
      <c r="A1370" s="517" t="s">
        <v>1323</v>
      </c>
      <c r="B1370" s="517" t="s">
        <v>1323</v>
      </c>
    </row>
    <row r="1371" spans="1:2" ht="15" hidden="1" x14ac:dyDescent="0.25">
      <c r="A1371" s="517" t="s">
        <v>1324</v>
      </c>
      <c r="B1371" s="517" t="s">
        <v>1324</v>
      </c>
    </row>
    <row r="1372" spans="1:2" ht="15" hidden="1" x14ac:dyDescent="0.25">
      <c r="A1372" s="517" t="s">
        <v>1325</v>
      </c>
      <c r="B1372" s="517" t="s">
        <v>1325</v>
      </c>
    </row>
    <row r="1373" spans="1:2" ht="15" hidden="1" x14ac:dyDescent="0.25">
      <c r="A1373" s="517" t="s">
        <v>1326</v>
      </c>
      <c r="B1373" s="517" t="s">
        <v>1326</v>
      </c>
    </row>
    <row r="1374" spans="1:2" ht="15" hidden="1" x14ac:dyDescent="0.25">
      <c r="A1374" s="517" t="s">
        <v>1327</v>
      </c>
      <c r="B1374" s="517" t="s">
        <v>1327</v>
      </c>
    </row>
    <row r="1375" spans="1:2" ht="15" hidden="1" x14ac:dyDescent="0.25">
      <c r="A1375" s="517" t="s">
        <v>1328</v>
      </c>
      <c r="B1375" s="517" t="s">
        <v>1328</v>
      </c>
    </row>
    <row r="1376" spans="1:2" ht="15" hidden="1" x14ac:dyDescent="0.25">
      <c r="A1376" s="517" t="s">
        <v>1329</v>
      </c>
      <c r="B1376" s="517" t="s">
        <v>1329</v>
      </c>
    </row>
    <row r="1377" spans="1:2" ht="15" hidden="1" x14ac:dyDescent="0.25">
      <c r="A1377" s="517" t="s">
        <v>1330</v>
      </c>
      <c r="B1377" s="517" t="s">
        <v>1330</v>
      </c>
    </row>
    <row r="1378" spans="1:2" ht="15" hidden="1" x14ac:dyDescent="0.25">
      <c r="A1378" s="517" t="s">
        <v>1331</v>
      </c>
      <c r="B1378" s="517" t="s">
        <v>1331</v>
      </c>
    </row>
    <row r="1379" spans="1:2" ht="15" hidden="1" x14ac:dyDescent="0.25">
      <c r="A1379" s="517" t="s">
        <v>1332</v>
      </c>
      <c r="B1379" s="517" t="s">
        <v>1332</v>
      </c>
    </row>
    <row r="1380" spans="1:2" ht="15" hidden="1" x14ac:dyDescent="0.25">
      <c r="A1380" s="517" t="s">
        <v>1332</v>
      </c>
      <c r="B1380" s="517" t="s">
        <v>1332</v>
      </c>
    </row>
    <row r="1381" spans="1:2" ht="15" hidden="1" x14ac:dyDescent="0.25">
      <c r="A1381" s="517" t="s">
        <v>1333</v>
      </c>
      <c r="B1381" s="517" t="s">
        <v>1333</v>
      </c>
    </row>
    <row r="1382" spans="1:2" ht="15" hidden="1" x14ac:dyDescent="0.25">
      <c r="A1382" s="517" t="s">
        <v>1334</v>
      </c>
      <c r="B1382" s="517" t="s">
        <v>1334</v>
      </c>
    </row>
    <row r="1383" spans="1:2" ht="15" hidden="1" x14ac:dyDescent="0.25">
      <c r="A1383" s="517" t="s">
        <v>1335</v>
      </c>
      <c r="B1383" s="517" t="s">
        <v>1335</v>
      </c>
    </row>
    <row r="1384" spans="1:2" ht="15" hidden="1" x14ac:dyDescent="0.25">
      <c r="A1384" s="517" t="s">
        <v>1336</v>
      </c>
      <c r="B1384" s="517" t="s">
        <v>1336</v>
      </c>
    </row>
    <row r="1385" spans="1:2" ht="15" hidden="1" x14ac:dyDescent="0.25">
      <c r="A1385" s="517" t="s">
        <v>1336</v>
      </c>
      <c r="B1385" s="517" t="s">
        <v>1336</v>
      </c>
    </row>
    <row r="1386" spans="1:2" ht="15" hidden="1" x14ac:dyDescent="0.25">
      <c r="A1386" s="517" t="s">
        <v>1337</v>
      </c>
      <c r="B1386" s="517" t="s">
        <v>1337</v>
      </c>
    </row>
    <row r="1387" spans="1:2" ht="15" hidden="1" x14ac:dyDescent="0.25">
      <c r="A1387" s="517" t="s">
        <v>1338</v>
      </c>
      <c r="B1387" s="517" t="s">
        <v>1338</v>
      </c>
    </row>
    <row r="1388" spans="1:2" ht="15" hidden="1" x14ac:dyDescent="0.25">
      <c r="A1388" s="517" t="s">
        <v>1338</v>
      </c>
      <c r="B1388" s="517" t="s">
        <v>1338</v>
      </c>
    </row>
    <row r="1389" spans="1:2" ht="15" hidden="1" x14ac:dyDescent="0.25">
      <c r="A1389" s="517" t="s">
        <v>1339</v>
      </c>
      <c r="B1389" s="517" t="s">
        <v>1339</v>
      </c>
    </row>
    <row r="1390" spans="1:2" ht="15" hidden="1" x14ac:dyDescent="0.25">
      <c r="A1390" s="517" t="s">
        <v>1340</v>
      </c>
      <c r="B1390" s="517" t="s">
        <v>1340</v>
      </c>
    </row>
    <row r="1391" spans="1:2" ht="15" hidden="1" x14ac:dyDescent="0.25">
      <c r="A1391" s="517" t="s">
        <v>1341</v>
      </c>
      <c r="B1391" s="517" t="s">
        <v>1341</v>
      </c>
    </row>
    <row r="1392" spans="1:2" ht="15" hidden="1" x14ac:dyDescent="0.25">
      <c r="A1392" s="517" t="s">
        <v>1341</v>
      </c>
      <c r="B1392" s="517" t="s">
        <v>1341</v>
      </c>
    </row>
    <row r="1393" spans="1:2" ht="15" hidden="1" x14ac:dyDescent="0.25">
      <c r="A1393" s="517" t="s">
        <v>1342</v>
      </c>
      <c r="B1393" s="517" t="s">
        <v>1342</v>
      </c>
    </row>
    <row r="1394" spans="1:2" ht="15" hidden="1" x14ac:dyDescent="0.25">
      <c r="A1394" s="517" t="s">
        <v>1343</v>
      </c>
      <c r="B1394" s="517" t="s">
        <v>1343</v>
      </c>
    </row>
    <row r="1395" spans="1:2" ht="15" hidden="1" x14ac:dyDescent="0.25">
      <c r="A1395" s="517" t="s">
        <v>1344</v>
      </c>
      <c r="B1395" s="517" t="s">
        <v>1344</v>
      </c>
    </row>
    <row r="1396" spans="1:2" ht="15" hidden="1" x14ac:dyDescent="0.25">
      <c r="A1396" s="517" t="s">
        <v>1345</v>
      </c>
      <c r="B1396" s="517" t="s">
        <v>1345</v>
      </c>
    </row>
    <row r="1397" spans="1:2" ht="15" hidden="1" x14ac:dyDescent="0.25">
      <c r="A1397" s="517" t="s">
        <v>1346</v>
      </c>
      <c r="B1397" s="517" t="s">
        <v>1346</v>
      </c>
    </row>
    <row r="1398" spans="1:2" ht="15" hidden="1" x14ac:dyDescent="0.25">
      <c r="A1398" s="517" t="s">
        <v>1347</v>
      </c>
      <c r="B1398" s="517" t="s">
        <v>1347</v>
      </c>
    </row>
    <row r="1399" spans="1:2" ht="15" hidden="1" x14ac:dyDescent="0.25">
      <c r="A1399" s="517" t="s">
        <v>1348</v>
      </c>
      <c r="B1399" s="517" t="s">
        <v>1348</v>
      </c>
    </row>
    <row r="1400" spans="1:2" ht="15" hidden="1" x14ac:dyDescent="0.25">
      <c r="A1400" s="517" t="s">
        <v>1349</v>
      </c>
      <c r="B1400" s="517" t="s">
        <v>1349</v>
      </c>
    </row>
    <row r="1401" spans="1:2" ht="15" hidden="1" x14ac:dyDescent="0.25">
      <c r="A1401" s="517" t="s">
        <v>1350</v>
      </c>
      <c r="B1401" s="517" t="s">
        <v>1350</v>
      </c>
    </row>
    <row r="1402" spans="1:2" ht="15" hidden="1" x14ac:dyDescent="0.25">
      <c r="A1402" s="517" t="s">
        <v>1351</v>
      </c>
      <c r="B1402" s="517" t="s">
        <v>1351</v>
      </c>
    </row>
    <row r="1403" spans="1:2" ht="15" hidden="1" x14ac:dyDescent="0.25">
      <c r="A1403" s="517" t="s">
        <v>1352</v>
      </c>
      <c r="B1403" s="517" t="s">
        <v>1352</v>
      </c>
    </row>
    <row r="1404" spans="1:2" ht="15" hidden="1" x14ac:dyDescent="0.25">
      <c r="A1404" s="517" t="s">
        <v>1353</v>
      </c>
      <c r="B1404" s="517" t="s">
        <v>1353</v>
      </c>
    </row>
    <row r="1405" spans="1:2" ht="15" hidden="1" x14ac:dyDescent="0.25">
      <c r="A1405" s="517" t="s">
        <v>1354</v>
      </c>
      <c r="B1405" s="517" t="s">
        <v>1354</v>
      </c>
    </row>
    <row r="1406" spans="1:2" ht="15" hidden="1" x14ac:dyDescent="0.25">
      <c r="A1406" s="517" t="s">
        <v>1355</v>
      </c>
      <c r="B1406" s="517" t="s">
        <v>1355</v>
      </c>
    </row>
    <row r="1407" spans="1:2" ht="15" hidden="1" x14ac:dyDescent="0.25">
      <c r="A1407" s="517" t="s">
        <v>1356</v>
      </c>
      <c r="B1407" s="517" t="s">
        <v>1356</v>
      </c>
    </row>
    <row r="1408" spans="1:2" ht="15" hidden="1" x14ac:dyDescent="0.25">
      <c r="A1408" s="517" t="s">
        <v>1357</v>
      </c>
      <c r="B1408" s="517" t="s">
        <v>1357</v>
      </c>
    </row>
    <row r="1409" spans="1:2" ht="15" hidden="1" x14ac:dyDescent="0.25">
      <c r="A1409" s="517" t="s">
        <v>1357</v>
      </c>
      <c r="B1409" s="517" t="s">
        <v>1357</v>
      </c>
    </row>
    <row r="1410" spans="1:2" ht="15" hidden="1" x14ac:dyDescent="0.25">
      <c r="A1410" s="517" t="s">
        <v>1358</v>
      </c>
      <c r="B1410" s="517" t="s">
        <v>1358</v>
      </c>
    </row>
    <row r="1411" spans="1:2" ht="15" hidden="1" x14ac:dyDescent="0.25">
      <c r="A1411" s="517" t="s">
        <v>1359</v>
      </c>
      <c r="B1411" s="517" t="s">
        <v>1359</v>
      </c>
    </row>
    <row r="1412" spans="1:2" ht="15" hidden="1" x14ac:dyDescent="0.25">
      <c r="A1412" s="517" t="s">
        <v>1360</v>
      </c>
      <c r="B1412" s="517" t="s">
        <v>1360</v>
      </c>
    </row>
    <row r="1413" spans="1:2" ht="15" hidden="1" x14ac:dyDescent="0.25">
      <c r="A1413" s="517" t="s">
        <v>1361</v>
      </c>
      <c r="B1413" s="517" t="s">
        <v>1361</v>
      </c>
    </row>
    <row r="1414" spans="1:2" ht="15" hidden="1" x14ac:dyDescent="0.25">
      <c r="A1414" s="517" t="s">
        <v>1362</v>
      </c>
      <c r="B1414" s="517" t="s">
        <v>1362</v>
      </c>
    </row>
    <row r="1415" spans="1:2" ht="15" hidden="1" x14ac:dyDescent="0.25">
      <c r="A1415" s="517" t="s">
        <v>1363</v>
      </c>
      <c r="B1415" s="517" t="s">
        <v>1363</v>
      </c>
    </row>
    <row r="1416" spans="1:2" ht="15" hidden="1" x14ac:dyDescent="0.25">
      <c r="A1416" s="517" t="s">
        <v>1364</v>
      </c>
      <c r="B1416" s="517" t="s">
        <v>1365</v>
      </c>
    </row>
    <row r="1417" spans="1:2" ht="15" hidden="1" x14ac:dyDescent="0.25">
      <c r="A1417" s="517" t="s">
        <v>1366</v>
      </c>
      <c r="B1417" s="517" t="s">
        <v>1367</v>
      </c>
    </row>
    <row r="1418" spans="1:2" ht="15" hidden="1" x14ac:dyDescent="0.25">
      <c r="A1418" s="517" t="s">
        <v>1368</v>
      </c>
      <c r="B1418" s="517" t="s">
        <v>1352</v>
      </c>
    </row>
    <row r="1419" spans="1:2" ht="15" hidden="1" x14ac:dyDescent="0.25">
      <c r="A1419" s="517" t="s">
        <v>1369</v>
      </c>
      <c r="B1419" s="517" t="s">
        <v>1370</v>
      </c>
    </row>
    <row r="1420" spans="1:2" ht="15" hidden="1" x14ac:dyDescent="0.25">
      <c r="A1420" s="517" t="s">
        <v>1371</v>
      </c>
      <c r="B1420" s="517" t="s">
        <v>1372</v>
      </c>
    </row>
    <row r="1421" spans="1:2" ht="15" hidden="1" x14ac:dyDescent="0.25">
      <c r="A1421" s="517" t="s">
        <v>1373</v>
      </c>
      <c r="B1421" s="517" t="s">
        <v>1374</v>
      </c>
    </row>
    <row r="1422" spans="1:2" ht="15" hidden="1" x14ac:dyDescent="0.25">
      <c r="A1422" s="517" t="s">
        <v>1373</v>
      </c>
      <c r="B1422" s="517" t="s">
        <v>1374</v>
      </c>
    </row>
    <row r="1423" spans="1:2" ht="15" hidden="1" x14ac:dyDescent="0.25">
      <c r="A1423" s="517" t="s">
        <v>1373</v>
      </c>
      <c r="B1423" s="517" t="s">
        <v>1374</v>
      </c>
    </row>
    <row r="1424" spans="1:2" ht="15" hidden="1" x14ac:dyDescent="0.25">
      <c r="A1424" s="517" t="s">
        <v>1375</v>
      </c>
      <c r="B1424" s="517" t="s">
        <v>1376</v>
      </c>
    </row>
    <row r="1425" spans="1:2" ht="15" hidden="1" x14ac:dyDescent="0.25">
      <c r="A1425" s="517" t="s">
        <v>1377</v>
      </c>
      <c r="B1425" s="517" t="s">
        <v>1378</v>
      </c>
    </row>
    <row r="1426" spans="1:2" ht="15" hidden="1" x14ac:dyDescent="0.25">
      <c r="A1426" s="517" t="s">
        <v>1379</v>
      </c>
      <c r="B1426" s="517" t="s">
        <v>1380</v>
      </c>
    </row>
    <row r="1427" spans="1:2" ht="15" hidden="1" x14ac:dyDescent="0.25">
      <c r="A1427" s="517" t="s">
        <v>216</v>
      </c>
      <c r="B1427" s="517" t="s">
        <v>364</v>
      </c>
    </row>
    <row r="1428" spans="1:2" ht="15" hidden="1" x14ac:dyDescent="0.25">
      <c r="A1428" s="517" t="s">
        <v>1381</v>
      </c>
      <c r="B1428" s="517" t="s">
        <v>1382</v>
      </c>
    </row>
    <row r="1429" spans="1:2" ht="15" hidden="1" x14ac:dyDescent="0.25">
      <c r="A1429" s="517" t="s">
        <v>1383</v>
      </c>
      <c r="B1429" s="517" t="s">
        <v>1384</v>
      </c>
    </row>
    <row r="1430" spans="1:2" ht="15" hidden="1" x14ac:dyDescent="0.25">
      <c r="A1430" s="517" t="s">
        <v>1385</v>
      </c>
      <c r="B1430" s="517" t="s">
        <v>1386</v>
      </c>
    </row>
    <row r="1431" spans="1:2" ht="15" hidden="1" x14ac:dyDescent="0.25">
      <c r="A1431" s="519" t="s">
        <v>1387</v>
      </c>
      <c r="B1431" s="519" t="s">
        <v>1388</v>
      </c>
    </row>
    <row r="1432" spans="1:2" ht="15" hidden="1" x14ac:dyDescent="0.25">
      <c r="A1432" s="517" t="s">
        <v>1389</v>
      </c>
      <c r="B1432" s="517" t="s">
        <v>1390</v>
      </c>
    </row>
    <row r="1433" spans="1:2" ht="15" hidden="1" x14ac:dyDescent="0.25">
      <c r="A1433" s="517" t="s">
        <v>1389</v>
      </c>
      <c r="B1433" s="517" t="s">
        <v>1390</v>
      </c>
    </row>
    <row r="1434" spans="1:2" ht="15" hidden="1" x14ac:dyDescent="0.25">
      <c r="A1434" s="517" t="s">
        <v>1389</v>
      </c>
      <c r="B1434" s="517" t="s">
        <v>1390</v>
      </c>
    </row>
    <row r="1435" spans="1:2" ht="15" hidden="1" x14ac:dyDescent="0.25">
      <c r="A1435" s="517" t="s">
        <v>1391</v>
      </c>
      <c r="B1435" s="517" t="s">
        <v>1392</v>
      </c>
    </row>
    <row r="1436" spans="1:2" ht="15" hidden="1" x14ac:dyDescent="0.25">
      <c r="A1436" s="517" t="s">
        <v>1393</v>
      </c>
      <c r="B1436" s="517" t="s">
        <v>1394</v>
      </c>
    </row>
    <row r="1437" spans="1:2" ht="15" hidden="1" x14ac:dyDescent="0.25">
      <c r="A1437" s="517" t="s">
        <v>1393</v>
      </c>
      <c r="B1437" s="517" t="s">
        <v>1394</v>
      </c>
    </row>
    <row r="1438" spans="1:2" ht="15" hidden="1" x14ac:dyDescent="0.25">
      <c r="A1438" s="519" t="s">
        <v>1395</v>
      </c>
      <c r="B1438" s="517" t="s">
        <v>1396</v>
      </c>
    </row>
    <row r="1439" spans="1:2" ht="15" hidden="1" x14ac:dyDescent="0.25">
      <c r="A1439" s="517" t="s">
        <v>1397</v>
      </c>
      <c r="B1439" s="517" t="s">
        <v>1398</v>
      </c>
    </row>
    <row r="1440" spans="1:2" ht="15" hidden="1" x14ac:dyDescent="0.25">
      <c r="A1440" s="517" t="s">
        <v>1399</v>
      </c>
      <c r="B1440" s="517" t="s">
        <v>1400</v>
      </c>
    </row>
    <row r="1441" spans="1:2" ht="15" hidden="1" x14ac:dyDescent="0.25">
      <c r="A1441" s="517" t="s">
        <v>1401</v>
      </c>
      <c r="B1441" s="517" t="s">
        <v>1402</v>
      </c>
    </row>
    <row r="1442" spans="1:2" ht="15" hidden="1" x14ac:dyDescent="0.25">
      <c r="A1442" s="517" t="s">
        <v>1403</v>
      </c>
      <c r="B1442" s="517" t="s">
        <v>1404</v>
      </c>
    </row>
    <row r="1443" spans="1:2" ht="15" hidden="1" x14ac:dyDescent="0.25">
      <c r="A1443" s="517" t="s">
        <v>1403</v>
      </c>
      <c r="B1443" s="517" t="s">
        <v>1404</v>
      </c>
    </row>
    <row r="1444" spans="1:2" ht="15" hidden="1" x14ac:dyDescent="0.25">
      <c r="A1444" s="517" t="s">
        <v>1405</v>
      </c>
      <c r="B1444" s="517" t="s">
        <v>1406</v>
      </c>
    </row>
    <row r="1445" spans="1:2" ht="15" hidden="1" x14ac:dyDescent="0.25">
      <c r="A1445" s="517" t="s">
        <v>1405</v>
      </c>
      <c r="B1445" s="517" t="s">
        <v>1406</v>
      </c>
    </row>
    <row r="1446" spans="1:2" ht="15" hidden="1" x14ac:dyDescent="0.25">
      <c r="A1446" s="517" t="s">
        <v>1407</v>
      </c>
      <c r="B1446" s="517" t="s">
        <v>1408</v>
      </c>
    </row>
    <row r="1447" spans="1:2" ht="15" hidden="1" x14ac:dyDescent="0.25">
      <c r="A1447" s="517" t="s">
        <v>1407</v>
      </c>
      <c r="B1447" s="517" t="s">
        <v>1408</v>
      </c>
    </row>
    <row r="1448" spans="1:2" ht="15" hidden="1" x14ac:dyDescent="0.25">
      <c r="A1448" s="517" t="s">
        <v>1409</v>
      </c>
      <c r="B1448" s="517" t="s">
        <v>1410</v>
      </c>
    </row>
    <row r="1449" spans="1:2" ht="15" hidden="1" x14ac:dyDescent="0.25">
      <c r="A1449" s="517" t="s">
        <v>1411</v>
      </c>
      <c r="B1449" s="517" t="s">
        <v>1412</v>
      </c>
    </row>
    <row r="1450" spans="1:2" ht="15" hidden="1" x14ac:dyDescent="0.25">
      <c r="A1450" s="517" t="s">
        <v>1413</v>
      </c>
      <c r="B1450" s="517" t="s">
        <v>1414</v>
      </c>
    </row>
    <row r="1451" spans="1:2" ht="15" hidden="1" x14ac:dyDescent="0.25">
      <c r="A1451" s="517" t="s">
        <v>1413</v>
      </c>
      <c r="B1451" s="517" t="s">
        <v>1414</v>
      </c>
    </row>
    <row r="1452" spans="1:2" ht="15" hidden="1" x14ac:dyDescent="0.25">
      <c r="A1452" s="517" t="s">
        <v>1415</v>
      </c>
      <c r="B1452" s="517" t="s">
        <v>1416</v>
      </c>
    </row>
    <row r="1453" spans="1:2" ht="15" hidden="1" x14ac:dyDescent="0.25">
      <c r="A1453" s="517" t="s">
        <v>1417</v>
      </c>
      <c r="B1453" s="517" t="s">
        <v>1418</v>
      </c>
    </row>
    <row r="1454" spans="1:2" ht="15" hidden="1" x14ac:dyDescent="0.25">
      <c r="A1454" s="517" t="s">
        <v>1419</v>
      </c>
      <c r="B1454" s="517" t="s">
        <v>1420</v>
      </c>
    </row>
    <row r="1455" spans="1:2" ht="15" hidden="1" x14ac:dyDescent="0.25">
      <c r="A1455" s="517" t="s">
        <v>1421</v>
      </c>
      <c r="B1455" s="517" t="s">
        <v>1422</v>
      </c>
    </row>
    <row r="1456" spans="1:2" ht="15" hidden="1" x14ac:dyDescent="0.25">
      <c r="A1456" s="517" t="s">
        <v>1423</v>
      </c>
      <c r="B1456" s="517" t="s">
        <v>1424</v>
      </c>
    </row>
    <row r="1457" spans="1:2" ht="15" hidden="1" x14ac:dyDescent="0.25">
      <c r="A1457" s="517" t="s">
        <v>1423</v>
      </c>
      <c r="B1457" s="517" t="s">
        <v>1424</v>
      </c>
    </row>
    <row r="1458" spans="1:2" ht="15" hidden="1" x14ac:dyDescent="0.25">
      <c r="A1458" s="517" t="s">
        <v>1425</v>
      </c>
      <c r="B1458" s="517" t="s">
        <v>1426</v>
      </c>
    </row>
    <row r="1459" spans="1:2" ht="15" hidden="1" x14ac:dyDescent="0.25">
      <c r="A1459" s="517" t="s">
        <v>1427</v>
      </c>
      <c r="B1459" s="517" t="s">
        <v>1428</v>
      </c>
    </row>
    <row r="1460" spans="1:2" ht="15" hidden="1" x14ac:dyDescent="0.25">
      <c r="A1460" s="519" t="s">
        <v>1429</v>
      </c>
      <c r="B1460" s="517" t="s">
        <v>1430</v>
      </c>
    </row>
    <row r="1461" spans="1:2" ht="15" hidden="1" x14ac:dyDescent="0.25">
      <c r="A1461" s="517" t="s">
        <v>1431</v>
      </c>
      <c r="B1461" s="517" t="s">
        <v>1432</v>
      </c>
    </row>
    <row r="1462" spans="1:2" ht="15" hidden="1" x14ac:dyDescent="0.25">
      <c r="A1462" s="517" t="s">
        <v>1433</v>
      </c>
      <c r="B1462" s="517" t="s">
        <v>1335</v>
      </c>
    </row>
    <row r="1463" spans="1:2" ht="15" hidden="1" x14ac:dyDescent="0.25">
      <c r="A1463" s="517" t="s">
        <v>394</v>
      </c>
      <c r="B1463" s="517" t="s">
        <v>395</v>
      </c>
    </row>
    <row r="1464" spans="1:2" ht="15" hidden="1" x14ac:dyDescent="0.25">
      <c r="A1464" s="517" t="s">
        <v>394</v>
      </c>
      <c r="B1464" s="517" t="s">
        <v>395</v>
      </c>
    </row>
    <row r="1465" spans="1:2" ht="15" hidden="1" x14ac:dyDescent="0.25">
      <c r="A1465" s="517" t="s">
        <v>1434</v>
      </c>
      <c r="B1465" s="517" t="s">
        <v>1435</v>
      </c>
    </row>
    <row r="1466" spans="1:2" ht="15" hidden="1" x14ac:dyDescent="0.25">
      <c r="A1466" s="517" t="s">
        <v>1436</v>
      </c>
      <c r="B1466" s="517" t="s">
        <v>1437</v>
      </c>
    </row>
    <row r="1467" spans="1:2" ht="15" hidden="1" x14ac:dyDescent="0.25">
      <c r="A1467" s="517" t="s">
        <v>1438</v>
      </c>
      <c r="B1467" s="517" t="s">
        <v>1439</v>
      </c>
    </row>
    <row r="1468" spans="1:2" ht="15" hidden="1" x14ac:dyDescent="0.25">
      <c r="A1468" s="517" t="s">
        <v>1438</v>
      </c>
      <c r="B1468" s="517" t="s">
        <v>1439</v>
      </c>
    </row>
    <row r="1469" spans="1:2" ht="15" hidden="1" x14ac:dyDescent="0.25">
      <c r="A1469" s="517" t="s">
        <v>1440</v>
      </c>
      <c r="B1469" s="517" t="s">
        <v>1441</v>
      </c>
    </row>
    <row r="1470" spans="1:2" ht="15" hidden="1" x14ac:dyDescent="0.25">
      <c r="A1470" s="517" t="s">
        <v>1442</v>
      </c>
      <c r="B1470" s="517" t="s">
        <v>800</v>
      </c>
    </row>
    <row r="1471" spans="1:2" ht="15" hidden="1" x14ac:dyDescent="0.25">
      <c r="A1471" s="517" t="s">
        <v>1443</v>
      </c>
      <c r="B1471" s="517" t="s">
        <v>1444</v>
      </c>
    </row>
    <row r="1472" spans="1:2" ht="15" hidden="1" x14ac:dyDescent="0.25">
      <c r="A1472" s="517" t="s">
        <v>1445</v>
      </c>
      <c r="B1472" s="517" t="s">
        <v>1446</v>
      </c>
    </row>
    <row r="1473" spans="1:2" ht="15" hidden="1" x14ac:dyDescent="0.25">
      <c r="A1473" s="517" t="s">
        <v>1447</v>
      </c>
      <c r="B1473" s="517" t="s">
        <v>1448</v>
      </c>
    </row>
    <row r="1474" spans="1:2" ht="15" hidden="1" x14ac:dyDescent="0.25">
      <c r="A1474" s="517" t="s">
        <v>1449</v>
      </c>
      <c r="B1474" s="517" t="s">
        <v>1450</v>
      </c>
    </row>
    <row r="1475" spans="1:2" ht="15" hidden="1" x14ac:dyDescent="0.25">
      <c r="A1475" s="517" t="s">
        <v>1451</v>
      </c>
      <c r="B1475" s="517" t="s">
        <v>1452</v>
      </c>
    </row>
    <row r="1476" spans="1:2" ht="15" hidden="1" x14ac:dyDescent="0.25">
      <c r="A1476" s="517" t="s">
        <v>1453</v>
      </c>
      <c r="B1476" s="517" t="s">
        <v>1454</v>
      </c>
    </row>
    <row r="1477" spans="1:2" ht="15" hidden="1" x14ac:dyDescent="0.25">
      <c r="A1477" s="517" t="s">
        <v>1453</v>
      </c>
      <c r="B1477" s="517" t="s">
        <v>1454</v>
      </c>
    </row>
    <row r="1478" spans="1:2" ht="15" hidden="1" x14ac:dyDescent="0.25">
      <c r="A1478" s="517" t="s">
        <v>1455</v>
      </c>
      <c r="B1478" s="517" t="s">
        <v>1456</v>
      </c>
    </row>
    <row r="1479" spans="1:2" ht="15" hidden="1" x14ac:dyDescent="0.25">
      <c r="A1479" s="517" t="s">
        <v>1457</v>
      </c>
      <c r="B1479" s="517" t="s">
        <v>1458</v>
      </c>
    </row>
    <row r="1480" spans="1:2" ht="15" hidden="1" x14ac:dyDescent="0.25">
      <c r="A1480" s="517" t="s">
        <v>1459</v>
      </c>
      <c r="B1480" s="517" t="s">
        <v>1460</v>
      </c>
    </row>
    <row r="1481" spans="1:2" ht="15" hidden="1" x14ac:dyDescent="0.25">
      <c r="A1481" s="517" t="s">
        <v>1461</v>
      </c>
      <c r="B1481" s="517" t="s">
        <v>1462</v>
      </c>
    </row>
    <row r="1482" spans="1:2" ht="15" hidden="1" x14ac:dyDescent="0.25">
      <c r="A1482" s="517" t="s">
        <v>1461</v>
      </c>
      <c r="B1482" s="517" t="s">
        <v>1462</v>
      </c>
    </row>
    <row r="1483" spans="1:2" ht="15" hidden="1" x14ac:dyDescent="0.25">
      <c r="A1483" s="517" t="s">
        <v>1461</v>
      </c>
      <c r="B1483" s="517" t="s">
        <v>1462</v>
      </c>
    </row>
    <row r="1484" spans="1:2" ht="15" hidden="1" x14ac:dyDescent="0.25">
      <c r="A1484" s="517" t="s">
        <v>1463</v>
      </c>
      <c r="B1484" s="517" t="s">
        <v>1464</v>
      </c>
    </row>
    <row r="1485" spans="1:2" ht="15" hidden="1" x14ac:dyDescent="0.25">
      <c r="A1485" s="517" t="s">
        <v>1463</v>
      </c>
      <c r="B1485" s="517" t="s">
        <v>1464</v>
      </c>
    </row>
    <row r="1486" spans="1:2" ht="15" hidden="1" x14ac:dyDescent="0.25">
      <c r="A1486" s="517" t="s">
        <v>1463</v>
      </c>
      <c r="B1486" s="517" t="s">
        <v>1464</v>
      </c>
    </row>
    <row r="1487" spans="1:2" ht="15" hidden="1" x14ac:dyDescent="0.25">
      <c r="A1487" s="517" t="s">
        <v>1465</v>
      </c>
      <c r="B1487" s="517" t="s">
        <v>1466</v>
      </c>
    </row>
    <row r="1488" spans="1:2" ht="15" hidden="1" x14ac:dyDescent="0.25">
      <c r="A1488" s="517" t="s">
        <v>220</v>
      </c>
      <c r="B1488" s="517" t="s">
        <v>321</v>
      </c>
    </row>
    <row r="1489" spans="1:2" ht="15" hidden="1" x14ac:dyDescent="0.25">
      <c r="A1489" s="517" t="s">
        <v>220</v>
      </c>
      <c r="B1489" s="517" t="s">
        <v>321</v>
      </c>
    </row>
    <row r="1490" spans="1:2" ht="15" hidden="1" x14ac:dyDescent="0.25">
      <c r="A1490" s="517" t="s">
        <v>220</v>
      </c>
      <c r="B1490" s="517" t="s">
        <v>321</v>
      </c>
    </row>
    <row r="1491" spans="1:2" ht="15" hidden="1" x14ac:dyDescent="0.25">
      <c r="A1491" s="517" t="s">
        <v>220</v>
      </c>
      <c r="B1491" s="517" t="s">
        <v>321</v>
      </c>
    </row>
    <row r="1492" spans="1:2" ht="15" hidden="1" x14ac:dyDescent="0.25">
      <c r="A1492" s="517" t="s">
        <v>220</v>
      </c>
      <c r="B1492" s="517" t="s">
        <v>321</v>
      </c>
    </row>
    <row r="1493" spans="1:2" ht="15" hidden="1" x14ac:dyDescent="0.25">
      <c r="A1493" s="517" t="s">
        <v>220</v>
      </c>
      <c r="B1493" s="517" t="s">
        <v>321</v>
      </c>
    </row>
    <row r="1494" spans="1:2" ht="15" hidden="1" x14ac:dyDescent="0.25">
      <c r="A1494" s="517" t="s">
        <v>407</v>
      </c>
      <c r="B1494" s="517" t="s">
        <v>408</v>
      </c>
    </row>
    <row r="1495" spans="1:2" ht="15" hidden="1" x14ac:dyDescent="0.25">
      <c r="A1495" s="517" t="s">
        <v>407</v>
      </c>
      <c r="B1495" s="517" t="s">
        <v>408</v>
      </c>
    </row>
    <row r="1496" spans="1:2" ht="15" hidden="1" x14ac:dyDescent="0.25">
      <c r="A1496" s="517" t="s">
        <v>407</v>
      </c>
      <c r="B1496" s="517" t="s">
        <v>408</v>
      </c>
    </row>
    <row r="1497" spans="1:2" ht="15" hidden="1" x14ac:dyDescent="0.25">
      <c r="A1497" s="517" t="s">
        <v>407</v>
      </c>
      <c r="B1497" s="517" t="s">
        <v>408</v>
      </c>
    </row>
    <row r="1498" spans="1:2" ht="15" hidden="1" x14ac:dyDescent="0.25">
      <c r="A1498" s="517" t="s">
        <v>407</v>
      </c>
      <c r="B1498" s="517" t="s">
        <v>408</v>
      </c>
    </row>
    <row r="1499" spans="1:2" ht="15" hidden="1" x14ac:dyDescent="0.25">
      <c r="A1499" s="517" t="s">
        <v>1467</v>
      </c>
      <c r="B1499" s="517" t="s">
        <v>1468</v>
      </c>
    </row>
    <row r="1500" spans="1:2" ht="15" hidden="1" x14ac:dyDescent="0.25">
      <c r="A1500" s="517" t="s">
        <v>1467</v>
      </c>
      <c r="B1500" s="517" t="s">
        <v>1468</v>
      </c>
    </row>
    <row r="1501" spans="1:2" ht="15" hidden="1" x14ac:dyDescent="0.25">
      <c r="A1501" s="517" t="s">
        <v>194</v>
      </c>
      <c r="B1501" s="517" t="s">
        <v>327</v>
      </c>
    </row>
    <row r="1502" spans="1:2" ht="15" hidden="1" x14ac:dyDescent="0.25">
      <c r="A1502" s="517" t="s">
        <v>194</v>
      </c>
      <c r="B1502" s="517" t="s">
        <v>327</v>
      </c>
    </row>
    <row r="1503" spans="1:2" ht="15" hidden="1" x14ac:dyDescent="0.25">
      <c r="A1503" s="517" t="s">
        <v>194</v>
      </c>
      <c r="B1503" s="517" t="s">
        <v>327</v>
      </c>
    </row>
    <row r="1504" spans="1:2" ht="15" hidden="1" x14ac:dyDescent="0.25">
      <c r="A1504" s="517" t="s">
        <v>194</v>
      </c>
      <c r="B1504" s="517" t="s">
        <v>327</v>
      </c>
    </row>
    <row r="1505" spans="1:2" ht="15" hidden="1" x14ac:dyDescent="0.25">
      <c r="A1505" s="517" t="s">
        <v>194</v>
      </c>
      <c r="B1505" s="517" t="s">
        <v>327</v>
      </c>
    </row>
    <row r="1506" spans="1:2" ht="15" hidden="1" x14ac:dyDescent="0.25">
      <c r="A1506" s="517" t="s">
        <v>194</v>
      </c>
      <c r="B1506" s="517" t="s">
        <v>327</v>
      </c>
    </row>
    <row r="1507" spans="1:2" ht="15" hidden="1" x14ac:dyDescent="0.25">
      <c r="A1507" s="517" t="s">
        <v>222</v>
      </c>
      <c r="B1507" s="517" t="s">
        <v>328</v>
      </c>
    </row>
    <row r="1508" spans="1:2" ht="15" hidden="1" x14ac:dyDescent="0.25">
      <c r="A1508" s="517" t="s">
        <v>222</v>
      </c>
      <c r="B1508" s="517" t="s">
        <v>328</v>
      </c>
    </row>
    <row r="1509" spans="1:2" ht="15" hidden="1" x14ac:dyDescent="0.25">
      <c r="A1509" s="517" t="s">
        <v>222</v>
      </c>
      <c r="B1509" s="517" t="s">
        <v>328</v>
      </c>
    </row>
    <row r="1510" spans="1:2" ht="15" hidden="1" x14ac:dyDescent="0.25">
      <c r="A1510" s="517" t="s">
        <v>222</v>
      </c>
      <c r="B1510" s="517" t="s">
        <v>328</v>
      </c>
    </row>
    <row r="1511" spans="1:2" ht="15" hidden="1" x14ac:dyDescent="0.25">
      <c r="A1511" s="517" t="s">
        <v>222</v>
      </c>
      <c r="B1511" s="517" t="s">
        <v>328</v>
      </c>
    </row>
    <row r="1512" spans="1:2" ht="15" hidden="1" x14ac:dyDescent="0.25">
      <c r="A1512" s="517" t="s">
        <v>222</v>
      </c>
      <c r="B1512" s="517" t="s">
        <v>328</v>
      </c>
    </row>
    <row r="1513" spans="1:2" ht="15" hidden="1" x14ac:dyDescent="0.25">
      <c r="A1513" s="517" t="s">
        <v>222</v>
      </c>
      <c r="B1513" s="517" t="s">
        <v>328</v>
      </c>
    </row>
    <row r="1514" spans="1:2" ht="15" hidden="1" x14ac:dyDescent="0.25">
      <c r="A1514" s="517" t="s">
        <v>222</v>
      </c>
      <c r="B1514" s="517" t="s">
        <v>328</v>
      </c>
    </row>
    <row r="1515" spans="1:2" ht="15" hidden="1" x14ac:dyDescent="0.25">
      <c r="A1515" s="517" t="s">
        <v>222</v>
      </c>
      <c r="B1515" s="517" t="s">
        <v>328</v>
      </c>
    </row>
    <row r="1516" spans="1:2" ht="15" hidden="1" x14ac:dyDescent="0.25">
      <c r="A1516" s="517" t="s">
        <v>222</v>
      </c>
      <c r="B1516" s="517" t="s">
        <v>328</v>
      </c>
    </row>
    <row r="1517" spans="1:2" ht="15" hidden="1" x14ac:dyDescent="0.25">
      <c r="A1517" s="517" t="s">
        <v>222</v>
      </c>
      <c r="B1517" s="517" t="s">
        <v>328</v>
      </c>
    </row>
    <row r="1518" spans="1:2" ht="15" hidden="1" x14ac:dyDescent="0.25">
      <c r="A1518" s="517" t="s">
        <v>222</v>
      </c>
      <c r="B1518" s="517" t="s">
        <v>328</v>
      </c>
    </row>
    <row r="1519" spans="1:2" ht="15" hidden="1" x14ac:dyDescent="0.25">
      <c r="A1519" s="517" t="s">
        <v>197</v>
      </c>
      <c r="B1519" s="517" t="s">
        <v>331</v>
      </c>
    </row>
    <row r="1520" spans="1:2" ht="15" hidden="1" x14ac:dyDescent="0.25">
      <c r="A1520" s="517" t="s">
        <v>197</v>
      </c>
      <c r="B1520" s="517" t="s">
        <v>331</v>
      </c>
    </row>
    <row r="1521" spans="1:2" ht="15" hidden="1" x14ac:dyDescent="0.25">
      <c r="A1521" s="517" t="s">
        <v>199</v>
      </c>
      <c r="B1521" s="517" t="s">
        <v>334</v>
      </c>
    </row>
    <row r="1522" spans="1:2" ht="15" hidden="1" x14ac:dyDescent="0.25">
      <c r="A1522" s="517" t="s">
        <v>199</v>
      </c>
      <c r="B1522" s="517" t="s">
        <v>334</v>
      </c>
    </row>
    <row r="1523" spans="1:2" ht="15" hidden="1" x14ac:dyDescent="0.25">
      <c r="A1523" s="517" t="s">
        <v>199</v>
      </c>
      <c r="B1523" s="517" t="s">
        <v>334</v>
      </c>
    </row>
    <row r="1524" spans="1:2" ht="15" hidden="1" x14ac:dyDescent="0.25">
      <c r="A1524" s="517" t="s">
        <v>199</v>
      </c>
      <c r="B1524" s="517" t="s">
        <v>334</v>
      </c>
    </row>
    <row r="1525" spans="1:2" ht="15" hidden="1" x14ac:dyDescent="0.25">
      <c r="A1525" s="517" t="s">
        <v>199</v>
      </c>
      <c r="B1525" s="517" t="s">
        <v>334</v>
      </c>
    </row>
    <row r="1526" spans="1:2" ht="15" hidden="1" x14ac:dyDescent="0.25">
      <c r="A1526" s="517" t="s">
        <v>199</v>
      </c>
      <c r="B1526" s="517" t="s">
        <v>334</v>
      </c>
    </row>
    <row r="1527" spans="1:2" ht="15" hidden="1" x14ac:dyDescent="0.25">
      <c r="A1527" s="517" t="s">
        <v>199</v>
      </c>
      <c r="B1527" s="517" t="s">
        <v>334</v>
      </c>
    </row>
    <row r="1528" spans="1:2" ht="15" hidden="1" x14ac:dyDescent="0.25">
      <c r="A1528" s="517" t="s">
        <v>199</v>
      </c>
      <c r="B1528" s="517" t="s">
        <v>334</v>
      </c>
    </row>
    <row r="1529" spans="1:2" ht="15" hidden="1" x14ac:dyDescent="0.25">
      <c r="A1529" s="517" t="s">
        <v>1469</v>
      </c>
      <c r="B1529" s="517" t="s">
        <v>1470</v>
      </c>
    </row>
    <row r="1530" spans="1:2" ht="15" hidden="1" x14ac:dyDescent="0.25">
      <c r="A1530" s="517" t="s">
        <v>1471</v>
      </c>
      <c r="B1530" s="517" t="s">
        <v>1472</v>
      </c>
    </row>
    <row r="1531" spans="1:2" ht="15" hidden="1" x14ac:dyDescent="0.25">
      <c r="A1531" s="517" t="s">
        <v>1471</v>
      </c>
      <c r="B1531" s="517" t="s">
        <v>1472</v>
      </c>
    </row>
    <row r="1532" spans="1:2" ht="15" hidden="1" x14ac:dyDescent="0.25">
      <c r="A1532" s="517" t="s">
        <v>1471</v>
      </c>
      <c r="B1532" s="517" t="s">
        <v>1472</v>
      </c>
    </row>
    <row r="1533" spans="1:2" ht="15" hidden="1" x14ac:dyDescent="0.25">
      <c r="A1533" s="517" t="s">
        <v>1281</v>
      </c>
      <c r="B1533" s="517" t="s">
        <v>1282</v>
      </c>
    </row>
    <row r="1534" spans="1:2" ht="15" hidden="1" x14ac:dyDescent="0.25">
      <c r="A1534" s="517" t="s">
        <v>1281</v>
      </c>
      <c r="B1534" s="517" t="s">
        <v>1282</v>
      </c>
    </row>
    <row r="1535" spans="1:2" ht="15" hidden="1" x14ac:dyDescent="0.25">
      <c r="A1535" s="517" t="s">
        <v>1281</v>
      </c>
      <c r="B1535" s="517" t="s">
        <v>1282</v>
      </c>
    </row>
    <row r="1536" spans="1:2" ht="15" hidden="1" x14ac:dyDescent="0.25">
      <c r="A1536" s="517" t="s">
        <v>1281</v>
      </c>
      <c r="B1536" s="517" t="s">
        <v>1282</v>
      </c>
    </row>
    <row r="1537" spans="1:2" ht="15" hidden="1" x14ac:dyDescent="0.25">
      <c r="A1537" s="517" t="s">
        <v>1281</v>
      </c>
      <c r="B1537" s="517" t="s">
        <v>1282</v>
      </c>
    </row>
    <row r="1538" spans="1:2" ht="15" hidden="1" x14ac:dyDescent="0.25">
      <c r="A1538" s="517" t="s">
        <v>1281</v>
      </c>
      <c r="B1538" s="517" t="s">
        <v>1282</v>
      </c>
    </row>
    <row r="1539" spans="1:2" ht="15" hidden="1" x14ac:dyDescent="0.25">
      <c r="A1539" s="517" t="s">
        <v>1281</v>
      </c>
      <c r="B1539" s="517" t="s">
        <v>1282</v>
      </c>
    </row>
    <row r="1540" spans="1:2" ht="15" hidden="1" x14ac:dyDescent="0.25">
      <c r="A1540" s="517" t="s">
        <v>1281</v>
      </c>
      <c r="B1540" s="517" t="s">
        <v>1282</v>
      </c>
    </row>
    <row r="1541" spans="1:2" ht="15" hidden="1" x14ac:dyDescent="0.25">
      <c r="A1541" s="517" t="s">
        <v>1281</v>
      </c>
      <c r="B1541" s="517" t="s">
        <v>1282</v>
      </c>
    </row>
    <row r="1542" spans="1:2" ht="15" hidden="1" x14ac:dyDescent="0.25">
      <c r="A1542" s="517" t="s">
        <v>1473</v>
      </c>
      <c r="B1542" s="517" t="s">
        <v>1473</v>
      </c>
    </row>
    <row r="1543" spans="1:2" ht="15" hidden="1" x14ac:dyDescent="0.25">
      <c r="A1543" s="517" t="s">
        <v>1473</v>
      </c>
      <c r="B1543" s="517" t="s">
        <v>1473</v>
      </c>
    </row>
    <row r="1544" spans="1:2" ht="15" hidden="1" x14ac:dyDescent="0.25">
      <c r="A1544" s="517" t="s">
        <v>1474</v>
      </c>
      <c r="B1544" s="517" t="s">
        <v>1474</v>
      </c>
    </row>
    <row r="1545" spans="1:2" ht="15" hidden="1" x14ac:dyDescent="0.25">
      <c r="A1545" s="517" t="s">
        <v>1475</v>
      </c>
      <c r="B1545" s="517" t="s">
        <v>1475</v>
      </c>
    </row>
    <row r="1546" spans="1:2" ht="15" hidden="1" x14ac:dyDescent="0.25">
      <c r="A1546" s="517" t="s">
        <v>1476</v>
      </c>
      <c r="B1546" s="517" t="s">
        <v>1476</v>
      </c>
    </row>
    <row r="1547" spans="1:2" ht="15" hidden="1" x14ac:dyDescent="0.25">
      <c r="A1547" s="517" t="s">
        <v>1477</v>
      </c>
      <c r="B1547" s="517" t="s">
        <v>1477</v>
      </c>
    </row>
    <row r="1548" spans="1:2" ht="15" hidden="1" x14ac:dyDescent="0.25">
      <c r="A1548" s="517" t="s">
        <v>1478</v>
      </c>
      <c r="B1548" s="517" t="s">
        <v>1478</v>
      </c>
    </row>
    <row r="1549" spans="1:2" ht="15" hidden="1" x14ac:dyDescent="0.25">
      <c r="A1549" s="517" t="s">
        <v>1479</v>
      </c>
      <c r="B1549" s="517" t="s">
        <v>1479</v>
      </c>
    </row>
    <row r="1550" spans="1:2" ht="15" hidden="1" x14ac:dyDescent="0.25">
      <c r="A1550" s="517" t="s">
        <v>1480</v>
      </c>
      <c r="B1550" s="517" t="s">
        <v>1480</v>
      </c>
    </row>
    <row r="1551" spans="1:2" ht="15" hidden="1" x14ac:dyDescent="0.25">
      <c r="A1551" s="517" t="s">
        <v>1480</v>
      </c>
      <c r="B1551" s="517" t="s">
        <v>1480</v>
      </c>
    </row>
    <row r="1552" spans="1:2" ht="15" hidden="1" x14ac:dyDescent="0.25">
      <c r="A1552" s="517" t="s">
        <v>1481</v>
      </c>
      <c r="B1552" s="517" t="s">
        <v>1481</v>
      </c>
    </row>
    <row r="1553" spans="1:2" ht="15" hidden="1" x14ac:dyDescent="0.25">
      <c r="A1553" s="517" t="s">
        <v>1481</v>
      </c>
      <c r="B1553" s="517" t="s">
        <v>1481</v>
      </c>
    </row>
    <row r="1554" spans="1:2" ht="15" hidden="1" x14ac:dyDescent="0.25">
      <c r="A1554" s="517" t="s">
        <v>1482</v>
      </c>
      <c r="B1554" s="517" t="s">
        <v>1482</v>
      </c>
    </row>
    <row r="1555" spans="1:2" ht="15" hidden="1" x14ac:dyDescent="0.25">
      <c r="A1555" s="517" t="s">
        <v>1482</v>
      </c>
      <c r="B1555" s="517" t="s">
        <v>1482</v>
      </c>
    </row>
    <row r="1556" spans="1:2" ht="15" hidden="1" x14ac:dyDescent="0.25">
      <c r="A1556" s="517" t="s">
        <v>1483</v>
      </c>
      <c r="B1556" s="517" t="s">
        <v>1483</v>
      </c>
    </row>
    <row r="1557" spans="1:2" ht="15" hidden="1" x14ac:dyDescent="0.25">
      <c r="A1557" s="517" t="s">
        <v>1484</v>
      </c>
      <c r="B1557" s="517" t="s">
        <v>1484</v>
      </c>
    </row>
    <row r="1558" spans="1:2" ht="15" hidden="1" x14ac:dyDescent="0.25">
      <c r="A1558" s="517" t="s">
        <v>1485</v>
      </c>
      <c r="B1558" s="517" t="s">
        <v>1485</v>
      </c>
    </row>
    <row r="1559" spans="1:2" ht="15" hidden="1" x14ac:dyDescent="0.25">
      <c r="A1559" s="517" t="s">
        <v>1486</v>
      </c>
      <c r="B1559" s="517" t="s">
        <v>1486</v>
      </c>
    </row>
    <row r="1560" spans="1:2" ht="15" hidden="1" x14ac:dyDescent="0.25">
      <c r="A1560" s="517" t="s">
        <v>1486</v>
      </c>
      <c r="B1560" s="517" t="s">
        <v>1486</v>
      </c>
    </row>
    <row r="1561" spans="1:2" ht="15" hidden="1" x14ac:dyDescent="0.25">
      <c r="A1561" s="517" t="s">
        <v>1487</v>
      </c>
      <c r="B1561" s="517" t="s">
        <v>1487</v>
      </c>
    </row>
    <row r="1562" spans="1:2" ht="15" hidden="1" x14ac:dyDescent="0.25">
      <c r="A1562" s="517" t="s">
        <v>1488</v>
      </c>
      <c r="B1562" s="517" t="s">
        <v>1488</v>
      </c>
    </row>
    <row r="1563" spans="1:2" ht="15" hidden="1" x14ac:dyDescent="0.25">
      <c r="A1563" s="517" t="s">
        <v>1489</v>
      </c>
      <c r="B1563" s="517" t="s">
        <v>1489</v>
      </c>
    </row>
    <row r="1564" spans="1:2" ht="15" hidden="1" x14ac:dyDescent="0.25">
      <c r="A1564" s="517" t="s">
        <v>1489</v>
      </c>
      <c r="B1564" s="517" t="s">
        <v>1489</v>
      </c>
    </row>
    <row r="1565" spans="1:2" ht="15" hidden="1" x14ac:dyDescent="0.25">
      <c r="A1565" s="517" t="s">
        <v>1490</v>
      </c>
      <c r="B1565" s="517" t="s">
        <v>1490</v>
      </c>
    </row>
    <row r="1566" spans="1:2" ht="15" hidden="1" x14ac:dyDescent="0.25">
      <c r="A1566" s="517" t="s">
        <v>1491</v>
      </c>
      <c r="B1566" s="517" t="s">
        <v>1491</v>
      </c>
    </row>
    <row r="1567" spans="1:2" ht="15" hidden="1" x14ac:dyDescent="0.25">
      <c r="A1567" s="517" t="s">
        <v>1492</v>
      </c>
      <c r="B1567" s="517" t="s">
        <v>1492</v>
      </c>
    </row>
    <row r="1568" spans="1:2" ht="15" hidden="1" x14ac:dyDescent="0.25">
      <c r="A1568" s="517" t="s">
        <v>1492</v>
      </c>
      <c r="B1568" s="517" t="s">
        <v>1492</v>
      </c>
    </row>
    <row r="1569" spans="1:2" ht="15" hidden="1" x14ac:dyDescent="0.25">
      <c r="A1569" s="517" t="s">
        <v>1493</v>
      </c>
      <c r="B1569" s="517" t="s">
        <v>1493</v>
      </c>
    </row>
    <row r="1570" spans="1:2" ht="15" hidden="1" x14ac:dyDescent="0.25">
      <c r="A1570" s="517" t="s">
        <v>1493</v>
      </c>
      <c r="B1570" s="517" t="s">
        <v>1493</v>
      </c>
    </row>
    <row r="1571" spans="1:2" ht="15" hidden="1" x14ac:dyDescent="0.25">
      <c r="A1571" s="517" t="s">
        <v>1494</v>
      </c>
      <c r="B1571" s="517" t="s">
        <v>1494</v>
      </c>
    </row>
    <row r="1572" spans="1:2" ht="15" hidden="1" x14ac:dyDescent="0.25">
      <c r="A1572" s="517" t="s">
        <v>1495</v>
      </c>
      <c r="B1572" s="517" t="s">
        <v>1495</v>
      </c>
    </row>
    <row r="1573" spans="1:2" ht="15" hidden="1" x14ac:dyDescent="0.25">
      <c r="A1573" s="517" t="s">
        <v>1496</v>
      </c>
      <c r="B1573" s="517" t="s">
        <v>1496</v>
      </c>
    </row>
    <row r="1574" spans="1:2" ht="15" hidden="1" x14ac:dyDescent="0.25">
      <c r="A1574" s="517" t="s">
        <v>1497</v>
      </c>
      <c r="B1574" s="517" t="s">
        <v>1497</v>
      </c>
    </row>
    <row r="1575" spans="1:2" ht="15" hidden="1" x14ac:dyDescent="0.25">
      <c r="A1575" s="517" t="s">
        <v>1498</v>
      </c>
      <c r="B1575" s="517" t="s">
        <v>1498</v>
      </c>
    </row>
    <row r="1576" spans="1:2" ht="15" hidden="1" x14ac:dyDescent="0.25">
      <c r="A1576" s="517" t="s">
        <v>1499</v>
      </c>
      <c r="B1576" s="517" t="s">
        <v>1499</v>
      </c>
    </row>
    <row r="1577" spans="1:2" ht="15" hidden="1" x14ac:dyDescent="0.25">
      <c r="A1577" s="517" t="s">
        <v>1500</v>
      </c>
      <c r="B1577" s="517" t="s">
        <v>1500</v>
      </c>
    </row>
    <row r="1578" spans="1:2" ht="15" hidden="1" x14ac:dyDescent="0.25">
      <c r="A1578" s="517" t="s">
        <v>1500</v>
      </c>
      <c r="B1578" s="517" t="s">
        <v>1500</v>
      </c>
    </row>
    <row r="1579" spans="1:2" ht="15" hidden="1" x14ac:dyDescent="0.25">
      <c r="A1579" s="517" t="s">
        <v>1501</v>
      </c>
      <c r="B1579" s="517" t="s">
        <v>1501</v>
      </c>
    </row>
    <row r="1580" spans="1:2" ht="15" hidden="1" x14ac:dyDescent="0.25">
      <c r="A1580" s="517" t="s">
        <v>1502</v>
      </c>
      <c r="B1580" s="517" t="s">
        <v>1502</v>
      </c>
    </row>
    <row r="1581" spans="1:2" ht="15" hidden="1" x14ac:dyDescent="0.25">
      <c r="A1581" s="517" t="s">
        <v>1503</v>
      </c>
      <c r="B1581" s="517" t="s">
        <v>1503</v>
      </c>
    </row>
    <row r="1582" spans="1:2" ht="15" hidden="1" x14ac:dyDescent="0.25">
      <c r="A1582" s="517" t="s">
        <v>1503</v>
      </c>
      <c r="B1582" s="517" t="s">
        <v>1503</v>
      </c>
    </row>
    <row r="1583" spans="1:2" ht="15" hidden="1" x14ac:dyDescent="0.25">
      <c r="A1583" s="517" t="s">
        <v>1504</v>
      </c>
      <c r="B1583" s="517" t="s">
        <v>1504</v>
      </c>
    </row>
    <row r="1584" spans="1:2" ht="15" hidden="1" x14ac:dyDescent="0.25">
      <c r="A1584" s="517" t="s">
        <v>1505</v>
      </c>
      <c r="B1584" s="517" t="s">
        <v>1505</v>
      </c>
    </row>
    <row r="1585" spans="1:2" ht="15" hidden="1" x14ac:dyDescent="0.25">
      <c r="A1585" s="517" t="s">
        <v>1505</v>
      </c>
      <c r="B1585" s="517" t="s">
        <v>1505</v>
      </c>
    </row>
    <row r="1586" spans="1:2" ht="15" hidden="1" x14ac:dyDescent="0.25">
      <c r="A1586" s="517" t="s">
        <v>1506</v>
      </c>
      <c r="B1586" s="517" t="s">
        <v>1506</v>
      </c>
    </row>
    <row r="1587" spans="1:2" ht="15" hidden="1" x14ac:dyDescent="0.25">
      <c r="A1587" s="517" t="s">
        <v>1507</v>
      </c>
      <c r="B1587" s="517" t="s">
        <v>1507</v>
      </c>
    </row>
    <row r="1588" spans="1:2" ht="15" hidden="1" x14ac:dyDescent="0.25">
      <c r="A1588" s="517" t="s">
        <v>1507</v>
      </c>
      <c r="B1588" s="517" t="s">
        <v>1507</v>
      </c>
    </row>
    <row r="1589" spans="1:2" ht="15" hidden="1" x14ac:dyDescent="0.25">
      <c r="A1589" s="517" t="s">
        <v>1508</v>
      </c>
      <c r="B1589" s="517" t="s">
        <v>1508</v>
      </c>
    </row>
    <row r="1590" spans="1:2" ht="15" hidden="1" x14ac:dyDescent="0.25">
      <c r="A1590" s="517" t="s">
        <v>1509</v>
      </c>
      <c r="B1590" s="517" t="s">
        <v>1509</v>
      </c>
    </row>
    <row r="1591" spans="1:2" ht="15" hidden="1" x14ac:dyDescent="0.25">
      <c r="A1591" s="517" t="s">
        <v>1510</v>
      </c>
      <c r="B1591" s="517" t="s">
        <v>1510</v>
      </c>
    </row>
    <row r="1592" spans="1:2" ht="15" hidden="1" x14ac:dyDescent="0.25">
      <c r="A1592" s="517" t="s">
        <v>1511</v>
      </c>
      <c r="B1592" s="517" t="s">
        <v>1511</v>
      </c>
    </row>
    <row r="1593" spans="1:2" ht="15" hidden="1" x14ac:dyDescent="0.25">
      <c r="A1593" s="517" t="s">
        <v>1511</v>
      </c>
      <c r="B1593" s="517" t="s">
        <v>1511</v>
      </c>
    </row>
    <row r="1594" spans="1:2" ht="15" hidden="1" x14ac:dyDescent="0.25">
      <c r="A1594" s="517" t="s">
        <v>1512</v>
      </c>
      <c r="B1594" s="517" t="s">
        <v>1512</v>
      </c>
    </row>
    <row r="1595" spans="1:2" ht="15" hidden="1" x14ac:dyDescent="0.25">
      <c r="A1595" s="517" t="s">
        <v>1512</v>
      </c>
      <c r="B1595" s="517" t="s">
        <v>1512</v>
      </c>
    </row>
    <row r="1596" spans="1:2" ht="15" hidden="1" x14ac:dyDescent="0.25">
      <c r="A1596" s="517" t="s">
        <v>1513</v>
      </c>
      <c r="B1596" s="517" t="s">
        <v>1513</v>
      </c>
    </row>
    <row r="1597" spans="1:2" ht="15" hidden="1" x14ac:dyDescent="0.25">
      <c r="A1597" s="517" t="s">
        <v>1514</v>
      </c>
      <c r="B1597" s="517" t="s">
        <v>1514</v>
      </c>
    </row>
    <row r="1598" spans="1:2" ht="15" hidden="1" x14ac:dyDescent="0.25">
      <c r="A1598" s="517" t="s">
        <v>1515</v>
      </c>
      <c r="B1598" s="517" t="s">
        <v>1515</v>
      </c>
    </row>
    <row r="1599" spans="1:2" ht="15" hidden="1" x14ac:dyDescent="0.25">
      <c r="A1599" s="517" t="s">
        <v>1516</v>
      </c>
      <c r="B1599" s="517" t="s">
        <v>1516</v>
      </c>
    </row>
    <row r="1600" spans="1:2" ht="15" hidden="1" x14ac:dyDescent="0.25">
      <c r="A1600" s="517" t="s">
        <v>1517</v>
      </c>
      <c r="B1600" s="517" t="s">
        <v>1517</v>
      </c>
    </row>
    <row r="1601" spans="1:2" ht="15" hidden="1" x14ac:dyDescent="0.25">
      <c r="A1601" s="517" t="s">
        <v>1518</v>
      </c>
      <c r="B1601" s="517" t="s">
        <v>1518</v>
      </c>
    </row>
    <row r="1602" spans="1:2" ht="15" hidden="1" x14ac:dyDescent="0.25">
      <c r="A1602" s="517" t="s">
        <v>1518</v>
      </c>
      <c r="B1602" s="517" t="s">
        <v>1518</v>
      </c>
    </row>
    <row r="1603" spans="1:2" ht="15" hidden="1" x14ac:dyDescent="0.25">
      <c r="A1603" s="517" t="s">
        <v>1519</v>
      </c>
      <c r="B1603" s="517" t="s">
        <v>1519</v>
      </c>
    </row>
    <row r="1604" spans="1:2" ht="15" hidden="1" x14ac:dyDescent="0.25">
      <c r="A1604" s="517" t="s">
        <v>1519</v>
      </c>
      <c r="B1604" s="517" t="s">
        <v>1519</v>
      </c>
    </row>
    <row r="1605" spans="1:2" ht="15" hidden="1" x14ac:dyDescent="0.25">
      <c r="A1605" s="517" t="s">
        <v>1520</v>
      </c>
      <c r="B1605" s="517" t="s">
        <v>1520</v>
      </c>
    </row>
    <row r="1606" spans="1:2" ht="15" hidden="1" x14ac:dyDescent="0.25">
      <c r="A1606" s="517" t="s">
        <v>1520</v>
      </c>
      <c r="B1606" s="517" t="s">
        <v>1520</v>
      </c>
    </row>
    <row r="1607" spans="1:2" ht="15" hidden="1" x14ac:dyDescent="0.25">
      <c r="A1607" s="517" t="s">
        <v>1521</v>
      </c>
      <c r="B1607" s="517" t="s">
        <v>1521</v>
      </c>
    </row>
    <row r="1608" spans="1:2" ht="15" hidden="1" x14ac:dyDescent="0.25">
      <c r="A1608" s="517" t="s">
        <v>1522</v>
      </c>
      <c r="B1608" s="517" t="s">
        <v>1522</v>
      </c>
    </row>
    <row r="1609" spans="1:2" ht="15" hidden="1" x14ac:dyDescent="0.25">
      <c r="A1609" s="517" t="s">
        <v>1523</v>
      </c>
      <c r="B1609" s="517" t="s">
        <v>1523</v>
      </c>
    </row>
    <row r="1610" spans="1:2" ht="15" hidden="1" x14ac:dyDescent="0.25">
      <c r="A1610" s="517" t="s">
        <v>1524</v>
      </c>
      <c r="B1610" s="517" t="s">
        <v>1524</v>
      </c>
    </row>
    <row r="1611" spans="1:2" ht="15" hidden="1" x14ac:dyDescent="0.25">
      <c r="A1611" s="517" t="s">
        <v>1525</v>
      </c>
      <c r="B1611" s="517" t="s">
        <v>1525</v>
      </c>
    </row>
    <row r="1612" spans="1:2" ht="15" hidden="1" x14ac:dyDescent="0.25">
      <c r="A1612" s="517" t="s">
        <v>1526</v>
      </c>
      <c r="B1612" s="517" t="s">
        <v>1526</v>
      </c>
    </row>
    <row r="1613" spans="1:2" ht="15" hidden="1" x14ac:dyDescent="0.25">
      <c r="A1613" s="517" t="s">
        <v>1527</v>
      </c>
      <c r="B1613" s="517" t="s">
        <v>1527</v>
      </c>
    </row>
    <row r="1614" spans="1:2" ht="15" hidden="1" x14ac:dyDescent="0.25">
      <c r="A1614" s="517" t="s">
        <v>1528</v>
      </c>
      <c r="B1614" s="517" t="s">
        <v>1528</v>
      </c>
    </row>
    <row r="1615" spans="1:2" ht="15" hidden="1" x14ac:dyDescent="0.25">
      <c r="A1615" s="517" t="s">
        <v>1529</v>
      </c>
      <c r="B1615" s="517" t="s">
        <v>1529</v>
      </c>
    </row>
    <row r="1616" spans="1:2" ht="15" hidden="1" x14ac:dyDescent="0.25">
      <c r="A1616" s="517" t="s">
        <v>1530</v>
      </c>
      <c r="B1616" s="517" t="s">
        <v>1530</v>
      </c>
    </row>
    <row r="1617" spans="1:2" ht="15" hidden="1" x14ac:dyDescent="0.25">
      <c r="A1617" s="517" t="s">
        <v>1530</v>
      </c>
      <c r="B1617" s="517" t="s">
        <v>1530</v>
      </c>
    </row>
    <row r="1618" spans="1:2" ht="15" hidden="1" x14ac:dyDescent="0.25">
      <c r="A1618" s="517" t="s">
        <v>1531</v>
      </c>
      <c r="B1618" s="517" t="s">
        <v>1531</v>
      </c>
    </row>
    <row r="1619" spans="1:2" ht="15" hidden="1" x14ac:dyDescent="0.25">
      <c r="A1619" s="517" t="s">
        <v>1532</v>
      </c>
      <c r="B1619" s="517" t="s">
        <v>1532</v>
      </c>
    </row>
    <row r="1620" spans="1:2" ht="15" hidden="1" x14ac:dyDescent="0.25">
      <c r="A1620" s="517" t="s">
        <v>1533</v>
      </c>
      <c r="B1620" s="517" t="s">
        <v>1533</v>
      </c>
    </row>
    <row r="1621" spans="1:2" ht="15" hidden="1" x14ac:dyDescent="0.25">
      <c r="A1621" s="517" t="s">
        <v>1534</v>
      </c>
      <c r="B1621" s="517" t="s">
        <v>1534</v>
      </c>
    </row>
    <row r="1622" spans="1:2" ht="15" hidden="1" x14ac:dyDescent="0.25">
      <c r="A1622" s="517" t="s">
        <v>1535</v>
      </c>
      <c r="B1622" s="517" t="s">
        <v>1535</v>
      </c>
    </row>
    <row r="1623" spans="1:2" ht="15" hidden="1" x14ac:dyDescent="0.25">
      <c r="A1623" s="517" t="s">
        <v>1535</v>
      </c>
      <c r="B1623" s="517" t="s">
        <v>1535</v>
      </c>
    </row>
    <row r="1624" spans="1:2" ht="15" hidden="1" x14ac:dyDescent="0.25">
      <c r="A1624" s="517" t="s">
        <v>1536</v>
      </c>
      <c r="B1624" s="517" t="s">
        <v>1536</v>
      </c>
    </row>
    <row r="1625" spans="1:2" ht="15" hidden="1" x14ac:dyDescent="0.25">
      <c r="A1625" s="517" t="s">
        <v>1536</v>
      </c>
      <c r="B1625" s="517" t="s">
        <v>1536</v>
      </c>
    </row>
    <row r="1626" spans="1:2" ht="15" hidden="1" x14ac:dyDescent="0.25">
      <c r="A1626" s="517" t="s">
        <v>1537</v>
      </c>
      <c r="B1626" s="517" t="s">
        <v>1537</v>
      </c>
    </row>
    <row r="1627" spans="1:2" ht="15" hidden="1" x14ac:dyDescent="0.25">
      <c r="A1627" s="517" t="s">
        <v>1538</v>
      </c>
      <c r="B1627" s="517" t="s">
        <v>1538</v>
      </c>
    </row>
    <row r="1628" spans="1:2" ht="15" hidden="1" x14ac:dyDescent="0.25">
      <c r="A1628" s="517" t="s">
        <v>1539</v>
      </c>
      <c r="B1628" s="517" t="s">
        <v>1539</v>
      </c>
    </row>
    <row r="1629" spans="1:2" ht="15" hidden="1" x14ac:dyDescent="0.25">
      <c r="A1629" s="517" t="s">
        <v>1539</v>
      </c>
      <c r="B1629" s="517" t="s">
        <v>1539</v>
      </c>
    </row>
    <row r="1630" spans="1:2" ht="15" hidden="1" x14ac:dyDescent="0.25">
      <c r="A1630" s="517" t="s">
        <v>1540</v>
      </c>
      <c r="B1630" s="517" t="s">
        <v>1540</v>
      </c>
    </row>
    <row r="1631" spans="1:2" ht="15" hidden="1" x14ac:dyDescent="0.25">
      <c r="A1631" s="517" t="s">
        <v>1541</v>
      </c>
      <c r="B1631" s="517" t="s">
        <v>1542</v>
      </c>
    </row>
    <row r="1632" spans="1:2" ht="15" hidden="1" x14ac:dyDescent="0.25">
      <c r="A1632" s="517" t="s">
        <v>1543</v>
      </c>
      <c r="B1632" s="517" t="s">
        <v>1544</v>
      </c>
    </row>
    <row r="1633" spans="1:2" ht="15" hidden="1" x14ac:dyDescent="0.25">
      <c r="A1633" s="517" t="s">
        <v>1545</v>
      </c>
      <c r="B1633" s="517" t="s">
        <v>1546</v>
      </c>
    </row>
    <row r="1634" spans="1:2" ht="15" hidden="1" x14ac:dyDescent="0.25">
      <c r="A1634" s="517" t="s">
        <v>1545</v>
      </c>
      <c r="B1634" s="517" t="s">
        <v>1546</v>
      </c>
    </row>
    <row r="1635" spans="1:2" ht="15" hidden="1" x14ac:dyDescent="0.25">
      <c r="A1635" s="517" t="s">
        <v>1547</v>
      </c>
      <c r="B1635" s="517" t="s">
        <v>1548</v>
      </c>
    </row>
    <row r="1636" spans="1:2" ht="15" hidden="1" x14ac:dyDescent="0.25">
      <c r="A1636" s="517" t="s">
        <v>1549</v>
      </c>
      <c r="B1636" s="517" t="s">
        <v>1550</v>
      </c>
    </row>
    <row r="1637" spans="1:2" ht="15" hidden="1" x14ac:dyDescent="0.25">
      <c r="A1637" s="517" t="s">
        <v>1549</v>
      </c>
      <c r="B1637" s="517" t="s">
        <v>1550</v>
      </c>
    </row>
    <row r="1638" spans="1:2" ht="15" hidden="1" x14ac:dyDescent="0.25">
      <c r="A1638" s="517" t="s">
        <v>1549</v>
      </c>
      <c r="B1638" s="517" t="s">
        <v>1550</v>
      </c>
    </row>
    <row r="1639" spans="1:2" ht="15" hidden="1" x14ac:dyDescent="0.25">
      <c r="A1639" s="517" t="s">
        <v>1551</v>
      </c>
      <c r="B1639" s="517" t="s">
        <v>1491</v>
      </c>
    </row>
    <row r="1640" spans="1:2" ht="15" hidden="1" x14ac:dyDescent="0.25">
      <c r="A1640" s="517" t="s">
        <v>1552</v>
      </c>
      <c r="B1640" s="517" t="s">
        <v>1553</v>
      </c>
    </row>
    <row r="1641" spans="1:2" ht="15" hidden="1" x14ac:dyDescent="0.25">
      <c r="A1641" s="517" t="s">
        <v>1554</v>
      </c>
      <c r="B1641" s="517" t="s">
        <v>68</v>
      </c>
    </row>
    <row r="1642" spans="1:2" ht="15" hidden="1" x14ac:dyDescent="0.25">
      <c r="A1642" s="517" t="s">
        <v>1554</v>
      </c>
      <c r="B1642" s="517" t="s">
        <v>68</v>
      </c>
    </row>
    <row r="1643" spans="1:2" ht="15" hidden="1" x14ac:dyDescent="0.25">
      <c r="A1643" s="517" t="s">
        <v>1555</v>
      </c>
      <c r="B1643" s="517" t="s">
        <v>1556</v>
      </c>
    </row>
    <row r="1644" spans="1:2" ht="15" hidden="1" x14ac:dyDescent="0.25">
      <c r="A1644" s="517" t="s">
        <v>1557</v>
      </c>
      <c r="B1644" s="517" t="s">
        <v>1558</v>
      </c>
    </row>
    <row r="1645" spans="1:2" ht="15" hidden="1" x14ac:dyDescent="0.25">
      <c r="A1645" s="517" t="s">
        <v>1559</v>
      </c>
      <c r="B1645" s="517" t="s">
        <v>1560</v>
      </c>
    </row>
    <row r="1646" spans="1:2" ht="15" hidden="1" x14ac:dyDescent="0.25">
      <c r="A1646" s="517" t="s">
        <v>1561</v>
      </c>
      <c r="B1646" s="517" t="s">
        <v>1562</v>
      </c>
    </row>
    <row r="1647" spans="1:2" ht="15" hidden="1" x14ac:dyDescent="0.25">
      <c r="A1647" s="517" t="s">
        <v>1563</v>
      </c>
      <c r="B1647" s="517" t="s">
        <v>1564</v>
      </c>
    </row>
    <row r="1648" spans="1:2" ht="15" hidden="1" x14ac:dyDescent="0.25">
      <c r="A1648" s="517" t="s">
        <v>1565</v>
      </c>
      <c r="B1648" s="517" t="s">
        <v>1566</v>
      </c>
    </row>
    <row r="1649" spans="1:2" ht="15" hidden="1" x14ac:dyDescent="0.25">
      <c r="A1649" s="517" t="s">
        <v>1567</v>
      </c>
      <c r="B1649" s="517" t="s">
        <v>1568</v>
      </c>
    </row>
    <row r="1650" spans="1:2" ht="15" hidden="1" x14ac:dyDescent="0.25">
      <c r="A1650" s="517" t="s">
        <v>1567</v>
      </c>
      <c r="B1650" s="517" t="s">
        <v>1568</v>
      </c>
    </row>
    <row r="1651" spans="1:2" ht="15" hidden="1" x14ac:dyDescent="0.25">
      <c r="A1651" s="517" t="s">
        <v>1569</v>
      </c>
      <c r="B1651" s="517" t="s">
        <v>1570</v>
      </c>
    </row>
    <row r="1652" spans="1:2" ht="15" hidden="1" x14ac:dyDescent="0.25">
      <c r="A1652" s="517" t="s">
        <v>1571</v>
      </c>
      <c r="B1652" s="517" t="s">
        <v>1572</v>
      </c>
    </row>
    <row r="1653" spans="1:2" ht="15" hidden="1" x14ac:dyDescent="0.25">
      <c r="A1653" s="517" t="s">
        <v>1573</v>
      </c>
      <c r="B1653" s="517" t="s">
        <v>1574</v>
      </c>
    </row>
    <row r="1654" spans="1:2" ht="15" hidden="1" x14ac:dyDescent="0.25">
      <c r="A1654" s="517" t="s">
        <v>1573</v>
      </c>
      <c r="B1654" s="517" t="s">
        <v>1574</v>
      </c>
    </row>
    <row r="1655" spans="1:2" ht="15" hidden="1" x14ac:dyDescent="0.25">
      <c r="A1655" s="517" t="s">
        <v>1575</v>
      </c>
      <c r="B1655" s="517" t="s">
        <v>1576</v>
      </c>
    </row>
    <row r="1656" spans="1:2" ht="15" hidden="1" x14ac:dyDescent="0.25">
      <c r="A1656" s="517" t="s">
        <v>1577</v>
      </c>
      <c r="B1656" s="517" t="s">
        <v>1578</v>
      </c>
    </row>
    <row r="1657" spans="1:2" ht="15" hidden="1" x14ac:dyDescent="0.25">
      <c r="A1657" s="517" t="s">
        <v>1577</v>
      </c>
      <c r="B1657" s="517" t="s">
        <v>1578</v>
      </c>
    </row>
    <row r="1658" spans="1:2" ht="15" hidden="1" x14ac:dyDescent="0.25">
      <c r="A1658" s="517" t="s">
        <v>1579</v>
      </c>
      <c r="B1658" s="517" t="s">
        <v>1580</v>
      </c>
    </row>
    <row r="1659" spans="1:2" ht="15" hidden="1" x14ac:dyDescent="0.25">
      <c r="A1659" s="517" t="s">
        <v>1581</v>
      </c>
      <c r="B1659" s="517" t="s">
        <v>1582</v>
      </c>
    </row>
    <row r="1660" spans="1:2" ht="15" hidden="1" x14ac:dyDescent="0.25">
      <c r="A1660" s="517" t="s">
        <v>1583</v>
      </c>
      <c r="B1660" s="517" t="s">
        <v>1584</v>
      </c>
    </row>
    <row r="1661" spans="1:2" ht="15" hidden="1" x14ac:dyDescent="0.25">
      <c r="A1661" s="517" t="s">
        <v>1585</v>
      </c>
      <c r="B1661" s="517" t="s">
        <v>1586</v>
      </c>
    </row>
    <row r="1662" spans="1:2" ht="15" hidden="1" x14ac:dyDescent="0.25">
      <c r="A1662" s="517" t="s">
        <v>1587</v>
      </c>
      <c r="B1662" s="517" t="s">
        <v>1588</v>
      </c>
    </row>
    <row r="1663" spans="1:2" ht="15" hidden="1" x14ac:dyDescent="0.25">
      <c r="A1663" s="517" t="s">
        <v>1589</v>
      </c>
      <c r="B1663" s="517" t="s">
        <v>1590</v>
      </c>
    </row>
    <row r="1664" spans="1:2" ht="15" hidden="1" x14ac:dyDescent="0.25">
      <c r="A1664" s="517" t="s">
        <v>1591</v>
      </c>
      <c r="B1664" s="517" t="s">
        <v>1592</v>
      </c>
    </row>
    <row r="1665" spans="1:2" ht="15" hidden="1" x14ac:dyDescent="0.25">
      <c r="A1665" s="517" t="s">
        <v>1591</v>
      </c>
      <c r="B1665" s="517" t="s">
        <v>1592</v>
      </c>
    </row>
    <row r="1666" spans="1:2" ht="15" hidden="1" x14ac:dyDescent="0.25">
      <c r="A1666" s="517" t="s">
        <v>1593</v>
      </c>
      <c r="B1666" s="517" t="s">
        <v>1594</v>
      </c>
    </row>
    <row r="1667" spans="1:2" ht="15" hidden="1" x14ac:dyDescent="0.25">
      <c r="A1667" s="517" t="s">
        <v>1595</v>
      </c>
      <c r="B1667" s="517" t="s">
        <v>1596</v>
      </c>
    </row>
    <row r="1668" spans="1:2" ht="15" hidden="1" x14ac:dyDescent="0.25">
      <c r="A1668" s="517" t="s">
        <v>1597</v>
      </c>
      <c r="B1668" s="517" t="s">
        <v>1598</v>
      </c>
    </row>
    <row r="1669" spans="1:2" ht="15" hidden="1" x14ac:dyDescent="0.25">
      <c r="A1669" s="517" t="s">
        <v>1599</v>
      </c>
      <c r="B1669" s="517" t="s">
        <v>1600</v>
      </c>
    </row>
    <row r="1670" spans="1:2" ht="15" hidden="1" x14ac:dyDescent="0.25">
      <c r="A1670" s="517" t="s">
        <v>1599</v>
      </c>
      <c r="B1670" s="517" t="s">
        <v>1600</v>
      </c>
    </row>
    <row r="1671" spans="1:2" ht="15" hidden="1" x14ac:dyDescent="0.25">
      <c r="A1671" s="517" t="s">
        <v>1601</v>
      </c>
      <c r="B1671" s="517" t="s">
        <v>1602</v>
      </c>
    </row>
    <row r="1672" spans="1:2" ht="15" hidden="1" x14ac:dyDescent="0.25">
      <c r="A1672" s="517" t="s">
        <v>1603</v>
      </c>
      <c r="B1672" s="517" t="s">
        <v>1604</v>
      </c>
    </row>
    <row r="1673" spans="1:2" ht="15" hidden="1" x14ac:dyDescent="0.25">
      <c r="A1673" s="517" t="s">
        <v>1605</v>
      </c>
      <c r="B1673" s="517" t="s">
        <v>1606</v>
      </c>
    </row>
    <row r="1674" spans="1:2" ht="15" hidden="1" x14ac:dyDescent="0.25">
      <c r="A1674" s="517" t="s">
        <v>1605</v>
      </c>
      <c r="B1674" s="517" t="s">
        <v>1606</v>
      </c>
    </row>
    <row r="1675" spans="1:2" ht="15" hidden="1" x14ac:dyDescent="0.25">
      <c r="A1675" s="517" t="s">
        <v>1607</v>
      </c>
      <c r="B1675" s="517" t="s">
        <v>1608</v>
      </c>
    </row>
    <row r="1676" spans="1:2" ht="15" hidden="1" x14ac:dyDescent="0.25">
      <c r="A1676" s="517" t="s">
        <v>1607</v>
      </c>
      <c r="B1676" s="517" t="s">
        <v>1608</v>
      </c>
    </row>
    <row r="1677" spans="1:2" ht="15" hidden="1" x14ac:dyDescent="0.25">
      <c r="A1677" s="517" t="s">
        <v>1609</v>
      </c>
      <c r="B1677" s="517" t="s">
        <v>1610</v>
      </c>
    </row>
    <row r="1678" spans="1:2" ht="15" hidden="1" x14ac:dyDescent="0.25">
      <c r="A1678" s="517" t="s">
        <v>1611</v>
      </c>
      <c r="B1678" s="517" t="s">
        <v>1612</v>
      </c>
    </row>
    <row r="1679" spans="1:2" ht="15" hidden="1" x14ac:dyDescent="0.25">
      <c r="A1679" s="517" t="s">
        <v>1613</v>
      </c>
      <c r="B1679" s="517" t="s">
        <v>1614</v>
      </c>
    </row>
    <row r="1680" spans="1:2" ht="15" hidden="1" x14ac:dyDescent="0.25">
      <c r="A1680" s="517" t="s">
        <v>1613</v>
      </c>
      <c r="B1680" s="517" t="s">
        <v>1614</v>
      </c>
    </row>
    <row r="1681" spans="1:2" ht="15" hidden="1" x14ac:dyDescent="0.25">
      <c r="A1681" s="517" t="s">
        <v>1613</v>
      </c>
      <c r="B1681" s="517" t="s">
        <v>1614</v>
      </c>
    </row>
    <row r="1682" spans="1:2" ht="15" hidden="1" x14ac:dyDescent="0.25">
      <c r="A1682" s="517" t="s">
        <v>1615</v>
      </c>
      <c r="B1682" s="517" t="s">
        <v>1616</v>
      </c>
    </row>
    <row r="1683" spans="1:2" ht="15" hidden="1" x14ac:dyDescent="0.25">
      <c r="A1683" s="517" t="s">
        <v>1617</v>
      </c>
      <c r="B1683" s="517" t="s">
        <v>1618</v>
      </c>
    </row>
    <row r="1684" spans="1:2" ht="15" hidden="1" x14ac:dyDescent="0.25">
      <c r="A1684" s="517" t="s">
        <v>1619</v>
      </c>
      <c r="B1684" s="517" t="s">
        <v>1620</v>
      </c>
    </row>
    <row r="1685" spans="1:2" ht="15" hidden="1" x14ac:dyDescent="0.25">
      <c r="A1685" s="517" t="s">
        <v>1621</v>
      </c>
      <c r="B1685" s="517" t="s">
        <v>1622</v>
      </c>
    </row>
    <row r="1686" spans="1:2" ht="15" hidden="1" x14ac:dyDescent="0.25">
      <c r="A1686" s="517" t="s">
        <v>1623</v>
      </c>
      <c r="B1686" s="517" t="s">
        <v>1624</v>
      </c>
    </row>
    <row r="1687" spans="1:2" ht="15" hidden="1" x14ac:dyDescent="0.25">
      <c r="A1687" s="517" t="s">
        <v>1625</v>
      </c>
      <c r="B1687" s="517" t="s">
        <v>1626</v>
      </c>
    </row>
    <row r="1688" spans="1:2" ht="15" hidden="1" x14ac:dyDescent="0.25">
      <c r="A1688" s="517" t="s">
        <v>1625</v>
      </c>
      <c r="B1688" s="517" t="s">
        <v>1626</v>
      </c>
    </row>
    <row r="1689" spans="1:2" ht="15" hidden="1" x14ac:dyDescent="0.25">
      <c r="A1689" s="517" t="s">
        <v>1627</v>
      </c>
      <c r="B1689" s="517" t="s">
        <v>1628</v>
      </c>
    </row>
    <row r="1690" spans="1:2" ht="15" hidden="1" x14ac:dyDescent="0.25">
      <c r="A1690" s="517" t="s">
        <v>220</v>
      </c>
      <c r="B1690" s="517" t="s">
        <v>321</v>
      </c>
    </row>
    <row r="1691" spans="1:2" ht="15" hidden="1" x14ac:dyDescent="0.25">
      <c r="A1691" s="517" t="s">
        <v>220</v>
      </c>
      <c r="B1691" s="517" t="s">
        <v>321</v>
      </c>
    </row>
    <row r="1692" spans="1:2" ht="15" hidden="1" x14ac:dyDescent="0.25">
      <c r="A1692" s="517" t="s">
        <v>220</v>
      </c>
      <c r="B1692" s="517" t="s">
        <v>321</v>
      </c>
    </row>
    <row r="1693" spans="1:2" ht="15" hidden="1" x14ac:dyDescent="0.25">
      <c r="A1693" s="517" t="s">
        <v>220</v>
      </c>
      <c r="B1693" s="517" t="s">
        <v>321</v>
      </c>
    </row>
    <row r="1694" spans="1:2" ht="15" hidden="1" x14ac:dyDescent="0.25">
      <c r="A1694" s="517" t="s">
        <v>190</v>
      </c>
      <c r="B1694" s="517" t="s">
        <v>322</v>
      </c>
    </row>
    <row r="1695" spans="1:2" ht="15" hidden="1" x14ac:dyDescent="0.25">
      <c r="A1695" s="517" t="s">
        <v>190</v>
      </c>
      <c r="B1695" s="517" t="s">
        <v>322</v>
      </c>
    </row>
    <row r="1696" spans="1:2" ht="15" hidden="1" x14ac:dyDescent="0.25">
      <c r="A1696" s="517" t="s">
        <v>190</v>
      </c>
      <c r="B1696" s="517" t="s">
        <v>322</v>
      </c>
    </row>
    <row r="1697" spans="1:2" ht="15" hidden="1" x14ac:dyDescent="0.25">
      <c r="A1697" s="517" t="s">
        <v>190</v>
      </c>
      <c r="B1697" s="517" t="s">
        <v>322</v>
      </c>
    </row>
    <row r="1698" spans="1:2" ht="15" hidden="1" x14ac:dyDescent="0.25">
      <c r="A1698" s="517" t="s">
        <v>190</v>
      </c>
      <c r="B1698" s="517" t="s">
        <v>322</v>
      </c>
    </row>
    <row r="1699" spans="1:2" ht="15" hidden="1" x14ac:dyDescent="0.25">
      <c r="A1699" s="517" t="s">
        <v>190</v>
      </c>
      <c r="B1699" s="517" t="s">
        <v>322</v>
      </c>
    </row>
    <row r="1700" spans="1:2" ht="15" hidden="1" x14ac:dyDescent="0.25">
      <c r="A1700" s="517" t="s">
        <v>191</v>
      </c>
      <c r="B1700" s="517" t="s">
        <v>323</v>
      </c>
    </row>
    <row r="1701" spans="1:2" ht="15" hidden="1" x14ac:dyDescent="0.25">
      <c r="A1701" s="517" t="s">
        <v>1629</v>
      </c>
      <c r="B1701" s="517" t="s">
        <v>1630</v>
      </c>
    </row>
    <row r="1702" spans="1:2" ht="15" hidden="1" x14ac:dyDescent="0.25">
      <c r="A1702" s="517" t="s">
        <v>1629</v>
      </c>
      <c r="B1702" s="517" t="s">
        <v>1630</v>
      </c>
    </row>
    <row r="1703" spans="1:2" ht="15" hidden="1" x14ac:dyDescent="0.25">
      <c r="A1703" s="517" t="s">
        <v>1629</v>
      </c>
      <c r="B1703" s="517" t="s">
        <v>1630</v>
      </c>
    </row>
    <row r="1704" spans="1:2" ht="15" hidden="1" x14ac:dyDescent="0.25">
      <c r="A1704" s="517" t="s">
        <v>1629</v>
      </c>
      <c r="B1704" s="517" t="s">
        <v>1630</v>
      </c>
    </row>
    <row r="1705" spans="1:2" ht="15" hidden="1" x14ac:dyDescent="0.25">
      <c r="A1705" s="517" t="s">
        <v>192</v>
      </c>
      <c r="B1705" s="517" t="s">
        <v>324</v>
      </c>
    </row>
    <row r="1706" spans="1:2" ht="15" hidden="1" x14ac:dyDescent="0.25">
      <c r="A1706" s="517" t="s">
        <v>192</v>
      </c>
      <c r="B1706" s="517" t="s">
        <v>324</v>
      </c>
    </row>
    <row r="1707" spans="1:2" ht="15" hidden="1" x14ac:dyDescent="0.25">
      <c r="A1707" s="517" t="s">
        <v>192</v>
      </c>
      <c r="B1707" s="517" t="s">
        <v>324</v>
      </c>
    </row>
    <row r="1708" spans="1:2" ht="15" hidden="1" x14ac:dyDescent="0.25">
      <c r="A1708" s="517" t="s">
        <v>192</v>
      </c>
      <c r="B1708" s="517" t="s">
        <v>324</v>
      </c>
    </row>
    <row r="1709" spans="1:2" ht="15" hidden="1" x14ac:dyDescent="0.25">
      <c r="A1709" s="517" t="s">
        <v>192</v>
      </c>
      <c r="B1709" s="517" t="s">
        <v>324</v>
      </c>
    </row>
    <row r="1710" spans="1:2" ht="15" hidden="1" x14ac:dyDescent="0.25">
      <c r="A1710" s="517" t="s">
        <v>192</v>
      </c>
      <c r="B1710" s="517" t="s">
        <v>324</v>
      </c>
    </row>
    <row r="1711" spans="1:2" ht="15" hidden="1" x14ac:dyDescent="0.25">
      <c r="A1711" s="517" t="s">
        <v>407</v>
      </c>
      <c r="B1711" s="517" t="s">
        <v>408</v>
      </c>
    </row>
    <row r="1712" spans="1:2" ht="15" hidden="1" x14ac:dyDescent="0.25">
      <c r="A1712" s="517" t="s">
        <v>407</v>
      </c>
      <c r="B1712" s="517" t="s">
        <v>408</v>
      </c>
    </row>
    <row r="1713" spans="1:2" ht="15" hidden="1" x14ac:dyDescent="0.25">
      <c r="A1713" s="517" t="s">
        <v>407</v>
      </c>
      <c r="B1713" s="517" t="s">
        <v>408</v>
      </c>
    </row>
    <row r="1714" spans="1:2" ht="15" hidden="1" x14ac:dyDescent="0.25">
      <c r="A1714" s="517" t="s">
        <v>407</v>
      </c>
      <c r="B1714" s="517" t="s">
        <v>408</v>
      </c>
    </row>
    <row r="1715" spans="1:2" ht="15" hidden="1" x14ac:dyDescent="0.25">
      <c r="A1715" s="517" t="s">
        <v>1631</v>
      </c>
      <c r="B1715" s="517" t="s">
        <v>1632</v>
      </c>
    </row>
    <row r="1716" spans="1:2" ht="15" hidden="1" x14ac:dyDescent="0.25">
      <c r="A1716" s="517" t="s">
        <v>1467</v>
      </c>
      <c r="B1716" s="517" t="s">
        <v>1468</v>
      </c>
    </row>
    <row r="1717" spans="1:2" ht="15" hidden="1" x14ac:dyDescent="0.25">
      <c r="A1717" s="517" t="s">
        <v>1467</v>
      </c>
      <c r="B1717" s="517" t="s">
        <v>1468</v>
      </c>
    </row>
    <row r="1718" spans="1:2" ht="15" hidden="1" x14ac:dyDescent="0.25">
      <c r="A1718" s="518" t="s">
        <v>1467</v>
      </c>
      <c r="B1718" s="517" t="s">
        <v>1468</v>
      </c>
    </row>
    <row r="1719" spans="1:2" ht="15" hidden="1" x14ac:dyDescent="0.25">
      <c r="A1719" s="517" t="s">
        <v>1467</v>
      </c>
      <c r="B1719" s="517" t="s">
        <v>1468</v>
      </c>
    </row>
    <row r="1720" spans="1:2" ht="15" hidden="1" x14ac:dyDescent="0.25">
      <c r="A1720" s="517" t="s">
        <v>1467</v>
      </c>
      <c r="B1720" s="517" t="s">
        <v>1468</v>
      </c>
    </row>
    <row r="1721" spans="1:2" ht="15" hidden="1" x14ac:dyDescent="0.25">
      <c r="A1721" s="517" t="s">
        <v>193</v>
      </c>
      <c r="B1721" s="517" t="s">
        <v>325</v>
      </c>
    </row>
    <row r="1722" spans="1:2" ht="15" hidden="1" x14ac:dyDescent="0.25">
      <c r="A1722" s="517" t="s">
        <v>193</v>
      </c>
      <c r="B1722" s="517" t="s">
        <v>325</v>
      </c>
    </row>
    <row r="1723" spans="1:2" ht="15" hidden="1" x14ac:dyDescent="0.25">
      <c r="A1723" s="517" t="s">
        <v>193</v>
      </c>
      <c r="B1723" s="517" t="s">
        <v>325</v>
      </c>
    </row>
    <row r="1724" spans="1:2" ht="15" hidden="1" x14ac:dyDescent="0.25">
      <c r="A1724" s="517" t="s">
        <v>193</v>
      </c>
      <c r="B1724" s="517" t="s">
        <v>325</v>
      </c>
    </row>
    <row r="1725" spans="1:2" ht="15" hidden="1" x14ac:dyDescent="0.25">
      <c r="A1725" s="517" t="s">
        <v>193</v>
      </c>
      <c r="B1725" s="517" t="s">
        <v>325</v>
      </c>
    </row>
    <row r="1726" spans="1:2" ht="15" hidden="1" x14ac:dyDescent="0.25">
      <c r="A1726" s="517" t="s">
        <v>193</v>
      </c>
      <c r="B1726" s="517" t="s">
        <v>325</v>
      </c>
    </row>
    <row r="1727" spans="1:2" ht="15" hidden="1" x14ac:dyDescent="0.25">
      <c r="A1727" s="517" t="s">
        <v>193</v>
      </c>
      <c r="B1727" s="517" t="s">
        <v>325</v>
      </c>
    </row>
    <row r="1728" spans="1:2" ht="15" hidden="1" x14ac:dyDescent="0.25">
      <c r="A1728" s="517" t="s">
        <v>193</v>
      </c>
      <c r="B1728" s="517" t="s">
        <v>325</v>
      </c>
    </row>
    <row r="1729" spans="1:2" ht="15" hidden="1" x14ac:dyDescent="0.25">
      <c r="A1729" s="517" t="s">
        <v>193</v>
      </c>
      <c r="B1729" s="517" t="s">
        <v>325</v>
      </c>
    </row>
    <row r="1730" spans="1:2" ht="15" hidden="1" x14ac:dyDescent="0.25">
      <c r="A1730" s="517" t="s">
        <v>193</v>
      </c>
      <c r="B1730" s="517" t="s">
        <v>325</v>
      </c>
    </row>
    <row r="1731" spans="1:2" ht="15" hidden="1" x14ac:dyDescent="0.25">
      <c r="A1731" s="517" t="s">
        <v>193</v>
      </c>
      <c r="B1731" s="517" t="s">
        <v>325</v>
      </c>
    </row>
    <row r="1732" spans="1:2" ht="15" hidden="1" x14ac:dyDescent="0.25">
      <c r="A1732" s="517" t="s">
        <v>194</v>
      </c>
      <c r="B1732" s="517" t="s">
        <v>327</v>
      </c>
    </row>
    <row r="1733" spans="1:2" ht="15" hidden="1" x14ac:dyDescent="0.25">
      <c r="A1733" s="517" t="s">
        <v>194</v>
      </c>
      <c r="B1733" s="517" t="s">
        <v>327</v>
      </c>
    </row>
    <row r="1734" spans="1:2" ht="15" hidden="1" x14ac:dyDescent="0.25">
      <c r="A1734" s="517" t="s">
        <v>194</v>
      </c>
      <c r="B1734" s="517" t="s">
        <v>327</v>
      </c>
    </row>
    <row r="1735" spans="1:2" ht="15" hidden="1" x14ac:dyDescent="0.25">
      <c r="A1735" s="517" t="s">
        <v>194</v>
      </c>
      <c r="B1735" s="517" t="s">
        <v>327</v>
      </c>
    </row>
    <row r="1736" spans="1:2" ht="15" hidden="1" x14ac:dyDescent="0.25">
      <c r="A1736" s="517" t="s">
        <v>194</v>
      </c>
      <c r="B1736" s="517" t="s">
        <v>327</v>
      </c>
    </row>
    <row r="1737" spans="1:2" ht="15" hidden="1" x14ac:dyDescent="0.25">
      <c r="A1737" s="517" t="s">
        <v>194</v>
      </c>
      <c r="B1737" s="517" t="s">
        <v>327</v>
      </c>
    </row>
    <row r="1738" spans="1:2" ht="15" hidden="1" x14ac:dyDescent="0.25">
      <c r="A1738" s="517" t="s">
        <v>194</v>
      </c>
      <c r="B1738" s="517" t="s">
        <v>327</v>
      </c>
    </row>
    <row r="1739" spans="1:2" ht="15" hidden="1" x14ac:dyDescent="0.25">
      <c r="A1739" s="517" t="s">
        <v>194</v>
      </c>
      <c r="B1739" s="517" t="s">
        <v>327</v>
      </c>
    </row>
    <row r="1740" spans="1:2" ht="15" hidden="1" x14ac:dyDescent="0.25">
      <c r="A1740" s="517" t="s">
        <v>194</v>
      </c>
      <c r="B1740" s="517" t="s">
        <v>327</v>
      </c>
    </row>
    <row r="1741" spans="1:2" ht="15" hidden="1" x14ac:dyDescent="0.25">
      <c r="A1741" s="517" t="s">
        <v>194</v>
      </c>
      <c r="B1741" s="517" t="s">
        <v>327</v>
      </c>
    </row>
    <row r="1742" spans="1:2" ht="15" hidden="1" x14ac:dyDescent="0.25">
      <c r="A1742" s="517" t="s">
        <v>194</v>
      </c>
      <c r="B1742" s="517" t="s">
        <v>327</v>
      </c>
    </row>
    <row r="1743" spans="1:2" ht="15" hidden="1" x14ac:dyDescent="0.25">
      <c r="A1743" s="517" t="s">
        <v>194</v>
      </c>
      <c r="B1743" s="517" t="s">
        <v>327</v>
      </c>
    </row>
    <row r="1744" spans="1:2" ht="15" hidden="1" x14ac:dyDescent="0.25">
      <c r="A1744" s="517" t="s">
        <v>194</v>
      </c>
      <c r="B1744" s="517" t="s">
        <v>327</v>
      </c>
    </row>
    <row r="1745" spans="1:2" ht="15" hidden="1" x14ac:dyDescent="0.25">
      <c r="A1745" s="517" t="s">
        <v>194</v>
      </c>
      <c r="B1745" s="517" t="s">
        <v>327</v>
      </c>
    </row>
    <row r="1746" spans="1:2" ht="15" hidden="1" x14ac:dyDescent="0.25">
      <c r="A1746" s="517" t="s">
        <v>194</v>
      </c>
      <c r="B1746" s="517" t="s">
        <v>327</v>
      </c>
    </row>
    <row r="1747" spans="1:2" ht="15" hidden="1" x14ac:dyDescent="0.25">
      <c r="A1747" s="517" t="s">
        <v>194</v>
      </c>
      <c r="B1747" s="517" t="s">
        <v>327</v>
      </c>
    </row>
    <row r="1748" spans="1:2" ht="15" hidden="1" x14ac:dyDescent="0.25">
      <c r="A1748" s="517" t="s">
        <v>194</v>
      </c>
      <c r="B1748" s="517" t="s">
        <v>327</v>
      </c>
    </row>
    <row r="1749" spans="1:2" ht="15" hidden="1" x14ac:dyDescent="0.25">
      <c r="A1749" s="517" t="s">
        <v>194</v>
      </c>
      <c r="B1749" s="517" t="s">
        <v>327</v>
      </c>
    </row>
    <row r="1750" spans="1:2" ht="15" hidden="1" x14ac:dyDescent="0.25">
      <c r="A1750" s="517" t="s">
        <v>194</v>
      </c>
      <c r="B1750" s="517" t="s">
        <v>327</v>
      </c>
    </row>
    <row r="1751" spans="1:2" ht="15" hidden="1" x14ac:dyDescent="0.25">
      <c r="A1751" s="517" t="s">
        <v>194</v>
      </c>
      <c r="B1751" s="517" t="s">
        <v>327</v>
      </c>
    </row>
    <row r="1752" spans="1:2" ht="15" hidden="1" x14ac:dyDescent="0.25">
      <c r="A1752" s="517" t="s">
        <v>194</v>
      </c>
      <c r="B1752" s="517" t="s">
        <v>327</v>
      </c>
    </row>
    <row r="1753" spans="1:2" ht="15" hidden="1" x14ac:dyDescent="0.25">
      <c r="A1753" s="517" t="s">
        <v>222</v>
      </c>
      <c r="B1753" s="517" t="s">
        <v>328</v>
      </c>
    </row>
    <row r="1754" spans="1:2" ht="15" hidden="1" x14ac:dyDescent="0.25">
      <c r="A1754" s="517" t="s">
        <v>222</v>
      </c>
      <c r="B1754" s="517" t="s">
        <v>328</v>
      </c>
    </row>
    <row r="1755" spans="1:2" ht="15" hidden="1" x14ac:dyDescent="0.25">
      <c r="A1755" s="517" t="s">
        <v>195</v>
      </c>
      <c r="B1755" s="517" t="s">
        <v>329</v>
      </c>
    </row>
    <row r="1756" spans="1:2" ht="15" hidden="1" x14ac:dyDescent="0.25">
      <c r="A1756" s="517" t="s">
        <v>196</v>
      </c>
      <c r="B1756" s="517" t="s">
        <v>330</v>
      </c>
    </row>
    <row r="1757" spans="1:2" ht="15" hidden="1" x14ac:dyDescent="0.25">
      <c r="A1757" s="517" t="s">
        <v>196</v>
      </c>
      <c r="B1757" s="517" t="s">
        <v>330</v>
      </c>
    </row>
    <row r="1758" spans="1:2" ht="15" hidden="1" x14ac:dyDescent="0.25">
      <c r="A1758" s="517" t="s">
        <v>196</v>
      </c>
      <c r="B1758" s="517" t="s">
        <v>330</v>
      </c>
    </row>
    <row r="1759" spans="1:2" ht="15" hidden="1" x14ac:dyDescent="0.25">
      <c r="A1759" s="517" t="s">
        <v>196</v>
      </c>
      <c r="B1759" s="517" t="s">
        <v>330</v>
      </c>
    </row>
    <row r="1760" spans="1:2" ht="15" hidden="1" x14ac:dyDescent="0.25">
      <c r="A1760" s="517" t="s">
        <v>197</v>
      </c>
      <c r="B1760" s="517" t="s">
        <v>331</v>
      </c>
    </row>
    <row r="1761" spans="1:2" ht="15" hidden="1" x14ac:dyDescent="0.25">
      <c r="A1761" s="517" t="s">
        <v>197</v>
      </c>
      <c r="B1761" s="517" t="s">
        <v>331</v>
      </c>
    </row>
    <row r="1762" spans="1:2" ht="15" hidden="1" x14ac:dyDescent="0.25">
      <c r="A1762" s="517" t="s">
        <v>197</v>
      </c>
      <c r="B1762" s="517" t="s">
        <v>331</v>
      </c>
    </row>
    <row r="1763" spans="1:2" ht="15" hidden="1" x14ac:dyDescent="0.25">
      <c r="A1763" s="517" t="s">
        <v>197</v>
      </c>
      <c r="B1763" s="517" t="s">
        <v>331</v>
      </c>
    </row>
    <row r="1764" spans="1:2" ht="15" hidden="1" x14ac:dyDescent="0.25">
      <c r="A1764" s="517" t="s">
        <v>413</v>
      </c>
      <c r="B1764" s="517" t="s">
        <v>414</v>
      </c>
    </row>
    <row r="1765" spans="1:2" ht="15" hidden="1" x14ac:dyDescent="0.25">
      <c r="A1765" s="517" t="s">
        <v>1633</v>
      </c>
      <c r="B1765" s="517" t="s">
        <v>1634</v>
      </c>
    </row>
    <row r="1766" spans="1:2" ht="15" hidden="1" x14ac:dyDescent="0.25">
      <c r="A1766" s="517" t="s">
        <v>199</v>
      </c>
      <c r="B1766" s="517" t="s">
        <v>334</v>
      </c>
    </row>
    <row r="1767" spans="1:2" ht="15" hidden="1" x14ac:dyDescent="0.25">
      <c r="A1767" s="517" t="s">
        <v>199</v>
      </c>
      <c r="B1767" s="517" t="s">
        <v>334</v>
      </c>
    </row>
    <row r="1768" spans="1:2" ht="15" hidden="1" x14ac:dyDescent="0.25">
      <c r="A1768" s="517" t="s">
        <v>199</v>
      </c>
      <c r="B1768" s="517" t="s">
        <v>334</v>
      </c>
    </row>
    <row r="1769" spans="1:2" ht="15" hidden="1" x14ac:dyDescent="0.25">
      <c r="A1769" s="517" t="s">
        <v>1281</v>
      </c>
      <c r="B1769" s="517" t="s">
        <v>1282</v>
      </c>
    </row>
    <row r="1770" spans="1:2" ht="15" hidden="1" x14ac:dyDescent="0.25">
      <c r="A1770" s="517" t="s">
        <v>1281</v>
      </c>
      <c r="B1770" s="517" t="s">
        <v>1282</v>
      </c>
    </row>
    <row r="1771" spans="1:2" ht="15" hidden="1" x14ac:dyDescent="0.25">
      <c r="A1771" s="517" t="s">
        <v>1281</v>
      </c>
      <c r="B1771" s="517" t="s">
        <v>1282</v>
      </c>
    </row>
    <row r="1772" spans="1:2" ht="15" hidden="1" x14ac:dyDescent="0.25">
      <c r="A1772" s="517" t="s">
        <v>1281</v>
      </c>
      <c r="B1772" s="517" t="s">
        <v>1282</v>
      </c>
    </row>
    <row r="1773" spans="1:2" ht="15" hidden="1" x14ac:dyDescent="0.25">
      <c r="A1773" s="517" t="s">
        <v>1281</v>
      </c>
      <c r="B1773" s="517" t="s">
        <v>1282</v>
      </c>
    </row>
    <row r="1774" spans="1:2" ht="15" hidden="1" x14ac:dyDescent="0.25">
      <c r="A1774" s="517" t="s">
        <v>1281</v>
      </c>
      <c r="B1774" s="517" t="s">
        <v>1282</v>
      </c>
    </row>
    <row r="1775" spans="1:2" ht="15" hidden="1" x14ac:dyDescent="0.25">
      <c r="A1775" s="517" t="s">
        <v>1281</v>
      </c>
      <c r="B1775" s="517" t="s">
        <v>1282</v>
      </c>
    </row>
    <row r="1776" spans="1:2" ht="15" hidden="1" x14ac:dyDescent="0.25">
      <c r="A1776" s="517" t="s">
        <v>1281</v>
      </c>
      <c r="B1776" s="517" t="s">
        <v>1282</v>
      </c>
    </row>
    <row r="1777" spans="1:2" ht="15" hidden="1" x14ac:dyDescent="0.25">
      <c r="A1777" s="517" t="s">
        <v>1281</v>
      </c>
      <c r="B1777" s="517" t="s">
        <v>1282</v>
      </c>
    </row>
    <row r="1778" spans="1:2" ht="15" hidden="1" x14ac:dyDescent="0.25">
      <c r="A1778" s="517" t="s">
        <v>1281</v>
      </c>
      <c r="B1778" s="517" t="s">
        <v>1282</v>
      </c>
    </row>
    <row r="1779" spans="1:2" ht="15" hidden="1" x14ac:dyDescent="0.25">
      <c r="A1779" s="517" t="s">
        <v>1281</v>
      </c>
      <c r="B1779" s="517" t="s">
        <v>1282</v>
      </c>
    </row>
    <row r="1780" spans="1:2" ht="15" hidden="1" x14ac:dyDescent="0.25">
      <c r="A1780" s="517" t="s">
        <v>1281</v>
      </c>
      <c r="B1780" s="517" t="s">
        <v>1282</v>
      </c>
    </row>
    <row r="1781" spans="1:2" ht="15" hidden="1" x14ac:dyDescent="0.25">
      <c r="A1781" s="517" t="s">
        <v>1281</v>
      </c>
      <c r="B1781" s="517" t="s">
        <v>1282</v>
      </c>
    </row>
    <row r="1782" spans="1:2" ht="15" hidden="1" x14ac:dyDescent="0.25">
      <c r="A1782" s="517" t="s">
        <v>1635</v>
      </c>
      <c r="B1782" s="517" t="s">
        <v>1635</v>
      </c>
    </row>
    <row r="1783" spans="1:2" ht="15" hidden="1" x14ac:dyDescent="0.25">
      <c r="A1783" s="517" t="s">
        <v>1636</v>
      </c>
      <c r="B1783" s="517" t="s">
        <v>1636</v>
      </c>
    </row>
    <row r="1784" spans="1:2" ht="15" hidden="1" x14ac:dyDescent="0.25">
      <c r="A1784" s="517" t="s">
        <v>1637</v>
      </c>
      <c r="B1784" s="517" t="s">
        <v>1637</v>
      </c>
    </row>
    <row r="1785" spans="1:2" ht="15" hidden="1" x14ac:dyDescent="0.25">
      <c r="A1785" s="517" t="s">
        <v>1638</v>
      </c>
      <c r="B1785" s="517" t="s">
        <v>1638</v>
      </c>
    </row>
    <row r="1786" spans="1:2" ht="15" hidden="1" x14ac:dyDescent="0.25">
      <c r="A1786" s="517" t="s">
        <v>1639</v>
      </c>
      <c r="B1786" s="517" t="s">
        <v>1639</v>
      </c>
    </row>
    <row r="1787" spans="1:2" ht="15" hidden="1" x14ac:dyDescent="0.25">
      <c r="A1787" s="517" t="s">
        <v>1640</v>
      </c>
      <c r="B1787" s="517" t="s">
        <v>1640</v>
      </c>
    </row>
    <row r="1788" spans="1:2" ht="15" hidden="1" x14ac:dyDescent="0.25">
      <c r="A1788" s="517" t="s">
        <v>1641</v>
      </c>
      <c r="B1788" s="517" t="s">
        <v>1641</v>
      </c>
    </row>
    <row r="1789" spans="1:2" ht="15" hidden="1" x14ac:dyDescent="0.25">
      <c r="A1789" s="517" t="s">
        <v>1642</v>
      </c>
      <c r="B1789" s="517" t="s">
        <v>1642</v>
      </c>
    </row>
    <row r="1790" spans="1:2" ht="15" hidden="1" x14ac:dyDescent="0.25">
      <c r="A1790" s="517" t="s">
        <v>1643</v>
      </c>
      <c r="B1790" s="517" t="s">
        <v>1643</v>
      </c>
    </row>
    <row r="1791" spans="1:2" ht="15" hidden="1" x14ac:dyDescent="0.25">
      <c r="A1791" s="517" t="s">
        <v>1644</v>
      </c>
      <c r="B1791" s="517" t="s">
        <v>1644</v>
      </c>
    </row>
    <row r="1792" spans="1:2" ht="15" hidden="1" x14ac:dyDescent="0.25">
      <c r="A1792" s="517" t="s">
        <v>1645</v>
      </c>
      <c r="B1792" s="517" t="s">
        <v>1645</v>
      </c>
    </row>
    <row r="1793" spans="1:2" ht="15" hidden="1" x14ac:dyDescent="0.25">
      <c r="A1793" s="517" t="s">
        <v>1646</v>
      </c>
      <c r="B1793" s="517" t="s">
        <v>1646</v>
      </c>
    </row>
    <row r="1794" spans="1:2" ht="15" hidden="1" x14ac:dyDescent="0.25">
      <c r="A1794" s="517" t="s">
        <v>1647</v>
      </c>
      <c r="B1794" s="517" t="s">
        <v>1647</v>
      </c>
    </row>
    <row r="1795" spans="1:2" ht="15" hidden="1" x14ac:dyDescent="0.25">
      <c r="A1795" s="517" t="s">
        <v>1648</v>
      </c>
      <c r="B1795" s="517" t="s">
        <v>1648</v>
      </c>
    </row>
    <row r="1796" spans="1:2" ht="15" hidden="1" x14ac:dyDescent="0.25">
      <c r="A1796" s="517" t="s">
        <v>1649</v>
      </c>
      <c r="B1796" s="517" t="s">
        <v>1649</v>
      </c>
    </row>
    <row r="1797" spans="1:2" ht="15" hidden="1" x14ac:dyDescent="0.25">
      <c r="A1797" s="517" t="s">
        <v>1650</v>
      </c>
      <c r="B1797" s="517" t="s">
        <v>1650</v>
      </c>
    </row>
    <row r="1798" spans="1:2" ht="15" hidden="1" x14ac:dyDescent="0.25">
      <c r="A1798" s="517" t="s">
        <v>1651</v>
      </c>
      <c r="B1798" s="517" t="s">
        <v>1651</v>
      </c>
    </row>
    <row r="1799" spans="1:2" ht="15" hidden="1" x14ac:dyDescent="0.25">
      <c r="A1799" s="517" t="s">
        <v>1652</v>
      </c>
      <c r="B1799" s="517" t="s">
        <v>1652</v>
      </c>
    </row>
    <row r="1800" spans="1:2" ht="15" hidden="1" x14ac:dyDescent="0.25">
      <c r="A1800" s="517" t="s">
        <v>1653</v>
      </c>
      <c r="B1800" s="517" t="s">
        <v>1653</v>
      </c>
    </row>
    <row r="1801" spans="1:2" ht="15" hidden="1" x14ac:dyDescent="0.25">
      <c r="A1801" s="517" t="s">
        <v>1654</v>
      </c>
      <c r="B1801" s="517" t="s">
        <v>1654</v>
      </c>
    </row>
    <row r="1802" spans="1:2" ht="15" hidden="1" x14ac:dyDescent="0.25">
      <c r="A1802" s="517" t="s">
        <v>1655</v>
      </c>
      <c r="B1802" s="517" t="s">
        <v>1655</v>
      </c>
    </row>
    <row r="1803" spans="1:2" ht="15" hidden="1" x14ac:dyDescent="0.25">
      <c r="A1803" s="517" t="s">
        <v>1655</v>
      </c>
      <c r="B1803" s="517" t="s">
        <v>1655</v>
      </c>
    </row>
    <row r="1804" spans="1:2" ht="15" hidden="1" x14ac:dyDescent="0.25">
      <c r="A1804" s="517" t="s">
        <v>1656</v>
      </c>
      <c r="B1804" s="517" t="s">
        <v>1656</v>
      </c>
    </row>
    <row r="1805" spans="1:2" ht="15" hidden="1" x14ac:dyDescent="0.25">
      <c r="A1805" s="517" t="s">
        <v>1657</v>
      </c>
      <c r="B1805" s="517" t="s">
        <v>1657</v>
      </c>
    </row>
    <row r="1806" spans="1:2" ht="15" hidden="1" x14ac:dyDescent="0.25">
      <c r="A1806" s="517" t="s">
        <v>1658</v>
      </c>
      <c r="B1806" s="517" t="s">
        <v>1658</v>
      </c>
    </row>
    <row r="1807" spans="1:2" ht="15" hidden="1" x14ac:dyDescent="0.25">
      <c r="A1807" s="517" t="s">
        <v>1659</v>
      </c>
      <c r="B1807" s="517" t="s">
        <v>1659</v>
      </c>
    </row>
    <row r="1808" spans="1:2" ht="15" hidden="1" x14ac:dyDescent="0.25">
      <c r="A1808" s="517" t="s">
        <v>1660</v>
      </c>
      <c r="B1808" s="517" t="s">
        <v>1660</v>
      </c>
    </row>
    <row r="1809" spans="1:2" ht="15" hidden="1" x14ac:dyDescent="0.25">
      <c r="A1809" s="517" t="s">
        <v>1661</v>
      </c>
      <c r="B1809" s="517" t="s">
        <v>1661</v>
      </c>
    </row>
    <row r="1810" spans="1:2" ht="15" hidden="1" x14ac:dyDescent="0.25">
      <c r="A1810" s="517" t="s">
        <v>1662</v>
      </c>
      <c r="B1810" s="517" t="s">
        <v>1662</v>
      </c>
    </row>
    <row r="1811" spans="1:2" ht="15" hidden="1" x14ac:dyDescent="0.25">
      <c r="A1811" s="517" t="s">
        <v>1663</v>
      </c>
      <c r="B1811" s="517" t="s">
        <v>1663</v>
      </c>
    </row>
    <row r="1812" spans="1:2" ht="15" hidden="1" x14ac:dyDescent="0.25">
      <c r="A1812" s="517" t="s">
        <v>1664</v>
      </c>
      <c r="B1812" s="517" t="s">
        <v>1664</v>
      </c>
    </row>
    <row r="1813" spans="1:2" ht="15" hidden="1" x14ac:dyDescent="0.25">
      <c r="A1813" s="517" t="s">
        <v>1665</v>
      </c>
      <c r="B1813" s="517" t="s">
        <v>1665</v>
      </c>
    </row>
    <row r="1814" spans="1:2" ht="15" hidden="1" x14ac:dyDescent="0.25">
      <c r="A1814" s="517" t="s">
        <v>1666</v>
      </c>
      <c r="B1814" s="517" t="s">
        <v>1647</v>
      </c>
    </row>
    <row r="1815" spans="1:2" ht="15" hidden="1" x14ac:dyDescent="0.25">
      <c r="A1815" s="517" t="s">
        <v>1543</v>
      </c>
      <c r="B1815" s="517" t="s">
        <v>1544</v>
      </c>
    </row>
    <row r="1816" spans="1:2" ht="15" hidden="1" x14ac:dyDescent="0.25">
      <c r="A1816" s="517" t="s">
        <v>1667</v>
      </c>
      <c r="B1816" s="517" t="s">
        <v>1668</v>
      </c>
    </row>
    <row r="1817" spans="1:2" ht="15" hidden="1" x14ac:dyDescent="0.25">
      <c r="A1817" s="517" t="s">
        <v>216</v>
      </c>
      <c r="B1817" s="517" t="s">
        <v>364</v>
      </c>
    </row>
    <row r="1818" spans="1:2" ht="15" hidden="1" x14ac:dyDescent="0.25">
      <c r="A1818" s="517" t="s">
        <v>1086</v>
      </c>
      <c r="B1818" s="517" t="s">
        <v>1087</v>
      </c>
    </row>
    <row r="1819" spans="1:2" ht="15" hidden="1" x14ac:dyDescent="0.25">
      <c r="A1819" s="517" t="s">
        <v>1086</v>
      </c>
      <c r="B1819" s="517" t="s">
        <v>1087</v>
      </c>
    </row>
    <row r="1820" spans="1:2" ht="15" hidden="1" x14ac:dyDescent="0.25">
      <c r="A1820" s="517" t="s">
        <v>1086</v>
      </c>
      <c r="B1820" s="517" t="s">
        <v>1087</v>
      </c>
    </row>
    <row r="1821" spans="1:2" ht="15" hidden="1" x14ac:dyDescent="0.25">
      <c r="A1821" s="517" t="s">
        <v>1669</v>
      </c>
      <c r="B1821" s="517" t="s">
        <v>1670</v>
      </c>
    </row>
    <row r="1822" spans="1:2" ht="15" hidden="1" x14ac:dyDescent="0.25">
      <c r="A1822" s="517" t="s">
        <v>631</v>
      </c>
      <c r="B1822" s="517" t="s">
        <v>632</v>
      </c>
    </row>
    <row r="1823" spans="1:2" ht="15" hidden="1" x14ac:dyDescent="0.25">
      <c r="A1823" s="517" t="s">
        <v>1671</v>
      </c>
      <c r="B1823" s="517" t="s">
        <v>1672</v>
      </c>
    </row>
    <row r="1824" spans="1:2" ht="15" hidden="1" x14ac:dyDescent="0.25">
      <c r="A1824" s="517" t="s">
        <v>1671</v>
      </c>
      <c r="B1824" s="517" t="s">
        <v>1672</v>
      </c>
    </row>
    <row r="1825" spans="1:2" ht="15" hidden="1" x14ac:dyDescent="0.25">
      <c r="A1825" s="517" t="s">
        <v>1671</v>
      </c>
      <c r="B1825" s="517" t="s">
        <v>1672</v>
      </c>
    </row>
    <row r="1826" spans="1:2" ht="15" hidden="1" x14ac:dyDescent="0.25">
      <c r="A1826" s="517" t="s">
        <v>1671</v>
      </c>
      <c r="B1826" s="517" t="s">
        <v>1672</v>
      </c>
    </row>
    <row r="1827" spans="1:2" ht="15" hidden="1" x14ac:dyDescent="0.25">
      <c r="A1827" s="517" t="s">
        <v>1673</v>
      </c>
      <c r="B1827" s="517" t="s">
        <v>1674</v>
      </c>
    </row>
    <row r="1828" spans="1:2" ht="15" hidden="1" x14ac:dyDescent="0.25">
      <c r="A1828" s="517" t="s">
        <v>1675</v>
      </c>
      <c r="B1828" s="517" t="s">
        <v>1676</v>
      </c>
    </row>
    <row r="1829" spans="1:2" ht="15" hidden="1" x14ac:dyDescent="0.25">
      <c r="A1829" s="517" t="s">
        <v>228</v>
      </c>
      <c r="B1829" s="517" t="s">
        <v>373</v>
      </c>
    </row>
    <row r="1830" spans="1:2" ht="15" hidden="1" x14ac:dyDescent="0.25">
      <c r="A1830" s="517" t="s">
        <v>228</v>
      </c>
      <c r="B1830" s="517" t="s">
        <v>373</v>
      </c>
    </row>
    <row r="1831" spans="1:2" ht="15" hidden="1" x14ac:dyDescent="0.25">
      <c r="A1831" s="517" t="s">
        <v>1677</v>
      </c>
      <c r="B1831" s="517" t="s">
        <v>1678</v>
      </c>
    </row>
    <row r="1832" spans="1:2" ht="15" hidden="1" x14ac:dyDescent="0.25">
      <c r="A1832" s="517" t="s">
        <v>1677</v>
      </c>
      <c r="B1832" s="517" t="s">
        <v>1678</v>
      </c>
    </row>
    <row r="1833" spans="1:2" ht="15" hidden="1" x14ac:dyDescent="0.25">
      <c r="A1833" s="517" t="s">
        <v>1679</v>
      </c>
      <c r="B1833" s="517" t="s">
        <v>1680</v>
      </c>
    </row>
    <row r="1834" spans="1:2" ht="15" hidden="1" x14ac:dyDescent="0.25">
      <c r="A1834" s="517" t="s">
        <v>1128</v>
      </c>
      <c r="B1834" s="517" t="s">
        <v>1129</v>
      </c>
    </row>
    <row r="1835" spans="1:2" ht="15" hidden="1" x14ac:dyDescent="0.25">
      <c r="A1835" s="517" t="s">
        <v>1681</v>
      </c>
      <c r="B1835" s="517" t="s">
        <v>1682</v>
      </c>
    </row>
    <row r="1836" spans="1:2" ht="15" hidden="1" x14ac:dyDescent="0.25">
      <c r="A1836" s="517" t="s">
        <v>1683</v>
      </c>
      <c r="B1836" s="517" t="s">
        <v>1684</v>
      </c>
    </row>
    <row r="1837" spans="1:2" ht="15" hidden="1" x14ac:dyDescent="0.25">
      <c r="A1837" s="517" t="s">
        <v>1683</v>
      </c>
      <c r="B1837" s="517" t="s">
        <v>1684</v>
      </c>
    </row>
    <row r="1838" spans="1:2" ht="15" hidden="1" x14ac:dyDescent="0.25">
      <c r="A1838" s="517" t="s">
        <v>1685</v>
      </c>
      <c r="B1838" s="517" t="s">
        <v>1686</v>
      </c>
    </row>
    <row r="1839" spans="1:2" ht="15" hidden="1" x14ac:dyDescent="0.25">
      <c r="A1839" s="517" t="s">
        <v>1685</v>
      </c>
      <c r="B1839" s="517" t="s">
        <v>1686</v>
      </c>
    </row>
    <row r="1840" spans="1:2" ht="15" hidden="1" x14ac:dyDescent="0.25">
      <c r="A1840" s="517" t="s">
        <v>1685</v>
      </c>
      <c r="B1840" s="517" t="s">
        <v>1686</v>
      </c>
    </row>
    <row r="1841" spans="1:2" ht="15" hidden="1" x14ac:dyDescent="0.25">
      <c r="A1841" s="517" t="s">
        <v>1687</v>
      </c>
      <c r="B1841" s="517" t="s">
        <v>1688</v>
      </c>
    </row>
    <row r="1842" spans="1:2" ht="15" hidden="1" x14ac:dyDescent="0.25">
      <c r="A1842" s="517" t="s">
        <v>1689</v>
      </c>
      <c r="B1842" s="517" t="s">
        <v>1690</v>
      </c>
    </row>
    <row r="1843" spans="1:2" ht="15" hidden="1" x14ac:dyDescent="0.25">
      <c r="A1843" s="517" t="s">
        <v>1691</v>
      </c>
      <c r="B1843" s="517" t="s">
        <v>1692</v>
      </c>
    </row>
    <row r="1844" spans="1:2" ht="15" hidden="1" x14ac:dyDescent="0.25">
      <c r="A1844" s="517" t="s">
        <v>1693</v>
      </c>
      <c r="B1844" s="517" t="s">
        <v>1694</v>
      </c>
    </row>
    <row r="1845" spans="1:2" ht="15" hidden="1" x14ac:dyDescent="0.25">
      <c r="A1845" s="517" t="s">
        <v>1157</v>
      </c>
      <c r="B1845" s="517" t="s">
        <v>1158</v>
      </c>
    </row>
    <row r="1846" spans="1:2" ht="15" hidden="1" x14ac:dyDescent="0.25">
      <c r="A1846" s="517" t="s">
        <v>1695</v>
      </c>
      <c r="B1846" s="517" t="s">
        <v>1696</v>
      </c>
    </row>
    <row r="1847" spans="1:2" ht="15" hidden="1" x14ac:dyDescent="0.25">
      <c r="A1847" s="517" t="s">
        <v>1695</v>
      </c>
      <c r="B1847" s="517" t="s">
        <v>1696</v>
      </c>
    </row>
    <row r="1848" spans="1:2" ht="15" hidden="1" x14ac:dyDescent="0.25">
      <c r="A1848" s="517" t="s">
        <v>1697</v>
      </c>
      <c r="B1848" s="517" t="s">
        <v>1698</v>
      </c>
    </row>
    <row r="1849" spans="1:2" ht="15" hidden="1" x14ac:dyDescent="0.25">
      <c r="A1849" s="517" t="s">
        <v>1699</v>
      </c>
      <c r="B1849" s="517" t="s">
        <v>1700</v>
      </c>
    </row>
    <row r="1850" spans="1:2" ht="15" hidden="1" x14ac:dyDescent="0.25">
      <c r="A1850" s="517" t="s">
        <v>1701</v>
      </c>
      <c r="B1850" s="517" t="s">
        <v>1702</v>
      </c>
    </row>
    <row r="1851" spans="1:2" ht="15" hidden="1" x14ac:dyDescent="0.25">
      <c r="A1851" s="517" t="s">
        <v>1703</v>
      </c>
      <c r="B1851" s="517" t="s">
        <v>1704</v>
      </c>
    </row>
    <row r="1852" spans="1:2" ht="15" hidden="1" x14ac:dyDescent="0.25">
      <c r="A1852" s="517" t="s">
        <v>1703</v>
      </c>
      <c r="B1852" s="517" t="s">
        <v>1704</v>
      </c>
    </row>
    <row r="1853" spans="1:2" ht="15" hidden="1" x14ac:dyDescent="0.25">
      <c r="A1853" s="517" t="s">
        <v>1703</v>
      </c>
      <c r="B1853" s="517" t="s">
        <v>1704</v>
      </c>
    </row>
    <row r="1854" spans="1:2" ht="15" hidden="1" x14ac:dyDescent="0.25">
      <c r="A1854" s="517" t="s">
        <v>739</v>
      </c>
      <c r="B1854" s="517" t="s">
        <v>740</v>
      </c>
    </row>
    <row r="1855" spans="1:2" ht="15" hidden="1" x14ac:dyDescent="0.25">
      <c r="A1855" s="517" t="s">
        <v>739</v>
      </c>
      <c r="B1855" s="517" t="s">
        <v>740</v>
      </c>
    </row>
    <row r="1856" spans="1:2" ht="15" hidden="1" x14ac:dyDescent="0.25">
      <c r="A1856" s="517" t="s">
        <v>1705</v>
      </c>
      <c r="B1856" s="517" t="s">
        <v>1706</v>
      </c>
    </row>
    <row r="1857" spans="1:2" ht="15" hidden="1" x14ac:dyDescent="0.25">
      <c r="A1857" s="517" t="s">
        <v>1705</v>
      </c>
      <c r="B1857" s="517" t="s">
        <v>1706</v>
      </c>
    </row>
    <row r="1858" spans="1:2" ht="15" hidden="1" x14ac:dyDescent="0.25">
      <c r="A1858" s="517" t="s">
        <v>1707</v>
      </c>
      <c r="B1858" s="517" t="s">
        <v>1708</v>
      </c>
    </row>
    <row r="1859" spans="1:2" ht="15" hidden="1" x14ac:dyDescent="0.25">
      <c r="A1859" s="517" t="s">
        <v>793</v>
      </c>
      <c r="B1859" s="517" t="s">
        <v>794</v>
      </c>
    </row>
    <row r="1860" spans="1:2" ht="15" hidden="1" x14ac:dyDescent="0.25">
      <c r="A1860" s="517" t="s">
        <v>1709</v>
      </c>
      <c r="B1860" s="517" t="s">
        <v>1710</v>
      </c>
    </row>
    <row r="1861" spans="1:2" ht="15" hidden="1" x14ac:dyDescent="0.25">
      <c r="A1861" s="517" t="s">
        <v>1709</v>
      </c>
      <c r="B1861" s="517" t="s">
        <v>1710</v>
      </c>
    </row>
    <row r="1862" spans="1:2" ht="15" hidden="1" x14ac:dyDescent="0.25">
      <c r="A1862" s="517" t="s">
        <v>1709</v>
      </c>
      <c r="B1862" s="517" t="s">
        <v>1710</v>
      </c>
    </row>
    <row r="1863" spans="1:2" ht="15" hidden="1" x14ac:dyDescent="0.25">
      <c r="A1863" s="517" t="s">
        <v>1711</v>
      </c>
      <c r="B1863" s="517" t="s">
        <v>1712</v>
      </c>
    </row>
    <row r="1864" spans="1:2" ht="15" hidden="1" x14ac:dyDescent="0.25">
      <c r="A1864" s="517" t="s">
        <v>1711</v>
      </c>
      <c r="B1864" s="517" t="s">
        <v>1712</v>
      </c>
    </row>
    <row r="1865" spans="1:2" ht="15" hidden="1" x14ac:dyDescent="0.25">
      <c r="A1865" s="517" t="s">
        <v>1713</v>
      </c>
      <c r="B1865" s="517" t="s">
        <v>1714</v>
      </c>
    </row>
    <row r="1866" spans="1:2" ht="15" hidden="1" x14ac:dyDescent="0.25">
      <c r="A1866" s="519" t="s">
        <v>1715</v>
      </c>
      <c r="B1866" s="519" t="s">
        <v>1716</v>
      </c>
    </row>
    <row r="1867" spans="1:2" ht="15" hidden="1" x14ac:dyDescent="0.25">
      <c r="A1867" s="517" t="s">
        <v>220</v>
      </c>
      <c r="B1867" s="517" t="s">
        <v>321</v>
      </c>
    </row>
    <row r="1868" spans="1:2" ht="15" hidden="1" x14ac:dyDescent="0.25">
      <c r="A1868" s="517" t="s">
        <v>220</v>
      </c>
      <c r="B1868" s="517" t="s">
        <v>321</v>
      </c>
    </row>
    <row r="1869" spans="1:2" ht="15" hidden="1" x14ac:dyDescent="0.25">
      <c r="A1869" s="517" t="s">
        <v>220</v>
      </c>
      <c r="B1869" s="517" t="s">
        <v>321</v>
      </c>
    </row>
    <row r="1870" spans="1:2" ht="15" hidden="1" x14ac:dyDescent="0.25">
      <c r="A1870" s="517" t="s">
        <v>220</v>
      </c>
      <c r="B1870" s="517" t="s">
        <v>321</v>
      </c>
    </row>
    <row r="1871" spans="1:2" ht="15" hidden="1" x14ac:dyDescent="0.25">
      <c r="A1871" s="517" t="s">
        <v>220</v>
      </c>
      <c r="B1871" s="517" t="s">
        <v>321</v>
      </c>
    </row>
    <row r="1872" spans="1:2" ht="15" hidden="1" x14ac:dyDescent="0.25">
      <c r="A1872" s="517" t="s">
        <v>220</v>
      </c>
      <c r="B1872" s="517" t="s">
        <v>321</v>
      </c>
    </row>
    <row r="1873" spans="1:2" ht="15" hidden="1" x14ac:dyDescent="0.25">
      <c r="A1873" s="517" t="s">
        <v>220</v>
      </c>
      <c r="B1873" s="517" t="s">
        <v>321</v>
      </c>
    </row>
    <row r="1874" spans="1:2" ht="15" hidden="1" x14ac:dyDescent="0.25">
      <c r="A1874" s="517" t="s">
        <v>192</v>
      </c>
      <c r="B1874" s="517" t="s">
        <v>324</v>
      </c>
    </row>
    <row r="1875" spans="1:2" ht="15" hidden="1" x14ac:dyDescent="0.25">
      <c r="A1875" s="517" t="s">
        <v>407</v>
      </c>
      <c r="B1875" s="517" t="s">
        <v>408</v>
      </c>
    </row>
    <row r="1876" spans="1:2" ht="15" hidden="1" x14ac:dyDescent="0.25">
      <c r="A1876" s="517" t="s">
        <v>1467</v>
      </c>
      <c r="B1876" s="517" t="s">
        <v>1468</v>
      </c>
    </row>
    <row r="1877" spans="1:2" ht="15" hidden="1" x14ac:dyDescent="0.25">
      <c r="A1877" s="517" t="s">
        <v>1467</v>
      </c>
      <c r="B1877" s="517" t="s">
        <v>1468</v>
      </c>
    </row>
    <row r="1878" spans="1:2" ht="15" hidden="1" x14ac:dyDescent="0.25">
      <c r="A1878" s="517" t="s">
        <v>193</v>
      </c>
      <c r="B1878" s="517" t="s">
        <v>325</v>
      </c>
    </row>
    <row r="1879" spans="1:2" ht="15" hidden="1" x14ac:dyDescent="0.25">
      <c r="A1879" s="517" t="s">
        <v>194</v>
      </c>
      <c r="B1879" s="517" t="s">
        <v>327</v>
      </c>
    </row>
    <row r="1880" spans="1:2" ht="15" hidden="1" x14ac:dyDescent="0.25">
      <c r="A1880" s="517" t="s">
        <v>194</v>
      </c>
      <c r="B1880" s="517" t="s">
        <v>327</v>
      </c>
    </row>
    <row r="1881" spans="1:2" ht="15" hidden="1" x14ac:dyDescent="0.25">
      <c r="A1881" s="517" t="s">
        <v>194</v>
      </c>
      <c r="B1881" s="517" t="s">
        <v>327</v>
      </c>
    </row>
    <row r="1882" spans="1:2" ht="15" hidden="1" x14ac:dyDescent="0.25">
      <c r="A1882" s="517" t="s">
        <v>194</v>
      </c>
      <c r="B1882" s="517" t="s">
        <v>327</v>
      </c>
    </row>
    <row r="1883" spans="1:2" ht="15" hidden="1" x14ac:dyDescent="0.25">
      <c r="A1883" s="517" t="s">
        <v>194</v>
      </c>
      <c r="B1883" s="517" t="s">
        <v>327</v>
      </c>
    </row>
    <row r="1884" spans="1:2" ht="15" hidden="1" x14ac:dyDescent="0.25">
      <c r="A1884" s="517" t="s">
        <v>194</v>
      </c>
      <c r="B1884" s="517" t="s">
        <v>327</v>
      </c>
    </row>
    <row r="1885" spans="1:2" ht="15" hidden="1" x14ac:dyDescent="0.25">
      <c r="A1885" s="517" t="s">
        <v>194</v>
      </c>
      <c r="B1885" s="517" t="s">
        <v>327</v>
      </c>
    </row>
    <row r="1886" spans="1:2" ht="15" hidden="1" x14ac:dyDescent="0.25">
      <c r="A1886" s="517" t="s">
        <v>194</v>
      </c>
      <c r="B1886" s="517" t="s">
        <v>327</v>
      </c>
    </row>
    <row r="1887" spans="1:2" ht="15" hidden="1" x14ac:dyDescent="0.25">
      <c r="A1887" s="517" t="s">
        <v>194</v>
      </c>
      <c r="B1887" s="517" t="s">
        <v>327</v>
      </c>
    </row>
    <row r="1888" spans="1:2" ht="15" hidden="1" x14ac:dyDescent="0.25">
      <c r="A1888" s="517" t="s">
        <v>194</v>
      </c>
      <c r="B1888" s="517" t="s">
        <v>327</v>
      </c>
    </row>
    <row r="1889" spans="1:2" ht="15" hidden="1" x14ac:dyDescent="0.25">
      <c r="A1889" s="517" t="s">
        <v>194</v>
      </c>
      <c r="B1889" s="517" t="s">
        <v>327</v>
      </c>
    </row>
    <row r="1890" spans="1:2" ht="15" hidden="1" x14ac:dyDescent="0.25">
      <c r="A1890" s="517" t="s">
        <v>194</v>
      </c>
      <c r="B1890" s="517" t="s">
        <v>327</v>
      </c>
    </row>
    <row r="1891" spans="1:2" ht="15" hidden="1" x14ac:dyDescent="0.25">
      <c r="A1891" s="517" t="s">
        <v>194</v>
      </c>
      <c r="B1891" s="517" t="s">
        <v>327</v>
      </c>
    </row>
    <row r="1892" spans="1:2" ht="15" hidden="1" x14ac:dyDescent="0.25">
      <c r="A1892" s="517" t="s">
        <v>194</v>
      </c>
      <c r="B1892" s="517" t="s">
        <v>327</v>
      </c>
    </row>
    <row r="1893" spans="1:2" ht="15" hidden="1" x14ac:dyDescent="0.25">
      <c r="A1893" s="517" t="s">
        <v>222</v>
      </c>
      <c r="B1893" s="517" t="s">
        <v>328</v>
      </c>
    </row>
    <row r="1894" spans="1:2" ht="15" hidden="1" x14ac:dyDescent="0.25">
      <c r="A1894" s="517" t="s">
        <v>222</v>
      </c>
      <c r="B1894" s="517" t="s">
        <v>328</v>
      </c>
    </row>
    <row r="1895" spans="1:2" ht="15" hidden="1" x14ac:dyDescent="0.25">
      <c r="A1895" s="517" t="s">
        <v>222</v>
      </c>
      <c r="B1895" s="517" t="s">
        <v>328</v>
      </c>
    </row>
    <row r="1896" spans="1:2" ht="15" hidden="1" x14ac:dyDescent="0.25">
      <c r="A1896" s="517" t="s">
        <v>222</v>
      </c>
      <c r="B1896" s="517" t="s">
        <v>328</v>
      </c>
    </row>
    <row r="1897" spans="1:2" ht="15" hidden="1" x14ac:dyDescent="0.25">
      <c r="A1897" s="517" t="s">
        <v>222</v>
      </c>
      <c r="B1897" s="517" t="s">
        <v>328</v>
      </c>
    </row>
    <row r="1898" spans="1:2" ht="15" hidden="1" x14ac:dyDescent="0.25">
      <c r="A1898" s="517" t="s">
        <v>222</v>
      </c>
      <c r="B1898" s="517" t="s">
        <v>328</v>
      </c>
    </row>
    <row r="1899" spans="1:2" ht="15" hidden="1" x14ac:dyDescent="0.25">
      <c r="A1899" s="517" t="s">
        <v>222</v>
      </c>
      <c r="B1899" s="517" t="s">
        <v>328</v>
      </c>
    </row>
    <row r="1900" spans="1:2" ht="15" hidden="1" x14ac:dyDescent="0.25">
      <c r="A1900" s="517" t="s">
        <v>222</v>
      </c>
      <c r="B1900" s="517" t="s">
        <v>328</v>
      </c>
    </row>
    <row r="1901" spans="1:2" ht="15" hidden="1" x14ac:dyDescent="0.25">
      <c r="A1901" s="517" t="s">
        <v>222</v>
      </c>
      <c r="B1901" s="517" t="s">
        <v>328</v>
      </c>
    </row>
    <row r="1902" spans="1:2" ht="15" hidden="1" x14ac:dyDescent="0.25">
      <c r="A1902" s="517" t="s">
        <v>222</v>
      </c>
      <c r="B1902" s="517" t="s">
        <v>328</v>
      </c>
    </row>
    <row r="1903" spans="1:2" ht="15" hidden="1" x14ac:dyDescent="0.25">
      <c r="A1903" s="517" t="s">
        <v>222</v>
      </c>
      <c r="B1903" s="517" t="s">
        <v>328</v>
      </c>
    </row>
    <row r="1904" spans="1:2" ht="15" hidden="1" x14ac:dyDescent="0.25">
      <c r="A1904" s="517" t="s">
        <v>222</v>
      </c>
      <c r="B1904" s="517" t="s">
        <v>328</v>
      </c>
    </row>
    <row r="1905" spans="1:2" ht="15" hidden="1" x14ac:dyDescent="0.25">
      <c r="A1905" s="517" t="s">
        <v>222</v>
      </c>
      <c r="B1905" s="517" t="s">
        <v>328</v>
      </c>
    </row>
    <row r="1906" spans="1:2" ht="15" hidden="1" x14ac:dyDescent="0.25">
      <c r="A1906" s="517" t="s">
        <v>222</v>
      </c>
      <c r="B1906" s="517" t="s">
        <v>328</v>
      </c>
    </row>
    <row r="1907" spans="1:2" ht="15" hidden="1" x14ac:dyDescent="0.25">
      <c r="A1907" s="517" t="s">
        <v>222</v>
      </c>
      <c r="B1907" s="517" t="s">
        <v>328</v>
      </c>
    </row>
    <row r="1908" spans="1:2" ht="15" hidden="1" x14ac:dyDescent="0.25">
      <c r="A1908" s="517" t="s">
        <v>222</v>
      </c>
      <c r="B1908" s="517" t="s">
        <v>328</v>
      </c>
    </row>
    <row r="1909" spans="1:2" ht="15" hidden="1" x14ac:dyDescent="0.25">
      <c r="A1909" s="517" t="s">
        <v>222</v>
      </c>
      <c r="B1909" s="517" t="s">
        <v>328</v>
      </c>
    </row>
    <row r="1910" spans="1:2" ht="15" hidden="1" x14ac:dyDescent="0.25">
      <c r="A1910" s="517" t="s">
        <v>196</v>
      </c>
      <c r="B1910" s="517" t="s">
        <v>330</v>
      </c>
    </row>
    <row r="1911" spans="1:2" ht="15" hidden="1" x14ac:dyDescent="0.25">
      <c r="A1911" s="517" t="s">
        <v>197</v>
      </c>
      <c r="B1911" s="517" t="s">
        <v>331</v>
      </c>
    </row>
    <row r="1912" spans="1:2" ht="15" hidden="1" x14ac:dyDescent="0.25">
      <c r="A1912" s="517" t="s">
        <v>197</v>
      </c>
      <c r="B1912" s="517" t="s">
        <v>331</v>
      </c>
    </row>
    <row r="1913" spans="1:2" ht="15" hidden="1" x14ac:dyDescent="0.25">
      <c r="A1913" s="517" t="s">
        <v>197</v>
      </c>
      <c r="B1913" s="517" t="s">
        <v>331</v>
      </c>
    </row>
    <row r="1914" spans="1:2" ht="15" hidden="1" x14ac:dyDescent="0.25">
      <c r="A1914" s="517" t="s">
        <v>197</v>
      </c>
      <c r="B1914" s="517" t="s">
        <v>331</v>
      </c>
    </row>
    <row r="1915" spans="1:2" ht="15" hidden="1" x14ac:dyDescent="0.25">
      <c r="A1915" s="517" t="s">
        <v>197</v>
      </c>
      <c r="B1915" s="517" t="s">
        <v>331</v>
      </c>
    </row>
    <row r="1916" spans="1:2" ht="15" hidden="1" x14ac:dyDescent="0.25">
      <c r="A1916" s="517" t="s">
        <v>197</v>
      </c>
      <c r="B1916" s="517" t="s">
        <v>331</v>
      </c>
    </row>
    <row r="1917" spans="1:2" ht="15" hidden="1" x14ac:dyDescent="0.25">
      <c r="A1917" s="517" t="s">
        <v>197</v>
      </c>
      <c r="B1917" s="517" t="s">
        <v>331</v>
      </c>
    </row>
    <row r="1918" spans="1:2" ht="15" hidden="1" x14ac:dyDescent="0.25">
      <c r="A1918" s="517" t="s">
        <v>197</v>
      </c>
      <c r="B1918" s="517" t="s">
        <v>331</v>
      </c>
    </row>
    <row r="1919" spans="1:2" ht="15" hidden="1" x14ac:dyDescent="0.25">
      <c r="A1919" s="517" t="s">
        <v>197</v>
      </c>
      <c r="B1919" s="517" t="s">
        <v>331</v>
      </c>
    </row>
    <row r="1920" spans="1:2" ht="15" hidden="1" x14ac:dyDescent="0.25">
      <c r="A1920" s="517" t="s">
        <v>197</v>
      </c>
      <c r="B1920" s="517" t="s">
        <v>331</v>
      </c>
    </row>
    <row r="1921" spans="1:2" ht="15" hidden="1" x14ac:dyDescent="0.25">
      <c r="A1921" s="517" t="s">
        <v>199</v>
      </c>
      <c r="B1921" s="517" t="s">
        <v>334</v>
      </c>
    </row>
    <row r="1922" spans="1:2" ht="15" hidden="1" x14ac:dyDescent="0.25">
      <c r="A1922" s="517" t="s">
        <v>199</v>
      </c>
      <c r="B1922" s="517" t="s">
        <v>334</v>
      </c>
    </row>
    <row r="1923" spans="1:2" ht="15" hidden="1" x14ac:dyDescent="0.25">
      <c r="A1923" s="517" t="s">
        <v>199</v>
      </c>
      <c r="B1923" s="517" t="s">
        <v>334</v>
      </c>
    </row>
    <row r="1924" spans="1:2" ht="15" hidden="1" x14ac:dyDescent="0.25">
      <c r="A1924" s="517" t="s">
        <v>200</v>
      </c>
      <c r="B1924" s="517" t="s">
        <v>335</v>
      </c>
    </row>
    <row r="1925" spans="1:2" ht="15" hidden="1" x14ac:dyDescent="0.25">
      <c r="A1925" s="517" t="s">
        <v>1281</v>
      </c>
      <c r="B1925" s="517" t="s">
        <v>1282</v>
      </c>
    </row>
    <row r="1926" spans="1:2" ht="15" hidden="1" x14ac:dyDescent="0.25">
      <c r="A1926" s="517" t="s">
        <v>1281</v>
      </c>
      <c r="B1926" s="517" t="s">
        <v>1282</v>
      </c>
    </row>
    <row r="1927" spans="1:2" ht="15" hidden="1" x14ac:dyDescent="0.25">
      <c r="A1927" s="517" t="s">
        <v>1281</v>
      </c>
      <c r="B1927" s="517" t="s">
        <v>1282</v>
      </c>
    </row>
    <row r="1928" spans="1:2" ht="15" hidden="1" x14ac:dyDescent="0.25">
      <c r="A1928" s="517" t="s">
        <v>1281</v>
      </c>
      <c r="B1928" s="517" t="s">
        <v>1282</v>
      </c>
    </row>
    <row r="1929" spans="1:2" ht="15" hidden="1" x14ac:dyDescent="0.25">
      <c r="A1929" s="517" t="s">
        <v>1281</v>
      </c>
      <c r="B1929" s="517" t="s">
        <v>1282</v>
      </c>
    </row>
    <row r="1930" spans="1:2" ht="15" hidden="1" x14ac:dyDescent="0.25">
      <c r="A1930" s="517" t="s">
        <v>1281</v>
      </c>
      <c r="B1930" s="517" t="s">
        <v>1282</v>
      </c>
    </row>
    <row r="1931" spans="1:2" ht="15" hidden="1" x14ac:dyDescent="0.25">
      <c r="A1931" s="517" t="s">
        <v>1717</v>
      </c>
      <c r="B1931" s="517" t="s">
        <v>1717</v>
      </c>
    </row>
    <row r="1932" spans="1:2" ht="15" hidden="1" x14ac:dyDescent="0.25">
      <c r="A1932" s="517" t="s">
        <v>1717</v>
      </c>
      <c r="B1932" s="517" t="s">
        <v>1717</v>
      </c>
    </row>
    <row r="1933" spans="1:2" ht="15" hidden="1" x14ac:dyDescent="0.25">
      <c r="A1933" s="517" t="s">
        <v>1718</v>
      </c>
      <c r="B1933" s="517" t="s">
        <v>1718</v>
      </c>
    </row>
    <row r="1934" spans="1:2" ht="15" hidden="1" x14ac:dyDescent="0.25">
      <c r="A1934" s="517" t="s">
        <v>1719</v>
      </c>
      <c r="B1934" s="517" t="s">
        <v>1719</v>
      </c>
    </row>
    <row r="1935" spans="1:2" ht="15" hidden="1" x14ac:dyDescent="0.25">
      <c r="A1935" s="517" t="s">
        <v>1720</v>
      </c>
      <c r="B1935" s="517" t="s">
        <v>1720</v>
      </c>
    </row>
    <row r="1936" spans="1:2" ht="15" hidden="1" x14ac:dyDescent="0.25">
      <c r="A1936" s="517" t="s">
        <v>1721</v>
      </c>
      <c r="B1936" s="517" t="s">
        <v>1721</v>
      </c>
    </row>
    <row r="1937" spans="1:2" ht="15" hidden="1" x14ac:dyDescent="0.25">
      <c r="A1937" s="517" t="s">
        <v>1721</v>
      </c>
      <c r="B1937" s="517" t="s">
        <v>1721</v>
      </c>
    </row>
    <row r="1938" spans="1:2" ht="15" hidden="1" x14ac:dyDescent="0.25">
      <c r="A1938" s="517" t="s">
        <v>1722</v>
      </c>
      <c r="B1938" s="517" t="s">
        <v>1722</v>
      </c>
    </row>
    <row r="1939" spans="1:2" ht="15" hidden="1" x14ac:dyDescent="0.25">
      <c r="A1939" s="517" t="s">
        <v>1723</v>
      </c>
      <c r="B1939" s="517" t="s">
        <v>1723</v>
      </c>
    </row>
    <row r="1940" spans="1:2" ht="15" hidden="1" x14ac:dyDescent="0.25">
      <c r="A1940" s="517" t="s">
        <v>1724</v>
      </c>
      <c r="B1940" s="517" t="s">
        <v>1724</v>
      </c>
    </row>
    <row r="1941" spans="1:2" ht="15" hidden="1" x14ac:dyDescent="0.25">
      <c r="A1941" s="517" t="s">
        <v>1725</v>
      </c>
      <c r="B1941" s="517" t="s">
        <v>1725</v>
      </c>
    </row>
    <row r="1942" spans="1:2" ht="15" hidden="1" x14ac:dyDescent="0.25">
      <c r="A1942" s="517" t="s">
        <v>1725</v>
      </c>
      <c r="B1942" s="517" t="s">
        <v>1725</v>
      </c>
    </row>
    <row r="1943" spans="1:2" ht="15" hidden="1" x14ac:dyDescent="0.25">
      <c r="A1943" s="517" t="s">
        <v>1726</v>
      </c>
      <c r="B1943" s="517" t="s">
        <v>1726</v>
      </c>
    </row>
    <row r="1944" spans="1:2" ht="15" hidden="1" x14ac:dyDescent="0.25">
      <c r="A1944" s="517" t="s">
        <v>1726</v>
      </c>
      <c r="B1944" s="517" t="s">
        <v>1726</v>
      </c>
    </row>
    <row r="1945" spans="1:2" ht="15" hidden="1" x14ac:dyDescent="0.25">
      <c r="A1945" s="517" t="s">
        <v>1727</v>
      </c>
      <c r="B1945" s="517" t="s">
        <v>1727</v>
      </c>
    </row>
    <row r="1946" spans="1:2" ht="15" hidden="1" x14ac:dyDescent="0.25">
      <c r="A1946" s="517" t="s">
        <v>1728</v>
      </c>
      <c r="B1946" s="517" t="s">
        <v>1728</v>
      </c>
    </row>
    <row r="1947" spans="1:2" ht="15" hidden="1" x14ac:dyDescent="0.25">
      <c r="A1947" s="517" t="s">
        <v>1729</v>
      </c>
      <c r="B1947" s="517" t="s">
        <v>1729</v>
      </c>
    </row>
    <row r="1948" spans="1:2" ht="15" hidden="1" x14ac:dyDescent="0.25">
      <c r="A1948" s="517" t="s">
        <v>1730</v>
      </c>
      <c r="B1948" s="517" t="s">
        <v>1730</v>
      </c>
    </row>
    <row r="1949" spans="1:2" ht="15" hidden="1" x14ac:dyDescent="0.25">
      <c r="A1949" s="517" t="s">
        <v>1731</v>
      </c>
      <c r="B1949" s="517" t="s">
        <v>1731</v>
      </c>
    </row>
    <row r="1950" spans="1:2" ht="15" hidden="1" x14ac:dyDescent="0.25">
      <c r="A1950" s="517" t="s">
        <v>1732</v>
      </c>
      <c r="B1950" s="517" t="s">
        <v>1732</v>
      </c>
    </row>
    <row r="1951" spans="1:2" ht="15" hidden="1" x14ac:dyDescent="0.25">
      <c r="A1951" s="517" t="s">
        <v>1732</v>
      </c>
      <c r="B1951" s="517" t="s">
        <v>1732</v>
      </c>
    </row>
    <row r="1952" spans="1:2" ht="15" hidden="1" x14ac:dyDescent="0.25">
      <c r="A1952" s="517" t="s">
        <v>1733</v>
      </c>
      <c r="B1952" s="517" t="s">
        <v>1733</v>
      </c>
    </row>
    <row r="1953" spans="1:2" ht="15" hidden="1" x14ac:dyDescent="0.25">
      <c r="A1953" s="517" t="s">
        <v>1734</v>
      </c>
      <c r="B1953" s="517" t="s">
        <v>1734</v>
      </c>
    </row>
    <row r="1954" spans="1:2" ht="15" hidden="1" x14ac:dyDescent="0.25">
      <c r="A1954" s="517" t="s">
        <v>1735</v>
      </c>
      <c r="B1954" s="517" t="s">
        <v>1735</v>
      </c>
    </row>
    <row r="1955" spans="1:2" ht="15" hidden="1" x14ac:dyDescent="0.25">
      <c r="A1955" s="517" t="s">
        <v>1736</v>
      </c>
      <c r="B1955" s="517" t="s">
        <v>1736</v>
      </c>
    </row>
    <row r="1956" spans="1:2" ht="15" hidden="1" x14ac:dyDescent="0.25">
      <c r="A1956" s="517" t="s">
        <v>1736</v>
      </c>
      <c r="B1956" s="517" t="s">
        <v>1736</v>
      </c>
    </row>
    <row r="1957" spans="1:2" ht="15" hidden="1" x14ac:dyDescent="0.25">
      <c r="A1957" s="517" t="s">
        <v>1737</v>
      </c>
      <c r="B1957" s="517" t="s">
        <v>1737</v>
      </c>
    </row>
    <row r="1958" spans="1:2" ht="15" hidden="1" x14ac:dyDescent="0.25">
      <c r="A1958" s="517" t="s">
        <v>1738</v>
      </c>
      <c r="B1958" s="517" t="s">
        <v>1738</v>
      </c>
    </row>
    <row r="1959" spans="1:2" ht="15" x14ac:dyDescent="0.25">
      <c r="A1959" s="517" t="s">
        <v>1739</v>
      </c>
      <c r="B1959" s="517" t="s">
        <v>1739</v>
      </c>
    </row>
    <row r="1960" spans="1:2" ht="15" hidden="1" x14ac:dyDescent="0.25">
      <c r="A1960" s="517" t="s">
        <v>1740</v>
      </c>
      <c r="B1960" s="517" t="s">
        <v>1740</v>
      </c>
    </row>
    <row r="1961" spans="1:2" ht="15" hidden="1" x14ac:dyDescent="0.25">
      <c r="A1961" s="517" t="s">
        <v>1741</v>
      </c>
      <c r="B1961" s="517" t="s">
        <v>1741</v>
      </c>
    </row>
    <row r="1962" spans="1:2" ht="15" hidden="1" x14ac:dyDescent="0.25">
      <c r="A1962" s="517" t="s">
        <v>1741</v>
      </c>
      <c r="B1962" s="517" t="s">
        <v>1741</v>
      </c>
    </row>
    <row r="1963" spans="1:2" ht="15" hidden="1" x14ac:dyDescent="0.25">
      <c r="A1963" s="517" t="s">
        <v>1742</v>
      </c>
      <c r="B1963" s="517" t="s">
        <v>1742</v>
      </c>
    </row>
    <row r="1964" spans="1:2" ht="15" hidden="1" x14ac:dyDescent="0.25">
      <c r="A1964" s="517" t="s">
        <v>1743</v>
      </c>
      <c r="B1964" s="517" t="s">
        <v>1743</v>
      </c>
    </row>
    <row r="1965" spans="1:2" ht="15" hidden="1" x14ac:dyDescent="0.25">
      <c r="A1965" s="517" t="s">
        <v>1744</v>
      </c>
      <c r="B1965" s="517" t="s">
        <v>1744</v>
      </c>
    </row>
    <row r="1966" spans="1:2" ht="15" hidden="1" x14ac:dyDescent="0.25">
      <c r="A1966" s="517" t="s">
        <v>1744</v>
      </c>
      <c r="B1966" s="517" t="s">
        <v>1744</v>
      </c>
    </row>
    <row r="1967" spans="1:2" ht="15" hidden="1" x14ac:dyDescent="0.25">
      <c r="A1967" s="517" t="s">
        <v>1745</v>
      </c>
      <c r="B1967" s="517" t="s">
        <v>1745</v>
      </c>
    </row>
    <row r="1968" spans="1:2" ht="15" hidden="1" x14ac:dyDescent="0.25">
      <c r="A1968" s="517" t="s">
        <v>1746</v>
      </c>
      <c r="B1968" s="517" t="s">
        <v>1746</v>
      </c>
    </row>
    <row r="1969" spans="1:2" ht="15" hidden="1" x14ac:dyDescent="0.25">
      <c r="A1969" s="517" t="s">
        <v>1747</v>
      </c>
      <c r="B1969" s="517" t="s">
        <v>1747</v>
      </c>
    </row>
    <row r="1970" spans="1:2" ht="15" hidden="1" x14ac:dyDescent="0.25">
      <c r="A1970" s="517" t="s">
        <v>1748</v>
      </c>
      <c r="B1970" s="517" t="s">
        <v>1748</v>
      </c>
    </row>
    <row r="1971" spans="1:2" ht="15" hidden="1" x14ac:dyDescent="0.25">
      <c r="A1971" s="517" t="s">
        <v>1749</v>
      </c>
      <c r="B1971" s="517" t="s">
        <v>1749</v>
      </c>
    </row>
    <row r="1972" spans="1:2" ht="15" hidden="1" x14ac:dyDescent="0.25">
      <c r="A1972" s="517" t="s">
        <v>1749</v>
      </c>
      <c r="B1972" s="517" t="s">
        <v>1749</v>
      </c>
    </row>
    <row r="1973" spans="1:2" ht="15" hidden="1" x14ac:dyDescent="0.25">
      <c r="A1973" s="517" t="s">
        <v>1750</v>
      </c>
      <c r="B1973" s="517" t="s">
        <v>1750</v>
      </c>
    </row>
    <row r="1974" spans="1:2" ht="15" hidden="1" x14ac:dyDescent="0.25">
      <c r="A1974" s="517" t="s">
        <v>1751</v>
      </c>
      <c r="B1974" s="517" t="s">
        <v>1751</v>
      </c>
    </row>
    <row r="1975" spans="1:2" ht="15" hidden="1" x14ac:dyDescent="0.25">
      <c r="A1975" s="517" t="s">
        <v>1752</v>
      </c>
      <c r="B1975" s="517" t="s">
        <v>1752</v>
      </c>
    </row>
    <row r="1976" spans="1:2" ht="15" hidden="1" x14ac:dyDescent="0.25">
      <c r="A1976" s="517" t="s">
        <v>1753</v>
      </c>
      <c r="B1976" s="517" t="s">
        <v>1753</v>
      </c>
    </row>
    <row r="1977" spans="1:2" ht="15" hidden="1" x14ac:dyDescent="0.25">
      <c r="A1977" s="517" t="s">
        <v>1754</v>
      </c>
      <c r="B1977" s="517" t="s">
        <v>1754</v>
      </c>
    </row>
    <row r="1978" spans="1:2" ht="15" hidden="1" x14ac:dyDescent="0.25">
      <c r="A1978" s="517" t="s">
        <v>1755</v>
      </c>
      <c r="B1978" s="517" t="s">
        <v>1755</v>
      </c>
    </row>
    <row r="1979" spans="1:2" ht="15" hidden="1" x14ac:dyDescent="0.25">
      <c r="A1979" s="517" t="s">
        <v>1755</v>
      </c>
      <c r="B1979" s="517" t="s">
        <v>1755</v>
      </c>
    </row>
    <row r="1980" spans="1:2" ht="15" hidden="1" x14ac:dyDescent="0.25">
      <c r="A1980" s="517" t="s">
        <v>1756</v>
      </c>
      <c r="B1980" s="517" t="s">
        <v>1756</v>
      </c>
    </row>
    <row r="1981" spans="1:2" ht="15" hidden="1" x14ac:dyDescent="0.25">
      <c r="A1981" s="517" t="s">
        <v>1757</v>
      </c>
      <c r="B1981" s="517" t="s">
        <v>1757</v>
      </c>
    </row>
    <row r="1982" spans="1:2" ht="15" hidden="1" x14ac:dyDescent="0.25">
      <c r="A1982" s="517" t="s">
        <v>1758</v>
      </c>
      <c r="B1982" s="517" t="s">
        <v>1758</v>
      </c>
    </row>
    <row r="1983" spans="1:2" ht="15" hidden="1" x14ac:dyDescent="0.25">
      <c r="A1983" s="517" t="s">
        <v>1758</v>
      </c>
      <c r="B1983" s="517" t="s">
        <v>1758</v>
      </c>
    </row>
    <row r="1984" spans="1:2" ht="15" hidden="1" x14ac:dyDescent="0.25">
      <c r="A1984" s="517" t="s">
        <v>1759</v>
      </c>
      <c r="B1984" s="517" t="s">
        <v>1759</v>
      </c>
    </row>
    <row r="1985" spans="1:2" ht="15" hidden="1" x14ac:dyDescent="0.25">
      <c r="A1985" s="517" t="s">
        <v>1760</v>
      </c>
      <c r="B1985" s="517" t="s">
        <v>1760</v>
      </c>
    </row>
    <row r="1986" spans="1:2" ht="15" hidden="1" x14ac:dyDescent="0.25">
      <c r="A1986" s="517" t="s">
        <v>1761</v>
      </c>
      <c r="B1986" s="517" t="s">
        <v>1761</v>
      </c>
    </row>
    <row r="1987" spans="1:2" ht="15" hidden="1" x14ac:dyDescent="0.25">
      <c r="A1987" s="517" t="s">
        <v>1761</v>
      </c>
      <c r="B1987" s="517" t="s">
        <v>1761</v>
      </c>
    </row>
    <row r="1988" spans="1:2" ht="15" hidden="1" x14ac:dyDescent="0.25">
      <c r="A1988" s="517" t="s">
        <v>1762</v>
      </c>
      <c r="B1988" s="517" t="s">
        <v>1762</v>
      </c>
    </row>
    <row r="1989" spans="1:2" ht="15" hidden="1" x14ac:dyDescent="0.25">
      <c r="A1989" s="517" t="s">
        <v>1763</v>
      </c>
      <c r="B1989" s="517" t="s">
        <v>1763</v>
      </c>
    </row>
    <row r="1990" spans="1:2" ht="15" hidden="1" x14ac:dyDescent="0.25">
      <c r="A1990" s="517" t="s">
        <v>1764</v>
      </c>
      <c r="B1990" s="517" t="s">
        <v>1764</v>
      </c>
    </row>
    <row r="1991" spans="1:2" ht="15" hidden="1" x14ac:dyDescent="0.25">
      <c r="A1991" s="517" t="s">
        <v>1764</v>
      </c>
      <c r="B1991" s="517" t="s">
        <v>1764</v>
      </c>
    </row>
    <row r="1992" spans="1:2" ht="15" hidden="1" x14ac:dyDescent="0.25">
      <c r="A1992" s="517" t="s">
        <v>1765</v>
      </c>
      <c r="B1992" s="517" t="s">
        <v>1765</v>
      </c>
    </row>
    <row r="1993" spans="1:2" ht="15" hidden="1" x14ac:dyDescent="0.25">
      <c r="A1993" s="517" t="s">
        <v>1765</v>
      </c>
      <c r="B1993" s="517" t="s">
        <v>1765</v>
      </c>
    </row>
    <row r="1994" spans="1:2" ht="15" hidden="1" x14ac:dyDescent="0.25">
      <c r="A1994" s="517" t="s">
        <v>1766</v>
      </c>
      <c r="B1994" s="517" t="s">
        <v>1766</v>
      </c>
    </row>
    <row r="1995" spans="1:2" ht="15" hidden="1" x14ac:dyDescent="0.25">
      <c r="A1995" s="517" t="s">
        <v>1767</v>
      </c>
      <c r="B1995" s="517" t="s">
        <v>1767</v>
      </c>
    </row>
    <row r="1996" spans="1:2" ht="15" hidden="1" x14ac:dyDescent="0.25">
      <c r="A1996" s="517" t="s">
        <v>1768</v>
      </c>
      <c r="B1996" s="517" t="s">
        <v>1768</v>
      </c>
    </row>
    <row r="1997" spans="1:2" ht="15" hidden="1" x14ac:dyDescent="0.25">
      <c r="A1997" s="517" t="s">
        <v>1769</v>
      </c>
      <c r="B1997" s="517" t="s">
        <v>1769</v>
      </c>
    </row>
    <row r="1998" spans="1:2" ht="15" hidden="1" x14ac:dyDescent="0.25">
      <c r="A1998" s="517" t="s">
        <v>1770</v>
      </c>
      <c r="B1998" s="517" t="s">
        <v>1770</v>
      </c>
    </row>
    <row r="1999" spans="1:2" ht="15" hidden="1" x14ac:dyDescent="0.25">
      <c r="A1999" s="517" t="s">
        <v>1771</v>
      </c>
      <c r="B1999" s="517" t="s">
        <v>1771</v>
      </c>
    </row>
    <row r="2000" spans="1:2" ht="15" hidden="1" x14ac:dyDescent="0.25">
      <c r="A2000" s="517" t="s">
        <v>1771</v>
      </c>
      <c r="B2000" s="517" t="s">
        <v>1771</v>
      </c>
    </row>
    <row r="2001" spans="1:2" ht="15" hidden="1" x14ac:dyDescent="0.25">
      <c r="A2001" s="517" t="s">
        <v>1772</v>
      </c>
      <c r="B2001" s="517" t="s">
        <v>1773</v>
      </c>
    </row>
    <row r="2002" spans="1:2" ht="15" hidden="1" x14ac:dyDescent="0.25">
      <c r="A2002" s="517" t="s">
        <v>1772</v>
      </c>
      <c r="B2002" s="517" t="s">
        <v>1773</v>
      </c>
    </row>
    <row r="2003" spans="1:2" ht="15" hidden="1" x14ac:dyDescent="0.25">
      <c r="A2003" s="517" t="s">
        <v>1774</v>
      </c>
      <c r="B2003" s="517" t="s">
        <v>1775</v>
      </c>
    </row>
    <row r="2004" spans="1:2" ht="15" hidden="1" x14ac:dyDescent="0.25">
      <c r="A2004" s="517" t="s">
        <v>1776</v>
      </c>
      <c r="B2004" s="517" t="s">
        <v>1777</v>
      </c>
    </row>
    <row r="2005" spans="1:2" ht="15" hidden="1" x14ac:dyDescent="0.25">
      <c r="A2005" s="517" t="s">
        <v>1778</v>
      </c>
      <c r="B2005" s="517" t="s">
        <v>1779</v>
      </c>
    </row>
    <row r="2006" spans="1:2" ht="15" hidden="1" x14ac:dyDescent="0.25">
      <c r="A2006" s="517" t="s">
        <v>1780</v>
      </c>
      <c r="B2006" s="517" t="s">
        <v>1781</v>
      </c>
    </row>
    <row r="2007" spans="1:2" ht="15" hidden="1" x14ac:dyDescent="0.25">
      <c r="A2007" s="517" t="s">
        <v>1782</v>
      </c>
      <c r="B2007" s="517" t="s">
        <v>1783</v>
      </c>
    </row>
    <row r="2008" spans="1:2" ht="15" hidden="1" x14ac:dyDescent="0.25">
      <c r="A2008" s="517" t="s">
        <v>1784</v>
      </c>
      <c r="B2008" s="517" t="s">
        <v>1785</v>
      </c>
    </row>
    <row r="2009" spans="1:2" ht="15" hidden="1" x14ac:dyDescent="0.25">
      <c r="A2009" s="517" t="s">
        <v>1786</v>
      </c>
      <c r="B2009" s="517" t="s">
        <v>1787</v>
      </c>
    </row>
    <row r="2010" spans="1:2" ht="15" hidden="1" x14ac:dyDescent="0.25">
      <c r="A2010" s="517" t="s">
        <v>1788</v>
      </c>
      <c r="B2010" s="517" t="s">
        <v>1789</v>
      </c>
    </row>
    <row r="2011" spans="1:2" ht="15" hidden="1" x14ac:dyDescent="0.25">
      <c r="A2011" s="517" t="s">
        <v>1790</v>
      </c>
      <c r="B2011" s="517" t="s">
        <v>1791</v>
      </c>
    </row>
    <row r="2012" spans="1:2" ht="15" hidden="1" x14ac:dyDescent="0.25">
      <c r="A2012" s="517" t="s">
        <v>1792</v>
      </c>
      <c r="B2012" s="517" t="s">
        <v>1793</v>
      </c>
    </row>
    <row r="2013" spans="1:2" ht="15" hidden="1" x14ac:dyDescent="0.25">
      <c r="A2013" s="517" t="s">
        <v>1794</v>
      </c>
      <c r="B2013" s="517" t="s">
        <v>1795</v>
      </c>
    </row>
    <row r="2014" spans="1:2" ht="15" hidden="1" x14ac:dyDescent="0.25">
      <c r="A2014" s="517" t="s">
        <v>1796</v>
      </c>
      <c r="B2014" s="517" t="s">
        <v>1797</v>
      </c>
    </row>
    <row r="2015" spans="1:2" ht="15" hidden="1" x14ac:dyDescent="0.25">
      <c r="A2015" s="517" t="s">
        <v>1798</v>
      </c>
      <c r="B2015" s="517" t="s">
        <v>1799</v>
      </c>
    </row>
    <row r="2016" spans="1:2" ht="15" hidden="1" x14ac:dyDescent="0.25">
      <c r="A2016" s="517" t="s">
        <v>1800</v>
      </c>
      <c r="B2016" s="517" t="s">
        <v>1801</v>
      </c>
    </row>
    <row r="2017" spans="1:2" ht="15" hidden="1" x14ac:dyDescent="0.25">
      <c r="A2017" s="517" t="s">
        <v>1577</v>
      </c>
      <c r="B2017" s="517" t="s">
        <v>1578</v>
      </c>
    </row>
    <row r="2018" spans="1:2" ht="15" hidden="1" x14ac:dyDescent="0.25">
      <c r="A2018" s="517" t="s">
        <v>394</v>
      </c>
      <c r="B2018" s="517" t="s">
        <v>395</v>
      </c>
    </row>
    <row r="2019" spans="1:2" ht="15" hidden="1" x14ac:dyDescent="0.25">
      <c r="A2019" s="517" t="s">
        <v>394</v>
      </c>
      <c r="B2019" s="517" t="s">
        <v>395</v>
      </c>
    </row>
    <row r="2020" spans="1:2" ht="15" hidden="1" x14ac:dyDescent="0.25">
      <c r="A2020" s="517" t="s">
        <v>394</v>
      </c>
      <c r="B2020" s="517" t="s">
        <v>395</v>
      </c>
    </row>
    <row r="2021" spans="1:2" ht="15" hidden="1" x14ac:dyDescent="0.25">
      <c r="A2021" s="517" t="s">
        <v>1802</v>
      </c>
      <c r="B2021" s="517" t="s">
        <v>1803</v>
      </c>
    </row>
    <row r="2022" spans="1:2" ht="15" hidden="1" x14ac:dyDescent="0.25">
      <c r="A2022" s="517" t="s">
        <v>1804</v>
      </c>
      <c r="B2022" s="517" t="s">
        <v>1805</v>
      </c>
    </row>
    <row r="2023" spans="1:2" ht="15" hidden="1" x14ac:dyDescent="0.25">
      <c r="A2023" s="517" t="s">
        <v>1806</v>
      </c>
      <c r="B2023" s="517" t="s">
        <v>1807</v>
      </c>
    </row>
    <row r="2024" spans="1:2" ht="15" hidden="1" x14ac:dyDescent="0.25">
      <c r="A2024" s="517" t="s">
        <v>1806</v>
      </c>
      <c r="B2024" s="517" t="s">
        <v>1807</v>
      </c>
    </row>
    <row r="2025" spans="1:2" ht="15" hidden="1" x14ac:dyDescent="0.25">
      <c r="A2025" s="517" t="s">
        <v>1806</v>
      </c>
      <c r="B2025" s="517" t="s">
        <v>1807</v>
      </c>
    </row>
    <row r="2026" spans="1:2" ht="15" hidden="1" x14ac:dyDescent="0.25">
      <c r="A2026" s="517" t="s">
        <v>1806</v>
      </c>
      <c r="B2026" s="517" t="s">
        <v>1807</v>
      </c>
    </row>
    <row r="2027" spans="1:2" ht="15" hidden="1" x14ac:dyDescent="0.25">
      <c r="A2027" s="517" t="s">
        <v>1806</v>
      </c>
      <c r="B2027" s="517" t="s">
        <v>1807</v>
      </c>
    </row>
    <row r="2028" spans="1:2" ht="15" hidden="1" x14ac:dyDescent="0.25">
      <c r="A2028" s="517" t="s">
        <v>1806</v>
      </c>
      <c r="B2028" s="517" t="s">
        <v>1807</v>
      </c>
    </row>
    <row r="2029" spans="1:2" ht="15" hidden="1" x14ac:dyDescent="0.25">
      <c r="A2029" s="517" t="s">
        <v>1808</v>
      </c>
      <c r="B2029" s="517" t="s">
        <v>1809</v>
      </c>
    </row>
    <row r="2030" spans="1:2" ht="15" hidden="1" x14ac:dyDescent="0.25">
      <c r="A2030" s="517" t="s">
        <v>1810</v>
      </c>
      <c r="B2030" s="517" t="s">
        <v>1811</v>
      </c>
    </row>
    <row r="2031" spans="1:2" ht="15" hidden="1" x14ac:dyDescent="0.25">
      <c r="A2031" s="517" t="s">
        <v>1603</v>
      </c>
      <c r="B2031" s="517" t="s">
        <v>1604</v>
      </c>
    </row>
    <row r="2032" spans="1:2" ht="15" hidden="1" x14ac:dyDescent="0.25">
      <c r="A2032" s="517" t="s">
        <v>1812</v>
      </c>
      <c r="B2032" s="517" t="s">
        <v>1813</v>
      </c>
    </row>
    <row r="2033" spans="1:2" ht="15" hidden="1" x14ac:dyDescent="0.25">
      <c r="A2033" s="517" t="s">
        <v>1812</v>
      </c>
      <c r="B2033" s="517" t="s">
        <v>1813</v>
      </c>
    </row>
    <row r="2034" spans="1:2" ht="15" hidden="1" x14ac:dyDescent="0.25">
      <c r="A2034" s="517" t="s">
        <v>1814</v>
      </c>
      <c r="B2034" s="517" t="s">
        <v>1815</v>
      </c>
    </row>
    <row r="2035" spans="1:2" ht="15" hidden="1" x14ac:dyDescent="0.25">
      <c r="A2035" s="517" t="s">
        <v>1816</v>
      </c>
      <c r="B2035" s="517" t="s">
        <v>1817</v>
      </c>
    </row>
    <row r="2036" spans="1:2" ht="15" hidden="1" x14ac:dyDescent="0.25">
      <c r="A2036" s="517" t="s">
        <v>1818</v>
      </c>
      <c r="B2036" s="517" t="s">
        <v>1766</v>
      </c>
    </row>
    <row r="2037" spans="1:2" ht="15" hidden="1" x14ac:dyDescent="0.25">
      <c r="A2037" s="517" t="s">
        <v>1819</v>
      </c>
      <c r="B2037" s="517" t="s">
        <v>1820</v>
      </c>
    </row>
    <row r="2038" spans="1:2" ht="15" hidden="1" x14ac:dyDescent="0.25">
      <c r="A2038" s="517" t="s">
        <v>1821</v>
      </c>
      <c r="B2038" s="517" t="s">
        <v>1822</v>
      </c>
    </row>
    <row r="2039" spans="1:2" ht="15" hidden="1" x14ac:dyDescent="0.25">
      <c r="A2039" s="517" t="s">
        <v>1823</v>
      </c>
      <c r="B2039" s="517" t="s">
        <v>1824</v>
      </c>
    </row>
    <row r="2040" spans="1:2" ht="15" hidden="1" x14ac:dyDescent="0.25">
      <c r="A2040" s="517" t="s">
        <v>1823</v>
      </c>
      <c r="B2040" s="517" t="s">
        <v>1824</v>
      </c>
    </row>
    <row r="2041" spans="1:2" ht="15" hidden="1" x14ac:dyDescent="0.25">
      <c r="A2041" s="517" t="s">
        <v>1825</v>
      </c>
      <c r="B2041" s="517" t="s">
        <v>1826</v>
      </c>
    </row>
    <row r="2042" spans="1:2" ht="15" hidden="1" x14ac:dyDescent="0.25">
      <c r="A2042" s="517" t="s">
        <v>1827</v>
      </c>
      <c r="B2042" s="517" t="s">
        <v>1828</v>
      </c>
    </row>
    <row r="2043" spans="1:2" ht="15" hidden="1" x14ac:dyDescent="0.25">
      <c r="A2043" s="517" t="s">
        <v>1829</v>
      </c>
      <c r="B2043" s="517" t="s">
        <v>1830</v>
      </c>
    </row>
    <row r="2044" spans="1:2" ht="15" hidden="1" x14ac:dyDescent="0.25">
      <c r="A2044" s="517" t="s">
        <v>1829</v>
      </c>
      <c r="B2044" s="517" t="s">
        <v>1830</v>
      </c>
    </row>
    <row r="2045" spans="1:2" ht="15" hidden="1" x14ac:dyDescent="0.25">
      <c r="A2045" s="517" t="s">
        <v>1829</v>
      </c>
      <c r="B2045" s="517" t="s">
        <v>1830</v>
      </c>
    </row>
    <row r="2046" spans="1:2" ht="15" hidden="1" x14ac:dyDescent="0.25">
      <c r="A2046" s="517" t="s">
        <v>1831</v>
      </c>
      <c r="B2046" s="517" t="s">
        <v>1832</v>
      </c>
    </row>
    <row r="2047" spans="1:2" ht="15" hidden="1" x14ac:dyDescent="0.25">
      <c r="A2047" s="517" t="s">
        <v>1831</v>
      </c>
      <c r="B2047" s="517" t="s">
        <v>1832</v>
      </c>
    </row>
    <row r="2048" spans="1:2" ht="15" hidden="1" x14ac:dyDescent="0.25">
      <c r="A2048" s="517" t="s">
        <v>1833</v>
      </c>
      <c r="B2048" s="517" t="s">
        <v>1834</v>
      </c>
    </row>
    <row r="2049" spans="1:2" ht="15" hidden="1" x14ac:dyDescent="0.25">
      <c r="A2049" s="517" t="s">
        <v>1835</v>
      </c>
      <c r="B2049" s="517" t="s">
        <v>1836</v>
      </c>
    </row>
    <row r="2050" spans="1:2" ht="15" hidden="1" x14ac:dyDescent="0.25">
      <c r="A2050" s="517" t="s">
        <v>1625</v>
      </c>
      <c r="B2050" s="517" t="s">
        <v>1626</v>
      </c>
    </row>
    <row r="2051" spans="1:2" ht="15" hidden="1" x14ac:dyDescent="0.25">
      <c r="A2051" s="517" t="s">
        <v>1625</v>
      </c>
      <c r="B2051" s="517" t="s">
        <v>1626</v>
      </c>
    </row>
    <row r="2052" spans="1:2" ht="15" hidden="1" x14ac:dyDescent="0.25">
      <c r="A2052" s="519" t="s">
        <v>1837</v>
      </c>
      <c r="B2052" s="519" t="s">
        <v>1838</v>
      </c>
    </row>
    <row r="2053" spans="1:2" ht="15" hidden="1" x14ac:dyDescent="0.25">
      <c r="A2053" s="517" t="s">
        <v>1839</v>
      </c>
      <c r="B2053" s="517" t="s">
        <v>1840</v>
      </c>
    </row>
    <row r="2054" spans="1:2" ht="15" hidden="1" x14ac:dyDescent="0.25">
      <c r="A2054" s="517" t="s">
        <v>1841</v>
      </c>
      <c r="B2054" s="517" t="s">
        <v>1842</v>
      </c>
    </row>
    <row r="2055" spans="1:2" ht="15" hidden="1" x14ac:dyDescent="0.25">
      <c r="A2055" s="517" t="s">
        <v>1843</v>
      </c>
      <c r="B2055" s="517" t="s">
        <v>1844</v>
      </c>
    </row>
    <row r="2056" spans="1:2" ht="15" hidden="1" x14ac:dyDescent="0.25">
      <c r="A2056" s="517" t="s">
        <v>1845</v>
      </c>
      <c r="B2056" s="517" t="s">
        <v>1846</v>
      </c>
    </row>
    <row r="2057" spans="1:2" ht="15" hidden="1" x14ac:dyDescent="0.25">
      <c r="A2057" s="517" t="s">
        <v>1847</v>
      </c>
      <c r="B2057" s="517" t="s">
        <v>1848</v>
      </c>
    </row>
    <row r="2058" spans="1:2" ht="15" hidden="1" x14ac:dyDescent="0.25">
      <c r="A2058" s="517" t="s">
        <v>1627</v>
      </c>
      <c r="B2058" s="517" t="s">
        <v>1628</v>
      </c>
    </row>
    <row r="2059" spans="1:2" ht="15" hidden="1" x14ac:dyDescent="0.25">
      <c r="A2059" s="517" t="s">
        <v>1627</v>
      </c>
      <c r="B2059" s="517" t="s">
        <v>1628</v>
      </c>
    </row>
    <row r="2060" spans="1:2" ht="15" hidden="1" x14ac:dyDescent="0.25">
      <c r="A2060" s="517" t="s">
        <v>220</v>
      </c>
      <c r="B2060" s="517" t="s">
        <v>321</v>
      </c>
    </row>
    <row r="2061" spans="1:2" ht="15" hidden="1" x14ac:dyDescent="0.25">
      <c r="A2061" s="517" t="s">
        <v>220</v>
      </c>
      <c r="B2061" s="517" t="s">
        <v>321</v>
      </c>
    </row>
    <row r="2062" spans="1:2" ht="15" hidden="1" x14ac:dyDescent="0.25">
      <c r="A2062" s="517" t="s">
        <v>220</v>
      </c>
      <c r="B2062" s="517" t="s">
        <v>321</v>
      </c>
    </row>
    <row r="2063" spans="1:2" ht="15" hidden="1" x14ac:dyDescent="0.25">
      <c r="A2063" s="517" t="s">
        <v>220</v>
      </c>
      <c r="B2063" s="517" t="s">
        <v>321</v>
      </c>
    </row>
    <row r="2064" spans="1:2" ht="15" hidden="1" x14ac:dyDescent="0.25">
      <c r="A2064" s="517" t="s">
        <v>220</v>
      </c>
      <c r="B2064" s="517" t="s">
        <v>321</v>
      </c>
    </row>
    <row r="2065" spans="1:2" ht="15" hidden="1" x14ac:dyDescent="0.25">
      <c r="A2065" s="517" t="s">
        <v>220</v>
      </c>
      <c r="B2065" s="517" t="s">
        <v>321</v>
      </c>
    </row>
    <row r="2066" spans="1:2" ht="15" hidden="1" x14ac:dyDescent="0.25">
      <c r="A2066" s="517" t="s">
        <v>220</v>
      </c>
      <c r="B2066" s="517" t="s">
        <v>321</v>
      </c>
    </row>
    <row r="2067" spans="1:2" ht="15" hidden="1" x14ac:dyDescent="0.25">
      <c r="A2067" s="517" t="s">
        <v>220</v>
      </c>
      <c r="B2067" s="517" t="s">
        <v>321</v>
      </c>
    </row>
    <row r="2068" spans="1:2" ht="15" hidden="1" x14ac:dyDescent="0.25">
      <c r="A2068" s="517" t="s">
        <v>220</v>
      </c>
      <c r="B2068" s="517" t="s">
        <v>321</v>
      </c>
    </row>
    <row r="2069" spans="1:2" ht="15" hidden="1" x14ac:dyDescent="0.25">
      <c r="A2069" s="517" t="s">
        <v>220</v>
      </c>
      <c r="B2069" s="517" t="s">
        <v>321</v>
      </c>
    </row>
    <row r="2070" spans="1:2" ht="15" hidden="1" x14ac:dyDescent="0.25">
      <c r="A2070" s="517" t="s">
        <v>220</v>
      </c>
      <c r="B2070" s="517" t="s">
        <v>321</v>
      </c>
    </row>
    <row r="2071" spans="1:2" ht="15" hidden="1" x14ac:dyDescent="0.25">
      <c r="A2071" s="517" t="s">
        <v>220</v>
      </c>
      <c r="B2071" s="517" t="s">
        <v>321</v>
      </c>
    </row>
    <row r="2072" spans="1:2" ht="15" hidden="1" x14ac:dyDescent="0.25">
      <c r="A2072" s="517" t="s">
        <v>220</v>
      </c>
      <c r="B2072" s="517" t="s">
        <v>321</v>
      </c>
    </row>
    <row r="2073" spans="1:2" ht="15" hidden="1" x14ac:dyDescent="0.25">
      <c r="A2073" s="517" t="s">
        <v>220</v>
      </c>
      <c r="B2073" s="517" t="s">
        <v>321</v>
      </c>
    </row>
    <row r="2074" spans="1:2" ht="15" hidden="1" x14ac:dyDescent="0.25">
      <c r="A2074" s="517" t="s">
        <v>220</v>
      </c>
      <c r="B2074" s="517" t="s">
        <v>321</v>
      </c>
    </row>
    <row r="2075" spans="1:2" ht="15" hidden="1" x14ac:dyDescent="0.25">
      <c r="A2075" s="517" t="s">
        <v>190</v>
      </c>
      <c r="B2075" s="517" t="s">
        <v>322</v>
      </c>
    </row>
    <row r="2076" spans="1:2" ht="15" hidden="1" x14ac:dyDescent="0.25">
      <c r="A2076" s="517" t="s">
        <v>191</v>
      </c>
      <c r="B2076" s="517" t="s">
        <v>323</v>
      </c>
    </row>
    <row r="2077" spans="1:2" ht="15" hidden="1" x14ac:dyDescent="0.25">
      <c r="A2077" s="517" t="s">
        <v>191</v>
      </c>
      <c r="B2077" s="517" t="s">
        <v>323</v>
      </c>
    </row>
    <row r="2078" spans="1:2" ht="15" hidden="1" x14ac:dyDescent="0.25">
      <c r="A2078" s="517" t="s">
        <v>191</v>
      </c>
      <c r="B2078" s="517" t="s">
        <v>323</v>
      </c>
    </row>
    <row r="2079" spans="1:2" ht="15" hidden="1" x14ac:dyDescent="0.25">
      <c r="A2079" s="517" t="s">
        <v>191</v>
      </c>
      <c r="B2079" s="517" t="s">
        <v>323</v>
      </c>
    </row>
    <row r="2080" spans="1:2" ht="15" hidden="1" x14ac:dyDescent="0.25">
      <c r="A2080" s="517" t="s">
        <v>191</v>
      </c>
      <c r="B2080" s="517" t="s">
        <v>323</v>
      </c>
    </row>
    <row r="2081" spans="1:2" ht="15" hidden="1" x14ac:dyDescent="0.25">
      <c r="A2081" s="517" t="s">
        <v>191</v>
      </c>
      <c r="B2081" s="517" t="s">
        <v>323</v>
      </c>
    </row>
    <row r="2082" spans="1:2" ht="15" hidden="1" x14ac:dyDescent="0.25">
      <c r="A2082" s="517" t="s">
        <v>407</v>
      </c>
      <c r="B2082" s="517" t="s">
        <v>408</v>
      </c>
    </row>
    <row r="2083" spans="1:2" ht="15" hidden="1" x14ac:dyDescent="0.25">
      <c r="A2083" s="517" t="s">
        <v>1631</v>
      </c>
      <c r="B2083" s="517" t="s">
        <v>1632</v>
      </c>
    </row>
    <row r="2084" spans="1:2" ht="15" hidden="1" x14ac:dyDescent="0.25">
      <c r="A2084" s="517" t="s">
        <v>1631</v>
      </c>
      <c r="B2084" s="517" t="s">
        <v>1632</v>
      </c>
    </row>
    <row r="2085" spans="1:2" ht="15" hidden="1" x14ac:dyDescent="0.25">
      <c r="A2085" s="517" t="s">
        <v>1631</v>
      </c>
      <c r="B2085" s="517" t="s">
        <v>1632</v>
      </c>
    </row>
    <row r="2086" spans="1:2" ht="15" hidden="1" x14ac:dyDescent="0.25">
      <c r="A2086" s="517" t="s">
        <v>1631</v>
      </c>
      <c r="B2086" s="517" t="s">
        <v>1632</v>
      </c>
    </row>
    <row r="2087" spans="1:2" ht="15" hidden="1" x14ac:dyDescent="0.25">
      <c r="A2087" s="517" t="s">
        <v>1631</v>
      </c>
      <c r="B2087" s="517" t="s">
        <v>1632</v>
      </c>
    </row>
    <row r="2088" spans="1:2" ht="15" hidden="1" x14ac:dyDescent="0.25">
      <c r="A2088" s="517" t="s">
        <v>1631</v>
      </c>
      <c r="B2088" s="517" t="s">
        <v>1632</v>
      </c>
    </row>
    <row r="2089" spans="1:2" ht="15" hidden="1" x14ac:dyDescent="0.25">
      <c r="A2089" s="517" t="s">
        <v>1631</v>
      </c>
      <c r="B2089" s="517" t="s">
        <v>1632</v>
      </c>
    </row>
    <row r="2090" spans="1:2" ht="15" hidden="1" x14ac:dyDescent="0.25">
      <c r="A2090" s="517" t="s">
        <v>1631</v>
      </c>
      <c r="B2090" s="517" t="s">
        <v>1632</v>
      </c>
    </row>
    <row r="2091" spans="1:2" ht="15" hidden="1" x14ac:dyDescent="0.25">
      <c r="A2091" s="517" t="s">
        <v>1631</v>
      </c>
      <c r="B2091" s="517" t="s">
        <v>1632</v>
      </c>
    </row>
    <row r="2092" spans="1:2" ht="15" hidden="1" x14ac:dyDescent="0.25">
      <c r="A2092" s="517" t="s">
        <v>1631</v>
      </c>
      <c r="B2092" s="517" t="s">
        <v>1632</v>
      </c>
    </row>
    <row r="2093" spans="1:2" ht="15" hidden="1" x14ac:dyDescent="0.25">
      <c r="A2093" s="517" t="s">
        <v>1467</v>
      </c>
      <c r="B2093" s="517" t="s">
        <v>1468</v>
      </c>
    </row>
    <row r="2094" spans="1:2" ht="15" hidden="1" x14ac:dyDescent="0.25">
      <c r="A2094" s="517" t="s">
        <v>1467</v>
      </c>
      <c r="B2094" s="517" t="s">
        <v>1468</v>
      </c>
    </row>
    <row r="2095" spans="1:2" ht="15" hidden="1" x14ac:dyDescent="0.25">
      <c r="A2095" s="517" t="s">
        <v>1467</v>
      </c>
      <c r="B2095" s="517" t="s">
        <v>1468</v>
      </c>
    </row>
    <row r="2096" spans="1:2" ht="15" hidden="1" x14ac:dyDescent="0.25">
      <c r="A2096" s="517" t="s">
        <v>1273</v>
      </c>
      <c r="B2096" s="517" t="s">
        <v>1274</v>
      </c>
    </row>
    <row r="2097" spans="1:2" ht="15" hidden="1" x14ac:dyDescent="0.25">
      <c r="A2097" s="517" t="s">
        <v>194</v>
      </c>
      <c r="B2097" s="517" t="s">
        <v>327</v>
      </c>
    </row>
    <row r="2098" spans="1:2" ht="15" hidden="1" x14ac:dyDescent="0.25">
      <c r="A2098" s="517" t="s">
        <v>194</v>
      </c>
      <c r="B2098" s="517" t="s">
        <v>327</v>
      </c>
    </row>
    <row r="2099" spans="1:2" ht="15" hidden="1" x14ac:dyDescent="0.25">
      <c r="A2099" s="517" t="s">
        <v>194</v>
      </c>
      <c r="B2099" s="517" t="s">
        <v>327</v>
      </c>
    </row>
    <row r="2100" spans="1:2" ht="15" hidden="1" x14ac:dyDescent="0.25">
      <c r="A2100" s="517" t="s">
        <v>194</v>
      </c>
      <c r="B2100" s="517" t="s">
        <v>327</v>
      </c>
    </row>
    <row r="2101" spans="1:2" ht="15" hidden="1" x14ac:dyDescent="0.25">
      <c r="A2101" s="517" t="s">
        <v>194</v>
      </c>
      <c r="B2101" s="517" t="s">
        <v>327</v>
      </c>
    </row>
    <row r="2102" spans="1:2" ht="15" hidden="1" x14ac:dyDescent="0.25">
      <c r="A2102" s="517" t="s">
        <v>194</v>
      </c>
      <c r="B2102" s="517" t="s">
        <v>327</v>
      </c>
    </row>
    <row r="2103" spans="1:2" ht="15" hidden="1" x14ac:dyDescent="0.25">
      <c r="A2103" s="517" t="s">
        <v>194</v>
      </c>
      <c r="B2103" s="517" t="s">
        <v>327</v>
      </c>
    </row>
    <row r="2104" spans="1:2" ht="15" hidden="1" x14ac:dyDescent="0.25">
      <c r="A2104" s="517" t="s">
        <v>194</v>
      </c>
      <c r="B2104" s="517" t="s">
        <v>327</v>
      </c>
    </row>
    <row r="2105" spans="1:2" ht="15" hidden="1" x14ac:dyDescent="0.25">
      <c r="A2105" s="517" t="s">
        <v>194</v>
      </c>
      <c r="B2105" s="517" t="s">
        <v>327</v>
      </c>
    </row>
    <row r="2106" spans="1:2" ht="15" hidden="1" x14ac:dyDescent="0.25">
      <c r="A2106" s="517" t="s">
        <v>194</v>
      </c>
      <c r="B2106" s="517" t="s">
        <v>327</v>
      </c>
    </row>
    <row r="2107" spans="1:2" ht="15" hidden="1" x14ac:dyDescent="0.25">
      <c r="A2107" s="517" t="s">
        <v>194</v>
      </c>
      <c r="B2107" s="517" t="s">
        <v>327</v>
      </c>
    </row>
    <row r="2108" spans="1:2" ht="15" hidden="1" x14ac:dyDescent="0.25">
      <c r="A2108" s="517" t="s">
        <v>194</v>
      </c>
      <c r="B2108" s="517" t="s">
        <v>327</v>
      </c>
    </row>
    <row r="2109" spans="1:2" ht="15" hidden="1" x14ac:dyDescent="0.25">
      <c r="A2109" s="517" t="s">
        <v>194</v>
      </c>
      <c r="B2109" s="517" t="s">
        <v>327</v>
      </c>
    </row>
    <row r="2110" spans="1:2" ht="15" hidden="1" x14ac:dyDescent="0.25">
      <c r="A2110" s="517" t="s">
        <v>194</v>
      </c>
      <c r="B2110" s="517" t="s">
        <v>327</v>
      </c>
    </row>
    <row r="2111" spans="1:2" ht="15" hidden="1" x14ac:dyDescent="0.25">
      <c r="A2111" s="517" t="s">
        <v>194</v>
      </c>
      <c r="B2111" s="517" t="s">
        <v>327</v>
      </c>
    </row>
    <row r="2112" spans="1:2" ht="15" hidden="1" x14ac:dyDescent="0.25">
      <c r="A2112" s="517" t="s">
        <v>222</v>
      </c>
      <c r="B2112" s="517" t="s">
        <v>328</v>
      </c>
    </row>
    <row r="2113" spans="1:2" ht="15" hidden="1" x14ac:dyDescent="0.25">
      <c r="A2113" s="517" t="s">
        <v>222</v>
      </c>
      <c r="B2113" s="517" t="s">
        <v>328</v>
      </c>
    </row>
    <row r="2114" spans="1:2" ht="15" hidden="1" x14ac:dyDescent="0.25">
      <c r="A2114" s="517" t="s">
        <v>222</v>
      </c>
      <c r="B2114" s="517" t="s">
        <v>328</v>
      </c>
    </row>
    <row r="2115" spans="1:2" ht="15" hidden="1" x14ac:dyDescent="0.25">
      <c r="A2115" s="517" t="s">
        <v>222</v>
      </c>
      <c r="B2115" s="517" t="s">
        <v>328</v>
      </c>
    </row>
    <row r="2116" spans="1:2" ht="15" hidden="1" x14ac:dyDescent="0.25">
      <c r="A2116" s="517" t="s">
        <v>222</v>
      </c>
      <c r="B2116" s="517" t="s">
        <v>328</v>
      </c>
    </row>
    <row r="2117" spans="1:2" ht="15" hidden="1" x14ac:dyDescent="0.25">
      <c r="A2117" s="517" t="s">
        <v>222</v>
      </c>
      <c r="B2117" s="517" t="s">
        <v>328</v>
      </c>
    </row>
    <row r="2118" spans="1:2" ht="15" hidden="1" x14ac:dyDescent="0.25">
      <c r="A2118" s="517" t="s">
        <v>222</v>
      </c>
      <c r="B2118" s="517" t="s">
        <v>328</v>
      </c>
    </row>
    <row r="2119" spans="1:2" ht="15" hidden="1" x14ac:dyDescent="0.25">
      <c r="A2119" s="517" t="s">
        <v>222</v>
      </c>
      <c r="B2119" s="517" t="s">
        <v>328</v>
      </c>
    </row>
    <row r="2120" spans="1:2" ht="15" hidden="1" x14ac:dyDescent="0.25">
      <c r="A2120" s="517" t="s">
        <v>222</v>
      </c>
      <c r="B2120" s="517" t="s">
        <v>328</v>
      </c>
    </row>
    <row r="2121" spans="1:2" ht="15" hidden="1" x14ac:dyDescent="0.25">
      <c r="A2121" s="517" t="s">
        <v>195</v>
      </c>
      <c r="B2121" s="517" t="s">
        <v>329</v>
      </c>
    </row>
    <row r="2122" spans="1:2" ht="15" hidden="1" x14ac:dyDescent="0.25">
      <c r="A2122" s="517" t="s">
        <v>195</v>
      </c>
      <c r="B2122" s="517" t="s">
        <v>329</v>
      </c>
    </row>
    <row r="2123" spans="1:2" ht="15" hidden="1" x14ac:dyDescent="0.25">
      <c r="A2123" s="517" t="s">
        <v>195</v>
      </c>
      <c r="B2123" s="517" t="s">
        <v>329</v>
      </c>
    </row>
    <row r="2124" spans="1:2" ht="15" hidden="1" x14ac:dyDescent="0.25">
      <c r="A2124" s="517" t="s">
        <v>195</v>
      </c>
      <c r="B2124" s="517" t="s">
        <v>329</v>
      </c>
    </row>
    <row r="2125" spans="1:2" ht="15" hidden="1" x14ac:dyDescent="0.25">
      <c r="A2125" s="517" t="s">
        <v>196</v>
      </c>
      <c r="B2125" s="517" t="s">
        <v>330</v>
      </c>
    </row>
    <row r="2126" spans="1:2" ht="15" hidden="1" x14ac:dyDescent="0.25">
      <c r="A2126" s="517" t="s">
        <v>197</v>
      </c>
      <c r="B2126" s="517" t="s">
        <v>331</v>
      </c>
    </row>
    <row r="2127" spans="1:2" ht="15" hidden="1" x14ac:dyDescent="0.25">
      <c r="A2127" s="517" t="s">
        <v>197</v>
      </c>
      <c r="B2127" s="517" t="s">
        <v>331</v>
      </c>
    </row>
    <row r="2128" spans="1:2" ht="15" hidden="1" x14ac:dyDescent="0.25">
      <c r="A2128" s="517" t="s">
        <v>197</v>
      </c>
      <c r="B2128" s="517" t="s">
        <v>331</v>
      </c>
    </row>
    <row r="2129" spans="1:2" ht="15" hidden="1" x14ac:dyDescent="0.25">
      <c r="A2129" s="517" t="s">
        <v>197</v>
      </c>
      <c r="B2129" s="517" t="s">
        <v>331</v>
      </c>
    </row>
    <row r="2130" spans="1:2" ht="15" hidden="1" x14ac:dyDescent="0.25">
      <c r="A2130" s="517" t="s">
        <v>197</v>
      </c>
      <c r="B2130" s="517" t="s">
        <v>331</v>
      </c>
    </row>
    <row r="2131" spans="1:2" ht="15" hidden="1" x14ac:dyDescent="0.25">
      <c r="A2131" s="517" t="s">
        <v>197</v>
      </c>
      <c r="B2131" s="517" t="s">
        <v>331</v>
      </c>
    </row>
    <row r="2132" spans="1:2" ht="15" hidden="1" x14ac:dyDescent="0.25">
      <c r="A2132" s="517" t="s">
        <v>197</v>
      </c>
      <c r="B2132" s="517" t="s">
        <v>331</v>
      </c>
    </row>
    <row r="2133" spans="1:2" ht="15" hidden="1" x14ac:dyDescent="0.25">
      <c r="A2133" s="517" t="s">
        <v>197</v>
      </c>
      <c r="B2133" s="517" t="s">
        <v>331</v>
      </c>
    </row>
    <row r="2134" spans="1:2" ht="15" hidden="1" x14ac:dyDescent="0.25">
      <c r="A2134" s="517" t="s">
        <v>197</v>
      </c>
      <c r="B2134" s="517" t="s">
        <v>331</v>
      </c>
    </row>
    <row r="2135" spans="1:2" ht="15" hidden="1" x14ac:dyDescent="0.25">
      <c r="A2135" s="517" t="s">
        <v>197</v>
      </c>
      <c r="B2135" s="517" t="s">
        <v>331</v>
      </c>
    </row>
    <row r="2136" spans="1:2" ht="15" hidden="1" x14ac:dyDescent="0.25">
      <c r="A2136" s="517" t="s">
        <v>197</v>
      </c>
      <c r="B2136" s="517" t="s">
        <v>331</v>
      </c>
    </row>
    <row r="2137" spans="1:2" ht="15" hidden="1" x14ac:dyDescent="0.25">
      <c r="A2137" s="517" t="s">
        <v>197</v>
      </c>
      <c r="B2137" s="517" t="s">
        <v>331</v>
      </c>
    </row>
    <row r="2138" spans="1:2" ht="15" hidden="1" x14ac:dyDescent="0.25">
      <c r="A2138" s="517" t="s">
        <v>197</v>
      </c>
      <c r="B2138" s="517" t="s">
        <v>331</v>
      </c>
    </row>
    <row r="2139" spans="1:2" ht="15" hidden="1" x14ac:dyDescent="0.25">
      <c r="A2139" s="517" t="s">
        <v>197</v>
      </c>
      <c r="B2139" s="517" t="s">
        <v>331</v>
      </c>
    </row>
    <row r="2140" spans="1:2" ht="15" hidden="1" x14ac:dyDescent="0.25">
      <c r="A2140" s="517" t="s">
        <v>197</v>
      </c>
      <c r="B2140" s="517" t="s">
        <v>331</v>
      </c>
    </row>
    <row r="2141" spans="1:2" ht="15" hidden="1" x14ac:dyDescent="0.25">
      <c r="A2141" s="517" t="s">
        <v>197</v>
      </c>
      <c r="B2141" s="517" t="s">
        <v>331</v>
      </c>
    </row>
    <row r="2142" spans="1:2" ht="15" hidden="1" x14ac:dyDescent="0.25">
      <c r="A2142" s="517" t="s">
        <v>197</v>
      </c>
      <c r="B2142" s="517" t="s">
        <v>331</v>
      </c>
    </row>
    <row r="2143" spans="1:2" ht="15" hidden="1" x14ac:dyDescent="0.25">
      <c r="A2143" s="517" t="s">
        <v>197</v>
      </c>
      <c r="B2143" s="517" t="s">
        <v>331</v>
      </c>
    </row>
    <row r="2144" spans="1:2" ht="15" hidden="1" x14ac:dyDescent="0.25">
      <c r="A2144" s="517" t="s">
        <v>197</v>
      </c>
      <c r="B2144" s="517" t="s">
        <v>331</v>
      </c>
    </row>
    <row r="2145" spans="1:2" ht="15" hidden="1" x14ac:dyDescent="0.25">
      <c r="A2145" s="517" t="s">
        <v>197</v>
      </c>
      <c r="B2145" s="517" t="s">
        <v>331</v>
      </c>
    </row>
    <row r="2146" spans="1:2" ht="15" hidden="1" x14ac:dyDescent="0.25">
      <c r="A2146" s="517" t="s">
        <v>197</v>
      </c>
      <c r="B2146" s="517" t="s">
        <v>331</v>
      </c>
    </row>
    <row r="2147" spans="1:2" ht="15" hidden="1" x14ac:dyDescent="0.25">
      <c r="A2147" s="517" t="s">
        <v>197</v>
      </c>
      <c r="B2147" s="517" t="s">
        <v>331</v>
      </c>
    </row>
    <row r="2148" spans="1:2" ht="15" hidden="1" x14ac:dyDescent="0.25">
      <c r="A2148" s="517" t="s">
        <v>197</v>
      </c>
      <c r="B2148" s="517" t="s">
        <v>331</v>
      </c>
    </row>
    <row r="2149" spans="1:2" ht="15" hidden="1" x14ac:dyDescent="0.25">
      <c r="A2149" s="517" t="s">
        <v>197</v>
      </c>
      <c r="B2149" s="517" t="s">
        <v>331</v>
      </c>
    </row>
    <row r="2150" spans="1:2" ht="15" hidden="1" x14ac:dyDescent="0.25">
      <c r="A2150" s="517" t="s">
        <v>197</v>
      </c>
      <c r="B2150" s="517" t="s">
        <v>331</v>
      </c>
    </row>
    <row r="2151" spans="1:2" ht="15" hidden="1" x14ac:dyDescent="0.25">
      <c r="A2151" s="517" t="s">
        <v>197</v>
      </c>
      <c r="B2151" s="517" t="s">
        <v>331</v>
      </c>
    </row>
    <row r="2152" spans="1:2" ht="15" hidden="1" x14ac:dyDescent="0.25">
      <c r="A2152" s="517" t="s">
        <v>197</v>
      </c>
      <c r="B2152" s="517" t="s">
        <v>331</v>
      </c>
    </row>
    <row r="2153" spans="1:2" ht="15" hidden="1" x14ac:dyDescent="0.25">
      <c r="A2153" s="517" t="s">
        <v>197</v>
      </c>
      <c r="B2153" s="517" t="s">
        <v>331</v>
      </c>
    </row>
    <row r="2154" spans="1:2" ht="15" hidden="1" x14ac:dyDescent="0.25">
      <c r="A2154" s="517" t="s">
        <v>197</v>
      </c>
      <c r="B2154" s="517" t="s">
        <v>331</v>
      </c>
    </row>
    <row r="2155" spans="1:2" ht="15" hidden="1" x14ac:dyDescent="0.25">
      <c r="A2155" s="517" t="s">
        <v>197</v>
      </c>
      <c r="B2155" s="517" t="s">
        <v>331</v>
      </c>
    </row>
    <row r="2156" spans="1:2" ht="15" hidden="1" x14ac:dyDescent="0.25">
      <c r="A2156" s="517" t="s">
        <v>197</v>
      </c>
      <c r="B2156" s="517" t="s">
        <v>331</v>
      </c>
    </row>
    <row r="2157" spans="1:2" ht="15" hidden="1" x14ac:dyDescent="0.25">
      <c r="A2157" s="517" t="s">
        <v>197</v>
      </c>
      <c r="B2157" s="517" t="s">
        <v>331</v>
      </c>
    </row>
    <row r="2158" spans="1:2" ht="15" hidden="1" x14ac:dyDescent="0.25">
      <c r="A2158" s="517" t="s">
        <v>197</v>
      </c>
      <c r="B2158" s="517" t="s">
        <v>331</v>
      </c>
    </row>
    <row r="2159" spans="1:2" ht="15" hidden="1" x14ac:dyDescent="0.25">
      <c r="A2159" s="517" t="s">
        <v>197</v>
      </c>
      <c r="B2159" s="517" t="s">
        <v>331</v>
      </c>
    </row>
    <row r="2160" spans="1:2" ht="15" hidden="1" x14ac:dyDescent="0.25">
      <c r="A2160" s="517" t="s">
        <v>197</v>
      </c>
      <c r="B2160" s="517" t="s">
        <v>331</v>
      </c>
    </row>
    <row r="2161" spans="1:2" ht="15" hidden="1" x14ac:dyDescent="0.25">
      <c r="A2161" s="517" t="s">
        <v>197</v>
      </c>
      <c r="B2161" s="517" t="s">
        <v>331</v>
      </c>
    </row>
    <row r="2162" spans="1:2" ht="15" hidden="1" x14ac:dyDescent="0.25">
      <c r="A2162" s="517" t="s">
        <v>197</v>
      </c>
      <c r="B2162" s="517" t="s">
        <v>331</v>
      </c>
    </row>
    <row r="2163" spans="1:2" ht="15" hidden="1" x14ac:dyDescent="0.25">
      <c r="A2163" s="517" t="s">
        <v>197</v>
      </c>
      <c r="B2163" s="517" t="s">
        <v>331</v>
      </c>
    </row>
    <row r="2164" spans="1:2" ht="15" hidden="1" x14ac:dyDescent="0.25">
      <c r="A2164" s="517" t="s">
        <v>1277</v>
      </c>
      <c r="B2164" s="517" t="s">
        <v>1278</v>
      </c>
    </row>
    <row r="2165" spans="1:2" ht="15" hidden="1" x14ac:dyDescent="0.25">
      <c r="A2165" s="517" t="s">
        <v>1279</v>
      </c>
      <c r="B2165" s="517" t="s">
        <v>1280</v>
      </c>
    </row>
    <row r="2166" spans="1:2" ht="15" hidden="1" x14ac:dyDescent="0.25">
      <c r="A2166" s="517" t="s">
        <v>199</v>
      </c>
      <c r="B2166" s="517" t="s">
        <v>334</v>
      </c>
    </row>
    <row r="2167" spans="1:2" ht="15" hidden="1" x14ac:dyDescent="0.25">
      <c r="A2167" s="517" t="s">
        <v>199</v>
      </c>
      <c r="B2167" s="517" t="s">
        <v>334</v>
      </c>
    </row>
    <row r="2168" spans="1:2" ht="15" hidden="1" x14ac:dyDescent="0.25">
      <c r="A2168" s="517" t="s">
        <v>199</v>
      </c>
      <c r="B2168" s="517" t="s">
        <v>334</v>
      </c>
    </row>
    <row r="2169" spans="1:2" ht="15" hidden="1" x14ac:dyDescent="0.25">
      <c r="A2169" s="517" t="s">
        <v>199</v>
      </c>
      <c r="B2169" s="517" t="s">
        <v>334</v>
      </c>
    </row>
    <row r="2170" spans="1:2" ht="15" hidden="1" x14ac:dyDescent="0.25">
      <c r="A2170" s="517" t="s">
        <v>1471</v>
      </c>
      <c r="B2170" s="517" t="s">
        <v>1472</v>
      </c>
    </row>
    <row r="2171" spans="1:2" ht="15" hidden="1" x14ac:dyDescent="0.25">
      <c r="A2171" s="517" t="s">
        <v>1471</v>
      </c>
      <c r="B2171" s="517" t="s">
        <v>1472</v>
      </c>
    </row>
    <row r="2172" spans="1:2" ht="15" hidden="1" x14ac:dyDescent="0.25">
      <c r="A2172" s="517" t="s">
        <v>1471</v>
      </c>
      <c r="B2172" s="517" t="s">
        <v>1472</v>
      </c>
    </row>
    <row r="2173" spans="1:2" ht="15" hidden="1" x14ac:dyDescent="0.25">
      <c r="A2173" s="517" t="s">
        <v>200</v>
      </c>
      <c r="B2173" s="517" t="s">
        <v>335</v>
      </c>
    </row>
    <row r="2174" spans="1:2" ht="15" hidden="1" x14ac:dyDescent="0.25">
      <c r="A2174" s="517" t="s">
        <v>200</v>
      </c>
      <c r="B2174" s="517" t="s">
        <v>335</v>
      </c>
    </row>
    <row r="2175" spans="1:2" ht="15" hidden="1" x14ac:dyDescent="0.25">
      <c r="A2175" s="517" t="s">
        <v>200</v>
      </c>
      <c r="B2175" s="517" t="s">
        <v>335</v>
      </c>
    </row>
    <row r="2176" spans="1:2" ht="15" hidden="1" x14ac:dyDescent="0.25">
      <c r="A2176" s="517" t="s">
        <v>200</v>
      </c>
      <c r="B2176" s="517" t="s">
        <v>335</v>
      </c>
    </row>
    <row r="2177" spans="1:2" ht="15" hidden="1" x14ac:dyDescent="0.25">
      <c r="A2177" s="517" t="s">
        <v>200</v>
      </c>
      <c r="B2177" s="517" t="s">
        <v>335</v>
      </c>
    </row>
    <row r="2178" spans="1:2" ht="15" hidden="1" x14ac:dyDescent="0.25">
      <c r="A2178" s="517" t="s">
        <v>200</v>
      </c>
      <c r="B2178" s="517" t="s">
        <v>335</v>
      </c>
    </row>
    <row r="2179" spans="1:2" ht="15" hidden="1" x14ac:dyDescent="0.25">
      <c r="A2179" s="517" t="s">
        <v>200</v>
      </c>
      <c r="B2179" s="517" t="s">
        <v>335</v>
      </c>
    </row>
    <row r="2180" spans="1:2" ht="15" hidden="1" x14ac:dyDescent="0.25">
      <c r="A2180" s="517" t="s">
        <v>200</v>
      </c>
      <c r="B2180" s="517" t="s">
        <v>335</v>
      </c>
    </row>
    <row r="2181" spans="1:2" ht="15" hidden="1" x14ac:dyDescent="0.25">
      <c r="A2181" s="517" t="s">
        <v>1281</v>
      </c>
      <c r="B2181" s="517" t="s">
        <v>1282</v>
      </c>
    </row>
    <row r="2182" spans="1:2" ht="15" hidden="1" x14ac:dyDescent="0.25">
      <c r="A2182" s="517" t="s">
        <v>1281</v>
      </c>
      <c r="B2182" s="517" t="s">
        <v>1282</v>
      </c>
    </row>
    <row r="2183" spans="1:2" ht="15" hidden="1" x14ac:dyDescent="0.25">
      <c r="A2183" s="517" t="s">
        <v>1281</v>
      </c>
      <c r="B2183" s="517" t="s">
        <v>1282</v>
      </c>
    </row>
    <row r="2184" spans="1:2" ht="15" hidden="1" x14ac:dyDescent="0.25">
      <c r="A2184" s="517" t="s">
        <v>1281</v>
      </c>
      <c r="B2184" s="517" t="s">
        <v>1282</v>
      </c>
    </row>
    <row r="2185" spans="1:2" ht="15" hidden="1" x14ac:dyDescent="0.25">
      <c r="A2185" s="517" t="s">
        <v>1849</v>
      </c>
      <c r="B2185" s="517" t="s">
        <v>1849</v>
      </c>
    </row>
    <row r="2186" spans="1:2" ht="15" hidden="1" x14ac:dyDescent="0.25">
      <c r="A2186" s="517" t="s">
        <v>1850</v>
      </c>
      <c r="B2186" s="517" t="s">
        <v>1850</v>
      </c>
    </row>
    <row r="2187" spans="1:2" ht="15" hidden="1" x14ac:dyDescent="0.25">
      <c r="A2187" s="517" t="s">
        <v>1851</v>
      </c>
      <c r="B2187" s="517" t="s">
        <v>1851</v>
      </c>
    </row>
    <row r="2188" spans="1:2" ht="15" hidden="1" x14ac:dyDescent="0.25">
      <c r="A2188" s="517" t="s">
        <v>1852</v>
      </c>
      <c r="B2188" s="517" t="s">
        <v>1852</v>
      </c>
    </row>
    <row r="2189" spans="1:2" ht="15" hidden="1" x14ac:dyDescent="0.25">
      <c r="A2189" s="517" t="s">
        <v>1853</v>
      </c>
      <c r="B2189" s="517" t="s">
        <v>1853</v>
      </c>
    </row>
    <row r="2190" spans="1:2" ht="15" hidden="1" x14ac:dyDescent="0.25">
      <c r="A2190" s="517" t="s">
        <v>1854</v>
      </c>
      <c r="B2190" s="517" t="s">
        <v>1854</v>
      </c>
    </row>
    <row r="2191" spans="1:2" ht="15" hidden="1" x14ac:dyDescent="0.25">
      <c r="A2191" s="517" t="s">
        <v>1855</v>
      </c>
      <c r="B2191" s="517" t="s">
        <v>1855</v>
      </c>
    </row>
    <row r="2192" spans="1:2" ht="15" hidden="1" x14ac:dyDescent="0.25">
      <c r="A2192" s="517" t="s">
        <v>1855</v>
      </c>
      <c r="B2192" s="517" t="s">
        <v>1855</v>
      </c>
    </row>
    <row r="2193" spans="1:2" ht="15" hidden="1" x14ac:dyDescent="0.25">
      <c r="A2193" s="517" t="s">
        <v>1856</v>
      </c>
      <c r="B2193" s="517" t="s">
        <v>1856</v>
      </c>
    </row>
    <row r="2194" spans="1:2" ht="15" hidden="1" x14ac:dyDescent="0.25">
      <c r="A2194" s="517" t="s">
        <v>1857</v>
      </c>
      <c r="B2194" s="517" t="s">
        <v>1857</v>
      </c>
    </row>
    <row r="2195" spans="1:2" ht="15" hidden="1" x14ac:dyDescent="0.25">
      <c r="A2195" s="517" t="s">
        <v>1858</v>
      </c>
      <c r="B2195" s="517" t="s">
        <v>1858</v>
      </c>
    </row>
    <row r="2196" spans="1:2" ht="15" hidden="1" x14ac:dyDescent="0.25">
      <c r="A2196" s="517" t="s">
        <v>1858</v>
      </c>
      <c r="B2196" s="517" t="s">
        <v>1858</v>
      </c>
    </row>
    <row r="2197" spans="1:2" ht="15" hidden="1" x14ac:dyDescent="0.25">
      <c r="A2197" s="517" t="s">
        <v>1859</v>
      </c>
      <c r="B2197" s="517" t="s">
        <v>1859</v>
      </c>
    </row>
    <row r="2198" spans="1:2" ht="15" hidden="1" x14ac:dyDescent="0.25">
      <c r="A2198" s="517" t="s">
        <v>1860</v>
      </c>
      <c r="B2198" s="517" t="s">
        <v>1860</v>
      </c>
    </row>
    <row r="2199" spans="1:2" ht="15" hidden="1" x14ac:dyDescent="0.25">
      <c r="A2199" s="517" t="s">
        <v>1861</v>
      </c>
      <c r="B2199" s="517" t="s">
        <v>1861</v>
      </c>
    </row>
    <row r="2200" spans="1:2" ht="15" hidden="1" x14ac:dyDescent="0.25">
      <c r="A2200" s="517" t="s">
        <v>1862</v>
      </c>
      <c r="B2200" s="517" t="s">
        <v>1862</v>
      </c>
    </row>
    <row r="2201" spans="1:2" ht="15" hidden="1" x14ac:dyDescent="0.25">
      <c r="A2201" s="517" t="s">
        <v>1863</v>
      </c>
      <c r="B2201" s="517" t="s">
        <v>1863</v>
      </c>
    </row>
    <row r="2202" spans="1:2" ht="15" hidden="1" x14ac:dyDescent="0.25">
      <c r="A2202" s="517" t="s">
        <v>1864</v>
      </c>
      <c r="B2202" s="517" t="s">
        <v>1864</v>
      </c>
    </row>
    <row r="2203" spans="1:2" ht="15" hidden="1" x14ac:dyDescent="0.25">
      <c r="A2203" s="517" t="s">
        <v>1864</v>
      </c>
      <c r="B2203" s="517" t="s">
        <v>1864</v>
      </c>
    </row>
    <row r="2204" spans="1:2" ht="15" hidden="1" x14ac:dyDescent="0.25">
      <c r="A2204" s="517" t="s">
        <v>1865</v>
      </c>
      <c r="B2204" s="517" t="s">
        <v>1865</v>
      </c>
    </row>
    <row r="2205" spans="1:2" ht="15" hidden="1" x14ac:dyDescent="0.25">
      <c r="A2205" s="517" t="s">
        <v>1866</v>
      </c>
      <c r="B2205" s="517" t="s">
        <v>1866</v>
      </c>
    </row>
    <row r="2206" spans="1:2" ht="15" hidden="1" x14ac:dyDescent="0.25">
      <c r="A2206" s="517" t="s">
        <v>1867</v>
      </c>
      <c r="B2206" s="517" t="s">
        <v>1867</v>
      </c>
    </row>
    <row r="2207" spans="1:2" ht="15" hidden="1" x14ac:dyDescent="0.25">
      <c r="A2207" s="517" t="s">
        <v>1868</v>
      </c>
      <c r="B2207" s="517" t="s">
        <v>1868</v>
      </c>
    </row>
    <row r="2208" spans="1:2" ht="15" hidden="1" x14ac:dyDescent="0.25">
      <c r="A2208" s="517" t="s">
        <v>1869</v>
      </c>
      <c r="B2208" s="517" t="s">
        <v>1869</v>
      </c>
    </row>
    <row r="2209" spans="1:2" ht="15" hidden="1" x14ac:dyDescent="0.25">
      <c r="A2209" s="517" t="s">
        <v>1869</v>
      </c>
      <c r="B2209" s="517" t="s">
        <v>1869</v>
      </c>
    </row>
    <row r="2210" spans="1:2" ht="15" hidden="1" x14ac:dyDescent="0.25">
      <c r="A2210" s="517" t="s">
        <v>1870</v>
      </c>
      <c r="B2210" s="517" t="s">
        <v>1870</v>
      </c>
    </row>
    <row r="2211" spans="1:2" ht="15" hidden="1" x14ac:dyDescent="0.25">
      <c r="A2211" s="517" t="s">
        <v>1871</v>
      </c>
      <c r="B2211" s="517" t="s">
        <v>1871</v>
      </c>
    </row>
    <row r="2212" spans="1:2" ht="15" hidden="1" x14ac:dyDescent="0.25">
      <c r="A2212" s="517" t="s">
        <v>1872</v>
      </c>
      <c r="B2212" s="517" t="s">
        <v>1872</v>
      </c>
    </row>
    <row r="2213" spans="1:2" ht="15" hidden="1" x14ac:dyDescent="0.25">
      <c r="A2213" s="517" t="s">
        <v>1872</v>
      </c>
      <c r="B2213" s="517" t="s">
        <v>1872</v>
      </c>
    </row>
    <row r="2214" spans="1:2" ht="15" hidden="1" x14ac:dyDescent="0.25">
      <c r="A2214" s="517" t="s">
        <v>1873</v>
      </c>
      <c r="B2214" s="517" t="s">
        <v>1873</v>
      </c>
    </row>
    <row r="2215" spans="1:2" ht="15" hidden="1" x14ac:dyDescent="0.25">
      <c r="A2215" s="517" t="s">
        <v>1874</v>
      </c>
      <c r="B2215" s="517" t="s">
        <v>1874</v>
      </c>
    </row>
    <row r="2216" spans="1:2" ht="15" hidden="1" x14ac:dyDescent="0.25">
      <c r="A2216" s="517" t="s">
        <v>1875</v>
      </c>
      <c r="B2216" s="517" t="s">
        <v>1875</v>
      </c>
    </row>
    <row r="2217" spans="1:2" ht="15" hidden="1" x14ac:dyDescent="0.25">
      <c r="A2217" s="517" t="s">
        <v>1876</v>
      </c>
      <c r="B2217" s="517" t="s">
        <v>1876</v>
      </c>
    </row>
    <row r="2218" spans="1:2" ht="15" hidden="1" x14ac:dyDescent="0.25">
      <c r="A2218" s="517" t="s">
        <v>1877</v>
      </c>
      <c r="B2218" s="517" t="s">
        <v>1877</v>
      </c>
    </row>
    <row r="2219" spans="1:2" ht="15" hidden="1" x14ac:dyDescent="0.25">
      <c r="A2219" s="517" t="s">
        <v>1878</v>
      </c>
      <c r="B2219" s="517" t="s">
        <v>1878</v>
      </c>
    </row>
    <row r="2220" spans="1:2" ht="15" hidden="1" x14ac:dyDescent="0.25">
      <c r="A2220" s="517" t="s">
        <v>1879</v>
      </c>
      <c r="B2220" s="517" t="s">
        <v>1879</v>
      </c>
    </row>
    <row r="2221" spans="1:2" ht="15" hidden="1" x14ac:dyDescent="0.25">
      <c r="A2221" s="517" t="s">
        <v>1880</v>
      </c>
      <c r="B2221" s="517" t="s">
        <v>1880</v>
      </c>
    </row>
    <row r="2222" spans="1:2" ht="15" hidden="1" x14ac:dyDescent="0.25">
      <c r="A2222" s="517" t="s">
        <v>1881</v>
      </c>
      <c r="B2222" s="517" t="s">
        <v>1881</v>
      </c>
    </row>
    <row r="2223" spans="1:2" ht="15" hidden="1" x14ac:dyDescent="0.25">
      <c r="A2223" s="517" t="s">
        <v>1882</v>
      </c>
      <c r="B2223" s="517" t="s">
        <v>1882</v>
      </c>
    </row>
    <row r="2224" spans="1:2" ht="15" hidden="1" x14ac:dyDescent="0.25">
      <c r="A2224" s="517" t="s">
        <v>1883</v>
      </c>
      <c r="B2224" s="517" t="s">
        <v>1883</v>
      </c>
    </row>
    <row r="2225" spans="1:2" ht="15" hidden="1" x14ac:dyDescent="0.25">
      <c r="A2225" s="517" t="s">
        <v>1884</v>
      </c>
      <c r="B2225" s="517" t="s">
        <v>1884</v>
      </c>
    </row>
    <row r="2226" spans="1:2" ht="15" hidden="1" x14ac:dyDescent="0.25">
      <c r="A2226" s="517" t="s">
        <v>1885</v>
      </c>
      <c r="B2226" s="517" t="s">
        <v>1885</v>
      </c>
    </row>
    <row r="2227" spans="1:2" ht="15" hidden="1" x14ac:dyDescent="0.25">
      <c r="A2227" s="517" t="s">
        <v>1886</v>
      </c>
      <c r="B2227" s="517" t="s">
        <v>1886</v>
      </c>
    </row>
    <row r="2228" spans="1:2" ht="15" hidden="1" x14ac:dyDescent="0.25">
      <c r="A2228" s="517" t="s">
        <v>1887</v>
      </c>
      <c r="B2228" s="517" t="s">
        <v>1887</v>
      </c>
    </row>
    <row r="2229" spans="1:2" ht="15" hidden="1" x14ac:dyDescent="0.25">
      <c r="A2229" s="517" t="s">
        <v>1887</v>
      </c>
      <c r="B2229" s="517" t="s">
        <v>1887</v>
      </c>
    </row>
    <row r="2230" spans="1:2" ht="15" hidden="1" x14ac:dyDescent="0.25">
      <c r="A2230" s="517" t="s">
        <v>1888</v>
      </c>
      <c r="B2230" s="517" t="s">
        <v>1888</v>
      </c>
    </row>
    <row r="2231" spans="1:2" ht="15" hidden="1" x14ac:dyDescent="0.25">
      <c r="A2231" s="517" t="s">
        <v>1889</v>
      </c>
      <c r="B2231" s="517" t="s">
        <v>1889</v>
      </c>
    </row>
    <row r="2232" spans="1:2" ht="15" hidden="1" x14ac:dyDescent="0.25">
      <c r="A2232" s="517" t="s">
        <v>1890</v>
      </c>
      <c r="B2232" s="517" t="s">
        <v>1890</v>
      </c>
    </row>
    <row r="2233" spans="1:2" ht="15" hidden="1" x14ac:dyDescent="0.25">
      <c r="A2233" s="517" t="s">
        <v>1891</v>
      </c>
      <c r="B2233" s="517" t="s">
        <v>1891</v>
      </c>
    </row>
    <row r="2234" spans="1:2" ht="15" hidden="1" x14ac:dyDescent="0.25">
      <c r="A2234" s="517" t="s">
        <v>1891</v>
      </c>
      <c r="B2234" s="517" t="s">
        <v>1891</v>
      </c>
    </row>
    <row r="2235" spans="1:2" ht="15" hidden="1" x14ac:dyDescent="0.25">
      <c r="A2235" s="517" t="s">
        <v>1892</v>
      </c>
      <c r="B2235" s="517" t="s">
        <v>1892</v>
      </c>
    </row>
    <row r="2236" spans="1:2" ht="15" hidden="1" x14ac:dyDescent="0.25">
      <c r="A2236" s="517" t="s">
        <v>1893</v>
      </c>
      <c r="B2236" s="517" t="s">
        <v>1893</v>
      </c>
    </row>
    <row r="2237" spans="1:2" ht="15" hidden="1" x14ac:dyDescent="0.25">
      <c r="A2237" s="517" t="s">
        <v>1894</v>
      </c>
      <c r="B2237" s="517" t="s">
        <v>1894</v>
      </c>
    </row>
    <row r="2238" spans="1:2" ht="15" hidden="1" x14ac:dyDescent="0.25">
      <c r="A2238" s="517" t="s">
        <v>1895</v>
      </c>
      <c r="B2238" s="517" t="s">
        <v>1895</v>
      </c>
    </row>
    <row r="2239" spans="1:2" ht="15" hidden="1" x14ac:dyDescent="0.25">
      <c r="A2239" s="517" t="s">
        <v>1896</v>
      </c>
      <c r="B2239" s="517" t="s">
        <v>1896</v>
      </c>
    </row>
    <row r="2240" spans="1:2" ht="15" hidden="1" x14ac:dyDescent="0.25">
      <c r="A2240" s="517" t="s">
        <v>1897</v>
      </c>
      <c r="B2240" s="517" t="s">
        <v>1897</v>
      </c>
    </row>
    <row r="2241" spans="1:2" ht="15" hidden="1" x14ac:dyDescent="0.25">
      <c r="A2241" s="517" t="s">
        <v>1898</v>
      </c>
      <c r="B2241" s="517" t="s">
        <v>1898</v>
      </c>
    </row>
    <row r="2242" spans="1:2" ht="15" hidden="1" x14ac:dyDescent="0.25">
      <c r="A2242" s="517" t="s">
        <v>1898</v>
      </c>
      <c r="B2242" s="517" t="s">
        <v>1898</v>
      </c>
    </row>
    <row r="2243" spans="1:2" ht="15" hidden="1" x14ac:dyDescent="0.25">
      <c r="A2243" s="517" t="s">
        <v>1899</v>
      </c>
      <c r="B2243" s="517" t="s">
        <v>1899</v>
      </c>
    </row>
    <row r="2244" spans="1:2" ht="15" hidden="1" x14ac:dyDescent="0.25">
      <c r="A2244" s="517" t="s">
        <v>1900</v>
      </c>
      <c r="B2244" s="517" t="s">
        <v>1900</v>
      </c>
    </row>
    <row r="2245" spans="1:2" ht="15" hidden="1" x14ac:dyDescent="0.25">
      <c r="A2245" s="517" t="s">
        <v>1901</v>
      </c>
      <c r="B2245" s="517" t="s">
        <v>1901</v>
      </c>
    </row>
    <row r="2246" spans="1:2" ht="15" hidden="1" x14ac:dyDescent="0.25">
      <c r="A2246" s="517" t="s">
        <v>1902</v>
      </c>
      <c r="B2246" s="517" t="s">
        <v>1902</v>
      </c>
    </row>
    <row r="2247" spans="1:2" ht="15" hidden="1" x14ac:dyDescent="0.25">
      <c r="A2247" s="517" t="s">
        <v>1903</v>
      </c>
      <c r="B2247" s="517" t="s">
        <v>1903</v>
      </c>
    </row>
    <row r="2248" spans="1:2" ht="15" hidden="1" x14ac:dyDescent="0.25">
      <c r="A2248" s="517" t="s">
        <v>1903</v>
      </c>
      <c r="B2248" s="517" t="s">
        <v>1903</v>
      </c>
    </row>
    <row r="2249" spans="1:2" ht="15" hidden="1" x14ac:dyDescent="0.25">
      <c r="A2249" s="517" t="s">
        <v>1904</v>
      </c>
      <c r="B2249" s="517" t="s">
        <v>1904</v>
      </c>
    </row>
    <row r="2250" spans="1:2" ht="15" hidden="1" x14ac:dyDescent="0.25">
      <c r="A2250" s="517" t="s">
        <v>1905</v>
      </c>
      <c r="B2250" s="517" t="s">
        <v>1905</v>
      </c>
    </row>
    <row r="2251" spans="1:2" ht="15" hidden="1" x14ac:dyDescent="0.25">
      <c r="A2251" s="517" t="s">
        <v>1906</v>
      </c>
      <c r="B2251" s="517" t="s">
        <v>1906</v>
      </c>
    </row>
    <row r="2252" spans="1:2" ht="15" hidden="1" x14ac:dyDescent="0.25">
      <c r="A2252" s="517" t="s">
        <v>1907</v>
      </c>
      <c r="B2252" s="517" t="s">
        <v>1907</v>
      </c>
    </row>
    <row r="2253" spans="1:2" ht="15" hidden="1" x14ac:dyDescent="0.25">
      <c r="A2253" s="517" t="s">
        <v>1908</v>
      </c>
      <c r="B2253" s="517" t="s">
        <v>1908</v>
      </c>
    </row>
    <row r="2254" spans="1:2" ht="15" hidden="1" x14ac:dyDescent="0.25">
      <c r="A2254" s="517" t="s">
        <v>1909</v>
      </c>
      <c r="B2254" s="517" t="s">
        <v>1909</v>
      </c>
    </row>
    <row r="2255" spans="1:2" ht="15" hidden="1" x14ac:dyDescent="0.25">
      <c r="A2255" s="517" t="s">
        <v>1910</v>
      </c>
      <c r="B2255" s="517" t="s">
        <v>1910</v>
      </c>
    </row>
    <row r="2256" spans="1:2" ht="15" hidden="1" x14ac:dyDescent="0.25">
      <c r="A2256" s="517" t="s">
        <v>1911</v>
      </c>
      <c r="B2256" s="517" t="s">
        <v>1911</v>
      </c>
    </row>
    <row r="2257" spans="1:2" ht="15" hidden="1" x14ac:dyDescent="0.25">
      <c r="A2257" s="517" t="s">
        <v>1912</v>
      </c>
      <c r="B2257" s="517" t="s">
        <v>1912</v>
      </c>
    </row>
    <row r="2258" spans="1:2" ht="15" hidden="1" x14ac:dyDescent="0.25">
      <c r="A2258" s="517" t="s">
        <v>1913</v>
      </c>
      <c r="B2258" s="517" t="s">
        <v>1913</v>
      </c>
    </row>
    <row r="2259" spans="1:2" ht="15" hidden="1" x14ac:dyDescent="0.25">
      <c r="A2259" s="517" t="s">
        <v>1914</v>
      </c>
      <c r="B2259" s="517" t="s">
        <v>1914</v>
      </c>
    </row>
    <row r="2260" spans="1:2" ht="15" hidden="1" x14ac:dyDescent="0.25">
      <c r="A2260" s="517" t="s">
        <v>1915</v>
      </c>
      <c r="B2260" s="517" t="s">
        <v>1915</v>
      </c>
    </row>
    <row r="2261" spans="1:2" ht="15" hidden="1" x14ac:dyDescent="0.25">
      <c r="A2261" s="517" t="s">
        <v>1916</v>
      </c>
      <c r="B2261" s="517" t="s">
        <v>1916</v>
      </c>
    </row>
    <row r="2262" spans="1:2" ht="15" hidden="1" x14ac:dyDescent="0.25">
      <c r="A2262" s="517" t="s">
        <v>1916</v>
      </c>
      <c r="B2262" s="517" t="s">
        <v>1916</v>
      </c>
    </row>
    <row r="2263" spans="1:2" ht="15" hidden="1" x14ac:dyDescent="0.25">
      <c r="A2263" s="517" t="s">
        <v>1917</v>
      </c>
      <c r="B2263" s="517" t="s">
        <v>1917</v>
      </c>
    </row>
    <row r="2264" spans="1:2" ht="15" hidden="1" x14ac:dyDescent="0.25">
      <c r="A2264" s="517" t="s">
        <v>1918</v>
      </c>
      <c r="B2264" s="517" t="s">
        <v>1918</v>
      </c>
    </row>
    <row r="2265" spans="1:2" ht="15" hidden="1" x14ac:dyDescent="0.25">
      <c r="A2265" s="517" t="s">
        <v>1919</v>
      </c>
      <c r="B2265" s="517" t="s">
        <v>1919</v>
      </c>
    </row>
    <row r="2266" spans="1:2" ht="15" hidden="1" x14ac:dyDescent="0.25">
      <c r="A2266" s="517" t="s">
        <v>1919</v>
      </c>
      <c r="B2266" s="517" t="s">
        <v>1919</v>
      </c>
    </row>
    <row r="2267" spans="1:2" ht="15" hidden="1" x14ac:dyDescent="0.25">
      <c r="A2267" s="517" t="s">
        <v>1920</v>
      </c>
      <c r="B2267" s="517" t="s">
        <v>1920</v>
      </c>
    </row>
    <row r="2268" spans="1:2" ht="15" hidden="1" x14ac:dyDescent="0.25">
      <c r="A2268" s="517" t="s">
        <v>1921</v>
      </c>
      <c r="B2268" s="517" t="s">
        <v>1921</v>
      </c>
    </row>
    <row r="2269" spans="1:2" ht="15" hidden="1" x14ac:dyDescent="0.25">
      <c r="A2269" s="517" t="s">
        <v>1922</v>
      </c>
      <c r="B2269" s="517" t="s">
        <v>1922</v>
      </c>
    </row>
    <row r="2270" spans="1:2" ht="15" hidden="1" x14ac:dyDescent="0.25">
      <c r="A2270" s="517" t="s">
        <v>1923</v>
      </c>
      <c r="B2270" s="517" t="s">
        <v>1923</v>
      </c>
    </row>
    <row r="2271" spans="1:2" ht="15" hidden="1" x14ac:dyDescent="0.25">
      <c r="A2271" s="517" t="s">
        <v>1924</v>
      </c>
      <c r="B2271" s="517" t="s">
        <v>1924</v>
      </c>
    </row>
    <row r="2272" spans="1:2" ht="15" hidden="1" x14ac:dyDescent="0.25">
      <c r="A2272" s="517" t="s">
        <v>1925</v>
      </c>
      <c r="B2272" s="517" t="s">
        <v>1925</v>
      </c>
    </row>
    <row r="2273" spans="1:2" ht="15" hidden="1" x14ac:dyDescent="0.25">
      <c r="A2273" s="517" t="s">
        <v>1926</v>
      </c>
      <c r="B2273" s="517" t="s">
        <v>1926</v>
      </c>
    </row>
    <row r="2274" spans="1:2" ht="15" hidden="1" x14ac:dyDescent="0.25">
      <c r="A2274" s="517" t="s">
        <v>1927</v>
      </c>
      <c r="B2274" s="517" t="s">
        <v>1927</v>
      </c>
    </row>
    <row r="2275" spans="1:2" ht="15" hidden="1" x14ac:dyDescent="0.25">
      <c r="A2275" s="517" t="s">
        <v>1928</v>
      </c>
      <c r="B2275" s="517" t="s">
        <v>1928</v>
      </c>
    </row>
    <row r="2276" spans="1:2" ht="15" hidden="1" x14ac:dyDescent="0.25">
      <c r="A2276" s="517" t="s">
        <v>1929</v>
      </c>
      <c r="B2276" s="517" t="s">
        <v>1929</v>
      </c>
    </row>
    <row r="2277" spans="1:2" ht="15" hidden="1" x14ac:dyDescent="0.25">
      <c r="A2277" s="517" t="s">
        <v>1929</v>
      </c>
      <c r="B2277" s="517" t="s">
        <v>1929</v>
      </c>
    </row>
    <row r="2278" spans="1:2" ht="15" hidden="1" x14ac:dyDescent="0.25">
      <c r="A2278" s="517" t="s">
        <v>1930</v>
      </c>
      <c r="B2278" s="517" t="s">
        <v>1930</v>
      </c>
    </row>
    <row r="2279" spans="1:2" ht="15" hidden="1" x14ac:dyDescent="0.25">
      <c r="A2279" s="517" t="s">
        <v>1931</v>
      </c>
      <c r="B2279" s="517" t="s">
        <v>1931</v>
      </c>
    </row>
    <row r="2280" spans="1:2" ht="15" hidden="1" x14ac:dyDescent="0.25">
      <c r="A2280" s="517" t="s">
        <v>1932</v>
      </c>
      <c r="B2280" s="517" t="s">
        <v>1932</v>
      </c>
    </row>
    <row r="2281" spans="1:2" ht="15" hidden="1" x14ac:dyDescent="0.25">
      <c r="A2281" s="517" t="s">
        <v>1933</v>
      </c>
      <c r="B2281" s="517" t="s">
        <v>1933</v>
      </c>
    </row>
    <row r="2282" spans="1:2" ht="15" hidden="1" x14ac:dyDescent="0.25">
      <c r="A2282" s="517" t="s">
        <v>1934</v>
      </c>
      <c r="B2282" s="517" t="s">
        <v>1934</v>
      </c>
    </row>
    <row r="2283" spans="1:2" ht="15" hidden="1" x14ac:dyDescent="0.25">
      <c r="A2283" s="517" t="s">
        <v>1935</v>
      </c>
      <c r="B2283" s="517" t="s">
        <v>1935</v>
      </c>
    </row>
    <row r="2284" spans="1:2" ht="15" hidden="1" x14ac:dyDescent="0.25">
      <c r="A2284" s="517" t="s">
        <v>1936</v>
      </c>
      <c r="B2284" s="517" t="s">
        <v>1936</v>
      </c>
    </row>
    <row r="2285" spans="1:2" ht="15" hidden="1" x14ac:dyDescent="0.25">
      <c r="A2285" s="517" t="s">
        <v>1937</v>
      </c>
      <c r="B2285" s="517" t="s">
        <v>1937</v>
      </c>
    </row>
    <row r="2286" spans="1:2" ht="15" hidden="1" x14ac:dyDescent="0.25">
      <c r="A2286" s="517" t="s">
        <v>1938</v>
      </c>
      <c r="B2286" s="517" t="s">
        <v>1938</v>
      </c>
    </row>
    <row r="2287" spans="1:2" ht="15" hidden="1" x14ac:dyDescent="0.25">
      <c r="A2287" s="517" t="s">
        <v>1939</v>
      </c>
      <c r="B2287" s="517" t="s">
        <v>1939</v>
      </c>
    </row>
    <row r="2288" spans="1:2" ht="15" hidden="1" x14ac:dyDescent="0.25">
      <c r="A2288" s="517" t="s">
        <v>1940</v>
      </c>
      <c r="B2288" s="517" t="s">
        <v>1940</v>
      </c>
    </row>
    <row r="2289" spans="1:2" ht="15" hidden="1" x14ac:dyDescent="0.25">
      <c r="A2289" s="517" t="s">
        <v>1941</v>
      </c>
      <c r="B2289" s="517" t="s">
        <v>1941</v>
      </c>
    </row>
    <row r="2290" spans="1:2" ht="15" hidden="1" x14ac:dyDescent="0.25">
      <c r="A2290" s="517" t="s">
        <v>1942</v>
      </c>
      <c r="B2290" s="517" t="s">
        <v>1942</v>
      </c>
    </row>
    <row r="2291" spans="1:2" ht="15" hidden="1" x14ac:dyDescent="0.25">
      <c r="A2291" s="517" t="s">
        <v>1943</v>
      </c>
      <c r="B2291" s="517" t="s">
        <v>1943</v>
      </c>
    </row>
    <row r="2292" spans="1:2" ht="15" hidden="1" x14ac:dyDescent="0.25">
      <c r="A2292" s="517" t="s">
        <v>1943</v>
      </c>
      <c r="B2292" s="517" t="s">
        <v>1943</v>
      </c>
    </row>
    <row r="2293" spans="1:2" ht="15" hidden="1" x14ac:dyDescent="0.25">
      <c r="A2293" s="517" t="s">
        <v>1944</v>
      </c>
      <c r="B2293" s="517" t="s">
        <v>1944</v>
      </c>
    </row>
    <row r="2294" spans="1:2" ht="15" hidden="1" x14ac:dyDescent="0.25">
      <c r="A2294" s="517" t="s">
        <v>1945</v>
      </c>
      <c r="B2294" s="517" t="s">
        <v>1945</v>
      </c>
    </row>
    <row r="2295" spans="1:2" ht="15" hidden="1" x14ac:dyDescent="0.25">
      <c r="A2295" s="517" t="s">
        <v>1946</v>
      </c>
      <c r="B2295" s="517" t="s">
        <v>1946</v>
      </c>
    </row>
    <row r="2296" spans="1:2" ht="15" hidden="1" x14ac:dyDescent="0.25">
      <c r="A2296" s="517" t="s">
        <v>1947</v>
      </c>
      <c r="B2296" s="517" t="s">
        <v>1947</v>
      </c>
    </row>
    <row r="2297" spans="1:2" ht="15" hidden="1" x14ac:dyDescent="0.25">
      <c r="A2297" s="517" t="s">
        <v>1948</v>
      </c>
      <c r="B2297" s="517" t="s">
        <v>1948</v>
      </c>
    </row>
    <row r="2298" spans="1:2" ht="15" hidden="1" x14ac:dyDescent="0.25">
      <c r="A2298" s="517" t="s">
        <v>1949</v>
      </c>
      <c r="B2298" s="517" t="s">
        <v>1949</v>
      </c>
    </row>
    <row r="2299" spans="1:2" ht="15" hidden="1" x14ac:dyDescent="0.25">
      <c r="A2299" s="517" t="s">
        <v>1950</v>
      </c>
      <c r="B2299" s="517" t="s">
        <v>1950</v>
      </c>
    </row>
    <row r="2300" spans="1:2" ht="15" hidden="1" x14ac:dyDescent="0.25">
      <c r="A2300" s="517" t="s">
        <v>1950</v>
      </c>
      <c r="B2300" s="517" t="s">
        <v>1950</v>
      </c>
    </row>
    <row r="2301" spans="1:2" ht="15" hidden="1" x14ac:dyDescent="0.25">
      <c r="A2301" s="517" t="s">
        <v>1951</v>
      </c>
      <c r="B2301" s="517" t="s">
        <v>1951</v>
      </c>
    </row>
    <row r="2302" spans="1:2" ht="15" hidden="1" x14ac:dyDescent="0.25">
      <c r="A2302" s="517" t="s">
        <v>1952</v>
      </c>
      <c r="B2302" s="517" t="s">
        <v>1953</v>
      </c>
    </row>
    <row r="2303" spans="1:2" ht="15" hidden="1" x14ac:dyDescent="0.25">
      <c r="A2303" s="517" t="s">
        <v>1954</v>
      </c>
      <c r="B2303" s="517" t="s">
        <v>1955</v>
      </c>
    </row>
    <row r="2304" spans="1:2" ht="15" hidden="1" x14ac:dyDescent="0.25">
      <c r="A2304" s="517" t="s">
        <v>1954</v>
      </c>
      <c r="B2304" s="517" t="s">
        <v>1955</v>
      </c>
    </row>
    <row r="2305" spans="1:2" ht="15" hidden="1" x14ac:dyDescent="0.25">
      <c r="A2305" s="517" t="s">
        <v>1778</v>
      </c>
      <c r="B2305" s="517" t="s">
        <v>1779</v>
      </c>
    </row>
    <row r="2306" spans="1:2" ht="15" hidden="1" x14ac:dyDescent="0.25">
      <c r="A2306" s="517" t="s">
        <v>1956</v>
      </c>
      <c r="B2306" s="517" t="s">
        <v>1957</v>
      </c>
    </row>
    <row r="2307" spans="1:2" ht="15" hidden="1" x14ac:dyDescent="0.25">
      <c r="A2307" s="517" t="s">
        <v>1956</v>
      </c>
      <c r="B2307" s="517" t="s">
        <v>1957</v>
      </c>
    </row>
    <row r="2308" spans="1:2" ht="15" hidden="1" x14ac:dyDescent="0.25">
      <c r="A2308" s="517" t="s">
        <v>1379</v>
      </c>
      <c r="B2308" s="517" t="s">
        <v>1380</v>
      </c>
    </row>
    <row r="2309" spans="1:2" ht="15" hidden="1" x14ac:dyDescent="0.25">
      <c r="A2309" s="517" t="s">
        <v>1958</v>
      </c>
      <c r="B2309" s="517" t="s">
        <v>1959</v>
      </c>
    </row>
    <row r="2310" spans="1:2" ht="15" hidden="1" x14ac:dyDescent="0.25">
      <c r="A2310" s="517" t="s">
        <v>1960</v>
      </c>
      <c r="B2310" s="517" t="s">
        <v>1961</v>
      </c>
    </row>
    <row r="2311" spans="1:2" ht="15" hidden="1" x14ac:dyDescent="0.25">
      <c r="A2311" s="518" t="s">
        <v>1960</v>
      </c>
      <c r="B2311" s="517" t="s">
        <v>1961</v>
      </c>
    </row>
    <row r="2312" spans="1:2" ht="15" hidden="1" x14ac:dyDescent="0.25">
      <c r="A2312" s="517" t="s">
        <v>1962</v>
      </c>
      <c r="B2312" s="517" t="s">
        <v>1963</v>
      </c>
    </row>
    <row r="2313" spans="1:2" ht="15" hidden="1" x14ac:dyDescent="0.25">
      <c r="A2313" s="517" t="s">
        <v>1964</v>
      </c>
      <c r="B2313" s="517" t="s">
        <v>1965</v>
      </c>
    </row>
    <row r="2314" spans="1:2" ht="15" hidden="1" x14ac:dyDescent="0.25">
      <c r="A2314" s="517" t="s">
        <v>1966</v>
      </c>
      <c r="B2314" s="517" t="s">
        <v>1967</v>
      </c>
    </row>
    <row r="2315" spans="1:2" ht="15" hidden="1" x14ac:dyDescent="0.25">
      <c r="A2315" s="517" t="s">
        <v>1968</v>
      </c>
      <c r="B2315" s="517" t="s">
        <v>1969</v>
      </c>
    </row>
    <row r="2316" spans="1:2" ht="15" hidden="1" x14ac:dyDescent="0.25">
      <c r="A2316" s="517" t="s">
        <v>1970</v>
      </c>
      <c r="B2316" s="517" t="s">
        <v>1971</v>
      </c>
    </row>
    <row r="2317" spans="1:2" ht="15" hidden="1" x14ac:dyDescent="0.25">
      <c r="A2317" s="517" t="s">
        <v>1972</v>
      </c>
      <c r="B2317" s="517" t="s">
        <v>1973</v>
      </c>
    </row>
    <row r="2318" spans="1:2" ht="15" hidden="1" x14ac:dyDescent="0.25">
      <c r="A2318" s="517" t="s">
        <v>1974</v>
      </c>
      <c r="B2318" s="517" t="s">
        <v>406</v>
      </c>
    </row>
    <row r="2319" spans="1:2" ht="15" hidden="1" x14ac:dyDescent="0.25">
      <c r="A2319" s="517" t="s">
        <v>1974</v>
      </c>
      <c r="B2319" s="517" t="s">
        <v>406</v>
      </c>
    </row>
    <row r="2320" spans="1:2" ht="15" hidden="1" x14ac:dyDescent="0.25">
      <c r="A2320" s="517" t="s">
        <v>1975</v>
      </c>
      <c r="B2320" s="517" t="s">
        <v>1976</v>
      </c>
    </row>
    <row r="2321" spans="1:2" ht="15" hidden="1" x14ac:dyDescent="0.25">
      <c r="A2321" s="517" t="s">
        <v>1975</v>
      </c>
      <c r="B2321" s="517" t="s">
        <v>1976</v>
      </c>
    </row>
    <row r="2322" spans="1:2" ht="15" hidden="1" x14ac:dyDescent="0.25">
      <c r="A2322" s="517" t="s">
        <v>1977</v>
      </c>
      <c r="B2322" s="517" t="s">
        <v>1978</v>
      </c>
    </row>
    <row r="2323" spans="1:2" ht="15" hidden="1" x14ac:dyDescent="0.25">
      <c r="A2323" s="517" t="s">
        <v>1979</v>
      </c>
      <c r="B2323" s="517" t="s">
        <v>1980</v>
      </c>
    </row>
    <row r="2324" spans="1:2" ht="15" hidden="1" x14ac:dyDescent="0.25">
      <c r="A2324" s="517" t="s">
        <v>1981</v>
      </c>
      <c r="B2324" s="517" t="s">
        <v>1982</v>
      </c>
    </row>
    <row r="2325" spans="1:2" ht="15" hidden="1" x14ac:dyDescent="0.25">
      <c r="A2325" s="517" t="s">
        <v>1983</v>
      </c>
      <c r="B2325" s="517" t="s">
        <v>1984</v>
      </c>
    </row>
    <row r="2326" spans="1:2" ht="15" hidden="1" x14ac:dyDescent="0.25">
      <c r="A2326" s="517" t="s">
        <v>1985</v>
      </c>
      <c r="B2326" s="517" t="s">
        <v>1986</v>
      </c>
    </row>
    <row r="2327" spans="1:2" ht="15" hidden="1" x14ac:dyDescent="0.25">
      <c r="A2327" s="517" t="s">
        <v>1403</v>
      </c>
      <c r="B2327" s="517" t="s">
        <v>1404</v>
      </c>
    </row>
    <row r="2328" spans="1:2" ht="15" hidden="1" x14ac:dyDescent="0.25">
      <c r="A2328" s="517" t="s">
        <v>1403</v>
      </c>
      <c r="B2328" s="517" t="s">
        <v>1404</v>
      </c>
    </row>
    <row r="2329" spans="1:2" ht="15" hidden="1" x14ac:dyDescent="0.25">
      <c r="A2329" s="517" t="s">
        <v>1987</v>
      </c>
      <c r="B2329" s="517" t="s">
        <v>1988</v>
      </c>
    </row>
    <row r="2330" spans="1:2" ht="15" hidden="1" x14ac:dyDescent="0.25">
      <c r="A2330" s="517" t="s">
        <v>1989</v>
      </c>
      <c r="B2330" s="517" t="s">
        <v>1990</v>
      </c>
    </row>
    <row r="2331" spans="1:2" ht="15" hidden="1" x14ac:dyDescent="0.25">
      <c r="A2331" s="517" t="s">
        <v>1989</v>
      </c>
      <c r="B2331" s="517" t="s">
        <v>1990</v>
      </c>
    </row>
    <row r="2332" spans="1:2" ht="15" hidden="1" x14ac:dyDescent="0.25">
      <c r="A2332" s="517" t="s">
        <v>1991</v>
      </c>
      <c r="B2332" s="517" t="s">
        <v>1992</v>
      </c>
    </row>
    <row r="2333" spans="1:2" ht="15" hidden="1" x14ac:dyDescent="0.25">
      <c r="A2333" s="517" t="s">
        <v>1993</v>
      </c>
      <c r="B2333" s="517" t="s">
        <v>1994</v>
      </c>
    </row>
    <row r="2334" spans="1:2" ht="15" hidden="1" x14ac:dyDescent="0.25">
      <c r="A2334" s="517" t="s">
        <v>1993</v>
      </c>
      <c r="B2334" s="517" t="s">
        <v>1994</v>
      </c>
    </row>
    <row r="2335" spans="1:2" ht="15" hidden="1" x14ac:dyDescent="0.25">
      <c r="A2335" s="517" t="s">
        <v>1993</v>
      </c>
      <c r="B2335" s="517" t="s">
        <v>1994</v>
      </c>
    </row>
    <row r="2336" spans="1:2" ht="15" hidden="1" x14ac:dyDescent="0.25">
      <c r="A2336" s="517" t="s">
        <v>1993</v>
      </c>
      <c r="B2336" s="517" t="s">
        <v>1994</v>
      </c>
    </row>
    <row r="2337" spans="1:2" ht="15" hidden="1" x14ac:dyDescent="0.25">
      <c r="A2337" s="517" t="s">
        <v>1995</v>
      </c>
      <c r="B2337" s="517" t="s">
        <v>1996</v>
      </c>
    </row>
    <row r="2338" spans="1:2" ht="15" hidden="1" x14ac:dyDescent="0.25">
      <c r="A2338" s="517" t="s">
        <v>1997</v>
      </c>
      <c r="B2338" s="517" t="s">
        <v>1998</v>
      </c>
    </row>
    <row r="2339" spans="1:2" ht="15" hidden="1" x14ac:dyDescent="0.25">
      <c r="A2339" s="517" t="s">
        <v>1997</v>
      </c>
      <c r="B2339" s="517" t="s">
        <v>1998</v>
      </c>
    </row>
    <row r="2340" spans="1:2" ht="15" hidden="1" x14ac:dyDescent="0.25">
      <c r="A2340" s="517" t="s">
        <v>1997</v>
      </c>
      <c r="B2340" s="517" t="s">
        <v>1998</v>
      </c>
    </row>
    <row r="2341" spans="1:2" ht="15" hidden="1" x14ac:dyDescent="0.25">
      <c r="A2341" s="517" t="s">
        <v>1999</v>
      </c>
      <c r="B2341" s="517" t="s">
        <v>2000</v>
      </c>
    </row>
    <row r="2342" spans="1:2" ht="15" hidden="1" x14ac:dyDescent="0.25">
      <c r="A2342" s="517" t="s">
        <v>1999</v>
      </c>
      <c r="B2342" s="517" t="s">
        <v>2000</v>
      </c>
    </row>
    <row r="2343" spans="1:2" ht="15" hidden="1" x14ac:dyDescent="0.25">
      <c r="A2343" s="517" t="s">
        <v>2001</v>
      </c>
      <c r="B2343" s="517" t="s">
        <v>2002</v>
      </c>
    </row>
    <row r="2344" spans="1:2" ht="15" hidden="1" x14ac:dyDescent="0.25">
      <c r="A2344" s="517" t="s">
        <v>2001</v>
      </c>
      <c r="B2344" s="517" t="s">
        <v>2002</v>
      </c>
    </row>
    <row r="2345" spans="1:2" ht="15" hidden="1" x14ac:dyDescent="0.25">
      <c r="A2345" s="517" t="s">
        <v>2003</v>
      </c>
      <c r="B2345" s="517" t="s">
        <v>2004</v>
      </c>
    </row>
    <row r="2346" spans="1:2" ht="15" hidden="1" x14ac:dyDescent="0.25">
      <c r="A2346" s="517" t="s">
        <v>2003</v>
      </c>
      <c r="B2346" s="517" t="s">
        <v>2004</v>
      </c>
    </row>
    <row r="2347" spans="1:2" ht="15" hidden="1" x14ac:dyDescent="0.25">
      <c r="A2347" s="517" t="s">
        <v>2005</v>
      </c>
      <c r="B2347" s="517" t="s">
        <v>2006</v>
      </c>
    </row>
    <row r="2348" spans="1:2" ht="15" hidden="1" x14ac:dyDescent="0.25">
      <c r="A2348" s="517" t="s">
        <v>1421</v>
      </c>
      <c r="B2348" s="517" t="s">
        <v>1422</v>
      </c>
    </row>
    <row r="2349" spans="1:2" ht="15" hidden="1" x14ac:dyDescent="0.25">
      <c r="A2349" s="517" t="s">
        <v>1421</v>
      </c>
      <c r="B2349" s="517" t="s">
        <v>1422</v>
      </c>
    </row>
    <row r="2350" spans="1:2" ht="15" hidden="1" x14ac:dyDescent="0.25">
      <c r="A2350" s="517" t="s">
        <v>2007</v>
      </c>
      <c r="B2350" s="517" t="s">
        <v>2008</v>
      </c>
    </row>
    <row r="2351" spans="1:2" ht="15" hidden="1" x14ac:dyDescent="0.25">
      <c r="A2351" s="517" t="s">
        <v>2007</v>
      </c>
      <c r="B2351" s="517" t="s">
        <v>2008</v>
      </c>
    </row>
    <row r="2352" spans="1:2" ht="15" hidden="1" x14ac:dyDescent="0.25">
      <c r="A2352" s="517" t="s">
        <v>2009</v>
      </c>
      <c r="B2352" s="517" t="s">
        <v>2010</v>
      </c>
    </row>
    <row r="2353" spans="1:2" ht="15" hidden="1" x14ac:dyDescent="0.25">
      <c r="A2353" s="517" t="s">
        <v>2011</v>
      </c>
      <c r="B2353" s="517" t="s">
        <v>2012</v>
      </c>
    </row>
    <row r="2354" spans="1:2" ht="15" hidden="1" x14ac:dyDescent="0.25">
      <c r="A2354" s="517" t="s">
        <v>2011</v>
      </c>
      <c r="B2354" s="517" t="s">
        <v>2012</v>
      </c>
    </row>
    <row r="2355" spans="1:2" ht="15" hidden="1" x14ac:dyDescent="0.25">
      <c r="A2355" s="517" t="s">
        <v>2013</v>
      </c>
      <c r="B2355" s="517" t="s">
        <v>2014</v>
      </c>
    </row>
    <row r="2356" spans="1:2" ht="15" hidden="1" x14ac:dyDescent="0.25">
      <c r="A2356" s="517" t="s">
        <v>2015</v>
      </c>
      <c r="B2356" s="517" t="s">
        <v>2016</v>
      </c>
    </row>
    <row r="2357" spans="1:2" ht="15" hidden="1" x14ac:dyDescent="0.25">
      <c r="A2357" s="517" t="s">
        <v>2017</v>
      </c>
      <c r="B2357" s="517" t="s">
        <v>2018</v>
      </c>
    </row>
    <row r="2358" spans="1:2" ht="15" hidden="1" x14ac:dyDescent="0.25">
      <c r="A2358" s="517" t="s">
        <v>2017</v>
      </c>
      <c r="B2358" s="517" t="s">
        <v>2018</v>
      </c>
    </row>
    <row r="2359" spans="1:2" ht="15" hidden="1" x14ac:dyDescent="0.25">
      <c r="A2359" s="517" t="s">
        <v>246</v>
      </c>
      <c r="B2359" s="517" t="s">
        <v>396</v>
      </c>
    </row>
    <row r="2360" spans="1:2" ht="15" hidden="1" x14ac:dyDescent="0.25">
      <c r="A2360" s="517" t="s">
        <v>246</v>
      </c>
      <c r="B2360" s="517" t="s">
        <v>396</v>
      </c>
    </row>
    <row r="2361" spans="1:2" ht="15" hidden="1" x14ac:dyDescent="0.25">
      <c r="A2361" s="517" t="s">
        <v>2019</v>
      </c>
      <c r="B2361" s="517" t="s">
        <v>1986</v>
      </c>
    </row>
    <row r="2362" spans="1:2" ht="15" hidden="1" x14ac:dyDescent="0.25">
      <c r="A2362" s="517" t="s">
        <v>2020</v>
      </c>
      <c r="B2362" s="517" t="s">
        <v>2021</v>
      </c>
    </row>
    <row r="2363" spans="1:2" ht="15" hidden="1" x14ac:dyDescent="0.25">
      <c r="A2363" s="517" t="s">
        <v>2020</v>
      </c>
      <c r="B2363" s="517" t="s">
        <v>2021</v>
      </c>
    </row>
    <row r="2364" spans="1:2" ht="15" hidden="1" x14ac:dyDescent="0.25">
      <c r="A2364" s="517" t="s">
        <v>1709</v>
      </c>
      <c r="B2364" s="517" t="s">
        <v>1710</v>
      </c>
    </row>
    <row r="2365" spans="1:2" ht="15" hidden="1" x14ac:dyDescent="0.25">
      <c r="A2365" s="517" t="s">
        <v>1709</v>
      </c>
      <c r="B2365" s="517" t="s">
        <v>1710</v>
      </c>
    </row>
    <row r="2366" spans="1:2" ht="15" hidden="1" x14ac:dyDescent="0.25">
      <c r="A2366" s="517" t="s">
        <v>1709</v>
      </c>
      <c r="B2366" s="517" t="s">
        <v>1710</v>
      </c>
    </row>
    <row r="2367" spans="1:2" ht="15" hidden="1" x14ac:dyDescent="0.25">
      <c r="A2367" s="517" t="s">
        <v>2022</v>
      </c>
      <c r="B2367" s="517" t="s">
        <v>2023</v>
      </c>
    </row>
    <row r="2368" spans="1:2" ht="15" hidden="1" x14ac:dyDescent="0.25">
      <c r="A2368" s="517" t="s">
        <v>2024</v>
      </c>
      <c r="B2368" s="517" t="s">
        <v>2025</v>
      </c>
    </row>
    <row r="2369" spans="1:2" ht="15" hidden="1" x14ac:dyDescent="0.25">
      <c r="A2369" s="517" t="s">
        <v>2026</v>
      </c>
      <c r="B2369" s="517" t="s">
        <v>2027</v>
      </c>
    </row>
    <row r="2370" spans="1:2" ht="15" hidden="1" x14ac:dyDescent="0.25">
      <c r="A2370" s="517" t="s">
        <v>2028</v>
      </c>
      <c r="B2370" s="517" t="s">
        <v>2029</v>
      </c>
    </row>
    <row r="2371" spans="1:2" ht="15" hidden="1" x14ac:dyDescent="0.25">
      <c r="A2371" s="517" t="s">
        <v>1940</v>
      </c>
      <c r="B2371" s="517" t="s">
        <v>2030</v>
      </c>
    </row>
    <row r="2372" spans="1:2" ht="15" hidden="1" x14ac:dyDescent="0.25">
      <c r="A2372" s="517" t="s">
        <v>2031</v>
      </c>
      <c r="B2372" s="517" t="s">
        <v>2032</v>
      </c>
    </row>
    <row r="2373" spans="1:2" ht="15" hidden="1" x14ac:dyDescent="0.25">
      <c r="A2373" s="517" t="s">
        <v>2031</v>
      </c>
      <c r="B2373" s="517" t="s">
        <v>2032</v>
      </c>
    </row>
    <row r="2374" spans="1:2" ht="15" hidden="1" x14ac:dyDescent="0.25">
      <c r="A2374" s="517" t="s">
        <v>2033</v>
      </c>
      <c r="B2374" s="517" t="s">
        <v>2034</v>
      </c>
    </row>
    <row r="2375" spans="1:2" ht="15" hidden="1" x14ac:dyDescent="0.25">
      <c r="A2375" s="517" t="s">
        <v>2033</v>
      </c>
      <c r="B2375" s="517" t="s">
        <v>2034</v>
      </c>
    </row>
    <row r="2376" spans="1:2" ht="15" hidden="1" x14ac:dyDescent="0.25">
      <c r="A2376" s="517" t="s">
        <v>2035</v>
      </c>
      <c r="B2376" s="517" t="s">
        <v>2036</v>
      </c>
    </row>
    <row r="2377" spans="1:2" ht="15" hidden="1" x14ac:dyDescent="0.25">
      <c r="A2377" s="517" t="s">
        <v>2035</v>
      </c>
      <c r="B2377" s="517" t="s">
        <v>2036</v>
      </c>
    </row>
    <row r="2378" spans="1:2" ht="15" hidden="1" x14ac:dyDescent="0.25">
      <c r="A2378" s="517" t="s">
        <v>2037</v>
      </c>
      <c r="B2378" s="517" t="s">
        <v>2038</v>
      </c>
    </row>
    <row r="2379" spans="1:2" ht="15" hidden="1" x14ac:dyDescent="0.25">
      <c r="A2379" s="517" t="s">
        <v>2037</v>
      </c>
      <c r="B2379" s="517" t="s">
        <v>2038</v>
      </c>
    </row>
    <row r="2380" spans="1:2" ht="15" hidden="1" x14ac:dyDescent="0.25">
      <c r="A2380" s="517" t="s">
        <v>1825</v>
      </c>
      <c r="B2380" s="517" t="s">
        <v>1826</v>
      </c>
    </row>
    <row r="2381" spans="1:2" ht="15" hidden="1" x14ac:dyDescent="0.25">
      <c r="A2381" s="517" t="s">
        <v>1825</v>
      </c>
      <c r="B2381" s="517" t="s">
        <v>1826</v>
      </c>
    </row>
    <row r="2382" spans="1:2" ht="15" hidden="1" x14ac:dyDescent="0.25">
      <c r="A2382" s="517" t="s">
        <v>2039</v>
      </c>
      <c r="B2382" s="517" t="s">
        <v>2040</v>
      </c>
    </row>
    <row r="2383" spans="1:2" ht="15" hidden="1" x14ac:dyDescent="0.25">
      <c r="A2383" s="517" t="s">
        <v>2039</v>
      </c>
      <c r="B2383" s="517" t="s">
        <v>2040</v>
      </c>
    </row>
    <row r="2384" spans="1:2" ht="15" hidden="1" x14ac:dyDescent="0.25">
      <c r="A2384" s="517" t="s">
        <v>2041</v>
      </c>
      <c r="B2384" s="517" t="s">
        <v>2042</v>
      </c>
    </row>
    <row r="2385" spans="1:2" ht="15" hidden="1" x14ac:dyDescent="0.25">
      <c r="A2385" s="517" t="s">
        <v>2041</v>
      </c>
      <c r="B2385" s="517" t="s">
        <v>2042</v>
      </c>
    </row>
    <row r="2386" spans="1:2" ht="15" hidden="1" x14ac:dyDescent="0.25">
      <c r="A2386" s="517" t="s">
        <v>2043</v>
      </c>
      <c r="B2386" s="517" t="s">
        <v>2044</v>
      </c>
    </row>
    <row r="2387" spans="1:2" ht="15" hidden="1" x14ac:dyDescent="0.25">
      <c r="A2387" s="519" t="s">
        <v>2045</v>
      </c>
      <c r="B2387" s="517" t="s">
        <v>2046</v>
      </c>
    </row>
    <row r="2388" spans="1:2" ht="15" hidden="1" x14ac:dyDescent="0.25">
      <c r="A2388" s="517" t="s">
        <v>220</v>
      </c>
      <c r="B2388" s="517" t="s">
        <v>321</v>
      </c>
    </row>
    <row r="2389" spans="1:2" ht="15" hidden="1" x14ac:dyDescent="0.25">
      <c r="A2389" s="517" t="s">
        <v>220</v>
      </c>
      <c r="B2389" s="517" t="s">
        <v>321</v>
      </c>
    </row>
    <row r="2390" spans="1:2" ht="15" hidden="1" x14ac:dyDescent="0.25">
      <c r="A2390" s="517" t="s">
        <v>220</v>
      </c>
      <c r="B2390" s="517" t="s">
        <v>321</v>
      </c>
    </row>
    <row r="2391" spans="1:2" ht="15" hidden="1" x14ac:dyDescent="0.25">
      <c r="A2391" s="517" t="s">
        <v>2047</v>
      </c>
      <c r="B2391" s="517" t="s">
        <v>2048</v>
      </c>
    </row>
    <row r="2392" spans="1:2" ht="15" hidden="1" x14ac:dyDescent="0.25">
      <c r="A2392" s="517" t="s">
        <v>2047</v>
      </c>
      <c r="B2392" s="517" t="s">
        <v>2048</v>
      </c>
    </row>
    <row r="2393" spans="1:2" ht="15" hidden="1" x14ac:dyDescent="0.25">
      <c r="A2393" s="517" t="s">
        <v>2047</v>
      </c>
      <c r="B2393" s="517" t="s">
        <v>2048</v>
      </c>
    </row>
    <row r="2394" spans="1:2" ht="15" hidden="1" x14ac:dyDescent="0.25">
      <c r="A2394" s="517" t="s">
        <v>2047</v>
      </c>
      <c r="B2394" s="517" t="s">
        <v>2048</v>
      </c>
    </row>
    <row r="2395" spans="1:2" ht="15" hidden="1" x14ac:dyDescent="0.25">
      <c r="A2395" s="517" t="s">
        <v>2047</v>
      </c>
      <c r="B2395" s="517" t="s">
        <v>2048</v>
      </c>
    </row>
    <row r="2396" spans="1:2" ht="15" hidden="1" x14ac:dyDescent="0.25">
      <c r="A2396" s="517" t="s">
        <v>2047</v>
      </c>
      <c r="B2396" s="517" t="s">
        <v>2048</v>
      </c>
    </row>
    <row r="2397" spans="1:2" ht="15" hidden="1" x14ac:dyDescent="0.25">
      <c r="A2397" s="517" t="s">
        <v>194</v>
      </c>
      <c r="B2397" s="517" t="s">
        <v>327</v>
      </c>
    </row>
    <row r="2398" spans="1:2" ht="15" hidden="1" x14ac:dyDescent="0.25">
      <c r="A2398" s="517" t="s">
        <v>194</v>
      </c>
      <c r="B2398" s="517" t="s">
        <v>327</v>
      </c>
    </row>
    <row r="2399" spans="1:2" ht="15" hidden="1" x14ac:dyDescent="0.25">
      <c r="A2399" s="517" t="s">
        <v>194</v>
      </c>
      <c r="B2399" s="517" t="s">
        <v>327</v>
      </c>
    </row>
    <row r="2400" spans="1:2" ht="15" hidden="1" x14ac:dyDescent="0.25">
      <c r="A2400" s="517" t="s">
        <v>194</v>
      </c>
      <c r="B2400" s="517" t="s">
        <v>327</v>
      </c>
    </row>
    <row r="2401" spans="1:2" ht="15" hidden="1" x14ac:dyDescent="0.25">
      <c r="A2401" s="517" t="s">
        <v>194</v>
      </c>
      <c r="B2401" s="517" t="s">
        <v>327</v>
      </c>
    </row>
    <row r="2402" spans="1:2" ht="15" hidden="1" x14ac:dyDescent="0.25">
      <c r="A2402" s="517" t="s">
        <v>194</v>
      </c>
      <c r="B2402" s="517" t="s">
        <v>327</v>
      </c>
    </row>
    <row r="2403" spans="1:2" ht="15" hidden="1" x14ac:dyDescent="0.25">
      <c r="A2403" s="517" t="s">
        <v>194</v>
      </c>
      <c r="B2403" s="517" t="s">
        <v>327</v>
      </c>
    </row>
    <row r="2404" spans="1:2" ht="15" hidden="1" x14ac:dyDescent="0.25">
      <c r="A2404" s="517" t="s">
        <v>194</v>
      </c>
      <c r="B2404" s="517" t="s">
        <v>327</v>
      </c>
    </row>
    <row r="2405" spans="1:2" ht="15" hidden="1" x14ac:dyDescent="0.25">
      <c r="A2405" s="517" t="s">
        <v>194</v>
      </c>
      <c r="B2405" s="517" t="s">
        <v>327</v>
      </c>
    </row>
    <row r="2406" spans="1:2" ht="15" hidden="1" x14ac:dyDescent="0.25">
      <c r="A2406" s="517" t="s">
        <v>222</v>
      </c>
      <c r="B2406" s="517" t="s">
        <v>328</v>
      </c>
    </row>
    <row r="2407" spans="1:2" ht="15" hidden="1" x14ac:dyDescent="0.25">
      <c r="A2407" s="517" t="s">
        <v>222</v>
      </c>
      <c r="B2407" s="517" t="s">
        <v>328</v>
      </c>
    </row>
    <row r="2408" spans="1:2" ht="15" hidden="1" x14ac:dyDescent="0.25">
      <c r="A2408" s="517" t="s">
        <v>222</v>
      </c>
      <c r="B2408" s="517" t="s">
        <v>328</v>
      </c>
    </row>
    <row r="2409" spans="1:2" ht="15" hidden="1" x14ac:dyDescent="0.25">
      <c r="A2409" s="517" t="s">
        <v>222</v>
      </c>
      <c r="B2409" s="517" t="s">
        <v>328</v>
      </c>
    </row>
    <row r="2410" spans="1:2" ht="15" hidden="1" x14ac:dyDescent="0.25">
      <c r="A2410" s="517" t="s">
        <v>222</v>
      </c>
      <c r="B2410" s="517" t="s">
        <v>328</v>
      </c>
    </row>
    <row r="2411" spans="1:2" ht="15" hidden="1" x14ac:dyDescent="0.25">
      <c r="A2411" s="517" t="s">
        <v>222</v>
      </c>
      <c r="B2411" s="517" t="s">
        <v>328</v>
      </c>
    </row>
    <row r="2412" spans="1:2" ht="15" hidden="1" x14ac:dyDescent="0.25">
      <c r="A2412" s="517" t="s">
        <v>222</v>
      </c>
      <c r="B2412" s="517" t="s">
        <v>328</v>
      </c>
    </row>
    <row r="2413" spans="1:2" ht="15" hidden="1" x14ac:dyDescent="0.25">
      <c r="A2413" s="517" t="s">
        <v>222</v>
      </c>
      <c r="B2413" s="517" t="s">
        <v>328</v>
      </c>
    </row>
    <row r="2414" spans="1:2" ht="15" hidden="1" x14ac:dyDescent="0.25">
      <c r="A2414" s="517" t="s">
        <v>222</v>
      </c>
      <c r="B2414" s="517" t="s">
        <v>328</v>
      </c>
    </row>
    <row r="2415" spans="1:2" ht="15" hidden="1" x14ac:dyDescent="0.25">
      <c r="A2415" s="517" t="s">
        <v>222</v>
      </c>
      <c r="B2415" s="517" t="s">
        <v>328</v>
      </c>
    </row>
    <row r="2416" spans="1:2" ht="15" hidden="1" x14ac:dyDescent="0.25">
      <c r="A2416" s="517" t="s">
        <v>195</v>
      </c>
      <c r="B2416" s="517" t="s">
        <v>329</v>
      </c>
    </row>
    <row r="2417" spans="1:2" ht="15" hidden="1" x14ac:dyDescent="0.25">
      <c r="A2417" s="517" t="s">
        <v>197</v>
      </c>
      <c r="B2417" s="517" t="s">
        <v>331</v>
      </c>
    </row>
    <row r="2418" spans="1:2" ht="15" hidden="1" x14ac:dyDescent="0.25">
      <c r="A2418" s="517" t="s">
        <v>197</v>
      </c>
      <c r="B2418" s="517" t="s">
        <v>331</v>
      </c>
    </row>
    <row r="2419" spans="1:2" ht="15" hidden="1" x14ac:dyDescent="0.25">
      <c r="A2419" s="517" t="s">
        <v>197</v>
      </c>
      <c r="B2419" s="517" t="s">
        <v>331</v>
      </c>
    </row>
    <row r="2420" spans="1:2" ht="15" hidden="1" x14ac:dyDescent="0.25">
      <c r="A2420" s="517" t="s">
        <v>197</v>
      </c>
      <c r="B2420" s="517" t="s">
        <v>331</v>
      </c>
    </row>
    <row r="2421" spans="1:2" ht="15" hidden="1" x14ac:dyDescent="0.25">
      <c r="A2421" s="517" t="s">
        <v>199</v>
      </c>
      <c r="B2421" s="517" t="s">
        <v>334</v>
      </c>
    </row>
    <row r="2422" spans="1:2" ht="15" hidden="1" x14ac:dyDescent="0.25">
      <c r="A2422" s="517" t="s">
        <v>199</v>
      </c>
      <c r="B2422" s="517" t="s">
        <v>334</v>
      </c>
    </row>
    <row r="2423" spans="1:2" ht="15" hidden="1" x14ac:dyDescent="0.25">
      <c r="A2423" s="517" t="s">
        <v>199</v>
      </c>
      <c r="B2423" s="517" t="s">
        <v>334</v>
      </c>
    </row>
    <row r="2424" spans="1:2" ht="15" hidden="1" x14ac:dyDescent="0.25">
      <c r="A2424" s="517" t="s">
        <v>199</v>
      </c>
      <c r="B2424" s="517" t="s">
        <v>334</v>
      </c>
    </row>
    <row r="2425" spans="1:2" ht="15" hidden="1" x14ac:dyDescent="0.25">
      <c r="A2425" s="517" t="s">
        <v>199</v>
      </c>
      <c r="B2425" s="517" t="s">
        <v>334</v>
      </c>
    </row>
    <row r="2426" spans="1:2" ht="15" hidden="1" x14ac:dyDescent="0.25">
      <c r="A2426" s="517" t="s">
        <v>199</v>
      </c>
      <c r="B2426" s="517" t="s">
        <v>334</v>
      </c>
    </row>
    <row r="2427" spans="1:2" ht="15" hidden="1" x14ac:dyDescent="0.25">
      <c r="A2427" s="517" t="s">
        <v>1281</v>
      </c>
      <c r="B2427" s="517" t="s">
        <v>1282</v>
      </c>
    </row>
    <row r="2428" spans="1:2" ht="15" hidden="1" x14ac:dyDescent="0.25">
      <c r="A2428" s="517" t="s">
        <v>1281</v>
      </c>
      <c r="B2428" s="517" t="s">
        <v>1282</v>
      </c>
    </row>
    <row r="2429" spans="1:2" ht="15" hidden="1" x14ac:dyDescent="0.25">
      <c r="A2429" s="517" t="s">
        <v>1281</v>
      </c>
      <c r="B2429" s="517" t="s">
        <v>1282</v>
      </c>
    </row>
    <row r="2430" spans="1:2" ht="15" hidden="1" x14ac:dyDescent="0.25">
      <c r="A2430" s="517" t="s">
        <v>1281</v>
      </c>
      <c r="B2430" s="517" t="s">
        <v>1282</v>
      </c>
    </row>
    <row r="2431" spans="1:2" ht="15" hidden="1" x14ac:dyDescent="0.25">
      <c r="A2431" s="517" t="s">
        <v>1281</v>
      </c>
      <c r="B2431" s="517" t="s">
        <v>1282</v>
      </c>
    </row>
    <row r="2432" spans="1:2" ht="15" hidden="1" x14ac:dyDescent="0.25">
      <c r="A2432" s="517" t="s">
        <v>1281</v>
      </c>
      <c r="B2432" s="517" t="s">
        <v>1282</v>
      </c>
    </row>
    <row r="2433" spans="1:2" ht="15" hidden="1" x14ac:dyDescent="0.25">
      <c r="A2433" s="517" t="s">
        <v>1281</v>
      </c>
      <c r="B2433" s="517" t="s">
        <v>1282</v>
      </c>
    </row>
    <row r="2434" spans="1:2" ht="15" hidden="1" x14ac:dyDescent="0.25">
      <c r="A2434" s="517" t="s">
        <v>1281</v>
      </c>
      <c r="B2434" s="517" t="s">
        <v>1282</v>
      </c>
    </row>
    <row r="2435" spans="1:2" ht="15" hidden="1" x14ac:dyDescent="0.25">
      <c r="A2435" s="517" t="s">
        <v>1281</v>
      </c>
      <c r="B2435" s="517" t="s">
        <v>1282</v>
      </c>
    </row>
    <row r="2436" spans="1:2" ht="15" hidden="1" x14ac:dyDescent="0.25">
      <c r="A2436" s="517" t="s">
        <v>2049</v>
      </c>
      <c r="B2436" s="517" t="s">
        <v>2049</v>
      </c>
    </row>
    <row r="2437" spans="1:2" ht="15" hidden="1" x14ac:dyDescent="0.25">
      <c r="A2437" s="517" t="s">
        <v>2050</v>
      </c>
      <c r="B2437" s="517" t="s">
        <v>2050</v>
      </c>
    </row>
    <row r="2438" spans="1:2" ht="15" hidden="1" x14ac:dyDescent="0.25">
      <c r="A2438" s="517" t="s">
        <v>2051</v>
      </c>
      <c r="B2438" s="517" t="s">
        <v>2051</v>
      </c>
    </row>
    <row r="2439" spans="1:2" ht="15" hidden="1" x14ac:dyDescent="0.25">
      <c r="A2439" s="517" t="s">
        <v>2052</v>
      </c>
      <c r="B2439" s="517" t="s">
        <v>2052</v>
      </c>
    </row>
    <row r="2440" spans="1:2" ht="15" hidden="1" x14ac:dyDescent="0.25">
      <c r="A2440" s="517" t="s">
        <v>2053</v>
      </c>
      <c r="B2440" s="517" t="s">
        <v>2053</v>
      </c>
    </row>
    <row r="2441" spans="1:2" ht="15" hidden="1" x14ac:dyDescent="0.25">
      <c r="A2441" s="517" t="s">
        <v>2054</v>
      </c>
      <c r="B2441" s="517" t="s">
        <v>2054</v>
      </c>
    </row>
    <row r="2442" spans="1:2" ht="15" hidden="1" x14ac:dyDescent="0.25">
      <c r="A2442" s="517" t="s">
        <v>2055</v>
      </c>
      <c r="B2442" s="517" t="s">
        <v>2055</v>
      </c>
    </row>
    <row r="2443" spans="1:2" ht="15" hidden="1" x14ac:dyDescent="0.25">
      <c r="A2443" s="517" t="s">
        <v>2056</v>
      </c>
      <c r="B2443" s="517" t="s">
        <v>2056</v>
      </c>
    </row>
    <row r="2444" spans="1:2" ht="15" hidden="1" x14ac:dyDescent="0.25">
      <c r="A2444" s="517" t="s">
        <v>2057</v>
      </c>
      <c r="B2444" s="517" t="s">
        <v>2057</v>
      </c>
    </row>
    <row r="2445" spans="1:2" ht="15" hidden="1" x14ac:dyDescent="0.25">
      <c r="A2445" s="517" t="s">
        <v>2058</v>
      </c>
      <c r="B2445" s="517" t="s">
        <v>2058</v>
      </c>
    </row>
    <row r="2446" spans="1:2" ht="15" hidden="1" x14ac:dyDescent="0.25">
      <c r="A2446" s="517" t="s">
        <v>2059</v>
      </c>
      <c r="B2446" s="517" t="s">
        <v>2059</v>
      </c>
    </row>
    <row r="2447" spans="1:2" ht="15" hidden="1" x14ac:dyDescent="0.25">
      <c r="A2447" s="517" t="s">
        <v>2060</v>
      </c>
      <c r="B2447" s="517" t="s">
        <v>2060</v>
      </c>
    </row>
    <row r="2448" spans="1:2" ht="15" hidden="1" x14ac:dyDescent="0.25">
      <c r="A2448" s="517" t="s">
        <v>2061</v>
      </c>
      <c r="B2448" s="517" t="s">
        <v>2061</v>
      </c>
    </row>
    <row r="2449" spans="1:2" ht="15" hidden="1" x14ac:dyDescent="0.25">
      <c r="A2449" s="517" t="s">
        <v>2062</v>
      </c>
      <c r="B2449" s="517" t="s">
        <v>2062</v>
      </c>
    </row>
    <row r="2450" spans="1:2" ht="15" hidden="1" x14ac:dyDescent="0.25">
      <c r="A2450" s="517" t="s">
        <v>2063</v>
      </c>
      <c r="B2450" s="517" t="s">
        <v>2063</v>
      </c>
    </row>
    <row r="2451" spans="1:2" ht="15" hidden="1" x14ac:dyDescent="0.25">
      <c r="A2451" s="517" t="s">
        <v>2064</v>
      </c>
      <c r="B2451" s="517" t="s">
        <v>2064</v>
      </c>
    </row>
    <row r="2452" spans="1:2" ht="15" hidden="1" x14ac:dyDescent="0.25">
      <c r="A2452" s="517" t="s">
        <v>2065</v>
      </c>
      <c r="B2452" s="517" t="s">
        <v>2065</v>
      </c>
    </row>
    <row r="2453" spans="1:2" ht="15" hidden="1" x14ac:dyDescent="0.25">
      <c r="A2453" s="517" t="s">
        <v>2066</v>
      </c>
      <c r="B2453" s="517" t="s">
        <v>2066</v>
      </c>
    </row>
    <row r="2454" spans="1:2" ht="15" hidden="1" x14ac:dyDescent="0.25">
      <c r="A2454" s="517" t="s">
        <v>2067</v>
      </c>
      <c r="B2454" s="517" t="s">
        <v>2067</v>
      </c>
    </row>
    <row r="2455" spans="1:2" ht="15" hidden="1" x14ac:dyDescent="0.25">
      <c r="A2455" s="517" t="s">
        <v>2068</v>
      </c>
      <c r="B2455" s="517" t="s">
        <v>2068</v>
      </c>
    </row>
    <row r="2456" spans="1:2" ht="15" hidden="1" x14ac:dyDescent="0.25">
      <c r="A2456" s="517" t="s">
        <v>2069</v>
      </c>
      <c r="B2456" s="517" t="s">
        <v>2069</v>
      </c>
    </row>
    <row r="2457" spans="1:2" ht="15" hidden="1" x14ac:dyDescent="0.25">
      <c r="A2457" s="517" t="s">
        <v>2070</v>
      </c>
      <c r="B2457" s="517" t="s">
        <v>2070</v>
      </c>
    </row>
    <row r="2458" spans="1:2" ht="15" hidden="1" x14ac:dyDescent="0.25">
      <c r="A2458" s="517" t="s">
        <v>2071</v>
      </c>
      <c r="B2458" s="517" t="s">
        <v>2071</v>
      </c>
    </row>
    <row r="2459" spans="1:2" ht="15" hidden="1" x14ac:dyDescent="0.25">
      <c r="A2459" s="517" t="s">
        <v>2072</v>
      </c>
      <c r="B2459" s="517" t="s">
        <v>2072</v>
      </c>
    </row>
    <row r="2460" spans="1:2" ht="15" hidden="1" x14ac:dyDescent="0.25">
      <c r="A2460" s="517" t="s">
        <v>2072</v>
      </c>
      <c r="B2460" s="517" t="s">
        <v>2072</v>
      </c>
    </row>
    <row r="2461" spans="1:2" ht="15" hidden="1" x14ac:dyDescent="0.25">
      <c r="A2461" s="517" t="s">
        <v>2073</v>
      </c>
      <c r="B2461" s="517" t="s">
        <v>2073</v>
      </c>
    </row>
    <row r="2462" spans="1:2" ht="15" hidden="1" x14ac:dyDescent="0.25">
      <c r="A2462" s="517" t="s">
        <v>2074</v>
      </c>
      <c r="B2462" s="517" t="s">
        <v>2074</v>
      </c>
    </row>
    <row r="2463" spans="1:2" ht="15" hidden="1" x14ac:dyDescent="0.25">
      <c r="A2463" s="517" t="s">
        <v>2075</v>
      </c>
      <c r="B2463" s="517" t="s">
        <v>2075</v>
      </c>
    </row>
    <row r="2464" spans="1:2" ht="15" hidden="1" x14ac:dyDescent="0.25">
      <c r="A2464" s="517" t="s">
        <v>2076</v>
      </c>
      <c r="B2464" s="517" t="s">
        <v>2076</v>
      </c>
    </row>
    <row r="2465" spans="1:2" ht="15" hidden="1" x14ac:dyDescent="0.25">
      <c r="A2465" s="517" t="s">
        <v>2077</v>
      </c>
      <c r="B2465" s="517" t="s">
        <v>2077</v>
      </c>
    </row>
    <row r="2466" spans="1:2" ht="15" hidden="1" x14ac:dyDescent="0.25">
      <c r="A2466" s="517" t="s">
        <v>2078</v>
      </c>
      <c r="B2466" s="517" t="s">
        <v>2078</v>
      </c>
    </row>
    <row r="2467" spans="1:2" ht="15" hidden="1" x14ac:dyDescent="0.25">
      <c r="A2467" s="517" t="s">
        <v>2079</v>
      </c>
      <c r="B2467" s="517" t="s">
        <v>2079</v>
      </c>
    </row>
    <row r="2468" spans="1:2" ht="15" hidden="1" x14ac:dyDescent="0.25">
      <c r="A2468" s="517" t="s">
        <v>2080</v>
      </c>
      <c r="B2468" s="517" t="s">
        <v>2080</v>
      </c>
    </row>
    <row r="2469" spans="1:2" ht="15" hidden="1" x14ac:dyDescent="0.25">
      <c r="A2469" s="517" t="s">
        <v>2081</v>
      </c>
      <c r="B2469" s="517" t="s">
        <v>2081</v>
      </c>
    </row>
    <row r="2470" spans="1:2" ht="15" hidden="1" x14ac:dyDescent="0.25">
      <c r="A2470" s="517" t="s">
        <v>2082</v>
      </c>
      <c r="B2470" s="517" t="s">
        <v>2082</v>
      </c>
    </row>
    <row r="2471" spans="1:2" ht="15" hidden="1" x14ac:dyDescent="0.25">
      <c r="A2471" s="517" t="s">
        <v>2083</v>
      </c>
      <c r="B2471" s="517" t="s">
        <v>2083</v>
      </c>
    </row>
    <row r="2472" spans="1:2" ht="15" hidden="1" x14ac:dyDescent="0.25">
      <c r="A2472" s="517" t="s">
        <v>2084</v>
      </c>
      <c r="B2472" s="517" t="s">
        <v>2084</v>
      </c>
    </row>
    <row r="2473" spans="1:2" ht="15" hidden="1" x14ac:dyDescent="0.25">
      <c r="A2473" s="517" t="s">
        <v>2085</v>
      </c>
      <c r="B2473" s="517" t="s">
        <v>2085</v>
      </c>
    </row>
    <row r="2474" spans="1:2" ht="15" hidden="1" x14ac:dyDescent="0.25">
      <c r="A2474" s="517" t="s">
        <v>2086</v>
      </c>
      <c r="B2474" s="517" t="s">
        <v>2086</v>
      </c>
    </row>
    <row r="2475" spans="1:2" ht="15" hidden="1" x14ac:dyDescent="0.25">
      <c r="A2475" s="517" t="s">
        <v>2087</v>
      </c>
      <c r="B2475" s="517" t="s">
        <v>2087</v>
      </c>
    </row>
    <row r="2476" spans="1:2" ht="15" hidden="1" x14ac:dyDescent="0.25">
      <c r="A2476" s="517" t="s">
        <v>2088</v>
      </c>
      <c r="B2476" s="517" t="s">
        <v>2088</v>
      </c>
    </row>
    <row r="2477" spans="1:2" ht="15" hidden="1" x14ac:dyDescent="0.25">
      <c r="A2477" s="517" t="s">
        <v>2089</v>
      </c>
      <c r="B2477" s="517" t="s">
        <v>2089</v>
      </c>
    </row>
    <row r="2478" spans="1:2" ht="15" hidden="1" x14ac:dyDescent="0.25">
      <c r="A2478" s="517" t="s">
        <v>2090</v>
      </c>
      <c r="B2478" s="517" t="s">
        <v>2090</v>
      </c>
    </row>
    <row r="2479" spans="1:2" ht="15" hidden="1" x14ac:dyDescent="0.25">
      <c r="A2479" s="517" t="s">
        <v>2091</v>
      </c>
      <c r="B2479" s="517" t="s">
        <v>2091</v>
      </c>
    </row>
    <row r="2480" spans="1:2" ht="15" hidden="1" x14ac:dyDescent="0.25">
      <c r="A2480" s="517" t="s">
        <v>2092</v>
      </c>
      <c r="B2480" s="517" t="s">
        <v>2092</v>
      </c>
    </row>
    <row r="2481" spans="1:2" ht="15" hidden="1" x14ac:dyDescent="0.25">
      <c r="A2481" s="517" t="s">
        <v>2093</v>
      </c>
      <c r="B2481" s="517" t="s">
        <v>2093</v>
      </c>
    </row>
    <row r="2482" spans="1:2" ht="15" hidden="1" x14ac:dyDescent="0.25">
      <c r="A2482" s="517" t="s">
        <v>2094</v>
      </c>
      <c r="B2482" s="517" t="s">
        <v>2094</v>
      </c>
    </row>
    <row r="2483" spans="1:2" ht="15" hidden="1" x14ac:dyDescent="0.25">
      <c r="A2483" s="517" t="s">
        <v>2095</v>
      </c>
      <c r="B2483" s="517" t="s">
        <v>2095</v>
      </c>
    </row>
    <row r="2484" spans="1:2" ht="15" hidden="1" x14ac:dyDescent="0.25">
      <c r="A2484" s="517" t="s">
        <v>2096</v>
      </c>
      <c r="B2484" s="517" t="s">
        <v>2096</v>
      </c>
    </row>
    <row r="2485" spans="1:2" ht="15" hidden="1" x14ac:dyDescent="0.25">
      <c r="A2485" s="517" t="s">
        <v>2097</v>
      </c>
      <c r="B2485" s="517" t="s">
        <v>2097</v>
      </c>
    </row>
    <row r="2486" spans="1:2" ht="15" hidden="1" x14ac:dyDescent="0.25">
      <c r="A2486" s="517" t="s">
        <v>2098</v>
      </c>
      <c r="B2486" s="517" t="s">
        <v>2098</v>
      </c>
    </row>
    <row r="2487" spans="1:2" ht="15" hidden="1" x14ac:dyDescent="0.25">
      <c r="A2487" s="517" t="s">
        <v>2099</v>
      </c>
      <c r="B2487" s="517" t="s">
        <v>2099</v>
      </c>
    </row>
    <row r="2488" spans="1:2" ht="15" hidden="1" x14ac:dyDescent="0.25">
      <c r="A2488" s="517" t="s">
        <v>2100</v>
      </c>
      <c r="B2488" s="517" t="s">
        <v>2100</v>
      </c>
    </row>
    <row r="2489" spans="1:2" ht="15" hidden="1" x14ac:dyDescent="0.25">
      <c r="A2489" s="517" t="s">
        <v>2101</v>
      </c>
      <c r="B2489" s="517" t="s">
        <v>2101</v>
      </c>
    </row>
    <row r="2490" spans="1:2" ht="15" hidden="1" x14ac:dyDescent="0.25">
      <c r="A2490" s="517" t="s">
        <v>2102</v>
      </c>
      <c r="B2490" s="517" t="s">
        <v>2102</v>
      </c>
    </row>
    <row r="2491" spans="1:2" ht="15" hidden="1" x14ac:dyDescent="0.25">
      <c r="A2491" s="517" t="s">
        <v>2103</v>
      </c>
      <c r="B2491" s="517" t="s">
        <v>2103</v>
      </c>
    </row>
    <row r="2492" spans="1:2" ht="15" hidden="1" x14ac:dyDescent="0.25">
      <c r="A2492" s="517" t="s">
        <v>2104</v>
      </c>
      <c r="B2492" s="517" t="s">
        <v>2104</v>
      </c>
    </row>
    <row r="2493" spans="1:2" ht="15" hidden="1" x14ac:dyDescent="0.25">
      <c r="A2493" s="517" t="s">
        <v>2105</v>
      </c>
      <c r="B2493" s="517" t="s">
        <v>2105</v>
      </c>
    </row>
    <row r="2494" spans="1:2" ht="15" hidden="1" x14ac:dyDescent="0.25">
      <c r="A2494" s="517" t="s">
        <v>2106</v>
      </c>
      <c r="B2494" s="517" t="s">
        <v>2106</v>
      </c>
    </row>
    <row r="2495" spans="1:2" ht="15" hidden="1" x14ac:dyDescent="0.25">
      <c r="A2495" s="517" t="s">
        <v>2107</v>
      </c>
      <c r="B2495" s="517" t="s">
        <v>2107</v>
      </c>
    </row>
    <row r="2496" spans="1:2" ht="15" hidden="1" x14ac:dyDescent="0.25">
      <c r="A2496" s="517" t="s">
        <v>2108</v>
      </c>
      <c r="B2496" s="517" t="s">
        <v>2108</v>
      </c>
    </row>
    <row r="2497" spans="1:2" ht="15" hidden="1" x14ac:dyDescent="0.25">
      <c r="A2497" s="517" t="s">
        <v>2109</v>
      </c>
      <c r="B2497" s="517" t="s">
        <v>2109</v>
      </c>
    </row>
    <row r="2498" spans="1:2" ht="15" hidden="1" x14ac:dyDescent="0.25">
      <c r="A2498" s="517" t="s">
        <v>2110</v>
      </c>
      <c r="B2498" s="517" t="s">
        <v>2110</v>
      </c>
    </row>
    <row r="2499" spans="1:2" ht="15" hidden="1" x14ac:dyDescent="0.25">
      <c r="A2499" s="517" t="s">
        <v>2111</v>
      </c>
      <c r="B2499" s="517" t="s">
        <v>2111</v>
      </c>
    </row>
    <row r="2500" spans="1:2" ht="15" hidden="1" x14ac:dyDescent="0.25">
      <c r="A2500" s="517" t="s">
        <v>2112</v>
      </c>
      <c r="B2500" s="517" t="s">
        <v>2112</v>
      </c>
    </row>
    <row r="2501" spans="1:2" ht="15" hidden="1" x14ac:dyDescent="0.25">
      <c r="A2501" s="517" t="s">
        <v>2113</v>
      </c>
      <c r="B2501" s="517" t="s">
        <v>2113</v>
      </c>
    </row>
    <row r="2502" spans="1:2" ht="15" hidden="1" x14ac:dyDescent="0.25">
      <c r="A2502" s="517" t="s">
        <v>2114</v>
      </c>
      <c r="B2502" s="517" t="s">
        <v>2114</v>
      </c>
    </row>
    <row r="2503" spans="1:2" ht="15" hidden="1" x14ac:dyDescent="0.25">
      <c r="A2503" s="517" t="s">
        <v>2115</v>
      </c>
      <c r="B2503" s="517" t="s">
        <v>2115</v>
      </c>
    </row>
    <row r="2504" spans="1:2" ht="15" hidden="1" x14ac:dyDescent="0.25">
      <c r="A2504" s="517" t="s">
        <v>2116</v>
      </c>
      <c r="B2504" s="517" t="s">
        <v>2116</v>
      </c>
    </row>
    <row r="2505" spans="1:2" ht="15" hidden="1" x14ac:dyDescent="0.25">
      <c r="A2505" s="517" t="s">
        <v>2117</v>
      </c>
      <c r="B2505" s="517" t="s">
        <v>2117</v>
      </c>
    </row>
    <row r="2506" spans="1:2" ht="15" hidden="1" x14ac:dyDescent="0.25">
      <c r="A2506" s="517" t="s">
        <v>2118</v>
      </c>
      <c r="B2506" s="517" t="s">
        <v>2118</v>
      </c>
    </row>
    <row r="2507" spans="1:2" ht="15" hidden="1" x14ac:dyDescent="0.25">
      <c r="A2507" s="517" t="s">
        <v>2119</v>
      </c>
      <c r="B2507" s="517" t="s">
        <v>2119</v>
      </c>
    </row>
    <row r="2508" spans="1:2" ht="15" hidden="1" x14ac:dyDescent="0.25">
      <c r="A2508" s="517" t="s">
        <v>2120</v>
      </c>
      <c r="B2508" s="517" t="s">
        <v>2120</v>
      </c>
    </row>
    <row r="2509" spans="1:2" ht="15" hidden="1" x14ac:dyDescent="0.25">
      <c r="A2509" s="517" t="s">
        <v>2121</v>
      </c>
      <c r="B2509" s="517" t="s">
        <v>2121</v>
      </c>
    </row>
    <row r="2510" spans="1:2" ht="15" hidden="1" x14ac:dyDescent="0.25">
      <c r="A2510" s="517" t="s">
        <v>2122</v>
      </c>
      <c r="B2510" s="517" t="s">
        <v>2122</v>
      </c>
    </row>
    <row r="2511" spans="1:2" ht="15" hidden="1" x14ac:dyDescent="0.25">
      <c r="A2511" s="517" t="s">
        <v>2123</v>
      </c>
      <c r="B2511" s="517" t="s">
        <v>2123</v>
      </c>
    </row>
    <row r="2512" spans="1:2" ht="15" hidden="1" x14ac:dyDescent="0.25">
      <c r="A2512" s="517" t="s">
        <v>2124</v>
      </c>
      <c r="B2512" s="517" t="s">
        <v>2124</v>
      </c>
    </row>
    <row r="2513" spans="1:2" ht="15" hidden="1" x14ac:dyDescent="0.25">
      <c r="A2513" s="517" t="s">
        <v>2125</v>
      </c>
      <c r="B2513" s="517" t="s">
        <v>2125</v>
      </c>
    </row>
    <row r="2514" spans="1:2" ht="15" hidden="1" x14ac:dyDescent="0.25">
      <c r="A2514" s="517" t="s">
        <v>2126</v>
      </c>
      <c r="B2514" s="517" t="s">
        <v>2126</v>
      </c>
    </row>
    <row r="2515" spans="1:2" ht="15" hidden="1" x14ac:dyDescent="0.25">
      <c r="A2515" s="517" t="s">
        <v>2127</v>
      </c>
      <c r="B2515" s="517" t="s">
        <v>2127</v>
      </c>
    </row>
    <row r="2516" spans="1:2" ht="15" hidden="1" x14ac:dyDescent="0.25">
      <c r="A2516" s="517" t="s">
        <v>2128</v>
      </c>
      <c r="B2516" s="517" t="s">
        <v>2128</v>
      </c>
    </row>
    <row r="2517" spans="1:2" ht="15" hidden="1" x14ac:dyDescent="0.25">
      <c r="A2517" s="517" t="s">
        <v>2129</v>
      </c>
      <c r="B2517" s="517" t="s">
        <v>2129</v>
      </c>
    </row>
    <row r="2518" spans="1:2" ht="15" hidden="1" x14ac:dyDescent="0.25">
      <c r="A2518" s="517" t="s">
        <v>2130</v>
      </c>
      <c r="B2518" s="517" t="s">
        <v>2130</v>
      </c>
    </row>
    <row r="2519" spans="1:2" ht="15" hidden="1" x14ac:dyDescent="0.25">
      <c r="A2519" s="517" t="s">
        <v>2131</v>
      </c>
      <c r="B2519" s="517" t="s">
        <v>2131</v>
      </c>
    </row>
    <row r="2520" spans="1:2" ht="15" hidden="1" x14ac:dyDescent="0.25">
      <c r="A2520" s="517" t="s">
        <v>2132</v>
      </c>
      <c r="B2520" s="517" t="s">
        <v>2132</v>
      </c>
    </row>
    <row r="2521" spans="1:2" ht="15" hidden="1" x14ac:dyDescent="0.25">
      <c r="A2521" s="517" t="s">
        <v>2133</v>
      </c>
      <c r="B2521" s="517" t="s">
        <v>2133</v>
      </c>
    </row>
    <row r="2522" spans="1:2" ht="15" hidden="1" x14ac:dyDescent="0.25">
      <c r="A2522" s="517" t="s">
        <v>2134</v>
      </c>
      <c r="B2522" s="517" t="s">
        <v>2134</v>
      </c>
    </row>
    <row r="2523" spans="1:2" ht="15" hidden="1" x14ac:dyDescent="0.25">
      <c r="A2523" s="517" t="s">
        <v>2135</v>
      </c>
      <c r="B2523" s="517" t="s">
        <v>2135</v>
      </c>
    </row>
    <row r="2524" spans="1:2" ht="15" hidden="1" x14ac:dyDescent="0.25">
      <c r="A2524" s="517" t="s">
        <v>2136</v>
      </c>
      <c r="B2524" s="517" t="s">
        <v>2136</v>
      </c>
    </row>
    <row r="2525" spans="1:2" ht="15" hidden="1" x14ac:dyDescent="0.25">
      <c r="A2525" s="517" t="s">
        <v>2137</v>
      </c>
      <c r="B2525" s="517" t="s">
        <v>2137</v>
      </c>
    </row>
    <row r="2526" spans="1:2" ht="15" hidden="1" x14ac:dyDescent="0.25">
      <c r="A2526" s="517" t="s">
        <v>2138</v>
      </c>
      <c r="B2526" s="517" t="s">
        <v>2138</v>
      </c>
    </row>
    <row r="2527" spans="1:2" ht="15" hidden="1" x14ac:dyDescent="0.25">
      <c r="A2527" s="517" t="s">
        <v>2139</v>
      </c>
      <c r="B2527" s="517" t="s">
        <v>2139</v>
      </c>
    </row>
    <row r="2528" spans="1:2" ht="15" hidden="1" x14ac:dyDescent="0.25">
      <c r="A2528" s="517" t="s">
        <v>2140</v>
      </c>
      <c r="B2528" s="517" t="s">
        <v>2140</v>
      </c>
    </row>
    <row r="2529" spans="1:2" ht="15" hidden="1" x14ac:dyDescent="0.25">
      <c r="A2529" s="517" t="s">
        <v>2141</v>
      </c>
      <c r="B2529" s="517" t="s">
        <v>2141</v>
      </c>
    </row>
    <row r="2530" spans="1:2" ht="15" hidden="1" x14ac:dyDescent="0.25">
      <c r="A2530" s="517" t="s">
        <v>2142</v>
      </c>
      <c r="B2530" s="517" t="s">
        <v>2142</v>
      </c>
    </row>
    <row r="2531" spans="1:2" ht="15" hidden="1" x14ac:dyDescent="0.25">
      <c r="A2531" s="517" t="s">
        <v>2143</v>
      </c>
      <c r="B2531" s="517" t="s">
        <v>2144</v>
      </c>
    </row>
    <row r="2532" spans="1:2" ht="15" hidden="1" x14ac:dyDescent="0.25">
      <c r="A2532" s="517" t="s">
        <v>2145</v>
      </c>
      <c r="B2532" s="517" t="s">
        <v>2146</v>
      </c>
    </row>
    <row r="2533" spans="1:2" ht="15" hidden="1" x14ac:dyDescent="0.25">
      <c r="A2533" s="517" t="s">
        <v>2147</v>
      </c>
      <c r="B2533" s="517" t="s">
        <v>2148</v>
      </c>
    </row>
    <row r="2534" spans="1:2" ht="15" hidden="1" x14ac:dyDescent="0.25">
      <c r="A2534" s="517" t="s">
        <v>2149</v>
      </c>
      <c r="B2534" s="517" t="s">
        <v>2150</v>
      </c>
    </row>
    <row r="2535" spans="1:2" ht="15" hidden="1" x14ac:dyDescent="0.25">
      <c r="A2535" s="517" t="s">
        <v>2151</v>
      </c>
      <c r="B2535" s="517" t="s">
        <v>2071</v>
      </c>
    </row>
    <row r="2536" spans="1:2" ht="15" hidden="1" x14ac:dyDescent="0.25">
      <c r="A2536" s="517" t="s">
        <v>2152</v>
      </c>
      <c r="B2536" s="517" t="s">
        <v>2153</v>
      </c>
    </row>
    <row r="2537" spans="1:2" ht="15" hidden="1" x14ac:dyDescent="0.25">
      <c r="A2537" s="517" t="s">
        <v>2154</v>
      </c>
      <c r="B2537" s="517" t="s">
        <v>2155</v>
      </c>
    </row>
    <row r="2538" spans="1:2" ht="15" hidden="1" x14ac:dyDescent="0.25">
      <c r="A2538" s="517" t="s">
        <v>1545</v>
      </c>
      <c r="B2538" s="517" t="s">
        <v>1546</v>
      </c>
    </row>
    <row r="2539" spans="1:2" ht="15" hidden="1" x14ac:dyDescent="0.25">
      <c r="A2539" s="517" t="s">
        <v>2156</v>
      </c>
      <c r="B2539" s="517" t="s">
        <v>2157</v>
      </c>
    </row>
    <row r="2540" spans="1:2" ht="15" hidden="1" x14ac:dyDescent="0.25">
      <c r="A2540" s="517" t="s">
        <v>2158</v>
      </c>
      <c r="B2540" s="517" t="s">
        <v>2159</v>
      </c>
    </row>
    <row r="2541" spans="1:2" ht="15" hidden="1" x14ac:dyDescent="0.25">
      <c r="A2541" s="517" t="s">
        <v>1549</v>
      </c>
      <c r="B2541" s="517" t="s">
        <v>1550</v>
      </c>
    </row>
    <row r="2542" spans="1:2" ht="15" hidden="1" x14ac:dyDescent="0.25">
      <c r="A2542" s="517" t="s">
        <v>2160</v>
      </c>
      <c r="B2542" s="517" t="s">
        <v>2161</v>
      </c>
    </row>
    <row r="2543" spans="1:2" ht="15" hidden="1" x14ac:dyDescent="0.25">
      <c r="A2543" s="517" t="s">
        <v>1552</v>
      </c>
      <c r="B2543" s="517" t="s">
        <v>1553</v>
      </c>
    </row>
    <row r="2544" spans="1:2" ht="15" hidden="1" x14ac:dyDescent="0.25">
      <c r="A2544" s="517" t="s">
        <v>2162</v>
      </c>
      <c r="B2544" s="517" t="s">
        <v>2163</v>
      </c>
    </row>
    <row r="2545" spans="1:2" ht="15" hidden="1" x14ac:dyDescent="0.25">
      <c r="A2545" s="517" t="s">
        <v>2164</v>
      </c>
      <c r="B2545" s="517" t="s">
        <v>2165</v>
      </c>
    </row>
    <row r="2546" spans="1:2" ht="15" hidden="1" x14ac:dyDescent="0.25">
      <c r="A2546" s="517" t="s">
        <v>2166</v>
      </c>
      <c r="B2546" s="517" t="s">
        <v>2167</v>
      </c>
    </row>
    <row r="2547" spans="1:2" ht="15" hidden="1" x14ac:dyDescent="0.25">
      <c r="A2547" s="517" t="s">
        <v>2168</v>
      </c>
      <c r="B2547" s="517" t="s">
        <v>2169</v>
      </c>
    </row>
    <row r="2548" spans="1:2" ht="15" hidden="1" x14ac:dyDescent="0.25">
      <c r="A2548" s="517" t="s">
        <v>1681</v>
      </c>
      <c r="B2548" s="517" t="s">
        <v>1682</v>
      </c>
    </row>
    <row r="2549" spans="1:2" ht="15" hidden="1" x14ac:dyDescent="0.25">
      <c r="A2549" s="517" t="s">
        <v>2170</v>
      </c>
      <c r="B2549" s="517" t="s">
        <v>2171</v>
      </c>
    </row>
    <row r="2550" spans="1:2" ht="15" hidden="1" x14ac:dyDescent="0.25">
      <c r="A2550" s="517" t="s">
        <v>2170</v>
      </c>
      <c r="B2550" s="517" t="s">
        <v>2171</v>
      </c>
    </row>
    <row r="2551" spans="1:2" ht="15" hidden="1" x14ac:dyDescent="0.25">
      <c r="A2551" s="517" t="s">
        <v>2172</v>
      </c>
      <c r="B2551" s="517" t="s">
        <v>2173</v>
      </c>
    </row>
    <row r="2552" spans="1:2" ht="15" hidden="1" x14ac:dyDescent="0.25">
      <c r="A2552" s="517" t="s">
        <v>2174</v>
      </c>
      <c r="B2552" s="517" t="s">
        <v>2175</v>
      </c>
    </row>
    <row r="2553" spans="1:2" ht="15" hidden="1" x14ac:dyDescent="0.25">
      <c r="A2553" s="517" t="s">
        <v>2176</v>
      </c>
      <c r="B2553" s="517" t="s">
        <v>2177</v>
      </c>
    </row>
    <row r="2554" spans="1:2" ht="15" hidden="1" x14ac:dyDescent="0.25">
      <c r="A2554" s="517" t="s">
        <v>2178</v>
      </c>
      <c r="B2554" s="517" t="s">
        <v>2179</v>
      </c>
    </row>
    <row r="2555" spans="1:2" ht="15" hidden="1" x14ac:dyDescent="0.25">
      <c r="A2555" s="517" t="s">
        <v>2180</v>
      </c>
      <c r="B2555" s="517" t="s">
        <v>2181</v>
      </c>
    </row>
    <row r="2556" spans="1:2" ht="15" hidden="1" x14ac:dyDescent="0.25">
      <c r="A2556" s="517" t="s">
        <v>2180</v>
      </c>
      <c r="B2556" s="517" t="s">
        <v>2181</v>
      </c>
    </row>
    <row r="2557" spans="1:2" ht="15" hidden="1" x14ac:dyDescent="0.25">
      <c r="A2557" s="517" t="s">
        <v>2182</v>
      </c>
      <c r="B2557" s="517" t="s">
        <v>2183</v>
      </c>
    </row>
    <row r="2558" spans="1:2" ht="15" hidden="1" x14ac:dyDescent="0.25">
      <c r="A2558" s="517" t="s">
        <v>2184</v>
      </c>
      <c r="B2558" s="517" t="s">
        <v>2185</v>
      </c>
    </row>
    <row r="2559" spans="1:2" ht="15" hidden="1" x14ac:dyDescent="0.25">
      <c r="A2559" s="517" t="s">
        <v>2186</v>
      </c>
      <c r="B2559" s="517" t="s">
        <v>2187</v>
      </c>
    </row>
    <row r="2560" spans="1:2" ht="15" hidden="1" x14ac:dyDescent="0.25">
      <c r="A2560" s="517" t="s">
        <v>2188</v>
      </c>
      <c r="B2560" s="517" t="s">
        <v>2189</v>
      </c>
    </row>
    <row r="2561" spans="1:2" ht="15" hidden="1" x14ac:dyDescent="0.25">
      <c r="A2561" s="517" t="s">
        <v>2190</v>
      </c>
      <c r="B2561" s="517" t="s">
        <v>2191</v>
      </c>
    </row>
    <row r="2562" spans="1:2" ht="15" hidden="1" x14ac:dyDescent="0.25">
      <c r="A2562" s="517" t="s">
        <v>2192</v>
      </c>
      <c r="B2562" s="517" t="s">
        <v>2193</v>
      </c>
    </row>
    <row r="2563" spans="1:2" ht="15" hidden="1" x14ac:dyDescent="0.25">
      <c r="A2563" s="517" t="s">
        <v>2192</v>
      </c>
      <c r="B2563" s="517" t="s">
        <v>2193</v>
      </c>
    </row>
    <row r="2564" spans="1:2" ht="15" hidden="1" x14ac:dyDescent="0.25">
      <c r="A2564" s="517" t="s">
        <v>2194</v>
      </c>
      <c r="B2564" s="517" t="s">
        <v>2195</v>
      </c>
    </row>
    <row r="2565" spans="1:2" ht="15" hidden="1" x14ac:dyDescent="0.25">
      <c r="A2565" s="517" t="s">
        <v>2196</v>
      </c>
      <c r="B2565" s="517" t="s">
        <v>2197</v>
      </c>
    </row>
    <row r="2566" spans="1:2" ht="15" hidden="1" x14ac:dyDescent="0.25">
      <c r="A2566" s="517" t="s">
        <v>2198</v>
      </c>
      <c r="B2566" s="517" t="s">
        <v>2199</v>
      </c>
    </row>
    <row r="2567" spans="1:2" ht="15" hidden="1" x14ac:dyDescent="0.25">
      <c r="A2567" s="517" t="s">
        <v>2200</v>
      </c>
      <c r="B2567" s="517" t="s">
        <v>2201</v>
      </c>
    </row>
    <row r="2568" spans="1:2" ht="15" hidden="1" x14ac:dyDescent="0.25">
      <c r="A2568" s="517" t="s">
        <v>2200</v>
      </c>
      <c r="B2568" s="517" t="s">
        <v>2201</v>
      </c>
    </row>
    <row r="2569" spans="1:2" ht="15" hidden="1" x14ac:dyDescent="0.25">
      <c r="A2569" s="517" t="s">
        <v>2202</v>
      </c>
      <c r="B2569" s="517" t="s">
        <v>2203</v>
      </c>
    </row>
    <row r="2570" spans="1:2" ht="15" hidden="1" x14ac:dyDescent="0.25">
      <c r="A2570" s="517" t="s">
        <v>1615</v>
      </c>
      <c r="B2570" s="517" t="s">
        <v>1616</v>
      </c>
    </row>
    <row r="2571" spans="1:2" ht="15" hidden="1" x14ac:dyDescent="0.25">
      <c r="A2571" s="517" t="s">
        <v>2204</v>
      </c>
      <c r="B2571" s="517" t="s">
        <v>1238</v>
      </c>
    </row>
    <row r="2572" spans="1:2" ht="15" hidden="1" x14ac:dyDescent="0.25">
      <c r="A2572" s="517" t="s">
        <v>2205</v>
      </c>
      <c r="B2572" s="517" t="s">
        <v>2206</v>
      </c>
    </row>
    <row r="2573" spans="1:2" ht="15" hidden="1" x14ac:dyDescent="0.25">
      <c r="A2573" s="517" t="s">
        <v>2207</v>
      </c>
      <c r="B2573" s="517" t="s">
        <v>2208</v>
      </c>
    </row>
    <row r="2574" spans="1:2" ht="15" hidden="1" x14ac:dyDescent="0.25">
      <c r="A2574" s="517" t="s">
        <v>2209</v>
      </c>
      <c r="B2574" s="517" t="s">
        <v>2210</v>
      </c>
    </row>
    <row r="2575" spans="1:2" ht="15" hidden="1" x14ac:dyDescent="0.25">
      <c r="A2575" s="517" t="s">
        <v>1713</v>
      </c>
      <c r="B2575" s="517" t="s">
        <v>1714</v>
      </c>
    </row>
    <row r="2576" spans="1:2" ht="15" hidden="1" x14ac:dyDescent="0.25">
      <c r="A2576" s="517" t="s">
        <v>2211</v>
      </c>
      <c r="B2576" s="517" t="s">
        <v>2212</v>
      </c>
    </row>
    <row r="2577" spans="1:2" ht="15" hidden="1" x14ac:dyDescent="0.25">
      <c r="A2577" s="517" t="s">
        <v>2213</v>
      </c>
      <c r="B2577" s="517" t="s">
        <v>2214</v>
      </c>
    </row>
    <row r="2578" spans="1:2" ht="15" hidden="1" x14ac:dyDescent="0.25">
      <c r="A2578" s="517" t="s">
        <v>220</v>
      </c>
      <c r="B2578" s="517" t="s">
        <v>321</v>
      </c>
    </row>
    <row r="2579" spans="1:2" ht="15" hidden="1" x14ac:dyDescent="0.25">
      <c r="A2579" s="517" t="s">
        <v>220</v>
      </c>
      <c r="B2579" s="517" t="s">
        <v>321</v>
      </c>
    </row>
    <row r="2580" spans="1:2" ht="15" hidden="1" x14ac:dyDescent="0.25">
      <c r="A2580" s="517" t="s">
        <v>220</v>
      </c>
      <c r="B2580" s="517" t="s">
        <v>321</v>
      </c>
    </row>
    <row r="2581" spans="1:2" ht="15" hidden="1" x14ac:dyDescent="0.25">
      <c r="A2581" s="517" t="s">
        <v>220</v>
      </c>
      <c r="B2581" s="517" t="s">
        <v>321</v>
      </c>
    </row>
    <row r="2582" spans="1:2" ht="15" hidden="1" x14ac:dyDescent="0.25">
      <c r="A2582" s="517" t="s">
        <v>220</v>
      </c>
      <c r="B2582" s="517" t="s">
        <v>321</v>
      </c>
    </row>
    <row r="2583" spans="1:2" ht="15" hidden="1" x14ac:dyDescent="0.25">
      <c r="A2583" s="517" t="s">
        <v>220</v>
      </c>
      <c r="B2583" s="517" t="s">
        <v>321</v>
      </c>
    </row>
    <row r="2584" spans="1:2" ht="15" hidden="1" x14ac:dyDescent="0.25">
      <c r="A2584" s="517" t="s">
        <v>220</v>
      </c>
      <c r="B2584" s="517" t="s">
        <v>321</v>
      </c>
    </row>
    <row r="2585" spans="1:2" ht="15" hidden="1" x14ac:dyDescent="0.25">
      <c r="A2585" s="517" t="s">
        <v>191</v>
      </c>
      <c r="B2585" s="517" t="s">
        <v>323</v>
      </c>
    </row>
    <row r="2586" spans="1:2" ht="15" hidden="1" x14ac:dyDescent="0.25">
      <c r="A2586" s="517" t="s">
        <v>191</v>
      </c>
      <c r="B2586" s="517" t="s">
        <v>323</v>
      </c>
    </row>
    <row r="2587" spans="1:2" ht="15" hidden="1" x14ac:dyDescent="0.25">
      <c r="A2587" s="517" t="s">
        <v>191</v>
      </c>
      <c r="B2587" s="517" t="s">
        <v>323</v>
      </c>
    </row>
    <row r="2588" spans="1:2" ht="15" hidden="1" x14ac:dyDescent="0.25">
      <c r="A2588" s="517" t="s">
        <v>407</v>
      </c>
      <c r="B2588" s="517" t="s">
        <v>408</v>
      </c>
    </row>
    <row r="2589" spans="1:2" ht="15" hidden="1" x14ac:dyDescent="0.25">
      <c r="A2589" s="517" t="s">
        <v>1631</v>
      </c>
      <c r="B2589" s="517" t="s">
        <v>1632</v>
      </c>
    </row>
    <row r="2590" spans="1:2" ht="15" hidden="1" x14ac:dyDescent="0.25">
      <c r="A2590" s="517" t="s">
        <v>1467</v>
      </c>
      <c r="B2590" s="517" t="s">
        <v>1468</v>
      </c>
    </row>
    <row r="2591" spans="1:2" ht="15" hidden="1" x14ac:dyDescent="0.25">
      <c r="A2591" s="517" t="s">
        <v>1467</v>
      </c>
      <c r="B2591" s="517" t="s">
        <v>1468</v>
      </c>
    </row>
    <row r="2592" spans="1:2" ht="15" hidden="1" x14ac:dyDescent="0.25">
      <c r="A2592" s="518" t="s">
        <v>1467</v>
      </c>
      <c r="B2592" s="518" t="s">
        <v>1468</v>
      </c>
    </row>
    <row r="2593" spans="1:2" ht="15" hidden="1" x14ac:dyDescent="0.25">
      <c r="A2593" s="517" t="s">
        <v>1467</v>
      </c>
      <c r="B2593" s="517" t="s">
        <v>1468</v>
      </c>
    </row>
    <row r="2594" spans="1:2" ht="15" hidden="1" x14ac:dyDescent="0.25">
      <c r="A2594" s="517" t="s">
        <v>1467</v>
      </c>
      <c r="B2594" s="517" t="s">
        <v>1468</v>
      </c>
    </row>
    <row r="2595" spans="1:2" ht="15" hidden="1" x14ac:dyDescent="0.25">
      <c r="A2595" s="517" t="s">
        <v>194</v>
      </c>
      <c r="B2595" s="517" t="s">
        <v>327</v>
      </c>
    </row>
    <row r="2596" spans="1:2" ht="15" hidden="1" x14ac:dyDescent="0.25">
      <c r="A2596" s="517" t="s">
        <v>194</v>
      </c>
      <c r="B2596" s="517" t="s">
        <v>327</v>
      </c>
    </row>
    <row r="2597" spans="1:2" ht="15" hidden="1" x14ac:dyDescent="0.25">
      <c r="A2597" s="517" t="s">
        <v>194</v>
      </c>
      <c r="B2597" s="517" t="s">
        <v>327</v>
      </c>
    </row>
    <row r="2598" spans="1:2" ht="15" hidden="1" x14ac:dyDescent="0.25">
      <c r="A2598" s="517" t="s">
        <v>194</v>
      </c>
      <c r="B2598" s="517" t="s">
        <v>327</v>
      </c>
    </row>
    <row r="2599" spans="1:2" ht="15" hidden="1" x14ac:dyDescent="0.25">
      <c r="A2599" s="517" t="s">
        <v>194</v>
      </c>
      <c r="B2599" s="517" t="s">
        <v>327</v>
      </c>
    </row>
    <row r="2600" spans="1:2" ht="15" hidden="1" x14ac:dyDescent="0.25">
      <c r="A2600" s="517" t="s">
        <v>194</v>
      </c>
      <c r="B2600" s="517" t="s">
        <v>327</v>
      </c>
    </row>
    <row r="2601" spans="1:2" ht="15" hidden="1" x14ac:dyDescent="0.25">
      <c r="A2601" s="517" t="s">
        <v>194</v>
      </c>
      <c r="B2601" s="517" t="s">
        <v>327</v>
      </c>
    </row>
    <row r="2602" spans="1:2" ht="15" hidden="1" x14ac:dyDescent="0.25">
      <c r="A2602" s="517" t="s">
        <v>194</v>
      </c>
      <c r="B2602" s="517" t="s">
        <v>327</v>
      </c>
    </row>
    <row r="2603" spans="1:2" ht="15" hidden="1" x14ac:dyDescent="0.25">
      <c r="A2603" s="517" t="s">
        <v>194</v>
      </c>
      <c r="B2603" s="517" t="s">
        <v>327</v>
      </c>
    </row>
    <row r="2604" spans="1:2" ht="15" hidden="1" x14ac:dyDescent="0.25">
      <c r="A2604" s="517" t="s">
        <v>194</v>
      </c>
      <c r="B2604" s="517" t="s">
        <v>327</v>
      </c>
    </row>
    <row r="2605" spans="1:2" ht="15" hidden="1" x14ac:dyDescent="0.25">
      <c r="A2605" s="517" t="s">
        <v>194</v>
      </c>
      <c r="B2605" s="517" t="s">
        <v>327</v>
      </c>
    </row>
    <row r="2606" spans="1:2" ht="15" hidden="1" x14ac:dyDescent="0.25">
      <c r="A2606" s="517" t="s">
        <v>194</v>
      </c>
      <c r="B2606" s="517" t="s">
        <v>327</v>
      </c>
    </row>
    <row r="2607" spans="1:2" ht="15" hidden="1" x14ac:dyDescent="0.25">
      <c r="A2607" s="517" t="s">
        <v>222</v>
      </c>
      <c r="B2607" s="517" t="s">
        <v>328</v>
      </c>
    </row>
    <row r="2608" spans="1:2" ht="15" hidden="1" x14ac:dyDescent="0.25">
      <c r="A2608" s="517" t="s">
        <v>222</v>
      </c>
      <c r="B2608" s="517" t="s">
        <v>328</v>
      </c>
    </row>
    <row r="2609" spans="1:2" ht="15" hidden="1" x14ac:dyDescent="0.25">
      <c r="A2609" s="517" t="s">
        <v>222</v>
      </c>
      <c r="B2609" s="517" t="s">
        <v>328</v>
      </c>
    </row>
    <row r="2610" spans="1:2" ht="15" hidden="1" x14ac:dyDescent="0.25">
      <c r="A2610" s="517" t="s">
        <v>222</v>
      </c>
      <c r="B2610" s="517" t="s">
        <v>328</v>
      </c>
    </row>
    <row r="2611" spans="1:2" ht="15" hidden="1" x14ac:dyDescent="0.25">
      <c r="A2611" s="517" t="s">
        <v>195</v>
      </c>
      <c r="B2611" s="517" t="s">
        <v>329</v>
      </c>
    </row>
    <row r="2612" spans="1:2" ht="15" hidden="1" x14ac:dyDescent="0.25">
      <c r="A2612" s="517" t="s">
        <v>196</v>
      </c>
      <c r="B2612" s="517" t="s">
        <v>330</v>
      </c>
    </row>
    <row r="2613" spans="1:2" ht="15" hidden="1" x14ac:dyDescent="0.25">
      <c r="A2613" s="517" t="s">
        <v>196</v>
      </c>
      <c r="B2613" s="517" t="s">
        <v>330</v>
      </c>
    </row>
    <row r="2614" spans="1:2" ht="15" hidden="1" x14ac:dyDescent="0.25">
      <c r="A2614" s="517" t="s">
        <v>196</v>
      </c>
      <c r="B2614" s="517" t="s">
        <v>330</v>
      </c>
    </row>
    <row r="2615" spans="1:2" ht="15" hidden="1" x14ac:dyDescent="0.25">
      <c r="A2615" s="517" t="s">
        <v>196</v>
      </c>
      <c r="B2615" s="517" t="s">
        <v>330</v>
      </c>
    </row>
    <row r="2616" spans="1:2" ht="15" hidden="1" x14ac:dyDescent="0.25">
      <c r="A2616" s="517" t="s">
        <v>197</v>
      </c>
      <c r="B2616" s="517" t="s">
        <v>331</v>
      </c>
    </row>
    <row r="2617" spans="1:2" ht="15" hidden="1" x14ac:dyDescent="0.25">
      <c r="A2617" s="517" t="s">
        <v>197</v>
      </c>
      <c r="B2617" s="517" t="s">
        <v>331</v>
      </c>
    </row>
    <row r="2618" spans="1:2" ht="15" hidden="1" x14ac:dyDescent="0.25">
      <c r="A2618" s="517" t="s">
        <v>197</v>
      </c>
      <c r="B2618" s="517" t="s">
        <v>331</v>
      </c>
    </row>
    <row r="2619" spans="1:2" ht="15" hidden="1" x14ac:dyDescent="0.25">
      <c r="A2619" s="517" t="s">
        <v>197</v>
      </c>
      <c r="B2619" s="517" t="s">
        <v>331</v>
      </c>
    </row>
    <row r="2620" spans="1:2" ht="15" hidden="1" x14ac:dyDescent="0.25">
      <c r="A2620" s="517" t="s">
        <v>197</v>
      </c>
      <c r="B2620" s="517" t="s">
        <v>331</v>
      </c>
    </row>
    <row r="2621" spans="1:2" ht="15" hidden="1" x14ac:dyDescent="0.25">
      <c r="A2621" s="517" t="s">
        <v>197</v>
      </c>
      <c r="B2621" s="517" t="s">
        <v>331</v>
      </c>
    </row>
    <row r="2622" spans="1:2" ht="15" hidden="1" x14ac:dyDescent="0.25">
      <c r="A2622" s="517" t="s">
        <v>197</v>
      </c>
      <c r="B2622" s="517" t="s">
        <v>331</v>
      </c>
    </row>
    <row r="2623" spans="1:2" ht="15" hidden="1" x14ac:dyDescent="0.25">
      <c r="A2623" s="517" t="s">
        <v>197</v>
      </c>
      <c r="B2623" s="517" t="s">
        <v>331</v>
      </c>
    </row>
    <row r="2624" spans="1:2" ht="15" hidden="1" x14ac:dyDescent="0.25">
      <c r="A2624" s="517" t="s">
        <v>197</v>
      </c>
      <c r="B2624" s="517" t="s">
        <v>331</v>
      </c>
    </row>
    <row r="2625" spans="1:2" ht="15" hidden="1" x14ac:dyDescent="0.25">
      <c r="A2625" s="517" t="s">
        <v>197</v>
      </c>
      <c r="B2625" s="517" t="s">
        <v>331</v>
      </c>
    </row>
    <row r="2626" spans="1:2" ht="15" hidden="1" x14ac:dyDescent="0.25">
      <c r="A2626" s="517" t="s">
        <v>197</v>
      </c>
      <c r="B2626" s="517" t="s">
        <v>331</v>
      </c>
    </row>
    <row r="2627" spans="1:2" ht="15" hidden="1" x14ac:dyDescent="0.25">
      <c r="A2627" s="517" t="s">
        <v>197</v>
      </c>
      <c r="B2627" s="517" t="s">
        <v>331</v>
      </c>
    </row>
    <row r="2628" spans="1:2" ht="15" hidden="1" x14ac:dyDescent="0.25">
      <c r="A2628" s="517" t="s">
        <v>197</v>
      </c>
      <c r="B2628" s="517" t="s">
        <v>331</v>
      </c>
    </row>
    <row r="2629" spans="1:2" ht="15" hidden="1" x14ac:dyDescent="0.25">
      <c r="A2629" s="517" t="s">
        <v>197</v>
      </c>
      <c r="B2629" s="517" t="s">
        <v>331</v>
      </c>
    </row>
    <row r="2630" spans="1:2" ht="15" hidden="1" x14ac:dyDescent="0.25">
      <c r="A2630" s="517" t="s">
        <v>197</v>
      </c>
      <c r="B2630" s="517" t="s">
        <v>331</v>
      </c>
    </row>
    <row r="2631" spans="1:2" ht="15" hidden="1" x14ac:dyDescent="0.25">
      <c r="A2631" s="517" t="s">
        <v>197</v>
      </c>
      <c r="B2631" s="517" t="s">
        <v>331</v>
      </c>
    </row>
    <row r="2632" spans="1:2" ht="15" hidden="1" x14ac:dyDescent="0.25">
      <c r="A2632" s="517" t="s">
        <v>197</v>
      </c>
      <c r="B2632" s="517" t="s">
        <v>331</v>
      </c>
    </row>
    <row r="2633" spans="1:2" ht="15" hidden="1" x14ac:dyDescent="0.25">
      <c r="A2633" s="517" t="s">
        <v>197</v>
      </c>
      <c r="B2633" s="517" t="s">
        <v>331</v>
      </c>
    </row>
    <row r="2634" spans="1:2" ht="15" hidden="1" x14ac:dyDescent="0.25">
      <c r="A2634" s="517" t="s">
        <v>197</v>
      </c>
      <c r="B2634" s="517" t="s">
        <v>331</v>
      </c>
    </row>
    <row r="2635" spans="1:2" ht="15" hidden="1" x14ac:dyDescent="0.25">
      <c r="A2635" s="517" t="s">
        <v>197</v>
      </c>
      <c r="B2635" s="517" t="s">
        <v>331</v>
      </c>
    </row>
    <row r="2636" spans="1:2" ht="15" hidden="1" x14ac:dyDescent="0.25">
      <c r="A2636" s="517" t="s">
        <v>197</v>
      </c>
      <c r="B2636" s="517" t="s">
        <v>331</v>
      </c>
    </row>
    <row r="2637" spans="1:2" ht="15" hidden="1" x14ac:dyDescent="0.25">
      <c r="A2637" s="517" t="s">
        <v>197</v>
      </c>
      <c r="B2637" s="517" t="s">
        <v>331</v>
      </c>
    </row>
    <row r="2638" spans="1:2" ht="15" hidden="1" x14ac:dyDescent="0.25">
      <c r="A2638" s="517" t="s">
        <v>197</v>
      </c>
      <c r="B2638" s="517" t="s">
        <v>331</v>
      </c>
    </row>
    <row r="2639" spans="1:2" ht="15" hidden="1" x14ac:dyDescent="0.25">
      <c r="A2639" s="517" t="s">
        <v>197</v>
      </c>
      <c r="B2639" s="517" t="s">
        <v>331</v>
      </c>
    </row>
    <row r="2640" spans="1:2" ht="15" hidden="1" x14ac:dyDescent="0.25">
      <c r="A2640" s="517" t="s">
        <v>197</v>
      </c>
      <c r="B2640" s="517" t="s">
        <v>331</v>
      </c>
    </row>
    <row r="2641" spans="1:2" ht="15" hidden="1" x14ac:dyDescent="0.25">
      <c r="A2641" s="517" t="s">
        <v>197</v>
      </c>
      <c r="B2641" s="517" t="s">
        <v>331</v>
      </c>
    </row>
    <row r="2642" spans="1:2" ht="15" hidden="1" x14ac:dyDescent="0.25">
      <c r="A2642" s="517" t="s">
        <v>199</v>
      </c>
      <c r="B2642" s="517" t="s">
        <v>334</v>
      </c>
    </row>
    <row r="2643" spans="1:2" ht="15" hidden="1" x14ac:dyDescent="0.25">
      <c r="A2643" s="517" t="s">
        <v>199</v>
      </c>
      <c r="B2643" s="517" t="s">
        <v>334</v>
      </c>
    </row>
    <row r="2644" spans="1:2" ht="15" hidden="1" x14ac:dyDescent="0.25">
      <c r="A2644" s="517" t="s">
        <v>199</v>
      </c>
      <c r="B2644" s="517" t="s">
        <v>334</v>
      </c>
    </row>
    <row r="2645" spans="1:2" ht="15" hidden="1" x14ac:dyDescent="0.25">
      <c r="A2645" s="517" t="s">
        <v>199</v>
      </c>
      <c r="B2645" s="517" t="s">
        <v>334</v>
      </c>
    </row>
    <row r="2646" spans="1:2" ht="15" hidden="1" x14ac:dyDescent="0.25">
      <c r="A2646" s="517" t="s">
        <v>199</v>
      </c>
      <c r="B2646" s="517" t="s">
        <v>334</v>
      </c>
    </row>
    <row r="2647" spans="1:2" ht="15" hidden="1" x14ac:dyDescent="0.25">
      <c r="A2647" s="517" t="s">
        <v>1471</v>
      </c>
      <c r="B2647" s="517" t="s">
        <v>1472</v>
      </c>
    </row>
    <row r="2648" spans="1:2" ht="15" hidden="1" x14ac:dyDescent="0.25">
      <c r="A2648" s="517" t="s">
        <v>200</v>
      </c>
      <c r="B2648" s="517" t="s">
        <v>335</v>
      </c>
    </row>
    <row r="2649" spans="1:2" ht="15" hidden="1" x14ac:dyDescent="0.25">
      <c r="A2649" s="517" t="s">
        <v>200</v>
      </c>
      <c r="B2649" s="517" t="s">
        <v>335</v>
      </c>
    </row>
    <row r="2650" spans="1:2" ht="15" hidden="1" x14ac:dyDescent="0.25">
      <c r="A2650" s="517" t="s">
        <v>200</v>
      </c>
      <c r="B2650" s="517" t="s">
        <v>335</v>
      </c>
    </row>
    <row r="2651" spans="1:2" ht="15" hidden="1" x14ac:dyDescent="0.25">
      <c r="A2651" s="517" t="s">
        <v>200</v>
      </c>
      <c r="B2651" s="517" t="s">
        <v>335</v>
      </c>
    </row>
    <row r="2652" spans="1:2" ht="15" hidden="1" x14ac:dyDescent="0.25">
      <c r="A2652" s="517" t="s">
        <v>1281</v>
      </c>
      <c r="B2652" s="517" t="s">
        <v>1282</v>
      </c>
    </row>
    <row r="2653" spans="1:2" ht="15" hidden="1" x14ac:dyDescent="0.25">
      <c r="A2653" s="517" t="s">
        <v>1281</v>
      </c>
      <c r="B2653" s="517" t="s">
        <v>1282</v>
      </c>
    </row>
    <row r="2654" spans="1:2" ht="15" hidden="1" x14ac:dyDescent="0.25">
      <c r="A2654" s="517" t="s">
        <v>1281</v>
      </c>
      <c r="B2654" s="517" t="s">
        <v>1282</v>
      </c>
    </row>
    <row r="2655" spans="1:2" ht="15" hidden="1" x14ac:dyDescent="0.25">
      <c r="A2655" s="517" t="s">
        <v>1281</v>
      </c>
      <c r="B2655" s="517" t="s">
        <v>1282</v>
      </c>
    </row>
    <row r="2656" spans="1:2" ht="15" hidden="1" x14ac:dyDescent="0.25">
      <c r="A2656" s="517" t="s">
        <v>1281</v>
      </c>
      <c r="B2656" s="517" t="s">
        <v>1282</v>
      </c>
    </row>
    <row r="2657" spans="1:2" ht="15" hidden="1" x14ac:dyDescent="0.25">
      <c r="A2657" s="517" t="s">
        <v>1281</v>
      </c>
      <c r="B2657" s="517" t="s">
        <v>1282</v>
      </c>
    </row>
    <row r="2658" spans="1:2" ht="15" hidden="1" x14ac:dyDescent="0.25">
      <c r="A2658" s="517" t="s">
        <v>1281</v>
      </c>
      <c r="B2658" s="517" t="s">
        <v>1282</v>
      </c>
    </row>
    <row r="2659" spans="1:2" ht="15" hidden="1" x14ac:dyDescent="0.25">
      <c r="A2659" s="517" t="s">
        <v>1281</v>
      </c>
      <c r="B2659" s="517" t="s">
        <v>1282</v>
      </c>
    </row>
    <row r="2660" spans="1:2" ht="15" hidden="1" x14ac:dyDescent="0.25">
      <c r="A2660" s="517" t="s">
        <v>2215</v>
      </c>
      <c r="B2660" s="517" t="s">
        <v>2215</v>
      </c>
    </row>
    <row r="2661" spans="1:2" ht="15" hidden="1" x14ac:dyDescent="0.25">
      <c r="A2661" s="517" t="s">
        <v>2216</v>
      </c>
      <c r="B2661" s="517" t="s">
        <v>2216</v>
      </c>
    </row>
    <row r="2662" spans="1:2" ht="15" hidden="1" x14ac:dyDescent="0.25">
      <c r="A2662" s="517" t="s">
        <v>2217</v>
      </c>
      <c r="B2662" s="517" t="s">
        <v>2217</v>
      </c>
    </row>
    <row r="2663" spans="1:2" ht="15" hidden="1" x14ac:dyDescent="0.25">
      <c r="A2663" s="517" t="s">
        <v>2218</v>
      </c>
      <c r="B2663" s="517" t="s">
        <v>2218</v>
      </c>
    </row>
    <row r="2664" spans="1:2" ht="15" hidden="1" x14ac:dyDescent="0.25">
      <c r="A2664" s="517" t="s">
        <v>2219</v>
      </c>
      <c r="B2664" s="517" t="s">
        <v>2219</v>
      </c>
    </row>
    <row r="2665" spans="1:2" ht="15" hidden="1" x14ac:dyDescent="0.25">
      <c r="A2665" s="517" t="s">
        <v>2220</v>
      </c>
      <c r="B2665" s="517" t="s">
        <v>2220</v>
      </c>
    </row>
    <row r="2666" spans="1:2" ht="15" hidden="1" x14ac:dyDescent="0.25">
      <c r="A2666" s="517" t="s">
        <v>2221</v>
      </c>
      <c r="B2666" s="517" t="s">
        <v>2221</v>
      </c>
    </row>
    <row r="2667" spans="1:2" ht="15" hidden="1" x14ac:dyDescent="0.25">
      <c r="A2667" s="517" t="s">
        <v>2222</v>
      </c>
      <c r="B2667" s="517" t="s">
        <v>2222</v>
      </c>
    </row>
    <row r="2668" spans="1:2" ht="15" hidden="1" x14ac:dyDescent="0.25">
      <c r="A2668" s="517" t="s">
        <v>2222</v>
      </c>
      <c r="B2668" s="517" t="s">
        <v>2222</v>
      </c>
    </row>
    <row r="2669" spans="1:2" ht="15" hidden="1" x14ac:dyDescent="0.25">
      <c r="A2669" s="517" t="s">
        <v>2223</v>
      </c>
      <c r="B2669" s="517" t="s">
        <v>2223</v>
      </c>
    </row>
    <row r="2670" spans="1:2" ht="15" hidden="1" x14ac:dyDescent="0.25">
      <c r="A2670" s="517" t="s">
        <v>2224</v>
      </c>
      <c r="B2670" s="517" t="s">
        <v>2224</v>
      </c>
    </row>
    <row r="2671" spans="1:2" ht="15" hidden="1" x14ac:dyDescent="0.25">
      <c r="A2671" s="517" t="s">
        <v>2225</v>
      </c>
      <c r="B2671" s="517" t="s">
        <v>2225</v>
      </c>
    </row>
    <row r="2672" spans="1:2" ht="15" hidden="1" x14ac:dyDescent="0.25">
      <c r="A2672" s="517" t="s">
        <v>2226</v>
      </c>
      <c r="B2672" s="517" t="s">
        <v>2226</v>
      </c>
    </row>
    <row r="2673" spans="1:2" ht="15" hidden="1" x14ac:dyDescent="0.25">
      <c r="A2673" s="517" t="s">
        <v>2227</v>
      </c>
      <c r="B2673" s="517" t="s">
        <v>2227</v>
      </c>
    </row>
    <row r="2674" spans="1:2" ht="15" hidden="1" x14ac:dyDescent="0.25">
      <c r="A2674" s="517" t="s">
        <v>2228</v>
      </c>
      <c r="B2674" s="517" t="s">
        <v>2228</v>
      </c>
    </row>
    <row r="2675" spans="1:2" ht="15" hidden="1" x14ac:dyDescent="0.25">
      <c r="A2675" s="517" t="s">
        <v>2229</v>
      </c>
      <c r="B2675" s="517" t="s">
        <v>2229</v>
      </c>
    </row>
    <row r="2676" spans="1:2" ht="15" hidden="1" x14ac:dyDescent="0.25">
      <c r="A2676" s="517" t="s">
        <v>2230</v>
      </c>
      <c r="B2676" s="517" t="s">
        <v>2230</v>
      </c>
    </row>
    <row r="2677" spans="1:2" ht="15" hidden="1" x14ac:dyDescent="0.25">
      <c r="A2677" s="517" t="s">
        <v>2231</v>
      </c>
      <c r="B2677" s="517" t="s">
        <v>2231</v>
      </c>
    </row>
    <row r="2678" spans="1:2" ht="15" hidden="1" x14ac:dyDescent="0.25">
      <c r="A2678" s="517" t="s">
        <v>2232</v>
      </c>
      <c r="B2678" s="517" t="s">
        <v>2232</v>
      </c>
    </row>
    <row r="2679" spans="1:2" ht="15" hidden="1" x14ac:dyDescent="0.25">
      <c r="A2679" s="517" t="s">
        <v>2233</v>
      </c>
      <c r="B2679" s="517" t="s">
        <v>2233</v>
      </c>
    </row>
    <row r="2680" spans="1:2" ht="15" hidden="1" x14ac:dyDescent="0.25">
      <c r="A2680" s="517" t="s">
        <v>2234</v>
      </c>
      <c r="B2680" s="517" t="s">
        <v>2234</v>
      </c>
    </row>
    <row r="2681" spans="1:2" ht="15" hidden="1" x14ac:dyDescent="0.25">
      <c r="A2681" s="517" t="s">
        <v>2235</v>
      </c>
      <c r="B2681" s="517" t="s">
        <v>2235</v>
      </c>
    </row>
    <row r="2682" spans="1:2" ht="15" hidden="1" x14ac:dyDescent="0.25">
      <c r="A2682" s="517" t="s">
        <v>2236</v>
      </c>
      <c r="B2682" s="517" t="s">
        <v>2236</v>
      </c>
    </row>
    <row r="2683" spans="1:2" ht="15" hidden="1" x14ac:dyDescent="0.25">
      <c r="A2683" s="517" t="s">
        <v>2237</v>
      </c>
      <c r="B2683" s="517" t="s">
        <v>2237</v>
      </c>
    </row>
    <row r="2684" spans="1:2" ht="15" hidden="1" x14ac:dyDescent="0.25">
      <c r="A2684" s="517" t="s">
        <v>2238</v>
      </c>
      <c r="B2684" s="517" t="s">
        <v>2238</v>
      </c>
    </row>
    <row r="2685" spans="1:2" ht="15" hidden="1" x14ac:dyDescent="0.25">
      <c r="A2685" s="517" t="s">
        <v>2239</v>
      </c>
      <c r="B2685" s="517" t="s">
        <v>2239</v>
      </c>
    </row>
    <row r="2686" spans="1:2" ht="15" hidden="1" x14ac:dyDescent="0.25">
      <c r="A2686" s="517" t="s">
        <v>2240</v>
      </c>
      <c r="B2686" s="517" t="s">
        <v>2240</v>
      </c>
    </row>
    <row r="2687" spans="1:2" ht="15" hidden="1" x14ac:dyDescent="0.25">
      <c r="A2687" s="517" t="s">
        <v>2241</v>
      </c>
      <c r="B2687" s="517" t="s">
        <v>2241</v>
      </c>
    </row>
    <row r="2688" spans="1:2" ht="15" hidden="1" x14ac:dyDescent="0.25">
      <c r="A2688" s="517" t="s">
        <v>2242</v>
      </c>
      <c r="B2688" s="517" t="s">
        <v>2242</v>
      </c>
    </row>
    <row r="2689" spans="1:2" ht="15" hidden="1" x14ac:dyDescent="0.25">
      <c r="A2689" s="517" t="s">
        <v>2243</v>
      </c>
      <c r="B2689" s="517" t="s">
        <v>2243</v>
      </c>
    </row>
    <row r="2690" spans="1:2" ht="15" hidden="1" x14ac:dyDescent="0.25">
      <c r="A2690" s="517" t="s">
        <v>2244</v>
      </c>
      <c r="B2690" s="517" t="s">
        <v>2244</v>
      </c>
    </row>
    <row r="2691" spans="1:2" ht="15" hidden="1" x14ac:dyDescent="0.25">
      <c r="A2691" s="517" t="s">
        <v>2245</v>
      </c>
      <c r="B2691" s="517" t="s">
        <v>2245</v>
      </c>
    </row>
    <row r="2692" spans="1:2" ht="15" hidden="1" x14ac:dyDescent="0.25">
      <c r="A2692" s="517" t="s">
        <v>2245</v>
      </c>
      <c r="B2692" s="517" t="s">
        <v>2245</v>
      </c>
    </row>
    <row r="2693" spans="1:2" ht="15" hidden="1" x14ac:dyDescent="0.25">
      <c r="A2693" s="517" t="s">
        <v>2246</v>
      </c>
      <c r="B2693" s="517" t="s">
        <v>2246</v>
      </c>
    </row>
    <row r="2694" spans="1:2" ht="15" hidden="1" x14ac:dyDescent="0.25">
      <c r="A2694" s="517" t="s">
        <v>2247</v>
      </c>
      <c r="B2694" s="517" t="s">
        <v>2247</v>
      </c>
    </row>
    <row r="2695" spans="1:2" ht="15" hidden="1" x14ac:dyDescent="0.25">
      <c r="A2695" s="517" t="s">
        <v>2248</v>
      </c>
      <c r="B2695" s="517" t="s">
        <v>2248</v>
      </c>
    </row>
    <row r="2696" spans="1:2" ht="15" hidden="1" x14ac:dyDescent="0.25">
      <c r="A2696" s="517" t="s">
        <v>2249</v>
      </c>
      <c r="B2696" s="517" t="s">
        <v>2249</v>
      </c>
    </row>
    <row r="2697" spans="1:2" ht="15" hidden="1" x14ac:dyDescent="0.25">
      <c r="A2697" s="517" t="s">
        <v>2250</v>
      </c>
      <c r="B2697" s="517" t="s">
        <v>2250</v>
      </c>
    </row>
    <row r="2698" spans="1:2" ht="15" hidden="1" x14ac:dyDescent="0.25">
      <c r="A2698" s="517" t="s">
        <v>2251</v>
      </c>
      <c r="B2698" s="517" t="s">
        <v>2251</v>
      </c>
    </row>
    <row r="2699" spans="1:2" ht="15" hidden="1" x14ac:dyDescent="0.25">
      <c r="A2699" s="517" t="s">
        <v>2252</v>
      </c>
      <c r="B2699" s="517" t="s">
        <v>2252</v>
      </c>
    </row>
    <row r="2700" spans="1:2" ht="15" hidden="1" x14ac:dyDescent="0.25">
      <c r="A2700" s="517" t="s">
        <v>2253</v>
      </c>
      <c r="B2700" s="517" t="s">
        <v>2253</v>
      </c>
    </row>
    <row r="2701" spans="1:2" ht="15" hidden="1" x14ac:dyDescent="0.25">
      <c r="A2701" s="517" t="s">
        <v>2253</v>
      </c>
      <c r="B2701" s="517" t="s">
        <v>2253</v>
      </c>
    </row>
    <row r="2702" spans="1:2" ht="15" hidden="1" x14ac:dyDescent="0.25">
      <c r="A2702" s="517" t="s">
        <v>2254</v>
      </c>
      <c r="B2702" s="517" t="s">
        <v>2254</v>
      </c>
    </row>
    <row r="2703" spans="1:2" ht="15" hidden="1" x14ac:dyDescent="0.25">
      <c r="A2703" s="517" t="s">
        <v>2254</v>
      </c>
      <c r="B2703" s="517" t="s">
        <v>2254</v>
      </c>
    </row>
    <row r="2704" spans="1:2" ht="15" hidden="1" x14ac:dyDescent="0.25">
      <c r="A2704" s="517" t="s">
        <v>2255</v>
      </c>
      <c r="B2704" s="517" t="s">
        <v>2255</v>
      </c>
    </row>
    <row r="2705" spans="1:2" ht="15" hidden="1" x14ac:dyDescent="0.25">
      <c r="A2705" s="517" t="s">
        <v>2255</v>
      </c>
      <c r="B2705" s="517" t="s">
        <v>2255</v>
      </c>
    </row>
    <row r="2706" spans="1:2" ht="15" hidden="1" x14ac:dyDescent="0.25">
      <c r="A2706" s="517" t="s">
        <v>2256</v>
      </c>
      <c r="B2706" s="517" t="s">
        <v>2256</v>
      </c>
    </row>
    <row r="2707" spans="1:2" ht="15" hidden="1" x14ac:dyDescent="0.25">
      <c r="A2707" s="517" t="s">
        <v>2257</v>
      </c>
      <c r="B2707" s="517" t="s">
        <v>2257</v>
      </c>
    </row>
    <row r="2708" spans="1:2" ht="15" hidden="1" x14ac:dyDescent="0.25">
      <c r="A2708" s="517" t="s">
        <v>2258</v>
      </c>
      <c r="B2708" s="517" t="s">
        <v>2258</v>
      </c>
    </row>
    <row r="2709" spans="1:2" ht="15" hidden="1" x14ac:dyDescent="0.25">
      <c r="A2709" s="517" t="s">
        <v>2259</v>
      </c>
      <c r="B2709" s="517" t="s">
        <v>2259</v>
      </c>
    </row>
    <row r="2710" spans="1:2" ht="15" hidden="1" x14ac:dyDescent="0.25">
      <c r="A2710" s="517" t="s">
        <v>2260</v>
      </c>
      <c r="B2710" s="517" t="s">
        <v>2260</v>
      </c>
    </row>
    <row r="2711" spans="1:2" ht="15" hidden="1" x14ac:dyDescent="0.25">
      <c r="A2711" s="517" t="s">
        <v>2261</v>
      </c>
      <c r="B2711" s="517" t="s">
        <v>2261</v>
      </c>
    </row>
    <row r="2712" spans="1:2" ht="15" hidden="1" x14ac:dyDescent="0.25">
      <c r="A2712" s="517" t="s">
        <v>2262</v>
      </c>
      <c r="B2712" s="517" t="s">
        <v>2262</v>
      </c>
    </row>
    <row r="2713" spans="1:2" ht="15" hidden="1" x14ac:dyDescent="0.25">
      <c r="A2713" s="517" t="s">
        <v>2263</v>
      </c>
      <c r="B2713" s="517" t="s">
        <v>2263</v>
      </c>
    </row>
    <row r="2714" spans="1:2" ht="15" hidden="1" x14ac:dyDescent="0.25">
      <c r="A2714" s="517" t="s">
        <v>2264</v>
      </c>
      <c r="B2714" s="517" t="s">
        <v>2264</v>
      </c>
    </row>
    <row r="2715" spans="1:2" ht="15" hidden="1" x14ac:dyDescent="0.25">
      <c r="A2715" s="517" t="s">
        <v>2265</v>
      </c>
      <c r="B2715" s="517" t="s">
        <v>2265</v>
      </c>
    </row>
    <row r="2716" spans="1:2" ht="15" hidden="1" x14ac:dyDescent="0.25">
      <c r="A2716" s="517" t="s">
        <v>2266</v>
      </c>
      <c r="B2716" s="517" t="s">
        <v>2266</v>
      </c>
    </row>
    <row r="2717" spans="1:2" ht="15" hidden="1" x14ac:dyDescent="0.25">
      <c r="A2717" s="517" t="s">
        <v>2267</v>
      </c>
      <c r="B2717" s="517" t="s">
        <v>2267</v>
      </c>
    </row>
    <row r="2718" spans="1:2" ht="15" hidden="1" x14ac:dyDescent="0.25">
      <c r="A2718" s="517" t="s">
        <v>2268</v>
      </c>
      <c r="B2718" s="517" t="s">
        <v>2268</v>
      </c>
    </row>
    <row r="2719" spans="1:2" ht="15" hidden="1" x14ac:dyDescent="0.25">
      <c r="A2719" s="517" t="s">
        <v>2268</v>
      </c>
      <c r="B2719" s="517" t="s">
        <v>2268</v>
      </c>
    </row>
    <row r="2720" spans="1:2" ht="15" hidden="1" x14ac:dyDescent="0.25">
      <c r="A2720" s="517" t="s">
        <v>2269</v>
      </c>
      <c r="B2720" s="517" t="s">
        <v>2269</v>
      </c>
    </row>
    <row r="2721" spans="1:2" ht="15" hidden="1" x14ac:dyDescent="0.25">
      <c r="A2721" s="517" t="s">
        <v>2270</v>
      </c>
      <c r="B2721" s="517" t="s">
        <v>2270</v>
      </c>
    </row>
    <row r="2722" spans="1:2" ht="15" hidden="1" x14ac:dyDescent="0.25">
      <c r="A2722" s="517" t="s">
        <v>2271</v>
      </c>
      <c r="B2722" s="517" t="s">
        <v>2271</v>
      </c>
    </row>
    <row r="2723" spans="1:2" ht="15" hidden="1" x14ac:dyDescent="0.25">
      <c r="A2723" s="517" t="s">
        <v>2272</v>
      </c>
      <c r="B2723" s="517" t="s">
        <v>2272</v>
      </c>
    </row>
    <row r="2724" spans="1:2" ht="15" hidden="1" x14ac:dyDescent="0.25">
      <c r="A2724" s="517" t="s">
        <v>2273</v>
      </c>
      <c r="B2724" s="517" t="s">
        <v>2273</v>
      </c>
    </row>
    <row r="2725" spans="1:2" ht="15" hidden="1" x14ac:dyDescent="0.25">
      <c r="A2725" s="517" t="s">
        <v>2274</v>
      </c>
      <c r="B2725" s="517" t="s">
        <v>2274</v>
      </c>
    </row>
    <row r="2726" spans="1:2" ht="15" hidden="1" x14ac:dyDescent="0.25">
      <c r="A2726" s="517" t="s">
        <v>2275</v>
      </c>
      <c r="B2726" s="517" t="s">
        <v>2275</v>
      </c>
    </row>
    <row r="2727" spans="1:2" ht="15" hidden="1" x14ac:dyDescent="0.25">
      <c r="A2727" s="517" t="s">
        <v>2276</v>
      </c>
      <c r="B2727" s="517" t="s">
        <v>2276</v>
      </c>
    </row>
    <row r="2728" spans="1:2" ht="15" hidden="1" x14ac:dyDescent="0.25">
      <c r="A2728" s="517" t="s">
        <v>2277</v>
      </c>
      <c r="B2728" s="517" t="s">
        <v>2277</v>
      </c>
    </row>
    <row r="2729" spans="1:2" ht="15" hidden="1" x14ac:dyDescent="0.25">
      <c r="A2729" s="517" t="s">
        <v>2278</v>
      </c>
      <c r="B2729" s="517" t="s">
        <v>2278</v>
      </c>
    </row>
    <row r="2730" spans="1:2" ht="15" hidden="1" x14ac:dyDescent="0.25">
      <c r="A2730" s="517" t="s">
        <v>2279</v>
      </c>
      <c r="B2730" s="517" t="s">
        <v>2260</v>
      </c>
    </row>
    <row r="2731" spans="1:2" ht="15" hidden="1" x14ac:dyDescent="0.25">
      <c r="A2731" s="517" t="s">
        <v>2280</v>
      </c>
      <c r="B2731" s="517" t="s">
        <v>2281</v>
      </c>
    </row>
    <row r="2732" spans="1:2" ht="15" hidden="1" x14ac:dyDescent="0.25">
      <c r="A2732" s="517" t="s">
        <v>2282</v>
      </c>
      <c r="B2732" s="517" t="s">
        <v>2283</v>
      </c>
    </row>
    <row r="2733" spans="1:2" ht="15" hidden="1" x14ac:dyDescent="0.25">
      <c r="A2733" s="517" t="s">
        <v>1780</v>
      </c>
      <c r="B2733" s="517" t="s">
        <v>1781</v>
      </c>
    </row>
    <row r="2734" spans="1:2" ht="15" hidden="1" x14ac:dyDescent="0.25">
      <c r="A2734" s="517" t="s">
        <v>2284</v>
      </c>
      <c r="B2734" s="517" t="s">
        <v>2285</v>
      </c>
    </row>
    <row r="2735" spans="1:2" ht="15" hidden="1" x14ac:dyDescent="0.25">
      <c r="A2735" s="517" t="s">
        <v>2286</v>
      </c>
      <c r="B2735" s="517" t="s">
        <v>2287</v>
      </c>
    </row>
    <row r="2736" spans="1:2" ht="15" hidden="1" x14ac:dyDescent="0.25">
      <c r="A2736" s="517" t="s">
        <v>2286</v>
      </c>
      <c r="B2736" s="517" t="s">
        <v>2287</v>
      </c>
    </row>
    <row r="2737" spans="1:2" ht="15" hidden="1" x14ac:dyDescent="0.25">
      <c r="A2737" s="517" t="s">
        <v>2288</v>
      </c>
      <c r="B2737" s="517" t="s">
        <v>2289</v>
      </c>
    </row>
    <row r="2738" spans="1:2" ht="15" hidden="1" x14ac:dyDescent="0.25">
      <c r="A2738" s="517" t="s">
        <v>1784</v>
      </c>
      <c r="B2738" s="517" t="s">
        <v>2290</v>
      </c>
    </row>
    <row r="2739" spans="1:2" ht="15" hidden="1" x14ac:dyDescent="0.25">
      <c r="A2739" s="517" t="s">
        <v>2291</v>
      </c>
      <c r="B2739" s="517" t="s">
        <v>2292</v>
      </c>
    </row>
    <row r="2740" spans="1:2" ht="15" hidden="1" x14ac:dyDescent="0.25">
      <c r="A2740" s="517" t="s">
        <v>2158</v>
      </c>
      <c r="B2740" s="517" t="s">
        <v>2159</v>
      </c>
    </row>
    <row r="2741" spans="1:2" ht="15" hidden="1" x14ac:dyDescent="0.25">
      <c r="A2741" s="517" t="s">
        <v>2293</v>
      </c>
      <c r="B2741" s="517" t="s">
        <v>2294</v>
      </c>
    </row>
    <row r="2742" spans="1:2" ht="15" hidden="1" x14ac:dyDescent="0.25">
      <c r="A2742" s="517" t="s">
        <v>1554</v>
      </c>
      <c r="B2742" s="517" t="s">
        <v>68</v>
      </c>
    </row>
    <row r="2743" spans="1:2" ht="15" hidden="1" x14ac:dyDescent="0.25">
      <c r="A2743" s="517" t="s">
        <v>2295</v>
      </c>
      <c r="B2743" s="517" t="s">
        <v>2296</v>
      </c>
    </row>
    <row r="2744" spans="1:2" ht="15" hidden="1" x14ac:dyDescent="0.25">
      <c r="A2744" s="517" t="s">
        <v>2297</v>
      </c>
      <c r="B2744" s="517" t="s">
        <v>2298</v>
      </c>
    </row>
    <row r="2745" spans="1:2" ht="15" hidden="1" x14ac:dyDescent="0.25">
      <c r="A2745" s="517" t="s">
        <v>2299</v>
      </c>
      <c r="B2745" s="517" t="s">
        <v>2300</v>
      </c>
    </row>
    <row r="2746" spans="1:2" ht="15" hidden="1" x14ac:dyDescent="0.25">
      <c r="A2746" s="517" t="s">
        <v>2301</v>
      </c>
      <c r="B2746" s="517" t="s">
        <v>2302</v>
      </c>
    </row>
    <row r="2747" spans="1:2" ht="15" hidden="1" x14ac:dyDescent="0.25">
      <c r="A2747" s="517" t="s">
        <v>2303</v>
      </c>
      <c r="B2747" s="517" t="s">
        <v>2304</v>
      </c>
    </row>
    <row r="2748" spans="1:2" ht="15" hidden="1" x14ac:dyDescent="0.25">
      <c r="A2748" s="517" t="s">
        <v>2305</v>
      </c>
      <c r="B2748" s="517" t="s">
        <v>2306</v>
      </c>
    </row>
    <row r="2749" spans="1:2" ht="15" hidden="1" x14ac:dyDescent="0.25">
      <c r="A2749" s="517" t="s">
        <v>2307</v>
      </c>
      <c r="B2749" s="517" t="s">
        <v>2308</v>
      </c>
    </row>
    <row r="2750" spans="1:2" ht="15" hidden="1" x14ac:dyDescent="0.25">
      <c r="A2750" s="517" t="s">
        <v>2309</v>
      </c>
      <c r="B2750" s="517" t="s">
        <v>2310</v>
      </c>
    </row>
    <row r="2751" spans="1:2" ht="15" hidden="1" x14ac:dyDescent="0.25">
      <c r="A2751" s="517" t="s">
        <v>2309</v>
      </c>
      <c r="B2751" s="517" t="s">
        <v>2310</v>
      </c>
    </row>
    <row r="2752" spans="1:2" ht="15" hidden="1" x14ac:dyDescent="0.25">
      <c r="A2752" s="517" t="s">
        <v>238</v>
      </c>
      <c r="B2752" s="517" t="s">
        <v>385</v>
      </c>
    </row>
    <row r="2753" spans="1:2" ht="15" hidden="1" x14ac:dyDescent="0.25">
      <c r="A2753" s="517" t="s">
        <v>2311</v>
      </c>
      <c r="B2753" s="517" t="s">
        <v>2312</v>
      </c>
    </row>
    <row r="2754" spans="1:2" ht="15" hidden="1" x14ac:dyDescent="0.25">
      <c r="A2754" s="518" t="s">
        <v>2313</v>
      </c>
      <c r="B2754" s="518" t="s">
        <v>2314</v>
      </c>
    </row>
    <row r="2755" spans="1:2" ht="15" hidden="1" x14ac:dyDescent="0.25">
      <c r="A2755" s="517" t="s">
        <v>2005</v>
      </c>
      <c r="B2755" s="517" t="s">
        <v>2315</v>
      </c>
    </row>
    <row r="2756" spans="1:2" ht="15" hidden="1" x14ac:dyDescent="0.25">
      <c r="A2756" s="517" t="s">
        <v>2316</v>
      </c>
      <c r="B2756" s="517" t="s">
        <v>2317</v>
      </c>
    </row>
    <row r="2757" spans="1:2" ht="15" hidden="1" x14ac:dyDescent="0.25">
      <c r="A2757" s="517" t="s">
        <v>2318</v>
      </c>
      <c r="B2757" s="517" t="s">
        <v>2319</v>
      </c>
    </row>
    <row r="2758" spans="1:2" ht="15" hidden="1" x14ac:dyDescent="0.25">
      <c r="A2758" s="517" t="s">
        <v>2320</v>
      </c>
      <c r="B2758" s="517" t="s">
        <v>2321</v>
      </c>
    </row>
    <row r="2759" spans="1:2" ht="15" hidden="1" x14ac:dyDescent="0.25">
      <c r="A2759" s="517" t="s">
        <v>2322</v>
      </c>
      <c r="B2759" s="517" t="s">
        <v>2323</v>
      </c>
    </row>
    <row r="2760" spans="1:2" ht="15" hidden="1" x14ac:dyDescent="0.25">
      <c r="A2760" s="517" t="s">
        <v>2322</v>
      </c>
      <c r="B2760" s="517" t="s">
        <v>2323</v>
      </c>
    </row>
    <row r="2761" spans="1:2" ht="15" hidden="1" x14ac:dyDescent="0.25">
      <c r="A2761" s="517" t="s">
        <v>2324</v>
      </c>
      <c r="B2761" s="517" t="s">
        <v>2325</v>
      </c>
    </row>
    <row r="2762" spans="1:2" ht="15" hidden="1" x14ac:dyDescent="0.25">
      <c r="A2762" s="517" t="s">
        <v>2324</v>
      </c>
      <c r="B2762" s="517" t="s">
        <v>2325</v>
      </c>
    </row>
    <row r="2763" spans="1:2" ht="15" hidden="1" x14ac:dyDescent="0.25">
      <c r="A2763" s="517" t="s">
        <v>2326</v>
      </c>
      <c r="B2763" s="517" t="s">
        <v>2327</v>
      </c>
    </row>
    <row r="2764" spans="1:2" ht="15" hidden="1" x14ac:dyDescent="0.25">
      <c r="A2764" s="517" t="s">
        <v>394</v>
      </c>
      <c r="B2764" s="517" t="s">
        <v>395</v>
      </c>
    </row>
    <row r="2765" spans="1:2" ht="15" hidden="1" x14ac:dyDescent="0.25">
      <c r="A2765" s="517" t="s">
        <v>394</v>
      </c>
      <c r="B2765" s="517" t="s">
        <v>395</v>
      </c>
    </row>
    <row r="2766" spans="1:2" ht="15" hidden="1" x14ac:dyDescent="0.25">
      <c r="A2766" s="517" t="s">
        <v>394</v>
      </c>
      <c r="B2766" s="517" t="s">
        <v>395</v>
      </c>
    </row>
    <row r="2767" spans="1:2" ht="15" hidden="1" x14ac:dyDescent="0.25">
      <c r="A2767" s="517" t="s">
        <v>394</v>
      </c>
      <c r="B2767" s="517" t="s">
        <v>395</v>
      </c>
    </row>
    <row r="2768" spans="1:2" ht="15" hidden="1" x14ac:dyDescent="0.25">
      <c r="A2768" s="517" t="s">
        <v>394</v>
      </c>
      <c r="B2768" s="517" t="s">
        <v>395</v>
      </c>
    </row>
    <row r="2769" spans="1:2" ht="15" hidden="1" x14ac:dyDescent="0.25">
      <c r="A2769" s="517" t="s">
        <v>2328</v>
      </c>
      <c r="B2769" s="517" t="s">
        <v>2329</v>
      </c>
    </row>
    <row r="2770" spans="1:2" ht="15" hidden="1" x14ac:dyDescent="0.25">
      <c r="A2770" s="517" t="s">
        <v>2330</v>
      </c>
      <c r="B2770" s="517" t="s">
        <v>2331</v>
      </c>
    </row>
    <row r="2771" spans="1:2" ht="15" hidden="1" x14ac:dyDescent="0.25">
      <c r="A2771" s="517" t="s">
        <v>2330</v>
      </c>
      <c r="B2771" s="517" t="s">
        <v>2331</v>
      </c>
    </row>
    <row r="2772" spans="1:2" ht="15" hidden="1" x14ac:dyDescent="0.25">
      <c r="A2772" s="517" t="s">
        <v>2332</v>
      </c>
      <c r="B2772" s="517" t="s">
        <v>2333</v>
      </c>
    </row>
    <row r="2773" spans="1:2" ht="15" hidden="1" x14ac:dyDescent="0.25">
      <c r="A2773" s="517" t="s">
        <v>2332</v>
      </c>
      <c r="B2773" s="517" t="s">
        <v>2333</v>
      </c>
    </row>
    <row r="2774" spans="1:2" ht="15" hidden="1" x14ac:dyDescent="0.25">
      <c r="A2774" s="517" t="s">
        <v>2334</v>
      </c>
      <c r="B2774" s="517" t="s">
        <v>2335</v>
      </c>
    </row>
    <row r="2775" spans="1:2" ht="15" hidden="1" x14ac:dyDescent="0.25">
      <c r="A2775" s="517" t="s">
        <v>1806</v>
      </c>
      <c r="B2775" s="517" t="s">
        <v>1807</v>
      </c>
    </row>
    <row r="2776" spans="1:2" ht="15" hidden="1" x14ac:dyDescent="0.25">
      <c r="A2776" s="517" t="s">
        <v>1709</v>
      </c>
      <c r="B2776" s="517" t="s">
        <v>1710</v>
      </c>
    </row>
    <row r="2777" spans="1:2" ht="15" hidden="1" x14ac:dyDescent="0.25">
      <c r="A2777" s="517" t="s">
        <v>1709</v>
      </c>
      <c r="B2777" s="517" t="s">
        <v>1710</v>
      </c>
    </row>
    <row r="2778" spans="1:2" ht="15" hidden="1" x14ac:dyDescent="0.25">
      <c r="A2778" s="517" t="s">
        <v>2022</v>
      </c>
      <c r="B2778" s="517" t="s">
        <v>2023</v>
      </c>
    </row>
    <row r="2779" spans="1:2" ht="15" hidden="1" x14ac:dyDescent="0.25">
      <c r="A2779" s="517" t="s">
        <v>1810</v>
      </c>
      <c r="B2779" s="517" t="s">
        <v>1811</v>
      </c>
    </row>
    <row r="2780" spans="1:2" ht="15" hidden="1" x14ac:dyDescent="0.25">
      <c r="A2780" s="517" t="s">
        <v>2336</v>
      </c>
      <c r="B2780" s="517" t="s">
        <v>2337</v>
      </c>
    </row>
    <row r="2781" spans="1:2" ht="15" hidden="1" x14ac:dyDescent="0.25">
      <c r="A2781" s="517" t="s">
        <v>2338</v>
      </c>
      <c r="B2781" s="517" t="s">
        <v>2339</v>
      </c>
    </row>
    <row r="2782" spans="1:2" ht="15" hidden="1" x14ac:dyDescent="0.25">
      <c r="A2782" s="517" t="s">
        <v>2338</v>
      </c>
      <c r="B2782" s="517" t="s">
        <v>2339</v>
      </c>
    </row>
    <row r="2783" spans="1:2" ht="15" hidden="1" x14ac:dyDescent="0.25">
      <c r="A2783" s="517" t="s">
        <v>2340</v>
      </c>
      <c r="B2783" s="517" t="s">
        <v>2341</v>
      </c>
    </row>
    <row r="2784" spans="1:2" ht="15" hidden="1" x14ac:dyDescent="0.25">
      <c r="A2784" s="517" t="s">
        <v>2342</v>
      </c>
      <c r="B2784" s="517" t="s">
        <v>2343</v>
      </c>
    </row>
    <row r="2785" spans="1:2" ht="15" hidden="1" x14ac:dyDescent="0.25">
      <c r="A2785" s="517" t="s">
        <v>2344</v>
      </c>
      <c r="B2785" s="517" t="s">
        <v>2345</v>
      </c>
    </row>
    <row r="2786" spans="1:2" ht="15" hidden="1" x14ac:dyDescent="0.25">
      <c r="A2786" s="517" t="s">
        <v>2346</v>
      </c>
      <c r="B2786" s="517" t="s">
        <v>2347</v>
      </c>
    </row>
    <row r="2787" spans="1:2" ht="15" hidden="1" x14ac:dyDescent="0.25">
      <c r="A2787" s="519" t="s">
        <v>2348</v>
      </c>
      <c r="B2787" s="519" t="s">
        <v>2349</v>
      </c>
    </row>
    <row r="2788" spans="1:2" ht="15" hidden="1" x14ac:dyDescent="0.25">
      <c r="A2788" s="517" t="s">
        <v>2350</v>
      </c>
      <c r="B2788" s="517" t="s">
        <v>2351</v>
      </c>
    </row>
    <row r="2789" spans="1:2" ht="15" hidden="1" x14ac:dyDescent="0.25">
      <c r="A2789" s="517" t="s">
        <v>2352</v>
      </c>
      <c r="B2789" s="517" t="s">
        <v>2353</v>
      </c>
    </row>
    <row r="2790" spans="1:2" ht="15" hidden="1" x14ac:dyDescent="0.25">
      <c r="A2790" s="517" t="s">
        <v>2354</v>
      </c>
      <c r="B2790" s="517" t="s">
        <v>2355</v>
      </c>
    </row>
    <row r="2791" spans="1:2" ht="15" hidden="1" x14ac:dyDescent="0.25">
      <c r="A2791" s="517" t="s">
        <v>2356</v>
      </c>
      <c r="B2791" s="517" t="s">
        <v>2357</v>
      </c>
    </row>
    <row r="2792" spans="1:2" ht="15" hidden="1" x14ac:dyDescent="0.25">
      <c r="A2792" s="517" t="s">
        <v>2356</v>
      </c>
      <c r="B2792" s="517" t="s">
        <v>2357</v>
      </c>
    </row>
    <row r="2793" spans="1:2" ht="15" hidden="1" x14ac:dyDescent="0.25">
      <c r="A2793" s="517" t="s">
        <v>1825</v>
      </c>
      <c r="B2793" s="517" t="s">
        <v>1826</v>
      </c>
    </row>
    <row r="2794" spans="1:2" ht="15" hidden="1" x14ac:dyDescent="0.25">
      <c r="A2794" s="519" t="s">
        <v>2358</v>
      </c>
      <c r="B2794" s="519" t="s">
        <v>2359</v>
      </c>
    </row>
    <row r="2795" spans="1:2" ht="15" hidden="1" x14ac:dyDescent="0.25">
      <c r="A2795" s="517" t="s">
        <v>2360</v>
      </c>
      <c r="B2795" s="517" t="s">
        <v>2361</v>
      </c>
    </row>
    <row r="2796" spans="1:2" ht="15" hidden="1" x14ac:dyDescent="0.25">
      <c r="A2796" s="517" t="s">
        <v>2360</v>
      </c>
      <c r="B2796" s="517" t="s">
        <v>2361</v>
      </c>
    </row>
    <row r="2797" spans="1:2" ht="15" hidden="1" x14ac:dyDescent="0.25">
      <c r="A2797" s="517" t="s">
        <v>1619</v>
      </c>
      <c r="B2797" s="517" t="s">
        <v>1620</v>
      </c>
    </row>
    <row r="2798" spans="1:2" ht="15" hidden="1" x14ac:dyDescent="0.25">
      <c r="A2798" s="517" t="s">
        <v>2207</v>
      </c>
      <c r="B2798" s="517" t="s">
        <v>2362</v>
      </c>
    </row>
    <row r="2799" spans="1:2" ht="15" hidden="1" x14ac:dyDescent="0.25">
      <c r="A2799" s="517" t="s">
        <v>2363</v>
      </c>
      <c r="B2799" s="517" t="s">
        <v>2364</v>
      </c>
    </row>
    <row r="2800" spans="1:2" ht="15" hidden="1" x14ac:dyDescent="0.25">
      <c r="A2800" s="517" t="s">
        <v>2363</v>
      </c>
      <c r="B2800" s="517" t="s">
        <v>2364</v>
      </c>
    </row>
    <row r="2801" spans="1:2" ht="15" hidden="1" x14ac:dyDescent="0.25">
      <c r="A2801" s="517" t="s">
        <v>2365</v>
      </c>
      <c r="B2801" s="517" t="s">
        <v>2366</v>
      </c>
    </row>
    <row r="2802" spans="1:2" ht="15" hidden="1" x14ac:dyDescent="0.25">
      <c r="A2802" s="517" t="s">
        <v>2367</v>
      </c>
      <c r="B2802" s="517" t="s">
        <v>2368</v>
      </c>
    </row>
    <row r="2803" spans="1:2" ht="15" hidden="1" x14ac:dyDescent="0.25">
      <c r="A2803" s="517" t="s">
        <v>2367</v>
      </c>
      <c r="B2803" s="517" t="s">
        <v>2368</v>
      </c>
    </row>
    <row r="2804" spans="1:2" ht="15" hidden="1" x14ac:dyDescent="0.25">
      <c r="A2804" s="517" t="s">
        <v>220</v>
      </c>
      <c r="B2804" s="517" t="s">
        <v>321</v>
      </c>
    </row>
    <row r="2805" spans="1:2" ht="15" hidden="1" x14ac:dyDescent="0.25">
      <c r="A2805" s="517" t="s">
        <v>190</v>
      </c>
      <c r="B2805" s="517" t="s">
        <v>322</v>
      </c>
    </row>
    <row r="2806" spans="1:2" ht="15" hidden="1" x14ac:dyDescent="0.25">
      <c r="A2806" s="517" t="s">
        <v>191</v>
      </c>
      <c r="B2806" s="517" t="s">
        <v>323</v>
      </c>
    </row>
    <row r="2807" spans="1:2" ht="15" hidden="1" x14ac:dyDescent="0.25">
      <c r="A2807" s="517" t="s">
        <v>191</v>
      </c>
      <c r="B2807" s="517" t="s">
        <v>323</v>
      </c>
    </row>
    <row r="2808" spans="1:2" ht="15" hidden="1" x14ac:dyDescent="0.25">
      <c r="A2808" s="517" t="s">
        <v>191</v>
      </c>
      <c r="B2808" s="517" t="s">
        <v>323</v>
      </c>
    </row>
    <row r="2809" spans="1:2" ht="15" hidden="1" x14ac:dyDescent="0.25">
      <c r="A2809" s="517" t="s">
        <v>191</v>
      </c>
      <c r="B2809" s="517" t="s">
        <v>323</v>
      </c>
    </row>
    <row r="2810" spans="1:2" ht="15" hidden="1" x14ac:dyDescent="0.25">
      <c r="A2810" s="517" t="s">
        <v>191</v>
      </c>
      <c r="B2810" s="517" t="s">
        <v>323</v>
      </c>
    </row>
    <row r="2811" spans="1:2" ht="15" hidden="1" x14ac:dyDescent="0.25">
      <c r="A2811" s="517" t="s">
        <v>191</v>
      </c>
      <c r="B2811" s="517" t="s">
        <v>323</v>
      </c>
    </row>
    <row r="2812" spans="1:2" ht="15" hidden="1" x14ac:dyDescent="0.25">
      <c r="A2812" s="517" t="s">
        <v>191</v>
      </c>
      <c r="B2812" s="517" t="s">
        <v>323</v>
      </c>
    </row>
    <row r="2813" spans="1:2" ht="15" hidden="1" x14ac:dyDescent="0.25">
      <c r="A2813" s="517" t="s">
        <v>191</v>
      </c>
      <c r="B2813" s="517" t="s">
        <v>323</v>
      </c>
    </row>
    <row r="2814" spans="1:2" ht="15" hidden="1" x14ac:dyDescent="0.25">
      <c r="A2814" s="517" t="s">
        <v>191</v>
      </c>
      <c r="B2814" s="517" t="s">
        <v>323</v>
      </c>
    </row>
    <row r="2815" spans="1:2" ht="15" hidden="1" x14ac:dyDescent="0.25">
      <c r="A2815" s="517" t="s">
        <v>191</v>
      </c>
      <c r="B2815" s="517" t="s">
        <v>323</v>
      </c>
    </row>
    <row r="2816" spans="1:2" ht="15" hidden="1" x14ac:dyDescent="0.25">
      <c r="A2816" s="517" t="s">
        <v>191</v>
      </c>
      <c r="B2816" s="517" t="s">
        <v>323</v>
      </c>
    </row>
    <row r="2817" spans="1:2" ht="15" hidden="1" x14ac:dyDescent="0.25">
      <c r="A2817" s="517" t="s">
        <v>191</v>
      </c>
      <c r="B2817" s="517" t="s">
        <v>323</v>
      </c>
    </row>
    <row r="2818" spans="1:2" ht="15" hidden="1" x14ac:dyDescent="0.25">
      <c r="A2818" s="517" t="s">
        <v>191</v>
      </c>
      <c r="B2818" s="517" t="s">
        <v>323</v>
      </c>
    </row>
    <row r="2819" spans="1:2" ht="15" hidden="1" x14ac:dyDescent="0.25">
      <c r="A2819" s="517" t="s">
        <v>191</v>
      </c>
      <c r="B2819" s="517" t="s">
        <v>323</v>
      </c>
    </row>
    <row r="2820" spans="1:2" ht="15" hidden="1" x14ac:dyDescent="0.25">
      <c r="A2820" s="517" t="s">
        <v>191</v>
      </c>
      <c r="B2820" s="517" t="s">
        <v>323</v>
      </c>
    </row>
    <row r="2821" spans="1:2" ht="15" hidden="1" x14ac:dyDescent="0.25">
      <c r="A2821" s="517" t="s">
        <v>191</v>
      </c>
      <c r="B2821" s="517" t="s">
        <v>323</v>
      </c>
    </row>
    <row r="2822" spans="1:2" ht="15" hidden="1" x14ac:dyDescent="0.25">
      <c r="A2822" s="517" t="s">
        <v>191</v>
      </c>
      <c r="B2822" s="517" t="s">
        <v>323</v>
      </c>
    </row>
    <row r="2823" spans="1:2" ht="15" hidden="1" x14ac:dyDescent="0.25">
      <c r="A2823" s="517" t="s">
        <v>191</v>
      </c>
      <c r="B2823" s="517" t="s">
        <v>323</v>
      </c>
    </row>
    <row r="2824" spans="1:2" ht="15" hidden="1" x14ac:dyDescent="0.25">
      <c r="A2824" s="517" t="s">
        <v>191</v>
      </c>
      <c r="B2824" s="517" t="s">
        <v>323</v>
      </c>
    </row>
    <row r="2825" spans="1:2" ht="15" hidden="1" x14ac:dyDescent="0.25">
      <c r="A2825" s="517" t="s">
        <v>191</v>
      </c>
      <c r="B2825" s="517" t="s">
        <v>323</v>
      </c>
    </row>
    <row r="2826" spans="1:2" ht="15" hidden="1" x14ac:dyDescent="0.25">
      <c r="A2826" s="517" t="s">
        <v>191</v>
      </c>
      <c r="B2826" s="517" t="s">
        <v>323</v>
      </c>
    </row>
    <row r="2827" spans="1:2" ht="15" hidden="1" x14ac:dyDescent="0.25">
      <c r="A2827" s="517" t="s">
        <v>191</v>
      </c>
      <c r="B2827" s="517" t="s">
        <v>323</v>
      </c>
    </row>
    <row r="2828" spans="1:2" ht="15" hidden="1" x14ac:dyDescent="0.25">
      <c r="A2828" s="517" t="s">
        <v>191</v>
      </c>
      <c r="B2828" s="517" t="s">
        <v>323</v>
      </c>
    </row>
    <row r="2829" spans="1:2" ht="15" hidden="1" x14ac:dyDescent="0.25">
      <c r="A2829" s="517" t="s">
        <v>191</v>
      </c>
      <c r="B2829" s="517" t="s">
        <v>323</v>
      </c>
    </row>
    <row r="2830" spans="1:2" ht="15" hidden="1" x14ac:dyDescent="0.25">
      <c r="A2830" s="517" t="s">
        <v>191</v>
      </c>
      <c r="B2830" s="517" t="s">
        <v>323</v>
      </c>
    </row>
    <row r="2831" spans="1:2" ht="15" hidden="1" x14ac:dyDescent="0.25">
      <c r="A2831" s="517" t="s">
        <v>191</v>
      </c>
      <c r="B2831" s="517" t="s">
        <v>323</v>
      </c>
    </row>
    <row r="2832" spans="1:2" ht="15" hidden="1" x14ac:dyDescent="0.25">
      <c r="A2832" s="517" t="s">
        <v>191</v>
      </c>
      <c r="B2832" s="517" t="s">
        <v>323</v>
      </c>
    </row>
    <row r="2833" spans="1:2" ht="15" hidden="1" x14ac:dyDescent="0.25">
      <c r="A2833" s="517" t="s">
        <v>191</v>
      </c>
      <c r="B2833" s="517" t="s">
        <v>323</v>
      </c>
    </row>
    <row r="2834" spans="1:2" ht="15" hidden="1" x14ac:dyDescent="0.25">
      <c r="A2834" s="517" t="s">
        <v>191</v>
      </c>
      <c r="B2834" s="517" t="s">
        <v>323</v>
      </c>
    </row>
    <row r="2835" spans="1:2" ht="15" hidden="1" x14ac:dyDescent="0.25">
      <c r="A2835" s="517" t="s">
        <v>191</v>
      </c>
      <c r="B2835" s="517" t="s">
        <v>323</v>
      </c>
    </row>
    <row r="2836" spans="1:2" ht="15" hidden="1" x14ac:dyDescent="0.25">
      <c r="A2836" s="517" t="s">
        <v>191</v>
      </c>
      <c r="B2836" s="517" t="s">
        <v>323</v>
      </c>
    </row>
    <row r="2837" spans="1:2" ht="15" hidden="1" x14ac:dyDescent="0.25">
      <c r="A2837" s="517" t="s">
        <v>191</v>
      </c>
      <c r="B2837" s="517" t="s">
        <v>323</v>
      </c>
    </row>
    <row r="2838" spans="1:2" ht="15" hidden="1" x14ac:dyDescent="0.25">
      <c r="A2838" s="517" t="s">
        <v>191</v>
      </c>
      <c r="B2838" s="517" t="s">
        <v>323</v>
      </c>
    </row>
    <row r="2839" spans="1:2" ht="15" hidden="1" x14ac:dyDescent="0.25">
      <c r="A2839" s="517" t="s">
        <v>191</v>
      </c>
      <c r="B2839" s="517" t="s">
        <v>323</v>
      </c>
    </row>
    <row r="2840" spans="1:2" ht="15" hidden="1" x14ac:dyDescent="0.25">
      <c r="A2840" s="517" t="s">
        <v>191</v>
      </c>
      <c r="B2840" s="517" t="s">
        <v>323</v>
      </c>
    </row>
    <row r="2841" spans="1:2" ht="15" hidden="1" x14ac:dyDescent="0.25">
      <c r="A2841" s="517" t="s">
        <v>191</v>
      </c>
      <c r="B2841" s="517" t="s">
        <v>323</v>
      </c>
    </row>
    <row r="2842" spans="1:2" ht="15" hidden="1" x14ac:dyDescent="0.25">
      <c r="A2842" s="517" t="s">
        <v>191</v>
      </c>
      <c r="B2842" s="517" t="s">
        <v>323</v>
      </c>
    </row>
    <row r="2843" spans="1:2" ht="15" hidden="1" x14ac:dyDescent="0.25">
      <c r="A2843" s="517" t="s">
        <v>191</v>
      </c>
      <c r="B2843" s="517" t="s">
        <v>323</v>
      </c>
    </row>
    <row r="2844" spans="1:2" ht="15" hidden="1" x14ac:dyDescent="0.25">
      <c r="A2844" s="517" t="s">
        <v>191</v>
      </c>
      <c r="B2844" s="517" t="s">
        <v>323</v>
      </c>
    </row>
    <row r="2845" spans="1:2" ht="15" hidden="1" x14ac:dyDescent="0.25">
      <c r="A2845" s="517" t="s">
        <v>191</v>
      </c>
      <c r="B2845" s="517" t="s">
        <v>323</v>
      </c>
    </row>
    <row r="2846" spans="1:2" ht="15" hidden="1" x14ac:dyDescent="0.25">
      <c r="A2846" s="517" t="s">
        <v>191</v>
      </c>
      <c r="B2846" s="517" t="s">
        <v>323</v>
      </c>
    </row>
    <row r="2847" spans="1:2" ht="15" hidden="1" x14ac:dyDescent="0.25">
      <c r="A2847" s="517" t="s">
        <v>191</v>
      </c>
      <c r="B2847" s="517" t="s">
        <v>323</v>
      </c>
    </row>
    <row r="2848" spans="1:2" ht="15" hidden="1" x14ac:dyDescent="0.25">
      <c r="A2848" s="517" t="s">
        <v>191</v>
      </c>
      <c r="B2848" s="517" t="s">
        <v>323</v>
      </c>
    </row>
    <row r="2849" spans="1:2" ht="15" hidden="1" x14ac:dyDescent="0.25">
      <c r="A2849" s="517" t="s">
        <v>191</v>
      </c>
      <c r="B2849" s="517" t="s">
        <v>323</v>
      </c>
    </row>
    <row r="2850" spans="1:2" ht="15" hidden="1" x14ac:dyDescent="0.25">
      <c r="A2850" s="517" t="s">
        <v>191</v>
      </c>
      <c r="B2850" s="517" t="s">
        <v>323</v>
      </c>
    </row>
    <row r="2851" spans="1:2" ht="15" hidden="1" x14ac:dyDescent="0.25">
      <c r="A2851" s="517" t="s">
        <v>191</v>
      </c>
      <c r="B2851" s="517" t="s">
        <v>323</v>
      </c>
    </row>
    <row r="2852" spans="1:2" ht="15" hidden="1" x14ac:dyDescent="0.25">
      <c r="A2852" s="517" t="s">
        <v>191</v>
      </c>
      <c r="B2852" s="517" t="s">
        <v>323</v>
      </c>
    </row>
    <row r="2853" spans="1:2" ht="15" hidden="1" x14ac:dyDescent="0.25">
      <c r="A2853" s="517" t="s">
        <v>191</v>
      </c>
      <c r="B2853" s="517" t="s">
        <v>323</v>
      </c>
    </row>
    <row r="2854" spans="1:2" ht="15" hidden="1" x14ac:dyDescent="0.25">
      <c r="A2854" s="517" t="s">
        <v>191</v>
      </c>
      <c r="B2854" s="517" t="s">
        <v>323</v>
      </c>
    </row>
    <row r="2855" spans="1:2" ht="15" hidden="1" x14ac:dyDescent="0.25">
      <c r="A2855" s="517" t="s">
        <v>1629</v>
      </c>
      <c r="B2855" s="517" t="s">
        <v>1630</v>
      </c>
    </row>
    <row r="2856" spans="1:2" ht="15" hidden="1" x14ac:dyDescent="0.25">
      <c r="A2856" s="517" t="s">
        <v>192</v>
      </c>
      <c r="B2856" s="517" t="s">
        <v>324</v>
      </c>
    </row>
    <row r="2857" spans="1:2" ht="15" hidden="1" x14ac:dyDescent="0.25">
      <c r="A2857" s="517" t="s">
        <v>192</v>
      </c>
      <c r="B2857" s="517" t="s">
        <v>324</v>
      </c>
    </row>
    <row r="2858" spans="1:2" ht="15" hidden="1" x14ac:dyDescent="0.25">
      <c r="A2858" s="517" t="s">
        <v>192</v>
      </c>
      <c r="B2858" s="517" t="s">
        <v>324</v>
      </c>
    </row>
    <row r="2859" spans="1:2" ht="15" hidden="1" x14ac:dyDescent="0.25">
      <c r="A2859" s="517" t="s">
        <v>192</v>
      </c>
      <c r="B2859" s="517" t="s">
        <v>324</v>
      </c>
    </row>
    <row r="2860" spans="1:2" ht="15" hidden="1" x14ac:dyDescent="0.25">
      <c r="A2860" s="517" t="s">
        <v>192</v>
      </c>
      <c r="B2860" s="517" t="s">
        <v>324</v>
      </c>
    </row>
    <row r="2861" spans="1:2" ht="15" hidden="1" x14ac:dyDescent="0.25">
      <c r="A2861" s="517" t="s">
        <v>192</v>
      </c>
      <c r="B2861" s="517" t="s">
        <v>324</v>
      </c>
    </row>
    <row r="2862" spans="1:2" ht="15" hidden="1" x14ac:dyDescent="0.25">
      <c r="A2862" s="517" t="s">
        <v>192</v>
      </c>
      <c r="B2862" s="517" t="s">
        <v>324</v>
      </c>
    </row>
    <row r="2863" spans="1:2" ht="15" hidden="1" x14ac:dyDescent="0.25">
      <c r="A2863" s="517" t="s">
        <v>192</v>
      </c>
      <c r="B2863" s="517" t="s">
        <v>324</v>
      </c>
    </row>
    <row r="2864" spans="1:2" ht="15" hidden="1" x14ac:dyDescent="0.25">
      <c r="A2864" s="517" t="s">
        <v>192</v>
      </c>
      <c r="B2864" s="517" t="s">
        <v>324</v>
      </c>
    </row>
    <row r="2865" spans="1:2" ht="15" hidden="1" x14ac:dyDescent="0.25">
      <c r="A2865" s="517" t="s">
        <v>192</v>
      </c>
      <c r="B2865" s="517" t="s">
        <v>324</v>
      </c>
    </row>
    <row r="2866" spans="1:2" ht="15" hidden="1" x14ac:dyDescent="0.25">
      <c r="A2866" s="517" t="s">
        <v>192</v>
      </c>
      <c r="B2866" s="517" t="s">
        <v>324</v>
      </c>
    </row>
    <row r="2867" spans="1:2" ht="15" hidden="1" x14ac:dyDescent="0.25">
      <c r="A2867" s="517" t="s">
        <v>192</v>
      </c>
      <c r="B2867" s="517" t="s">
        <v>324</v>
      </c>
    </row>
    <row r="2868" spans="1:2" ht="15" hidden="1" x14ac:dyDescent="0.25">
      <c r="A2868" s="517" t="s">
        <v>407</v>
      </c>
      <c r="B2868" s="517" t="s">
        <v>408</v>
      </c>
    </row>
    <row r="2869" spans="1:2" ht="15" hidden="1" x14ac:dyDescent="0.25">
      <c r="A2869" s="517" t="s">
        <v>1631</v>
      </c>
      <c r="B2869" s="517" t="s">
        <v>1632</v>
      </c>
    </row>
    <row r="2870" spans="1:2" ht="15" hidden="1" x14ac:dyDescent="0.25">
      <c r="A2870" s="517" t="s">
        <v>221</v>
      </c>
      <c r="B2870" s="517" t="s">
        <v>326</v>
      </c>
    </row>
    <row r="2871" spans="1:2" ht="15" hidden="1" x14ac:dyDescent="0.25">
      <c r="A2871" s="517" t="s">
        <v>194</v>
      </c>
      <c r="B2871" s="517" t="s">
        <v>327</v>
      </c>
    </row>
    <row r="2872" spans="1:2" ht="15" hidden="1" x14ac:dyDescent="0.25">
      <c r="A2872" s="517" t="s">
        <v>194</v>
      </c>
      <c r="B2872" s="517" t="s">
        <v>327</v>
      </c>
    </row>
    <row r="2873" spans="1:2" ht="15" hidden="1" x14ac:dyDescent="0.25">
      <c r="A2873" s="517" t="s">
        <v>194</v>
      </c>
      <c r="B2873" s="517" t="s">
        <v>327</v>
      </c>
    </row>
    <row r="2874" spans="1:2" ht="15" hidden="1" x14ac:dyDescent="0.25">
      <c r="A2874" s="517" t="s">
        <v>194</v>
      </c>
      <c r="B2874" s="517" t="s">
        <v>327</v>
      </c>
    </row>
    <row r="2875" spans="1:2" ht="15" hidden="1" x14ac:dyDescent="0.25">
      <c r="A2875" s="517" t="s">
        <v>194</v>
      </c>
      <c r="B2875" s="517" t="s">
        <v>327</v>
      </c>
    </row>
    <row r="2876" spans="1:2" ht="15" hidden="1" x14ac:dyDescent="0.25">
      <c r="A2876" s="517" t="s">
        <v>194</v>
      </c>
      <c r="B2876" s="517" t="s">
        <v>327</v>
      </c>
    </row>
    <row r="2877" spans="1:2" ht="15" hidden="1" x14ac:dyDescent="0.25">
      <c r="A2877" s="517" t="s">
        <v>194</v>
      </c>
      <c r="B2877" s="517" t="s">
        <v>327</v>
      </c>
    </row>
    <row r="2878" spans="1:2" ht="15" hidden="1" x14ac:dyDescent="0.25">
      <c r="A2878" s="517" t="s">
        <v>194</v>
      </c>
      <c r="B2878" s="517" t="s">
        <v>327</v>
      </c>
    </row>
    <row r="2879" spans="1:2" ht="15" hidden="1" x14ac:dyDescent="0.25">
      <c r="A2879" s="517" t="s">
        <v>194</v>
      </c>
      <c r="B2879" s="517" t="s">
        <v>327</v>
      </c>
    </row>
    <row r="2880" spans="1:2" ht="15" hidden="1" x14ac:dyDescent="0.25">
      <c r="A2880" s="517" t="s">
        <v>194</v>
      </c>
      <c r="B2880" s="517" t="s">
        <v>327</v>
      </c>
    </row>
    <row r="2881" spans="1:2" ht="15" hidden="1" x14ac:dyDescent="0.25">
      <c r="A2881" s="517" t="s">
        <v>194</v>
      </c>
      <c r="B2881" s="517" t="s">
        <v>327</v>
      </c>
    </row>
    <row r="2882" spans="1:2" ht="15" hidden="1" x14ac:dyDescent="0.25">
      <c r="A2882" s="517" t="s">
        <v>194</v>
      </c>
      <c r="B2882" s="517" t="s">
        <v>327</v>
      </c>
    </row>
    <row r="2883" spans="1:2" ht="15" hidden="1" x14ac:dyDescent="0.25">
      <c r="A2883" s="517" t="s">
        <v>194</v>
      </c>
      <c r="B2883" s="517" t="s">
        <v>327</v>
      </c>
    </row>
    <row r="2884" spans="1:2" ht="15" hidden="1" x14ac:dyDescent="0.25">
      <c r="A2884" s="517" t="s">
        <v>222</v>
      </c>
      <c r="B2884" s="517" t="s">
        <v>328</v>
      </c>
    </row>
    <row r="2885" spans="1:2" ht="15" hidden="1" x14ac:dyDescent="0.25">
      <c r="A2885" s="517" t="s">
        <v>222</v>
      </c>
      <c r="B2885" s="517" t="s">
        <v>328</v>
      </c>
    </row>
    <row r="2886" spans="1:2" ht="15" hidden="1" x14ac:dyDescent="0.25">
      <c r="A2886" s="517" t="s">
        <v>222</v>
      </c>
      <c r="B2886" s="517" t="s">
        <v>328</v>
      </c>
    </row>
    <row r="2887" spans="1:2" ht="15" hidden="1" x14ac:dyDescent="0.25">
      <c r="A2887" s="517" t="s">
        <v>222</v>
      </c>
      <c r="B2887" s="517" t="s">
        <v>328</v>
      </c>
    </row>
    <row r="2888" spans="1:2" ht="15" hidden="1" x14ac:dyDescent="0.25">
      <c r="A2888" s="517" t="s">
        <v>222</v>
      </c>
      <c r="B2888" s="517" t="s">
        <v>328</v>
      </c>
    </row>
    <row r="2889" spans="1:2" ht="15" hidden="1" x14ac:dyDescent="0.25">
      <c r="A2889" s="517" t="s">
        <v>222</v>
      </c>
      <c r="B2889" s="517" t="s">
        <v>328</v>
      </c>
    </row>
    <row r="2890" spans="1:2" ht="15" hidden="1" x14ac:dyDescent="0.25">
      <c r="A2890" s="517" t="s">
        <v>222</v>
      </c>
      <c r="B2890" s="517" t="s">
        <v>328</v>
      </c>
    </row>
    <row r="2891" spans="1:2" ht="15" hidden="1" x14ac:dyDescent="0.25">
      <c r="A2891" s="517" t="s">
        <v>222</v>
      </c>
      <c r="B2891" s="517" t="s">
        <v>328</v>
      </c>
    </row>
    <row r="2892" spans="1:2" ht="15" hidden="1" x14ac:dyDescent="0.25">
      <c r="A2892" s="517" t="s">
        <v>222</v>
      </c>
      <c r="B2892" s="517" t="s">
        <v>328</v>
      </c>
    </row>
    <row r="2893" spans="1:2" ht="15" hidden="1" x14ac:dyDescent="0.25">
      <c r="A2893" s="517" t="s">
        <v>196</v>
      </c>
      <c r="B2893" s="517" t="s">
        <v>330</v>
      </c>
    </row>
    <row r="2894" spans="1:2" ht="15" hidden="1" x14ac:dyDescent="0.25">
      <c r="A2894" s="517" t="s">
        <v>197</v>
      </c>
      <c r="B2894" s="517" t="s">
        <v>331</v>
      </c>
    </row>
    <row r="2895" spans="1:2" ht="15" hidden="1" x14ac:dyDescent="0.25">
      <c r="A2895" s="517" t="s">
        <v>197</v>
      </c>
      <c r="B2895" s="517" t="s">
        <v>331</v>
      </c>
    </row>
    <row r="2896" spans="1:2" ht="15" hidden="1" x14ac:dyDescent="0.25">
      <c r="A2896" s="517" t="s">
        <v>197</v>
      </c>
      <c r="B2896" s="517" t="s">
        <v>331</v>
      </c>
    </row>
    <row r="2897" spans="1:2" ht="15" hidden="1" x14ac:dyDescent="0.25">
      <c r="A2897" s="517" t="s">
        <v>197</v>
      </c>
      <c r="B2897" s="517" t="s">
        <v>331</v>
      </c>
    </row>
    <row r="2898" spans="1:2" ht="15" hidden="1" x14ac:dyDescent="0.25">
      <c r="A2898" s="517" t="s">
        <v>197</v>
      </c>
      <c r="B2898" s="517" t="s">
        <v>331</v>
      </c>
    </row>
    <row r="2899" spans="1:2" ht="15" hidden="1" x14ac:dyDescent="0.25">
      <c r="A2899" s="517" t="s">
        <v>197</v>
      </c>
      <c r="B2899" s="517" t="s">
        <v>331</v>
      </c>
    </row>
    <row r="2900" spans="1:2" ht="15" hidden="1" x14ac:dyDescent="0.25">
      <c r="A2900" s="517" t="s">
        <v>413</v>
      </c>
      <c r="B2900" s="517" t="s">
        <v>414</v>
      </c>
    </row>
    <row r="2901" spans="1:2" ht="15" hidden="1" x14ac:dyDescent="0.25">
      <c r="A2901" s="517" t="s">
        <v>1275</v>
      </c>
      <c r="B2901" s="517" t="s">
        <v>1276</v>
      </c>
    </row>
    <row r="2902" spans="1:2" ht="15" hidden="1" x14ac:dyDescent="0.25">
      <c r="A2902" s="517" t="s">
        <v>1275</v>
      </c>
      <c r="B2902" s="517" t="s">
        <v>1276</v>
      </c>
    </row>
    <row r="2903" spans="1:2" ht="15" hidden="1" x14ac:dyDescent="0.25">
      <c r="A2903" s="517" t="s">
        <v>1275</v>
      </c>
      <c r="B2903" s="517" t="s">
        <v>1276</v>
      </c>
    </row>
    <row r="2904" spans="1:2" ht="15" hidden="1" x14ac:dyDescent="0.25">
      <c r="A2904" s="517" t="s">
        <v>1275</v>
      </c>
      <c r="B2904" s="517" t="s">
        <v>1276</v>
      </c>
    </row>
    <row r="2905" spans="1:2" ht="15" hidden="1" x14ac:dyDescent="0.25">
      <c r="A2905" s="517" t="s">
        <v>1275</v>
      </c>
      <c r="B2905" s="517" t="s">
        <v>1276</v>
      </c>
    </row>
    <row r="2906" spans="1:2" ht="15" hidden="1" x14ac:dyDescent="0.25">
      <c r="A2906" s="517" t="s">
        <v>1277</v>
      </c>
      <c r="B2906" s="517" t="s">
        <v>1278</v>
      </c>
    </row>
    <row r="2907" spans="1:2" ht="15" hidden="1" x14ac:dyDescent="0.25">
      <c r="A2907" s="517" t="s">
        <v>1277</v>
      </c>
      <c r="B2907" s="517" t="s">
        <v>1278</v>
      </c>
    </row>
    <row r="2908" spans="1:2" ht="15" hidden="1" x14ac:dyDescent="0.25">
      <c r="A2908" s="517" t="s">
        <v>1277</v>
      </c>
      <c r="B2908" s="517" t="s">
        <v>1278</v>
      </c>
    </row>
    <row r="2909" spans="1:2" ht="15" hidden="1" x14ac:dyDescent="0.25">
      <c r="A2909" s="517" t="s">
        <v>1277</v>
      </c>
      <c r="B2909" s="517" t="s">
        <v>1278</v>
      </c>
    </row>
    <row r="2910" spans="1:2" ht="15" hidden="1" x14ac:dyDescent="0.25">
      <c r="A2910" s="517" t="s">
        <v>1279</v>
      </c>
      <c r="B2910" s="517" t="s">
        <v>1280</v>
      </c>
    </row>
    <row r="2911" spans="1:2" ht="15" hidden="1" x14ac:dyDescent="0.25">
      <c r="A2911" s="517" t="s">
        <v>1279</v>
      </c>
      <c r="B2911" s="517" t="s">
        <v>1280</v>
      </c>
    </row>
    <row r="2912" spans="1:2" ht="15" hidden="1" x14ac:dyDescent="0.25">
      <c r="A2912" s="517" t="s">
        <v>1279</v>
      </c>
      <c r="B2912" s="517" t="s">
        <v>1280</v>
      </c>
    </row>
    <row r="2913" spans="1:2" ht="15" hidden="1" x14ac:dyDescent="0.25">
      <c r="A2913" s="517" t="s">
        <v>1279</v>
      </c>
      <c r="B2913" s="517" t="s">
        <v>1280</v>
      </c>
    </row>
    <row r="2914" spans="1:2" ht="15" hidden="1" x14ac:dyDescent="0.25">
      <c r="A2914" s="517" t="s">
        <v>1279</v>
      </c>
      <c r="B2914" s="517" t="s">
        <v>1280</v>
      </c>
    </row>
    <row r="2915" spans="1:2" ht="15" hidden="1" x14ac:dyDescent="0.25">
      <c r="A2915" s="517" t="s">
        <v>1279</v>
      </c>
      <c r="B2915" s="517" t="s">
        <v>1280</v>
      </c>
    </row>
    <row r="2916" spans="1:2" ht="15" hidden="1" x14ac:dyDescent="0.25">
      <c r="A2916" s="517" t="s">
        <v>1279</v>
      </c>
      <c r="B2916" s="517" t="s">
        <v>1280</v>
      </c>
    </row>
    <row r="2917" spans="1:2" ht="15" hidden="1" x14ac:dyDescent="0.25">
      <c r="A2917" s="517" t="s">
        <v>1279</v>
      </c>
      <c r="B2917" s="517" t="s">
        <v>1280</v>
      </c>
    </row>
    <row r="2918" spans="1:2" ht="15" hidden="1" x14ac:dyDescent="0.25">
      <c r="A2918" s="517" t="s">
        <v>1279</v>
      </c>
      <c r="B2918" s="517" t="s">
        <v>1280</v>
      </c>
    </row>
    <row r="2919" spans="1:2" ht="15" hidden="1" x14ac:dyDescent="0.25">
      <c r="A2919" s="517" t="s">
        <v>1279</v>
      </c>
      <c r="B2919" s="517" t="s">
        <v>1280</v>
      </c>
    </row>
    <row r="2920" spans="1:2" ht="15" hidden="1" x14ac:dyDescent="0.25">
      <c r="A2920" s="517" t="s">
        <v>1279</v>
      </c>
      <c r="B2920" s="517" t="s">
        <v>1280</v>
      </c>
    </row>
    <row r="2921" spans="1:2" ht="15" hidden="1" x14ac:dyDescent="0.25">
      <c r="A2921" s="517" t="s">
        <v>1279</v>
      </c>
      <c r="B2921" s="517" t="s">
        <v>1280</v>
      </c>
    </row>
    <row r="2922" spans="1:2" ht="15" hidden="1" x14ac:dyDescent="0.25">
      <c r="A2922" s="517" t="s">
        <v>1279</v>
      </c>
      <c r="B2922" s="517" t="s">
        <v>1280</v>
      </c>
    </row>
    <row r="2923" spans="1:2" ht="15" hidden="1" x14ac:dyDescent="0.25">
      <c r="A2923" s="517" t="s">
        <v>1279</v>
      </c>
      <c r="B2923" s="517" t="s">
        <v>1280</v>
      </c>
    </row>
    <row r="2924" spans="1:2" ht="15" hidden="1" x14ac:dyDescent="0.25">
      <c r="A2924" s="517" t="s">
        <v>1279</v>
      </c>
      <c r="B2924" s="517" t="s">
        <v>1280</v>
      </c>
    </row>
    <row r="2925" spans="1:2" ht="15" hidden="1" x14ac:dyDescent="0.25">
      <c r="A2925" s="517" t="s">
        <v>1279</v>
      </c>
      <c r="B2925" s="517" t="s">
        <v>1280</v>
      </c>
    </row>
    <row r="2926" spans="1:2" ht="15" hidden="1" x14ac:dyDescent="0.25">
      <c r="A2926" s="517" t="s">
        <v>1279</v>
      </c>
      <c r="B2926" s="517" t="s">
        <v>1280</v>
      </c>
    </row>
    <row r="2927" spans="1:2" ht="15" hidden="1" x14ac:dyDescent="0.25">
      <c r="A2927" s="517" t="s">
        <v>1279</v>
      </c>
      <c r="B2927" s="517" t="s">
        <v>1280</v>
      </c>
    </row>
    <row r="2928" spans="1:2" ht="15" hidden="1" x14ac:dyDescent="0.25">
      <c r="A2928" s="517" t="s">
        <v>1279</v>
      </c>
      <c r="B2928" s="517" t="s">
        <v>1280</v>
      </c>
    </row>
    <row r="2929" spans="1:2" ht="15" hidden="1" x14ac:dyDescent="0.25">
      <c r="A2929" s="517" t="s">
        <v>1279</v>
      </c>
      <c r="B2929" s="517" t="s">
        <v>1280</v>
      </c>
    </row>
    <row r="2930" spans="1:2" ht="15" hidden="1" x14ac:dyDescent="0.25">
      <c r="A2930" s="517" t="s">
        <v>1279</v>
      </c>
      <c r="B2930" s="517" t="s">
        <v>1280</v>
      </c>
    </row>
    <row r="2931" spans="1:2" ht="15" hidden="1" x14ac:dyDescent="0.25">
      <c r="A2931" s="517" t="s">
        <v>1279</v>
      </c>
      <c r="B2931" s="517" t="s">
        <v>1280</v>
      </c>
    </row>
    <row r="2932" spans="1:2" ht="15" hidden="1" x14ac:dyDescent="0.25">
      <c r="A2932" s="517" t="s">
        <v>1279</v>
      </c>
      <c r="B2932" s="517" t="s">
        <v>1280</v>
      </c>
    </row>
    <row r="2933" spans="1:2" ht="15" hidden="1" x14ac:dyDescent="0.25">
      <c r="A2933" s="517" t="s">
        <v>1279</v>
      </c>
      <c r="B2933" s="517" t="s">
        <v>1280</v>
      </c>
    </row>
    <row r="2934" spans="1:2" ht="15" hidden="1" x14ac:dyDescent="0.25">
      <c r="A2934" s="517" t="s">
        <v>1279</v>
      </c>
      <c r="B2934" s="517" t="s">
        <v>1280</v>
      </c>
    </row>
    <row r="2935" spans="1:2" ht="15" hidden="1" x14ac:dyDescent="0.25">
      <c r="A2935" s="517" t="s">
        <v>1279</v>
      </c>
      <c r="B2935" s="517" t="s">
        <v>1280</v>
      </c>
    </row>
    <row r="2936" spans="1:2" ht="15" hidden="1" x14ac:dyDescent="0.25">
      <c r="A2936" s="517" t="s">
        <v>1279</v>
      </c>
      <c r="B2936" s="517" t="s">
        <v>1280</v>
      </c>
    </row>
    <row r="2937" spans="1:2" ht="15" hidden="1" x14ac:dyDescent="0.25">
      <c r="A2937" s="517" t="s">
        <v>1279</v>
      </c>
      <c r="B2937" s="517" t="s">
        <v>1280</v>
      </c>
    </row>
    <row r="2938" spans="1:2" ht="15" hidden="1" x14ac:dyDescent="0.25">
      <c r="A2938" s="517" t="s">
        <v>1279</v>
      </c>
      <c r="B2938" s="517" t="s">
        <v>1280</v>
      </c>
    </row>
    <row r="2939" spans="1:2" ht="15" hidden="1" x14ac:dyDescent="0.25">
      <c r="A2939" s="517" t="s">
        <v>1279</v>
      </c>
      <c r="B2939" s="517" t="s">
        <v>1280</v>
      </c>
    </row>
    <row r="2940" spans="1:2" ht="15" hidden="1" x14ac:dyDescent="0.25">
      <c r="A2940" s="517" t="s">
        <v>1279</v>
      </c>
      <c r="B2940" s="517" t="s">
        <v>1280</v>
      </c>
    </row>
    <row r="2941" spans="1:2" ht="15" hidden="1" x14ac:dyDescent="0.25">
      <c r="A2941" s="517" t="s">
        <v>1279</v>
      </c>
      <c r="B2941" s="517" t="s">
        <v>1280</v>
      </c>
    </row>
    <row r="2942" spans="1:2" ht="15" hidden="1" x14ac:dyDescent="0.25">
      <c r="A2942" s="517" t="s">
        <v>1279</v>
      </c>
      <c r="B2942" s="517" t="s">
        <v>1280</v>
      </c>
    </row>
    <row r="2943" spans="1:2" ht="15" hidden="1" x14ac:dyDescent="0.25">
      <c r="A2943" s="517" t="s">
        <v>1279</v>
      </c>
      <c r="B2943" s="517" t="s">
        <v>1280</v>
      </c>
    </row>
    <row r="2944" spans="1:2" ht="15" hidden="1" x14ac:dyDescent="0.25">
      <c r="A2944" s="517" t="s">
        <v>1279</v>
      </c>
      <c r="B2944" s="517" t="s">
        <v>1280</v>
      </c>
    </row>
    <row r="2945" spans="1:2" ht="15" hidden="1" x14ac:dyDescent="0.25">
      <c r="A2945" s="517" t="s">
        <v>1279</v>
      </c>
      <c r="B2945" s="517" t="s">
        <v>1280</v>
      </c>
    </row>
    <row r="2946" spans="1:2" ht="15" hidden="1" x14ac:dyDescent="0.25">
      <c r="A2946" s="517" t="s">
        <v>1279</v>
      </c>
      <c r="B2946" s="517" t="s">
        <v>1280</v>
      </c>
    </row>
    <row r="2947" spans="1:2" ht="15" hidden="1" x14ac:dyDescent="0.25">
      <c r="A2947" s="517" t="s">
        <v>1279</v>
      </c>
      <c r="B2947" s="517" t="s">
        <v>1280</v>
      </c>
    </row>
    <row r="2948" spans="1:2" ht="15" hidden="1" x14ac:dyDescent="0.25">
      <c r="A2948" s="517" t="s">
        <v>1279</v>
      </c>
      <c r="B2948" s="517" t="s">
        <v>1280</v>
      </c>
    </row>
    <row r="2949" spans="1:2" ht="15" hidden="1" x14ac:dyDescent="0.25">
      <c r="A2949" s="517" t="s">
        <v>199</v>
      </c>
      <c r="B2949" s="517" t="s">
        <v>334</v>
      </c>
    </row>
    <row r="2950" spans="1:2" ht="15" hidden="1" x14ac:dyDescent="0.25">
      <c r="A2950" s="517" t="s">
        <v>199</v>
      </c>
      <c r="B2950" s="517" t="s">
        <v>334</v>
      </c>
    </row>
    <row r="2951" spans="1:2" ht="15" hidden="1" x14ac:dyDescent="0.25">
      <c r="A2951" s="517" t="s">
        <v>200</v>
      </c>
      <c r="B2951" s="517" t="s">
        <v>335</v>
      </c>
    </row>
    <row r="2952" spans="1:2" ht="15" hidden="1" x14ac:dyDescent="0.25">
      <c r="A2952" s="517" t="s">
        <v>200</v>
      </c>
      <c r="B2952" s="517" t="s">
        <v>335</v>
      </c>
    </row>
    <row r="2953" spans="1:2" ht="15" hidden="1" x14ac:dyDescent="0.25">
      <c r="A2953" s="517" t="s">
        <v>200</v>
      </c>
      <c r="B2953" s="517" t="s">
        <v>335</v>
      </c>
    </row>
    <row r="2954" spans="1:2" ht="15" hidden="1" x14ac:dyDescent="0.25">
      <c r="A2954" s="517" t="s">
        <v>200</v>
      </c>
      <c r="B2954" s="517" t="s">
        <v>335</v>
      </c>
    </row>
    <row r="2955" spans="1:2" ht="15" hidden="1" x14ac:dyDescent="0.25">
      <c r="A2955" s="517" t="s">
        <v>200</v>
      </c>
      <c r="B2955" s="517" t="s">
        <v>335</v>
      </c>
    </row>
    <row r="2956" spans="1:2" ht="15" hidden="1" x14ac:dyDescent="0.25">
      <c r="A2956" s="517" t="s">
        <v>1281</v>
      </c>
      <c r="B2956" s="517" t="s">
        <v>1282</v>
      </c>
    </row>
    <row r="2957" spans="1:2" ht="15" hidden="1" x14ac:dyDescent="0.25">
      <c r="A2957" s="517" t="s">
        <v>1281</v>
      </c>
      <c r="B2957" s="517" t="s">
        <v>1282</v>
      </c>
    </row>
    <row r="2958" spans="1:2" ht="15" hidden="1" x14ac:dyDescent="0.25">
      <c r="A2958" s="517" t="s">
        <v>1281</v>
      </c>
      <c r="B2958" s="517" t="s">
        <v>1282</v>
      </c>
    </row>
    <row r="2959" spans="1:2" ht="15" hidden="1" x14ac:dyDescent="0.25">
      <c r="A2959" s="517" t="s">
        <v>2369</v>
      </c>
      <c r="B2959" s="517" t="s">
        <v>2369</v>
      </c>
    </row>
    <row r="2960" spans="1:2" ht="15" hidden="1" x14ac:dyDescent="0.25">
      <c r="A2960" s="517" t="s">
        <v>2370</v>
      </c>
      <c r="B2960" s="517" t="s">
        <v>2370</v>
      </c>
    </row>
    <row r="2961" spans="1:2" ht="15" hidden="1" x14ac:dyDescent="0.25">
      <c r="A2961" s="517" t="s">
        <v>2371</v>
      </c>
      <c r="B2961" s="517" t="s">
        <v>2371</v>
      </c>
    </row>
    <row r="2962" spans="1:2" ht="15" hidden="1" x14ac:dyDescent="0.25">
      <c r="A2962" s="517" t="s">
        <v>2372</v>
      </c>
      <c r="B2962" s="517" t="s">
        <v>2372</v>
      </c>
    </row>
    <row r="2963" spans="1:2" ht="15" hidden="1" x14ac:dyDescent="0.25">
      <c r="A2963" s="517" t="s">
        <v>2373</v>
      </c>
      <c r="B2963" s="517" t="s">
        <v>2373</v>
      </c>
    </row>
    <row r="2964" spans="1:2" ht="15" hidden="1" x14ac:dyDescent="0.25">
      <c r="A2964" s="517" t="s">
        <v>2374</v>
      </c>
      <c r="B2964" s="517" t="s">
        <v>2374</v>
      </c>
    </row>
    <row r="2965" spans="1:2" ht="15" hidden="1" x14ac:dyDescent="0.25">
      <c r="A2965" s="517" t="s">
        <v>2374</v>
      </c>
      <c r="B2965" s="517" t="s">
        <v>2374</v>
      </c>
    </row>
    <row r="2966" spans="1:2" ht="15" hidden="1" x14ac:dyDescent="0.25">
      <c r="A2966" s="517" t="s">
        <v>2375</v>
      </c>
      <c r="B2966" s="517" t="s">
        <v>2375</v>
      </c>
    </row>
    <row r="2967" spans="1:2" ht="15" hidden="1" x14ac:dyDescent="0.25">
      <c r="A2967" s="517" t="s">
        <v>2376</v>
      </c>
      <c r="B2967" s="517" t="s">
        <v>2376</v>
      </c>
    </row>
    <row r="2968" spans="1:2" ht="15" hidden="1" x14ac:dyDescent="0.25">
      <c r="A2968" s="517" t="s">
        <v>2376</v>
      </c>
      <c r="B2968" s="517" t="s">
        <v>2376</v>
      </c>
    </row>
    <row r="2969" spans="1:2" ht="15" hidden="1" x14ac:dyDescent="0.25">
      <c r="A2969" s="517" t="s">
        <v>2377</v>
      </c>
      <c r="B2969" s="517" t="s">
        <v>2377</v>
      </c>
    </row>
    <row r="2970" spans="1:2" ht="15" hidden="1" x14ac:dyDescent="0.25">
      <c r="A2970" s="517" t="s">
        <v>2378</v>
      </c>
      <c r="B2970" s="517" t="s">
        <v>2378</v>
      </c>
    </row>
    <row r="2971" spans="1:2" ht="15" hidden="1" x14ac:dyDescent="0.25">
      <c r="A2971" s="517" t="s">
        <v>2379</v>
      </c>
      <c r="B2971" s="517" t="s">
        <v>2379</v>
      </c>
    </row>
    <row r="2972" spans="1:2" ht="15" hidden="1" x14ac:dyDescent="0.25">
      <c r="A2972" s="517" t="s">
        <v>2379</v>
      </c>
      <c r="B2972" s="517" t="s">
        <v>2379</v>
      </c>
    </row>
    <row r="2973" spans="1:2" ht="15" hidden="1" x14ac:dyDescent="0.25">
      <c r="A2973" s="517" t="s">
        <v>2380</v>
      </c>
      <c r="B2973" s="517" t="s">
        <v>2380</v>
      </c>
    </row>
    <row r="2974" spans="1:2" ht="15" hidden="1" x14ac:dyDescent="0.25">
      <c r="A2974" s="517" t="s">
        <v>2381</v>
      </c>
      <c r="B2974" s="517" t="s">
        <v>2381</v>
      </c>
    </row>
    <row r="2975" spans="1:2" ht="15" hidden="1" x14ac:dyDescent="0.25">
      <c r="A2975" s="517" t="s">
        <v>2381</v>
      </c>
      <c r="B2975" s="517" t="s">
        <v>2381</v>
      </c>
    </row>
    <row r="2976" spans="1:2" ht="15" hidden="1" x14ac:dyDescent="0.25">
      <c r="A2976" s="517" t="s">
        <v>2382</v>
      </c>
      <c r="B2976" s="517" t="s">
        <v>2382</v>
      </c>
    </row>
    <row r="2977" spans="1:2" ht="15" hidden="1" x14ac:dyDescent="0.25">
      <c r="A2977" s="517" t="s">
        <v>2383</v>
      </c>
      <c r="B2977" s="517" t="s">
        <v>2383</v>
      </c>
    </row>
    <row r="2978" spans="1:2" ht="15" hidden="1" x14ac:dyDescent="0.25">
      <c r="A2978" s="517" t="s">
        <v>2384</v>
      </c>
      <c r="B2978" s="517" t="s">
        <v>2384</v>
      </c>
    </row>
    <row r="2979" spans="1:2" ht="15" hidden="1" x14ac:dyDescent="0.25">
      <c r="A2979" s="517" t="s">
        <v>2385</v>
      </c>
      <c r="B2979" s="517" t="s">
        <v>2385</v>
      </c>
    </row>
    <row r="2980" spans="1:2" ht="15" hidden="1" x14ac:dyDescent="0.25">
      <c r="A2980" s="517" t="s">
        <v>2386</v>
      </c>
      <c r="B2980" s="517" t="s">
        <v>2386</v>
      </c>
    </row>
    <row r="2981" spans="1:2" ht="15" hidden="1" x14ac:dyDescent="0.25">
      <c r="A2981" s="517" t="s">
        <v>2386</v>
      </c>
      <c r="B2981" s="517" t="s">
        <v>2386</v>
      </c>
    </row>
    <row r="2982" spans="1:2" ht="15" hidden="1" x14ac:dyDescent="0.25">
      <c r="A2982" s="517" t="s">
        <v>2387</v>
      </c>
      <c r="B2982" s="517" t="s">
        <v>2387</v>
      </c>
    </row>
    <row r="2983" spans="1:2" ht="15" hidden="1" x14ac:dyDescent="0.25">
      <c r="A2983" s="517" t="s">
        <v>2388</v>
      </c>
      <c r="B2983" s="517" t="s">
        <v>2388</v>
      </c>
    </row>
    <row r="2984" spans="1:2" ht="15" hidden="1" x14ac:dyDescent="0.25">
      <c r="A2984" s="517" t="s">
        <v>2389</v>
      </c>
      <c r="B2984" s="517" t="s">
        <v>2389</v>
      </c>
    </row>
    <row r="2985" spans="1:2" ht="15" hidden="1" x14ac:dyDescent="0.25">
      <c r="A2985" s="517" t="s">
        <v>2390</v>
      </c>
      <c r="B2985" s="517" t="s">
        <v>2390</v>
      </c>
    </row>
    <row r="2986" spans="1:2" ht="15" hidden="1" x14ac:dyDescent="0.25">
      <c r="A2986" s="517" t="s">
        <v>2391</v>
      </c>
      <c r="B2986" s="517" t="s">
        <v>2391</v>
      </c>
    </row>
    <row r="2987" spans="1:2" ht="15" hidden="1" x14ac:dyDescent="0.25">
      <c r="A2987" s="517" t="s">
        <v>2392</v>
      </c>
      <c r="B2987" s="517" t="s">
        <v>2392</v>
      </c>
    </row>
    <row r="2988" spans="1:2" ht="15" hidden="1" x14ac:dyDescent="0.25">
      <c r="A2988" s="517" t="s">
        <v>2392</v>
      </c>
      <c r="B2988" s="517" t="s">
        <v>2392</v>
      </c>
    </row>
    <row r="2989" spans="1:2" ht="15" hidden="1" x14ac:dyDescent="0.25">
      <c r="A2989" s="517" t="s">
        <v>2393</v>
      </c>
      <c r="B2989" s="517" t="s">
        <v>2393</v>
      </c>
    </row>
    <row r="2990" spans="1:2" ht="15" hidden="1" x14ac:dyDescent="0.25">
      <c r="A2990" s="517" t="s">
        <v>2394</v>
      </c>
      <c r="B2990" s="517" t="s">
        <v>2394</v>
      </c>
    </row>
    <row r="2991" spans="1:2" ht="15" hidden="1" x14ac:dyDescent="0.25">
      <c r="A2991" s="517" t="s">
        <v>2395</v>
      </c>
      <c r="B2991" s="517" t="s">
        <v>2395</v>
      </c>
    </row>
    <row r="2992" spans="1:2" ht="15" hidden="1" x14ac:dyDescent="0.25">
      <c r="A2992" s="517" t="s">
        <v>2396</v>
      </c>
      <c r="B2992" s="517" t="s">
        <v>2396</v>
      </c>
    </row>
    <row r="2993" spans="1:2" ht="15" hidden="1" x14ac:dyDescent="0.25">
      <c r="A2993" s="517" t="s">
        <v>2397</v>
      </c>
      <c r="B2993" s="517" t="s">
        <v>2397</v>
      </c>
    </row>
    <row r="2994" spans="1:2" ht="15" hidden="1" x14ac:dyDescent="0.25">
      <c r="A2994" s="517" t="s">
        <v>2398</v>
      </c>
      <c r="B2994" s="517" t="s">
        <v>2398</v>
      </c>
    </row>
    <row r="2995" spans="1:2" ht="15" hidden="1" x14ac:dyDescent="0.25">
      <c r="A2995" s="517" t="s">
        <v>2399</v>
      </c>
      <c r="B2995" s="517" t="s">
        <v>2399</v>
      </c>
    </row>
    <row r="2996" spans="1:2" ht="15" hidden="1" x14ac:dyDescent="0.25">
      <c r="A2996" s="517" t="s">
        <v>2400</v>
      </c>
      <c r="B2996" s="517" t="s">
        <v>2400</v>
      </c>
    </row>
    <row r="2997" spans="1:2" ht="15" hidden="1" x14ac:dyDescent="0.25">
      <c r="A2997" s="517" t="s">
        <v>2401</v>
      </c>
      <c r="B2997" s="517" t="s">
        <v>2401</v>
      </c>
    </row>
    <row r="2998" spans="1:2" ht="15" hidden="1" x14ac:dyDescent="0.25">
      <c r="A2998" s="517" t="s">
        <v>2402</v>
      </c>
      <c r="B2998" s="517" t="s">
        <v>2402</v>
      </c>
    </row>
    <row r="2999" spans="1:2" ht="15" hidden="1" x14ac:dyDescent="0.25">
      <c r="A2999" s="517" t="s">
        <v>2403</v>
      </c>
      <c r="B2999" s="517" t="s">
        <v>2403</v>
      </c>
    </row>
    <row r="3000" spans="1:2" ht="15" hidden="1" x14ac:dyDescent="0.25">
      <c r="A3000" s="517" t="s">
        <v>2403</v>
      </c>
      <c r="B3000" s="517" t="s">
        <v>2403</v>
      </c>
    </row>
    <row r="3001" spans="1:2" ht="15" hidden="1" x14ac:dyDescent="0.25">
      <c r="A3001" s="517" t="s">
        <v>2404</v>
      </c>
      <c r="B3001" s="517" t="s">
        <v>2404</v>
      </c>
    </row>
    <row r="3002" spans="1:2" ht="15" hidden="1" x14ac:dyDescent="0.25">
      <c r="A3002" s="517" t="s">
        <v>2405</v>
      </c>
      <c r="B3002" s="517" t="s">
        <v>2405</v>
      </c>
    </row>
    <row r="3003" spans="1:2" ht="15" hidden="1" x14ac:dyDescent="0.25">
      <c r="A3003" s="517" t="s">
        <v>2406</v>
      </c>
      <c r="B3003" s="517" t="s">
        <v>2406</v>
      </c>
    </row>
    <row r="3004" spans="1:2" ht="15" hidden="1" x14ac:dyDescent="0.25">
      <c r="A3004" s="517" t="s">
        <v>2407</v>
      </c>
      <c r="B3004" s="517" t="s">
        <v>2407</v>
      </c>
    </row>
    <row r="3005" spans="1:2" ht="15" hidden="1" x14ac:dyDescent="0.25">
      <c r="A3005" s="517" t="s">
        <v>2408</v>
      </c>
      <c r="B3005" s="517" t="s">
        <v>2408</v>
      </c>
    </row>
    <row r="3006" spans="1:2" ht="15" hidden="1" x14ac:dyDescent="0.25">
      <c r="A3006" s="517" t="s">
        <v>2408</v>
      </c>
      <c r="B3006" s="517" t="s">
        <v>2408</v>
      </c>
    </row>
    <row r="3007" spans="1:2" ht="15" hidden="1" x14ac:dyDescent="0.25">
      <c r="A3007" s="517" t="s">
        <v>2409</v>
      </c>
      <c r="B3007" s="517" t="s">
        <v>2409</v>
      </c>
    </row>
    <row r="3008" spans="1:2" ht="15" hidden="1" x14ac:dyDescent="0.25">
      <c r="A3008" s="517" t="s">
        <v>2410</v>
      </c>
      <c r="B3008" s="517" t="s">
        <v>2410</v>
      </c>
    </row>
    <row r="3009" spans="1:2" ht="15" hidden="1" x14ac:dyDescent="0.25">
      <c r="A3009" s="517" t="s">
        <v>2411</v>
      </c>
      <c r="B3009" s="517" t="s">
        <v>2411</v>
      </c>
    </row>
    <row r="3010" spans="1:2" ht="15" hidden="1" x14ac:dyDescent="0.25">
      <c r="A3010" s="517" t="s">
        <v>2411</v>
      </c>
      <c r="B3010" s="517" t="s">
        <v>2411</v>
      </c>
    </row>
    <row r="3011" spans="1:2" ht="15" hidden="1" x14ac:dyDescent="0.25">
      <c r="A3011" s="517" t="s">
        <v>2412</v>
      </c>
      <c r="B3011" s="517" t="s">
        <v>2412</v>
      </c>
    </row>
    <row r="3012" spans="1:2" ht="15" hidden="1" x14ac:dyDescent="0.25">
      <c r="A3012" s="517" t="s">
        <v>2412</v>
      </c>
      <c r="B3012" s="517" t="s">
        <v>2412</v>
      </c>
    </row>
    <row r="3013" spans="1:2" ht="15" hidden="1" x14ac:dyDescent="0.25">
      <c r="A3013" s="517" t="s">
        <v>2413</v>
      </c>
      <c r="B3013" s="517" t="s">
        <v>2413</v>
      </c>
    </row>
    <row r="3014" spans="1:2" ht="15" hidden="1" x14ac:dyDescent="0.25">
      <c r="A3014" s="517" t="s">
        <v>2414</v>
      </c>
      <c r="B3014" s="517" t="s">
        <v>2414</v>
      </c>
    </row>
    <row r="3015" spans="1:2" ht="15" hidden="1" x14ac:dyDescent="0.25">
      <c r="A3015" s="517" t="s">
        <v>2415</v>
      </c>
      <c r="B3015" s="517" t="s">
        <v>2415</v>
      </c>
    </row>
    <row r="3016" spans="1:2" ht="15" hidden="1" x14ac:dyDescent="0.25">
      <c r="A3016" s="517" t="s">
        <v>2415</v>
      </c>
      <c r="B3016" s="517" t="s">
        <v>2415</v>
      </c>
    </row>
    <row r="3017" spans="1:2" ht="15" hidden="1" x14ac:dyDescent="0.25">
      <c r="A3017" s="517" t="s">
        <v>2416</v>
      </c>
      <c r="B3017" s="517" t="s">
        <v>2416</v>
      </c>
    </row>
    <row r="3018" spans="1:2" ht="15" hidden="1" x14ac:dyDescent="0.25">
      <c r="A3018" s="517" t="s">
        <v>2416</v>
      </c>
      <c r="B3018" s="517" t="s">
        <v>2416</v>
      </c>
    </row>
    <row r="3019" spans="1:2" ht="15" hidden="1" x14ac:dyDescent="0.25">
      <c r="A3019" s="517" t="s">
        <v>2417</v>
      </c>
      <c r="B3019" s="517" t="s">
        <v>2417</v>
      </c>
    </row>
    <row r="3020" spans="1:2" ht="15" hidden="1" x14ac:dyDescent="0.25">
      <c r="A3020" s="517" t="s">
        <v>2418</v>
      </c>
      <c r="B3020" s="517" t="s">
        <v>2418</v>
      </c>
    </row>
    <row r="3021" spans="1:2" ht="15" hidden="1" x14ac:dyDescent="0.25">
      <c r="A3021" s="517" t="s">
        <v>2419</v>
      </c>
      <c r="B3021" s="517" t="s">
        <v>2419</v>
      </c>
    </row>
    <row r="3022" spans="1:2" ht="15" hidden="1" x14ac:dyDescent="0.25">
      <c r="A3022" s="517" t="s">
        <v>2420</v>
      </c>
      <c r="B3022" s="517" t="s">
        <v>2420</v>
      </c>
    </row>
    <row r="3023" spans="1:2" ht="15" hidden="1" x14ac:dyDescent="0.25">
      <c r="A3023" s="517" t="s">
        <v>2420</v>
      </c>
      <c r="B3023" s="517" t="s">
        <v>2420</v>
      </c>
    </row>
    <row r="3024" spans="1:2" ht="15" hidden="1" x14ac:dyDescent="0.25">
      <c r="A3024" s="517" t="s">
        <v>2421</v>
      </c>
      <c r="B3024" s="517" t="s">
        <v>2421</v>
      </c>
    </row>
    <row r="3025" spans="1:2" ht="15" hidden="1" x14ac:dyDescent="0.25">
      <c r="A3025" s="517" t="s">
        <v>2421</v>
      </c>
      <c r="B3025" s="517" t="s">
        <v>2421</v>
      </c>
    </row>
    <row r="3026" spans="1:2" ht="15" hidden="1" x14ac:dyDescent="0.25">
      <c r="A3026" s="517" t="s">
        <v>2422</v>
      </c>
      <c r="B3026" s="517" t="s">
        <v>2422</v>
      </c>
    </row>
    <row r="3027" spans="1:2" ht="15" hidden="1" x14ac:dyDescent="0.25">
      <c r="A3027" s="517" t="s">
        <v>2423</v>
      </c>
      <c r="B3027" s="517" t="s">
        <v>2423</v>
      </c>
    </row>
    <row r="3028" spans="1:2" ht="15" hidden="1" x14ac:dyDescent="0.25">
      <c r="A3028" s="517" t="s">
        <v>2423</v>
      </c>
      <c r="B3028" s="517" t="s">
        <v>2423</v>
      </c>
    </row>
    <row r="3029" spans="1:2" ht="15" hidden="1" x14ac:dyDescent="0.25">
      <c r="A3029" s="517" t="s">
        <v>2424</v>
      </c>
      <c r="B3029" s="517" t="s">
        <v>2424</v>
      </c>
    </row>
    <row r="3030" spans="1:2" ht="15" hidden="1" x14ac:dyDescent="0.25">
      <c r="A3030" s="517" t="s">
        <v>2424</v>
      </c>
      <c r="B3030" s="517" t="s">
        <v>2424</v>
      </c>
    </row>
    <row r="3031" spans="1:2" ht="15" hidden="1" x14ac:dyDescent="0.25">
      <c r="A3031" s="517" t="s">
        <v>2425</v>
      </c>
      <c r="B3031" s="517" t="s">
        <v>2425</v>
      </c>
    </row>
    <row r="3032" spans="1:2" ht="15" hidden="1" x14ac:dyDescent="0.25">
      <c r="A3032" s="517" t="s">
        <v>2426</v>
      </c>
      <c r="B3032" s="517" t="s">
        <v>2426</v>
      </c>
    </row>
    <row r="3033" spans="1:2" ht="15" hidden="1" x14ac:dyDescent="0.25">
      <c r="A3033" s="517" t="s">
        <v>2427</v>
      </c>
      <c r="B3033" s="517" t="s">
        <v>2427</v>
      </c>
    </row>
    <row r="3034" spans="1:2" ht="15" hidden="1" x14ac:dyDescent="0.25">
      <c r="A3034" s="517" t="s">
        <v>2428</v>
      </c>
      <c r="B3034" s="517" t="s">
        <v>2428</v>
      </c>
    </row>
    <row r="3035" spans="1:2" ht="15" hidden="1" x14ac:dyDescent="0.25">
      <c r="A3035" s="517" t="s">
        <v>2429</v>
      </c>
      <c r="B3035" s="517" t="s">
        <v>2429</v>
      </c>
    </row>
    <row r="3036" spans="1:2" ht="15" hidden="1" x14ac:dyDescent="0.25">
      <c r="A3036" s="517" t="s">
        <v>2430</v>
      </c>
      <c r="B3036" s="517" t="s">
        <v>2430</v>
      </c>
    </row>
    <row r="3037" spans="1:2" ht="15" hidden="1" x14ac:dyDescent="0.25">
      <c r="A3037" s="517" t="s">
        <v>2431</v>
      </c>
      <c r="B3037" s="517" t="s">
        <v>2431</v>
      </c>
    </row>
    <row r="3038" spans="1:2" ht="15" hidden="1" x14ac:dyDescent="0.25">
      <c r="A3038" s="517" t="s">
        <v>2432</v>
      </c>
      <c r="B3038" s="517" t="s">
        <v>2432</v>
      </c>
    </row>
    <row r="3039" spans="1:2" ht="15" hidden="1" x14ac:dyDescent="0.25">
      <c r="A3039" s="517" t="s">
        <v>2433</v>
      </c>
      <c r="B3039" s="517" t="s">
        <v>2433</v>
      </c>
    </row>
    <row r="3040" spans="1:2" ht="15" hidden="1" x14ac:dyDescent="0.25">
      <c r="A3040" s="517" t="s">
        <v>2434</v>
      </c>
      <c r="B3040" s="517" t="s">
        <v>2434</v>
      </c>
    </row>
    <row r="3041" spans="1:2" ht="15" hidden="1" x14ac:dyDescent="0.25">
      <c r="A3041" s="517" t="s">
        <v>2435</v>
      </c>
      <c r="B3041" s="517" t="s">
        <v>2435</v>
      </c>
    </row>
    <row r="3042" spans="1:2" ht="15" hidden="1" x14ac:dyDescent="0.25">
      <c r="A3042" s="517" t="s">
        <v>2436</v>
      </c>
      <c r="B3042" s="517" t="s">
        <v>2436</v>
      </c>
    </row>
    <row r="3043" spans="1:2" ht="15" hidden="1" x14ac:dyDescent="0.25">
      <c r="A3043" s="517" t="s">
        <v>2436</v>
      </c>
      <c r="B3043" s="517" t="s">
        <v>2436</v>
      </c>
    </row>
    <row r="3044" spans="1:2" ht="15" hidden="1" x14ac:dyDescent="0.25">
      <c r="A3044" s="517" t="s">
        <v>2437</v>
      </c>
      <c r="B3044" s="517" t="s">
        <v>2437</v>
      </c>
    </row>
    <row r="3045" spans="1:2" ht="15" hidden="1" x14ac:dyDescent="0.25">
      <c r="A3045" s="517" t="s">
        <v>2438</v>
      </c>
      <c r="B3045" s="517" t="s">
        <v>2438</v>
      </c>
    </row>
    <row r="3046" spans="1:2" ht="15" hidden="1" x14ac:dyDescent="0.25">
      <c r="A3046" s="517" t="s">
        <v>2439</v>
      </c>
      <c r="B3046" s="517" t="s">
        <v>2439</v>
      </c>
    </row>
    <row r="3047" spans="1:2" ht="15" hidden="1" x14ac:dyDescent="0.25">
      <c r="A3047" s="517" t="s">
        <v>2439</v>
      </c>
      <c r="B3047" s="517" t="s">
        <v>2439</v>
      </c>
    </row>
    <row r="3048" spans="1:2" ht="15" hidden="1" x14ac:dyDescent="0.25">
      <c r="A3048" s="517" t="s">
        <v>2440</v>
      </c>
      <c r="B3048" s="517" t="s">
        <v>2440</v>
      </c>
    </row>
    <row r="3049" spans="1:2" ht="15" hidden="1" x14ac:dyDescent="0.25">
      <c r="A3049" s="517" t="s">
        <v>2441</v>
      </c>
      <c r="B3049" s="517" t="s">
        <v>2441</v>
      </c>
    </row>
    <row r="3050" spans="1:2" ht="15" hidden="1" x14ac:dyDescent="0.25">
      <c r="A3050" s="517" t="s">
        <v>2442</v>
      </c>
      <c r="B3050" s="517" t="s">
        <v>2442</v>
      </c>
    </row>
    <row r="3051" spans="1:2" ht="15" hidden="1" x14ac:dyDescent="0.25">
      <c r="A3051" s="517" t="s">
        <v>2443</v>
      </c>
      <c r="B3051" s="517" t="s">
        <v>2443</v>
      </c>
    </row>
    <row r="3052" spans="1:2" ht="15" hidden="1" x14ac:dyDescent="0.25">
      <c r="A3052" s="517" t="s">
        <v>2444</v>
      </c>
      <c r="B3052" s="517" t="s">
        <v>2444</v>
      </c>
    </row>
    <row r="3053" spans="1:2" ht="15" hidden="1" x14ac:dyDescent="0.25">
      <c r="A3053" s="517" t="s">
        <v>2445</v>
      </c>
      <c r="B3053" s="517" t="s">
        <v>2445</v>
      </c>
    </row>
    <row r="3054" spans="1:2" ht="15" hidden="1" x14ac:dyDescent="0.25">
      <c r="A3054" s="517" t="s">
        <v>2446</v>
      </c>
      <c r="B3054" s="517" t="s">
        <v>2446</v>
      </c>
    </row>
    <row r="3055" spans="1:2" ht="15" hidden="1" x14ac:dyDescent="0.25">
      <c r="A3055" s="517" t="s">
        <v>2446</v>
      </c>
      <c r="B3055" s="517" t="s">
        <v>2446</v>
      </c>
    </row>
    <row r="3056" spans="1:2" ht="15" hidden="1" x14ac:dyDescent="0.25">
      <c r="A3056" s="517" t="s">
        <v>2447</v>
      </c>
      <c r="B3056" s="517" t="s">
        <v>2447</v>
      </c>
    </row>
    <row r="3057" spans="1:2" ht="15" hidden="1" x14ac:dyDescent="0.25">
      <c r="A3057" s="517" t="s">
        <v>2448</v>
      </c>
      <c r="B3057" s="517" t="s">
        <v>2448</v>
      </c>
    </row>
    <row r="3058" spans="1:2" ht="15" hidden="1" x14ac:dyDescent="0.25">
      <c r="A3058" s="517" t="s">
        <v>2449</v>
      </c>
      <c r="B3058" s="517" t="s">
        <v>2449</v>
      </c>
    </row>
    <row r="3059" spans="1:2" ht="15" hidden="1" x14ac:dyDescent="0.25">
      <c r="A3059" s="517" t="s">
        <v>2450</v>
      </c>
      <c r="B3059" s="517" t="s">
        <v>2450</v>
      </c>
    </row>
    <row r="3060" spans="1:2" ht="15" hidden="1" x14ac:dyDescent="0.25">
      <c r="A3060" s="517" t="s">
        <v>2450</v>
      </c>
      <c r="B3060" s="517" t="s">
        <v>2450</v>
      </c>
    </row>
    <row r="3061" spans="1:2" ht="15" hidden="1" x14ac:dyDescent="0.25">
      <c r="A3061" s="517" t="s">
        <v>2451</v>
      </c>
      <c r="B3061" s="517" t="s">
        <v>2451</v>
      </c>
    </row>
    <row r="3062" spans="1:2" ht="15" hidden="1" x14ac:dyDescent="0.25">
      <c r="A3062" s="517" t="s">
        <v>2452</v>
      </c>
      <c r="B3062" s="517" t="s">
        <v>2452</v>
      </c>
    </row>
    <row r="3063" spans="1:2" ht="15" hidden="1" x14ac:dyDescent="0.25">
      <c r="A3063" s="517" t="s">
        <v>2453</v>
      </c>
      <c r="B3063" s="517" t="s">
        <v>2453</v>
      </c>
    </row>
    <row r="3064" spans="1:2" ht="15" hidden="1" x14ac:dyDescent="0.25">
      <c r="A3064" s="517" t="s">
        <v>2454</v>
      </c>
      <c r="B3064" s="517" t="s">
        <v>2454</v>
      </c>
    </row>
    <row r="3065" spans="1:2" ht="15" hidden="1" x14ac:dyDescent="0.25">
      <c r="A3065" s="517" t="s">
        <v>2455</v>
      </c>
      <c r="B3065" s="517" t="s">
        <v>2455</v>
      </c>
    </row>
    <row r="3066" spans="1:2" ht="15" hidden="1" x14ac:dyDescent="0.25">
      <c r="A3066" s="517" t="s">
        <v>2456</v>
      </c>
      <c r="B3066" s="517" t="s">
        <v>2456</v>
      </c>
    </row>
    <row r="3067" spans="1:2" ht="15" hidden="1" x14ac:dyDescent="0.25">
      <c r="A3067" s="517" t="s">
        <v>2457</v>
      </c>
      <c r="B3067" s="517" t="s">
        <v>2457</v>
      </c>
    </row>
    <row r="3068" spans="1:2" ht="15" hidden="1" x14ac:dyDescent="0.25">
      <c r="A3068" s="517" t="s">
        <v>2458</v>
      </c>
      <c r="B3068" s="517" t="s">
        <v>2458</v>
      </c>
    </row>
    <row r="3069" spans="1:2" ht="15" hidden="1" x14ac:dyDescent="0.25">
      <c r="A3069" s="517" t="s">
        <v>2459</v>
      </c>
      <c r="B3069" s="517" t="s">
        <v>2459</v>
      </c>
    </row>
    <row r="3070" spans="1:2" ht="15" hidden="1" x14ac:dyDescent="0.25">
      <c r="A3070" s="517" t="s">
        <v>2460</v>
      </c>
      <c r="B3070" s="517" t="s">
        <v>2460</v>
      </c>
    </row>
    <row r="3071" spans="1:2" ht="15" hidden="1" x14ac:dyDescent="0.25">
      <c r="A3071" s="517" t="s">
        <v>2460</v>
      </c>
      <c r="B3071" s="517" t="s">
        <v>2460</v>
      </c>
    </row>
    <row r="3072" spans="1:2" ht="15" hidden="1" x14ac:dyDescent="0.25">
      <c r="A3072" s="517" t="s">
        <v>2461</v>
      </c>
      <c r="B3072" s="517" t="s">
        <v>2461</v>
      </c>
    </row>
    <row r="3073" spans="1:2" ht="15" hidden="1" x14ac:dyDescent="0.25">
      <c r="A3073" s="517" t="s">
        <v>2462</v>
      </c>
      <c r="B3073" s="517" t="s">
        <v>2462</v>
      </c>
    </row>
    <row r="3074" spans="1:2" ht="15" hidden="1" x14ac:dyDescent="0.25">
      <c r="A3074" s="517" t="s">
        <v>2463</v>
      </c>
      <c r="B3074" s="517" t="s">
        <v>2463</v>
      </c>
    </row>
    <row r="3075" spans="1:2" ht="15" hidden="1" x14ac:dyDescent="0.25">
      <c r="A3075" s="517" t="s">
        <v>2464</v>
      </c>
      <c r="B3075" s="517" t="s">
        <v>2464</v>
      </c>
    </row>
    <row r="3076" spans="1:2" ht="15" hidden="1" x14ac:dyDescent="0.25">
      <c r="A3076" s="517" t="s">
        <v>2464</v>
      </c>
      <c r="B3076" s="517" t="s">
        <v>2464</v>
      </c>
    </row>
    <row r="3077" spans="1:2" ht="15" hidden="1" x14ac:dyDescent="0.25">
      <c r="A3077" s="517" t="s">
        <v>2465</v>
      </c>
      <c r="B3077" s="517" t="s">
        <v>2465</v>
      </c>
    </row>
    <row r="3078" spans="1:2" ht="15" hidden="1" x14ac:dyDescent="0.25">
      <c r="A3078" s="517" t="s">
        <v>2466</v>
      </c>
      <c r="B3078" s="517" t="s">
        <v>2466</v>
      </c>
    </row>
    <row r="3079" spans="1:2" ht="15" hidden="1" x14ac:dyDescent="0.25">
      <c r="A3079" s="517" t="s">
        <v>2466</v>
      </c>
      <c r="B3079" s="517" t="s">
        <v>2466</v>
      </c>
    </row>
    <row r="3080" spans="1:2" ht="15" hidden="1" x14ac:dyDescent="0.25">
      <c r="A3080" s="517" t="s">
        <v>2467</v>
      </c>
      <c r="B3080" s="517" t="s">
        <v>2467</v>
      </c>
    </row>
    <row r="3081" spans="1:2" ht="15" hidden="1" x14ac:dyDescent="0.25">
      <c r="A3081" s="517" t="s">
        <v>2468</v>
      </c>
      <c r="B3081" s="517" t="s">
        <v>2468</v>
      </c>
    </row>
    <row r="3082" spans="1:2" ht="15" hidden="1" x14ac:dyDescent="0.25">
      <c r="A3082" s="517" t="s">
        <v>2468</v>
      </c>
      <c r="B3082" s="517" t="s">
        <v>2468</v>
      </c>
    </row>
    <row r="3083" spans="1:2" ht="15" hidden="1" x14ac:dyDescent="0.25">
      <c r="A3083" s="517" t="s">
        <v>2469</v>
      </c>
      <c r="B3083" s="517" t="s">
        <v>2469</v>
      </c>
    </row>
    <row r="3084" spans="1:2" ht="15" hidden="1" x14ac:dyDescent="0.25">
      <c r="A3084" s="517" t="s">
        <v>2470</v>
      </c>
      <c r="B3084" s="517" t="s">
        <v>2470</v>
      </c>
    </row>
    <row r="3085" spans="1:2" ht="15" hidden="1" x14ac:dyDescent="0.25">
      <c r="A3085" s="517" t="s">
        <v>2470</v>
      </c>
      <c r="B3085" s="517" t="s">
        <v>2470</v>
      </c>
    </row>
    <row r="3086" spans="1:2" ht="15" hidden="1" x14ac:dyDescent="0.25">
      <c r="A3086" s="517" t="s">
        <v>2471</v>
      </c>
      <c r="B3086" s="517" t="s">
        <v>2471</v>
      </c>
    </row>
    <row r="3087" spans="1:2" ht="15" hidden="1" x14ac:dyDescent="0.25">
      <c r="A3087" s="517" t="s">
        <v>2472</v>
      </c>
      <c r="B3087" s="517" t="s">
        <v>2472</v>
      </c>
    </row>
    <row r="3088" spans="1:2" ht="15" hidden="1" x14ac:dyDescent="0.25">
      <c r="A3088" s="517" t="s">
        <v>2473</v>
      </c>
      <c r="B3088" s="517" t="s">
        <v>2473</v>
      </c>
    </row>
    <row r="3089" spans="1:2" ht="15" hidden="1" x14ac:dyDescent="0.25">
      <c r="A3089" s="517" t="s">
        <v>2473</v>
      </c>
      <c r="B3089" s="517" t="s">
        <v>2473</v>
      </c>
    </row>
    <row r="3090" spans="1:2" ht="15" hidden="1" x14ac:dyDescent="0.25">
      <c r="A3090" s="517" t="s">
        <v>2474</v>
      </c>
      <c r="B3090" s="517" t="s">
        <v>2474</v>
      </c>
    </row>
    <row r="3091" spans="1:2" ht="15" hidden="1" x14ac:dyDescent="0.25">
      <c r="A3091" s="517" t="s">
        <v>2474</v>
      </c>
      <c r="B3091" s="517" t="s">
        <v>2474</v>
      </c>
    </row>
    <row r="3092" spans="1:2" ht="15" hidden="1" x14ac:dyDescent="0.25">
      <c r="A3092" s="517" t="s">
        <v>2475</v>
      </c>
      <c r="B3092" s="517" t="s">
        <v>2475</v>
      </c>
    </row>
    <row r="3093" spans="1:2" ht="15" hidden="1" x14ac:dyDescent="0.25">
      <c r="A3093" s="517" t="s">
        <v>2475</v>
      </c>
      <c r="B3093" s="517" t="s">
        <v>2475</v>
      </c>
    </row>
    <row r="3094" spans="1:2" ht="15" hidden="1" x14ac:dyDescent="0.25">
      <c r="A3094" s="517" t="s">
        <v>2476</v>
      </c>
      <c r="B3094" s="517" t="s">
        <v>2476</v>
      </c>
    </row>
    <row r="3095" spans="1:2" ht="15" hidden="1" x14ac:dyDescent="0.25">
      <c r="A3095" s="517" t="s">
        <v>2476</v>
      </c>
      <c r="B3095" s="517" t="s">
        <v>2476</v>
      </c>
    </row>
    <row r="3096" spans="1:2" ht="15" hidden="1" x14ac:dyDescent="0.25">
      <c r="A3096" s="517" t="s">
        <v>2477</v>
      </c>
      <c r="B3096" s="517" t="s">
        <v>2477</v>
      </c>
    </row>
    <row r="3097" spans="1:2" ht="15" hidden="1" x14ac:dyDescent="0.25">
      <c r="A3097" s="517" t="s">
        <v>2478</v>
      </c>
      <c r="B3097" s="517" t="s">
        <v>2478</v>
      </c>
    </row>
    <row r="3098" spans="1:2" ht="15" hidden="1" x14ac:dyDescent="0.25">
      <c r="A3098" s="517" t="s">
        <v>2479</v>
      </c>
      <c r="B3098" s="517" t="s">
        <v>2479</v>
      </c>
    </row>
    <row r="3099" spans="1:2" ht="15" hidden="1" x14ac:dyDescent="0.25">
      <c r="A3099" s="517" t="s">
        <v>2480</v>
      </c>
      <c r="B3099" s="517" t="s">
        <v>2480</v>
      </c>
    </row>
    <row r="3100" spans="1:2" ht="15" hidden="1" x14ac:dyDescent="0.25">
      <c r="A3100" s="517" t="s">
        <v>2481</v>
      </c>
      <c r="B3100" s="517" t="s">
        <v>2481</v>
      </c>
    </row>
    <row r="3101" spans="1:2" ht="15" hidden="1" x14ac:dyDescent="0.25">
      <c r="A3101" s="517" t="s">
        <v>2482</v>
      </c>
      <c r="B3101" s="517" t="s">
        <v>2482</v>
      </c>
    </row>
    <row r="3102" spans="1:2" ht="15" hidden="1" x14ac:dyDescent="0.25">
      <c r="A3102" s="517" t="s">
        <v>2483</v>
      </c>
      <c r="B3102" s="517" t="s">
        <v>2483</v>
      </c>
    </row>
    <row r="3103" spans="1:2" ht="15" hidden="1" x14ac:dyDescent="0.25">
      <c r="A3103" s="517" t="s">
        <v>2483</v>
      </c>
      <c r="B3103" s="517" t="s">
        <v>2483</v>
      </c>
    </row>
    <row r="3104" spans="1:2" ht="15" hidden="1" x14ac:dyDescent="0.25">
      <c r="A3104" s="517" t="s">
        <v>2484</v>
      </c>
      <c r="B3104" s="517" t="s">
        <v>2484</v>
      </c>
    </row>
    <row r="3105" spans="1:2" ht="15" hidden="1" x14ac:dyDescent="0.25">
      <c r="A3105" s="517" t="s">
        <v>2485</v>
      </c>
      <c r="B3105" s="517" t="s">
        <v>2485</v>
      </c>
    </row>
    <row r="3106" spans="1:2" ht="15" hidden="1" x14ac:dyDescent="0.25">
      <c r="A3106" s="517" t="s">
        <v>2485</v>
      </c>
      <c r="B3106" s="517" t="s">
        <v>2485</v>
      </c>
    </row>
    <row r="3107" spans="1:2" ht="15" hidden="1" x14ac:dyDescent="0.25">
      <c r="A3107" s="517" t="s">
        <v>2486</v>
      </c>
      <c r="B3107" s="517" t="s">
        <v>2486</v>
      </c>
    </row>
    <row r="3108" spans="1:2" ht="15" hidden="1" x14ac:dyDescent="0.25">
      <c r="A3108" s="517" t="s">
        <v>2487</v>
      </c>
      <c r="B3108" s="517" t="s">
        <v>2487</v>
      </c>
    </row>
    <row r="3109" spans="1:2" ht="15" hidden="1" x14ac:dyDescent="0.25">
      <c r="A3109" s="517" t="s">
        <v>2488</v>
      </c>
      <c r="B3109" s="517" t="s">
        <v>2488</v>
      </c>
    </row>
    <row r="3110" spans="1:2" ht="15" hidden="1" x14ac:dyDescent="0.25">
      <c r="A3110" s="517" t="s">
        <v>2489</v>
      </c>
      <c r="B3110" s="517" t="s">
        <v>2489</v>
      </c>
    </row>
    <row r="3111" spans="1:2" ht="15" hidden="1" x14ac:dyDescent="0.25">
      <c r="A3111" s="517" t="s">
        <v>2490</v>
      </c>
      <c r="B3111" s="517" t="s">
        <v>2490</v>
      </c>
    </row>
    <row r="3112" spans="1:2" ht="15" hidden="1" x14ac:dyDescent="0.25">
      <c r="A3112" s="517" t="s">
        <v>2490</v>
      </c>
      <c r="B3112" s="517" t="s">
        <v>2490</v>
      </c>
    </row>
    <row r="3113" spans="1:2" ht="15" hidden="1" x14ac:dyDescent="0.25">
      <c r="A3113" s="517" t="s">
        <v>2491</v>
      </c>
      <c r="B3113" s="517" t="s">
        <v>2491</v>
      </c>
    </row>
    <row r="3114" spans="1:2" ht="15" hidden="1" x14ac:dyDescent="0.25">
      <c r="A3114" s="517" t="s">
        <v>2492</v>
      </c>
      <c r="B3114" s="517" t="s">
        <v>2492</v>
      </c>
    </row>
    <row r="3115" spans="1:2" ht="15" hidden="1" x14ac:dyDescent="0.25">
      <c r="A3115" s="517" t="s">
        <v>2493</v>
      </c>
      <c r="B3115" s="517" t="s">
        <v>2493</v>
      </c>
    </row>
    <row r="3116" spans="1:2" ht="15" hidden="1" x14ac:dyDescent="0.25">
      <c r="A3116" s="517" t="s">
        <v>2494</v>
      </c>
      <c r="B3116" s="517" t="s">
        <v>2494</v>
      </c>
    </row>
    <row r="3117" spans="1:2" ht="15" hidden="1" x14ac:dyDescent="0.25">
      <c r="A3117" s="517" t="s">
        <v>2494</v>
      </c>
      <c r="B3117" s="517" t="s">
        <v>2494</v>
      </c>
    </row>
    <row r="3118" spans="1:2" ht="15" hidden="1" x14ac:dyDescent="0.25">
      <c r="A3118" s="517" t="s">
        <v>2495</v>
      </c>
      <c r="B3118" s="517" t="s">
        <v>2495</v>
      </c>
    </row>
    <row r="3119" spans="1:2" ht="15" hidden="1" x14ac:dyDescent="0.25">
      <c r="A3119" s="517" t="s">
        <v>2496</v>
      </c>
      <c r="B3119" s="517" t="s">
        <v>2496</v>
      </c>
    </row>
    <row r="3120" spans="1:2" ht="15" hidden="1" x14ac:dyDescent="0.25">
      <c r="A3120" s="517" t="s">
        <v>2497</v>
      </c>
      <c r="B3120" s="517" t="s">
        <v>2497</v>
      </c>
    </row>
    <row r="3121" spans="1:2" ht="15" hidden="1" x14ac:dyDescent="0.25">
      <c r="A3121" s="517" t="s">
        <v>2498</v>
      </c>
      <c r="B3121" s="517" t="s">
        <v>2498</v>
      </c>
    </row>
    <row r="3122" spans="1:2" ht="15" hidden="1" x14ac:dyDescent="0.25">
      <c r="A3122" s="517" t="s">
        <v>2498</v>
      </c>
      <c r="B3122" s="517" t="s">
        <v>2498</v>
      </c>
    </row>
    <row r="3123" spans="1:2" ht="15" hidden="1" x14ac:dyDescent="0.25">
      <c r="A3123" s="517" t="s">
        <v>2499</v>
      </c>
      <c r="B3123" s="517" t="s">
        <v>2499</v>
      </c>
    </row>
    <row r="3124" spans="1:2" ht="15" hidden="1" x14ac:dyDescent="0.25">
      <c r="A3124" s="517" t="s">
        <v>2500</v>
      </c>
      <c r="B3124" s="517" t="s">
        <v>2500</v>
      </c>
    </row>
    <row r="3125" spans="1:2" ht="15" hidden="1" x14ac:dyDescent="0.25">
      <c r="A3125" s="517" t="s">
        <v>2501</v>
      </c>
      <c r="B3125" s="517" t="s">
        <v>2501</v>
      </c>
    </row>
    <row r="3126" spans="1:2" ht="15" hidden="1" x14ac:dyDescent="0.25">
      <c r="A3126" s="517" t="s">
        <v>2502</v>
      </c>
      <c r="B3126" s="517" t="s">
        <v>2502</v>
      </c>
    </row>
    <row r="3127" spans="1:2" ht="15" hidden="1" x14ac:dyDescent="0.25">
      <c r="A3127" s="517" t="s">
        <v>2503</v>
      </c>
      <c r="B3127" s="517" t="s">
        <v>2503</v>
      </c>
    </row>
    <row r="3128" spans="1:2" ht="15" hidden="1" x14ac:dyDescent="0.25">
      <c r="A3128" s="517" t="s">
        <v>2504</v>
      </c>
      <c r="B3128" s="517" t="s">
        <v>2504</v>
      </c>
    </row>
    <row r="3129" spans="1:2" ht="15" hidden="1" x14ac:dyDescent="0.25">
      <c r="A3129" s="517" t="s">
        <v>2505</v>
      </c>
      <c r="B3129" s="517" t="s">
        <v>2505</v>
      </c>
    </row>
    <row r="3130" spans="1:2" ht="15" hidden="1" x14ac:dyDescent="0.25">
      <c r="A3130" s="517" t="s">
        <v>2506</v>
      </c>
      <c r="B3130" s="517" t="s">
        <v>2506</v>
      </c>
    </row>
    <row r="3131" spans="1:2" ht="15" hidden="1" x14ac:dyDescent="0.25">
      <c r="A3131" s="517" t="s">
        <v>2507</v>
      </c>
      <c r="B3131" s="517" t="s">
        <v>2507</v>
      </c>
    </row>
    <row r="3132" spans="1:2" ht="15" hidden="1" x14ac:dyDescent="0.25">
      <c r="A3132" s="517" t="s">
        <v>2508</v>
      </c>
      <c r="B3132" s="517" t="s">
        <v>2508</v>
      </c>
    </row>
    <row r="3133" spans="1:2" ht="15" hidden="1" x14ac:dyDescent="0.25">
      <c r="A3133" s="517" t="s">
        <v>2508</v>
      </c>
      <c r="B3133" s="517" t="s">
        <v>2508</v>
      </c>
    </row>
    <row r="3134" spans="1:2" ht="15" hidden="1" x14ac:dyDescent="0.25">
      <c r="A3134" s="517" t="s">
        <v>2509</v>
      </c>
      <c r="B3134" s="517" t="s">
        <v>2509</v>
      </c>
    </row>
    <row r="3135" spans="1:2" ht="15" hidden="1" x14ac:dyDescent="0.25">
      <c r="A3135" s="517" t="s">
        <v>2509</v>
      </c>
      <c r="B3135" s="517" t="s">
        <v>2509</v>
      </c>
    </row>
    <row r="3136" spans="1:2" ht="15" hidden="1" x14ac:dyDescent="0.25">
      <c r="A3136" s="517" t="s">
        <v>2510</v>
      </c>
      <c r="B3136" s="517" t="s">
        <v>2510</v>
      </c>
    </row>
    <row r="3137" spans="1:2" ht="15" hidden="1" x14ac:dyDescent="0.25">
      <c r="A3137" s="517" t="s">
        <v>2510</v>
      </c>
      <c r="B3137" s="517" t="s">
        <v>2510</v>
      </c>
    </row>
    <row r="3138" spans="1:2" ht="15" hidden="1" x14ac:dyDescent="0.25">
      <c r="A3138" s="517" t="s">
        <v>2511</v>
      </c>
      <c r="B3138" s="517" t="s">
        <v>2511</v>
      </c>
    </row>
    <row r="3139" spans="1:2" ht="15" hidden="1" x14ac:dyDescent="0.25">
      <c r="A3139" s="517" t="s">
        <v>2512</v>
      </c>
      <c r="B3139" s="517" t="s">
        <v>2512</v>
      </c>
    </row>
    <row r="3140" spans="1:2" ht="15" hidden="1" x14ac:dyDescent="0.25">
      <c r="A3140" s="517" t="s">
        <v>2512</v>
      </c>
      <c r="B3140" s="517" t="s">
        <v>2512</v>
      </c>
    </row>
    <row r="3141" spans="1:2" ht="15" hidden="1" x14ac:dyDescent="0.25">
      <c r="A3141" s="517" t="s">
        <v>2513</v>
      </c>
      <c r="B3141" s="517" t="s">
        <v>2513</v>
      </c>
    </row>
    <row r="3142" spans="1:2" ht="15" hidden="1" x14ac:dyDescent="0.25">
      <c r="A3142" s="517" t="s">
        <v>2514</v>
      </c>
      <c r="B3142" s="517" t="s">
        <v>2514</v>
      </c>
    </row>
    <row r="3143" spans="1:2" ht="15" hidden="1" x14ac:dyDescent="0.25">
      <c r="A3143" s="517" t="s">
        <v>2515</v>
      </c>
      <c r="B3143" s="517" t="s">
        <v>2515</v>
      </c>
    </row>
    <row r="3144" spans="1:2" ht="15" hidden="1" x14ac:dyDescent="0.25">
      <c r="A3144" s="517" t="s">
        <v>2515</v>
      </c>
      <c r="B3144" s="517" t="s">
        <v>2515</v>
      </c>
    </row>
    <row r="3145" spans="1:2" ht="15" hidden="1" x14ac:dyDescent="0.25">
      <c r="A3145" s="517" t="s">
        <v>2516</v>
      </c>
      <c r="B3145" s="517" t="s">
        <v>2516</v>
      </c>
    </row>
    <row r="3146" spans="1:2" ht="15" hidden="1" x14ac:dyDescent="0.25">
      <c r="A3146" s="517" t="s">
        <v>2516</v>
      </c>
      <c r="B3146" s="517" t="s">
        <v>2516</v>
      </c>
    </row>
    <row r="3147" spans="1:2" ht="15" hidden="1" x14ac:dyDescent="0.25">
      <c r="A3147" s="517" t="s">
        <v>2517</v>
      </c>
      <c r="B3147" s="517" t="s">
        <v>2517</v>
      </c>
    </row>
    <row r="3148" spans="1:2" ht="15" hidden="1" x14ac:dyDescent="0.25">
      <c r="A3148" s="517" t="s">
        <v>2518</v>
      </c>
      <c r="B3148" s="517" t="s">
        <v>2518</v>
      </c>
    </row>
    <row r="3149" spans="1:2" ht="15" hidden="1" x14ac:dyDescent="0.25">
      <c r="A3149" s="517" t="s">
        <v>2518</v>
      </c>
      <c r="B3149" s="517" t="s">
        <v>2518</v>
      </c>
    </row>
    <row r="3150" spans="1:2" ht="15" hidden="1" x14ac:dyDescent="0.25">
      <c r="A3150" s="517" t="s">
        <v>2519</v>
      </c>
      <c r="B3150" s="517" t="s">
        <v>2519</v>
      </c>
    </row>
    <row r="3151" spans="1:2" ht="15" hidden="1" x14ac:dyDescent="0.25">
      <c r="A3151" s="517" t="s">
        <v>2520</v>
      </c>
      <c r="B3151" s="517" t="s">
        <v>2520</v>
      </c>
    </row>
    <row r="3152" spans="1:2" ht="15" hidden="1" x14ac:dyDescent="0.25">
      <c r="A3152" s="517" t="s">
        <v>2520</v>
      </c>
      <c r="B3152" s="517" t="s">
        <v>2520</v>
      </c>
    </row>
    <row r="3153" spans="1:2" ht="15" hidden="1" x14ac:dyDescent="0.25">
      <c r="A3153" s="517" t="s">
        <v>2521</v>
      </c>
      <c r="B3153" s="517" t="s">
        <v>2521</v>
      </c>
    </row>
    <row r="3154" spans="1:2" ht="15" hidden="1" x14ac:dyDescent="0.25">
      <c r="A3154" s="517" t="s">
        <v>2522</v>
      </c>
      <c r="B3154" s="517" t="s">
        <v>2522</v>
      </c>
    </row>
    <row r="3155" spans="1:2" ht="15" hidden="1" x14ac:dyDescent="0.25">
      <c r="A3155" s="517" t="s">
        <v>2523</v>
      </c>
      <c r="B3155" s="517" t="s">
        <v>2523</v>
      </c>
    </row>
    <row r="3156" spans="1:2" ht="15" hidden="1" x14ac:dyDescent="0.25">
      <c r="A3156" s="517" t="s">
        <v>2524</v>
      </c>
      <c r="B3156" s="517" t="s">
        <v>2524</v>
      </c>
    </row>
    <row r="3157" spans="1:2" ht="15" hidden="1" x14ac:dyDescent="0.25">
      <c r="A3157" s="517" t="s">
        <v>2525</v>
      </c>
      <c r="B3157" s="517" t="s">
        <v>2525</v>
      </c>
    </row>
    <row r="3158" spans="1:2" ht="15" hidden="1" x14ac:dyDescent="0.25">
      <c r="A3158" s="517" t="s">
        <v>2526</v>
      </c>
      <c r="B3158" s="517" t="s">
        <v>2526</v>
      </c>
    </row>
    <row r="3159" spans="1:2" ht="15" hidden="1" x14ac:dyDescent="0.25">
      <c r="A3159" s="517" t="s">
        <v>2526</v>
      </c>
      <c r="B3159" s="517" t="s">
        <v>2526</v>
      </c>
    </row>
    <row r="3160" spans="1:2" ht="15" hidden="1" x14ac:dyDescent="0.25">
      <c r="A3160" s="517" t="s">
        <v>2527</v>
      </c>
      <c r="B3160" s="517" t="s">
        <v>2527</v>
      </c>
    </row>
    <row r="3161" spans="1:2" ht="15" hidden="1" x14ac:dyDescent="0.25">
      <c r="A3161" s="517" t="s">
        <v>2527</v>
      </c>
      <c r="B3161" s="517" t="s">
        <v>2527</v>
      </c>
    </row>
    <row r="3162" spans="1:2" ht="15" hidden="1" x14ac:dyDescent="0.25">
      <c r="A3162" s="517" t="s">
        <v>2528</v>
      </c>
      <c r="B3162" s="517" t="s">
        <v>2528</v>
      </c>
    </row>
    <row r="3163" spans="1:2" ht="15" hidden="1" x14ac:dyDescent="0.25">
      <c r="A3163" s="517" t="s">
        <v>2529</v>
      </c>
      <c r="B3163" s="517" t="s">
        <v>2529</v>
      </c>
    </row>
    <row r="3164" spans="1:2" ht="15" hidden="1" x14ac:dyDescent="0.25">
      <c r="A3164" s="517" t="s">
        <v>2530</v>
      </c>
      <c r="B3164" s="517" t="s">
        <v>2530</v>
      </c>
    </row>
    <row r="3165" spans="1:2" ht="15" hidden="1" x14ac:dyDescent="0.25">
      <c r="A3165" s="517" t="s">
        <v>2531</v>
      </c>
      <c r="B3165" s="517" t="s">
        <v>2531</v>
      </c>
    </row>
    <row r="3166" spans="1:2" ht="15" hidden="1" x14ac:dyDescent="0.25">
      <c r="A3166" s="517" t="s">
        <v>2532</v>
      </c>
      <c r="B3166" s="517" t="s">
        <v>2532</v>
      </c>
    </row>
    <row r="3167" spans="1:2" ht="15" hidden="1" x14ac:dyDescent="0.25">
      <c r="A3167" s="517" t="s">
        <v>2533</v>
      </c>
      <c r="B3167" s="517" t="s">
        <v>2533</v>
      </c>
    </row>
    <row r="3168" spans="1:2" ht="15" hidden="1" x14ac:dyDescent="0.25">
      <c r="A3168" s="517" t="s">
        <v>2534</v>
      </c>
      <c r="B3168" s="517" t="s">
        <v>2534</v>
      </c>
    </row>
    <row r="3169" spans="1:2" ht="15" hidden="1" x14ac:dyDescent="0.25">
      <c r="A3169" s="517" t="s">
        <v>2535</v>
      </c>
      <c r="B3169" s="517" t="s">
        <v>2535</v>
      </c>
    </row>
    <row r="3170" spans="1:2" ht="15" hidden="1" x14ac:dyDescent="0.25">
      <c r="A3170" s="517" t="s">
        <v>2536</v>
      </c>
      <c r="B3170" s="517" t="s">
        <v>2536</v>
      </c>
    </row>
    <row r="3171" spans="1:2" ht="15" hidden="1" x14ac:dyDescent="0.25">
      <c r="A3171" s="517" t="s">
        <v>2536</v>
      </c>
      <c r="B3171" s="517" t="s">
        <v>2536</v>
      </c>
    </row>
    <row r="3172" spans="1:2" ht="15" hidden="1" x14ac:dyDescent="0.25">
      <c r="A3172" s="517" t="s">
        <v>2537</v>
      </c>
      <c r="B3172" s="517" t="s">
        <v>2537</v>
      </c>
    </row>
    <row r="3173" spans="1:2" ht="15" hidden="1" x14ac:dyDescent="0.25">
      <c r="A3173" s="517" t="s">
        <v>2537</v>
      </c>
      <c r="B3173" s="517" t="s">
        <v>2537</v>
      </c>
    </row>
    <row r="3174" spans="1:2" ht="15" hidden="1" x14ac:dyDescent="0.25">
      <c r="A3174" s="517" t="s">
        <v>2538</v>
      </c>
      <c r="B3174" s="517" t="s">
        <v>2538</v>
      </c>
    </row>
    <row r="3175" spans="1:2" ht="15" hidden="1" x14ac:dyDescent="0.25">
      <c r="A3175" s="517" t="s">
        <v>2539</v>
      </c>
      <c r="B3175" s="517" t="s">
        <v>2539</v>
      </c>
    </row>
    <row r="3176" spans="1:2" ht="15" hidden="1" x14ac:dyDescent="0.25">
      <c r="A3176" s="517" t="s">
        <v>2540</v>
      </c>
      <c r="B3176" s="517" t="s">
        <v>2540</v>
      </c>
    </row>
    <row r="3177" spans="1:2" ht="15" hidden="1" x14ac:dyDescent="0.25">
      <c r="A3177" s="517" t="s">
        <v>2540</v>
      </c>
      <c r="B3177" s="517" t="s">
        <v>2540</v>
      </c>
    </row>
    <row r="3178" spans="1:2" ht="15" hidden="1" x14ac:dyDescent="0.25">
      <c r="A3178" s="517" t="s">
        <v>2541</v>
      </c>
      <c r="B3178" s="517" t="s">
        <v>2541</v>
      </c>
    </row>
    <row r="3179" spans="1:2" ht="15" hidden="1" x14ac:dyDescent="0.25">
      <c r="A3179" s="517" t="s">
        <v>2542</v>
      </c>
      <c r="B3179" s="517" t="s">
        <v>2542</v>
      </c>
    </row>
    <row r="3180" spans="1:2" ht="15" hidden="1" x14ac:dyDescent="0.25">
      <c r="A3180" s="517" t="s">
        <v>2543</v>
      </c>
      <c r="B3180" s="517" t="s">
        <v>2543</v>
      </c>
    </row>
    <row r="3181" spans="1:2" ht="15" hidden="1" x14ac:dyDescent="0.25">
      <c r="A3181" s="517" t="s">
        <v>2544</v>
      </c>
      <c r="B3181" s="517" t="s">
        <v>2544</v>
      </c>
    </row>
    <row r="3182" spans="1:2" ht="15" hidden="1" x14ac:dyDescent="0.25">
      <c r="A3182" s="517" t="s">
        <v>2545</v>
      </c>
      <c r="B3182" s="517" t="s">
        <v>2545</v>
      </c>
    </row>
    <row r="3183" spans="1:2" ht="15" hidden="1" x14ac:dyDescent="0.25">
      <c r="A3183" s="517" t="s">
        <v>2546</v>
      </c>
      <c r="B3183" s="517" t="s">
        <v>2546</v>
      </c>
    </row>
    <row r="3184" spans="1:2" ht="15" hidden="1" x14ac:dyDescent="0.25">
      <c r="A3184" s="517" t="s">
        <v>2547</v>
      </c>
      <c r="B3184" s="517" t="s">
        <v>2547</v>
      </c>
    </row>
    <row r="3185" spans="1:2" ht="15" hidden="1" x14ac:dyDescent="0.25">
      <c r="A3185" s="517" t="s">
        <v>2547</v>
      </c>
      <c r="B3185" s="517" t="s">
        <v>2547</v>
      </c>
    </row>
    <row r="3186" spans="1:2" ht="15" hidden="1" x14ac:dyDescent="0.25">
      <c r="A3186" s="517" t="s">
        <v>2548</v>
      </c>
      <c r="B3186" s="517" t="s">
        <v>2548</v>
      </c>
    </row>
    <row r="3187" spans="1:2" ht="15" hidden="1" x14ac:dyDescent="0.25">
      <c r="A3187" s="517" t="s">
        <v>2548</v>
      </c>
      <c r="B3187" s="517" t="s">
        <v>2548</v>
      </c>
    </row>
    <row r="3188" spans="1:2" ht="15" hidden="1" x14ac:dyDescent="0.25">
      <c r="A3188" s="517" t="s">
        <v>2549</v>
      </c>
      <c r="B3188" s="517" t="s">
        <v>2549</v>
      </c>
    </row>
    <row r="3189" spans="1:2" ht="15" hidden="1" x14ac:dyDescent="0.25">
      <c r="A3189" s="517" t="s">
        <v>2550</v>
      </c>
      <c r="B3189" s="517" t="s">
        <v>2550</v>
      </c>
    </row>
    <row r="3190" spans="1:2" ht="15" hidden="1" x14ac:dyDescent="0.25">
      <c r="A3190" s="517" t="s">
        <v>2551</v>
      </c>
      <c r="B3190" s="517" t="s">
        <v>2551</v>
      </c>
    </row>
    <row r="3191" spans="1:2" ht="15" hidden="1" x14ac:dyDescent="0.25">
      <c r="A3191" s="517" t="s">
        <v>2552</v>
      </c>
      <c r="B3191" s="517" t="s">
        <v>2552</v>
      </c>
    </row>
    <row r="3192" spans="1:2" ht="15" hidden="1" x14ac:dyDescent="0.25">
      <c r="A3192" s="517" t="s">
        <v>2552</v>
      </c>
      <c r="B3192" s="517" t="s">
        <v>2552</v>
      </c>
    </row>
    <row r="3193" spans="1:2" ht="15" hidden="1" x14ac:dyDescent="0.25">
      <c r="A3193" s="517" t="s">
        <v>2553</v>
      </c>
      <c r="B3193" s="517" t="s">
        <v>2553</v>
      </c>
    </row>
    <row r="3194" spans="1:2" ht="15" hidden="1" x14ac:dyDescent="0.25">
      <c r="A3194" s="517" t="s">
        <v>2554</v>
      </c>
      <c r="B3194" s="517" t="s">
        <v>2554</v>
      </c>
    </row>
    <row r="3195" spans="1:2" ht="15" hidden="1" x14ac:dyDescent="0.25">
      <c r="A3195" s="517" t="s">
        <v>2555</v>
      </c>
      <c r="B3195" s="517" t="s">
        <v>2555</v>
      </c>
    </row>
    <row r="3196" spans="1:2" ht="15" hidden="1" x14ac:dyDescent="0.25">
      <c r="A3196" s="517" t="s">
        <v>2556</v>
      </c>
      <c r="B3196" s="517" t="s">
        <v>2556</v>
      </c>
    </row>
    <row r="3197" spans="1:2" ht="15" hidden="1" x14ac:dyDescent="0.25">
      <c r="A3197" s="517" t="s">
        <v>2557</v>
      </c>
      <c r="B3197" s="517" t="s">
        <v>2557</v>
      </c>
    </row>
    <row r="3198" spans="1:2" ht="15" hidden="1" x14ac:dyDescent="0.25">
      <c r="A3198" s="517" t="s">
        <v>2558</v>
      </c>
      <c r="B3198" s="517" t="s">
        <v>2558</v>
      </c>
    </row>
    <row r="3199" spans="1:2" ht="15" hidden="1" x14ac:dyDescent="0.25">
      <c r="A3199" s="517" t="s">
        <v>2559</v>
      </c>
      <c r="B3199" s="517" t="s">
        <v>2559</v>
      </c>
    </row>
    <row r="3200" spans="1:2" ht="15" hidden="1" x14ac:dyDescent="0.25">
      <c r="A3200" s="517" t="s">
        <v>2560</v>
      </c>
      <c r="B3200" s="517" t="s">
        <v>2560</v>
      </c>
    </row>
    <row r="3201" spans="1:2" ht="15" hidden="1" x14ac:dyDescent="0.25">
      <c r="A3201" s="517" t="s">
        <v>2561</v>
      </c>
      <c r="B3201" s="517" t="s">
        <v>2561</v>
      </c>
    </row>
    <row r="3202" spans="1:2" ht="15" hidden="1" x14ac:dyDescent="0.25">
      <c r="A3202" s="517" t="s">
        <v>2562</v>
      </c>
      <c r="B3202" s="517" t="s">
        <v>2562</v>
      </c>
    </row>
    <row r="3203" spans="1:2" ht="15" hidden="1" x14ac:dyDescent="0.25">
      <c r="A3203" s="517" t="s">
        <v>2563</v>
      </c>
      <c r="B3203" s="517" t="s">
        <v>2563</v>
      </c>
    </row>
    <row r="3204" spans="1:2" ht="15" hidden="1" x14ac:dyDescent="0.25">
      <c r="A3204" s="517" t="s">
        <v>2563</v>
      </c>
      <c r="B3204" s="517" t="s">
        <v>2563</v>
      </c>
    </row>
    <row r="3205" spans="1:2" ht="15" hidden="1" x14ac:dyDescent="0.25">
      <c r="A3205" s="517" t="s">
        <v>2564</v>
      </c>
      <c r="B3205" s="517" t="s">
        <v>2564</v>
      </c>
    </row>
    <row r="3206" spans="1:2" ht="15" hidden="1" x14ac:dyDescent="0.25">
      <c r="A3206" s="517" t="s">
        <v>2565</v>
      </c>
      <c r="B3206" s="517" t="s">
        <v>2565</v>
      </c>
    </row>
    <row r="3207" spans="1:2" ht="15" hidden="1" x14ac:dyDescent="0.25">
      <c r="A3207" s="517" t="s">
        <v>2566</v>
      </c>
      <c r="B3207" s="517" t="s">
        <v>2566</v>
      </c>
    </row>
    <row r="3208" spans="1:2" ht="15" hidden="1" x14ac:dyDescent="0.25">
      <c r="A3208" s="517" t="s">
        <v>2567</v>
      </c>
      <c r="B3208" s="517" t="s">
        <v>2567</v>
      </c>
    </row>
    <row r="3209" spans="1:2" ht="15" hidden="1" x14ac:dyDescent="0.25">
      <c r="A3209" s="517" t="s">
        <v>2568</v>
      </c>
      <c r="B3209" s="517" t="s">
        <v>2568</v>
      </c>
    </row>
    <row r="3210" spans="1:2" ht="15" hidden="1" x14ac:dyDescent="0.25">
      <c r="A3210" s="517" t="s">
        <v>2569</v>
      </c>
      <c r="B3210" s="517" t="s">
        <v>2569</v>
      </c>
    </row>
    <row r="3211" spans="1:2" ht="15" hidden="1" x14ac:dyDescent="0.25">
      <c r="A3211" s="517" t="s">
        <v>2569</v>
      </c>
      <c r="B3211" s="517" t="s">
        <v>2569</v>
      </c>
    </row>
    <row r="3212" spans="1:2" ht="15" hidden="1" x14ac:dyDescent="0.25">
      <c r="A3212" s="517" t="s">
        <v>2570</v>
      </c>
      <c r="B3212" s="517" t="s">
        <v>2570</v>
      </c>
    </row>
    <row r="3213" spans="1:2" ht="15" hidden="1" x14ac:dyDescent="0.25">
      <c r="A3213" s="517" t="s">
        <v>2571</v>
      </c>
      <c r="B3213" s="517" t="s">
        <v>2571</v>
      </c>
    </row>
    <row r="3214" spans="1:2" ht="15" hidden="1" x14ac:dyDescent="0.25">
      <c r="A3214" s="517" t="s">
        <v>2572</v>
      </c>
      <c r="B3214" s="517" t="s">
        <v>2572</v>
      </c>
    </row>
    <row r="3215" spans="1:2" ht="15" hidden="1" x14ac:dyDescent="0.25">
      <c r="A3215" s="517" t="s">
        <v>2573</v>
      </c>
      <c r="B3215" s="517" t="s">
        <v>2573</v>
      </c>
    </row>
    <row r="3216" spans="1:2" ht="15" hidden="1" x14ac:dyDescent="0.25">
      <c r="A3216" s="517" t="s">
        <v>2574</v>
      </c>
      <c r="B3216" s="517" t="s">
        <v>2574</v>
      </c>
    </row>
    <row r="3217" spans="1:2" ht="15" hidden="1" x14ac:dyDescent="0.25">
      <c r="A3217" s="517" t="s">
        <v>2575</v>
      </c>
      <c r="B3217" s="517" t="s">
        <v>2575</v>
      </c>
    </row>
    <row r="3218" spans="1:2" ht="15" hidden="1" x14ac:dyDescent="0.25">
      <c r="A3218" s="517" t="s">
        <v>2576</v>
      </c>
      <c r="B3218" s="517" t="s">
        <v>2576</v>
      </c>
    </row>
    <row r="3219" spans="1:2" ht="15" hidden="1" x14ac:dyDescent="0.25">
      <c r="A3219" s="517" t="s">
        <v>2577</v>
      </c>
      <c r="B3219" s="517" t="s">
        <v>2577</v>
      </c>
    </row>
    <row r="3220" spans="1:2" ht="15" hidden="1" x14ac:dyDescent="0.25">
      <c r="A3220" s="517" t="s">
        <v>2578</v>
      </c>
      <c r="B3220" s="517" t="s">
        <v>2578</v>
      </c>
    </row>
    <row r="3221" spans="1:2" ht="15" hidden="1" x14ac:dyDescent="0.25">
      <c r="A3221" s="517" t="s">
        <v>2578</v>
      </c>
      <c r="B3221" s="517" t="s">
        <v>2578</v>
      </c>
    </row>
    <row r="3222" spans="1:2" ht="15" hidden="1" x14ac:dyDescent="0.25">
      <c r="A3222" s="517" t="s">
        <v>2579</v>
      </c>
      <c r="B3222" s="517" t="s">
        <v>2579</v>
      </c>
    </row>
    <row r="3223" spans="1:2" ht="15" hidden="1" x14ac:dyDescent="0.25">
      <c r="A3223" s="517" t="s">
        <v>2580</v>
      </c>
      <c r="B3223" s="517" t="s">
        <v>2580</v>
      </c>
    </row>
    <row r="3224" spans="1:2" ht="15" hidden="1" x14ac:dyDescent="0.25">
      <c r="A3224" s="517" t="s">
        <v>2581</v>
      </c>
      <c r="B3224" s="517" t="s">
        <v>2581</v>
      </c>
    </row>
    <row r="3225" spans="1:2" ht="15" hidden="1" x14ac:dyDescent="0.25">
      <c r="A3225" s="517" t="s">
        <v>2582</v>
      </c>
      <c r="B3225" s="517" t="s">
        <v>2582</v>
      </c>
    </row>
    <row r="3226" spans="1:2" ht="15" hidden="1" x14ac:dyDescent="0.25">
      <c r="A3226" s="517" t="s">
        <v>2583</v>
      </c>
      <c r="B3226" s="517" t="s">
        <v>2583</v>
      </c>
    </row>
    <row r="3227" spans="1:2" ht="15" hidden="1" x14ac:dyDescent="0.25">
      <c r="A3227" s="517" t="s">
        <v>2584</v>
      </c>
      <c r="B3227" s="517" t="s">
        <v>2447</v>
      </c>
    </row>
    <row r="3228" spans="1:2" ht="15" hidden="1" x14ac:dyDescent="0.25">
      <c r="A3228" s="517" t="s">
        <v>2585</v>
      </c>
      <c r="B3228" s="517" t="s">
        <v>2586</v>
      </c>
    </row>
    <row r="3229" spans="1:2" ht="15" hidden="1" x14ac:dyDescent="0.25">
      <c r="A3229" s="517" t="s">
        <v>2587</v>
      </c>
      <c r="B3229" s="517" t="s">
        <v>2588</v>
      </c>
    </row>
    <row r="3230" spans="1:2" ht="15" hidden="1" x14ac:dyDescent="0.25">
      <c r="A3230" s="517" t="s">
        <v>2589</v>
      </c>
      <c r="B3230" s="517" t="s">
        <v>2590</v>
      </c>
    </row>
    <row r="3231" spans="1:2" ht="15" hidden="1" x14ac:dyDescent="0.25">
      <c r="A3231" s="517" t="s">
        <v>2591</v>
      </c>
      <c r="B3231" s="517" t="s">
        <v>2592</v>
      </c>
    </row>
    <row r="3232" spans="1:2" ht="15" hidden="1" x14ac:dyDescent="0.25">
      <c r="A3232" s="517" t="s">
        <v>2593</v>
      </c>
      <c r="B3232" s="517" t="s">
        <v>2594</v>
      </c>
    </row>
    <row r="3233" spans="1:2" ht="15" hidden="1" x14ac:dyDescent="0.25">
      <c r="A3233" s="517" t="s">
        <v>2595</v>
      </c>
      <c r="B3233" s="517" t="s">
        <v>2596</v>
      </c>
    </row>
    <row r="3234" spans="1:2" ht="15" hidden="1" x14ac:dyDescent="0.25">
      <c r="A3234" s="517" t="s">
        <v>1778</v>
      </c>
      <c r="B3234" s="517" t="s">
        <v>1779</v>
      </c>
    </row>
    <row r="3235" spans="1:2" ht="15" hidden="1" x14ac:dyDescent="0.25">
      <c r="A3235" s="517" t="s">
        <v>2597</v>
      </c>
      <c r="B3235" s="517" t="s">
        <v>2598</v>
      </c>
    </row>
    <row r="3236" spans="1:2" ht="15" hidden="1" x14ac:dyDescent="0.25">
      <c r="A3236" s="517" t="s">
        <v>216</v>
      </c>
      <c r="B3236" s="517" t="s">
        <v>364</v>
      </c>
    </row>
    <row r="3237" spans="1:2" ht="15" hidden="1" x14ac:dyDescent="0.25">
      <c r="A3237" s="517" t="s">
        <v>216</v>
      </c>
      <c r="B3237" s="517" t="s">
        <v>364</v>
      </c>
    </row>
    <row r="3238" spans="1:2" ht="15" hidden="1" x14ac:dyDescent="0.25">
      <c r="A3238" s="517" t="s">
        <v>216</v>
      </c>
      <c r="B3238" s="517" t="s">
        <v>364</v>
      </c>
    </row>
    <row r="3239" spans="1:2" ht="15" hidden="1" x14ac:dyDescent="0.25">
      <c r="A3239" s="517" t="s">
        <v>216</v>
      </c>
      <c r="B3239" s="517" t="s">
        <v>364</v>
      </c>
    </row>
    <row r="3240" spans="1:2" ht="15" hidden="1" x14ac:dyDescent="0.25">
      <c r="A3240" s="517" t="s">
        <v>2599</v>
      </c>
      <c r="B3240" s="517" t="s">
        <v>2600</v>
      </c>
    </row>
    <row r="3241" spans="1:2" ht="15" hidden="1" x14ac:dyDescent="0.25">
      <c r="A3241" s="517" t="s">
        <v>2601</v>
      </c>
      <c r="B3241" s="517" t="s">
        <v>2602</v>
      </c>
    </row>
    <row r="3242" spans="1:2" ht="15" hidden="1" x14ac:dyDescent="0.25">
      <c r="A3242" s="517" t="s">
        <v>2601</v>
      </c>
      <c r="B3242" s="517" t="s">
        <v>2602</v>
      </c>
    </row>
    <row r="3243" spans="1:2" ht="15" hidden="1" x14ac:dyDescent="0.25">
      <c r="A3243" s="517" t="s">
        <v>2603</v>
      </c>
      <c r="B3243" s="517" t="s">
        <v>2604</v>
      </c>
    </row>
    <row r="3244" spans="1:2" ht="15" hidden="1" x14ac:dyDescent="0.25">
      <c r="A3244" s="517" t="s">
        <v>2603</v>
      </c>
      <c r="B3244" s="517" t="s">
        <v>2604</v>
      </c>
    </row>
    <row r="3245" spans="1:2" ht="15" hidden="1" x14ac:dyDescent="0.25">
      <c r="A3245" s="517" t="s">
        <v>2605</v>
      </c>
      <c r="B3245" s="517" t="s">
        <v>2606</v>
      </c>
    </row>
    <row r="3246" spans="1:2" ht="15" hidden="1" x14ac:dyDescent="0.25">
      <c r="A3246" s="517" t="s">
        <v>2607</v>
      </c>
      <c r="B3246" s="517" t="s">
        <v>2608</v>
      </c>
    </row>
    <row r="3247" spans="1:2" ht="15" hidden="1" x14ac:dyDescent="0.25">
      <c r="A3247" s="517" t="s">
        <v>2607</v>
      </c>
      <c r="B3247" s="517" t="s">
        <v>2608</v>
      </c>
    </row>
    <row r="3248" spans="1:2" ht="15" hidden="1" x14ac:dyDescent="0.25">
      <c r="A3248" s="518" t="s">
        <v>2609</v>
      </c>
      <c r="B3248" s="518" t="s">
        <v>2610</v>
      </c>
    </row>
    <row r="3249" spans="1:2" ht="15" hidden="1" x14ac:dyDescent="0.25">
      <c r="A3249" s="517" t="s">
        <v>2611</v>
      </c>
      <c r="B3249" s="517" t="s">
        <v>2612</v>
      </c>
    </row>
    <row r="3250" spans="1:2" ht="15" hidden="1" x14ac:dyDescent="0.25">
      <c r="A3250" s="517" t="s">
        <v>2613</v>
      </c>
      <c r="B3250" s="517" t="s">
        <v>2614</v>
      </c>
    </row>
    <row r="3251" spans="1:2" ht="15" hidden="1" x14ac:dyDescent="0.25">
      <c r="A3251" s="517" t="s">
        <v>2613</v>
      </c>
      <c r="B3251" s="517" t="s">
        <v>2614</v>
      </c>
    </row>
    <row r="3252" spans="1:2" ht="15" hidden="1" x14ac:dyDescent="0.25">
      <c r="A3252" s="517" t="s">
        <v>226</v>
      </c>
      <c r="B3252" s="517" t="s">
        <v>371</v>
      </c>
    </row>
    <row r="3253" spans="1:2" ht="15" hidden="1" x14ac:dyDescent="0.25">
      <c r="A3253" s="517" t="s">
        <v>2615</v>
      </c>
      <c r="B3253" s="517" t="s">
        <v>2616</v>
      </c>
    </row>
    <row r="3254" spans="1:2" ht="15" hidden="1" x14ac:dyDescent="0.25">
      <c r="A3254" s="517" t="s">
        <v>2617</v>
      </c>
      <c r="B3254" s="517" t="s">
        <v>2618</v>
      </c>
    </row>
    <row r="3255" spans="1:2" ht="15" hidden="1" x14ac:dyDescent="0.25">
      <c r="A3255" s="517" t="s">
        <v>2617</v>
      </c>
      <c r="B3255" s="517" t="s">
        <v>2618</v>
      </c>
    </row>
    <row r="3256" spans="1:2" ht="15" hidden="1" x14ac:dyDescent="0.25">
      <c r="A3256" s="517" t="s">
        <v>2619</v>
      </c>
      <c r="B3256" s="517" t="s">
        <v>2620</v>
      </c>
    </row>
    <row r="3257" spans="1:2" ht="15" hidden="1" x14ac:dyDescent="0.25">
      <c r="A3257" s="517" t="s">
        <v>2619</v>
      </c>
      <c r="B3257" s="517" t="s">
        <v>2620</v>
      </c>
    </row>
    <row r="3258" spans="1:2" ht="15" hidden="1" x14ac:dyDescent="0.25">
      <c r="A3258" s="517" t="s">
        <v>2619</v>
      </c>
      <c r="B3258" s="517" t="s">
        <v>2620</v>
      </c>
    </row>
    <row r="3259" spans="1:2" ht="15" hidden="1" x14ac:dyDescent="0.25">
      <c r="A3259" s="517" t="s">
        <v>2621</v>
      </c>
      <c r="B3259" s="517" t="s">
        <v>2622</v>
      </c>
    </row>
    <row r="3260" spans="1:2" ht="15" hidden="1" x14ac:dyDescent="0.25">
      <c r="A3260" s="517" t="s">
        <v>2623</v>
      </c>
      <c r="B3260" s="517" t="s">
        <v>2624</v>
      </c>
    </row>
    <row r="3261" spans="1:2" ht="15" hidden="1" x14ac:dyDescent="0.25">
      <c r="A3261" s="517" t="s">
        <v>2625</v>
      </c>
      <c r="B3261" s="517" t="s">
        <v>2626</v>
      </c>
    </row>
    <row r="3262" spans="1:2" ht="15" hidden="1" x14ac:dyDescent="0.25">
      <c r="A3262" s="517" t="s">
        <v>2627</v>
      </c>
      <c r="B3262" s="517" t="s">
        <v>2628</v>
      </c>
    </row>
    <row r="3263" spans="1:2" ht="15" hidden="1" x14ac:dyDescent="0.25">
      <c r="A3263" s="517" t="s">
        <v>2629</v>
      </c>
      <c r="B3263" s="517" t="s">
        <v>2630</v>
      </c>
    </row>
    <row r="3264" spans="1:2" ht="15" hidden="1" x14ac:dyDescent="0.25">
      <c r="A3264" s="517" t="s">
        <v>2631</v>
      </c>
      <c r="B3264" s="517" t="s">
        <v>2632</v>
      </c>
    </row>
    <row r="3265" spans="1:2" ht="15" hidden="1" x14ac:dyDescent="0.25">
      <c r="A3265" s="517" t="s">
        <v>2633</v>
      </c>
      <c r="B3265" s="517" t="s">
        <v>2634</v>
      </c>
    </row>
    <row r="3266" spans="1:2" ht="15" hidden="1" x14ac:dyDescent="0.25">
      <c r="A3266" s="517" t="s">
        <v>2633</v>
      </c>
      <c r="B3266" s="517" t="s">
        <v>2634</v>
      </c>
    </row>
    <row r="3267" spans="1:2" ht="15" hidden="1" x14ac:dyDescent="0.25">
      <c r="A3267" s="517" t="s">
        <v>2635</v>
      </c>
      <c r="B3267" s="517" t="s">
        <v>2636</v>
      </c>
    </row>
    <row r="3268" spans="1:2" ht="15" hidden="1" x14ac:dyDescent="0.25">
      <c r="A3268" s="517" t="s">
        <v>2637</v>
      </c>
      <c r="B3268" s="517" t="s">
        <v>2434</v>
      </c>
    </row>
    <row r="3269" spans="1:2" ht="15" hidden="1" x14ac:dyDescent="0.25">
      <c r="A3269" s="517" t="s">
        <v>2638</v>
      </c>
      <c r="B3269" s="517" t="s">
        <v>2639</v>
      </c>
    </row>
    <row r="3270" spans="1:2" ht="15" hidden="1" x14ac:dyDescent="0.25">
      <c r="A3270" s="517" t="s">
        <v>1126</v>
      </c>
      <c r="B3270" s="517" t="s">
        <v>1127</v>
      </c>
    </row>
    <row r="3271" spans="1:2" ht="15" hidden="1" x14ac:dyDescent="0.25">
      <c r="A3271" s="517" t="s">
        <v>1126</v>
      </c>
      <c r="B3271" s="517" t="s">
        <v>1127</v>
      </c>
    </row>
    <row r="3272" spans="1:2" ht="15" hidden="1" x14ac:dyDescent="0.25">
      <c r="A3272" s="517" t="s">
        <v>235</v>
      </c>
      <c r="B3272" s="517" t="s">
        <v>379</v>
      </c>
    </row>
    <row r="3273" spans="1:2" ht="15" hidden="1" x14ac:dyDescent="0.25">
      <c r="A3273" s="517" t="s">
        <v>2640</v>
      </c>
      <c r="B3273" s="517" t="s">
        <v>2641</v>
      </c>
    </row>
    <row r="3274" spans="1:2" ht="15" hidden="1" x14ac:dyDescent="0.25">
      <c r="A3274" s="517" t="s">
        <v>2642</v>
      </c>
      <c r="B3274" s="517" t="s">
        <v>2643</v>
      </c>
    </row>
    <row r="3275" spans="1:2" ht="15" hidden="1" x14ac:dyDescent="0.25">
      <c r="A3275" s="517" t="s">
        <v>2642</v>
      </c>
      <c r="B3275" s="517" t="s">
        <v>2643</v>
      </c>
    </row>
    <row r="3276" spans="1:2" ht="15" hidden="1" x14ac:dyDescent="0.25">
      <c r="A3276" s="519" t="s">
        <v>2644</v>
      </c>
      <c r="B3276" s="519" t="s">
        <v>2645</v>
      </c>
    </row>
    <row r="3277" spans="1:2" ht="15" hidden="1" x14ac:dyDescent="0.25">
      <c r="A3277" s="517" t="s">
        <v>2646</v>
      </c>
      <c r="B3277" s="517" t="s">
        <v>2647</v>
      </c>
    </row>
    <row r="3278" spans="1:2" ht="15" hidden="1" x14ac:dyDescent="0.25">
      <c r="A3278" s="517" t="s">
        <v>2648</v>
      </c>
      <c r="B3278" s="517" t="s">
        <v>2451</v>
      </c>
    </row>
    <row r="3279" spans="1:2" ht="15" hidden="1" x14ac:dyDescent="0.25">
      <c r="A3279" s="517" t="s">
        <v>2649</v>
      </c>
      <c r="B3279" s="517" t="s">
        <v>2650</v>
      </c>
    </row>
    <row r="3280" spans="1:2" ht="15" hidden="1" x14ac:dyDescent="0.25">
      <c r="A3280" s="517" t="s">
        <v>2649</v>
      </c>
      <c r="B3280" s="517" t="s">
        <v>2650</v>
      </c>
    </row>
    <row r="3281" spans="1:2" ht="15" hidden="1" x14ac:dyDescent="0.25">
      <c r="A3281" s="517" t="s">
        <v>2649</v>
      </c>
      <c r="B3281" s="517" t="s">
        <v>2650</v>
      </c>
    </row>
    <row r="3282" spans="1:2" ht="15" hidden="1" x14ac:dyDescent="0.25">
      <c r="A3282" s="517" t="s">
        <v>2651</v>
      </c>
      <c r="B3282" s="517" t="s">
        <v>2652</v>
      </c>
    </row>
    <row r="3283" spans="1:2" ht="15" hidden="1" x14ac:dyDescent="0.25">
      <c r="A3283" s="517" t="s">
        <v>2653</v>
      </c>
      <c r="B3283" s="517" t="s">
        <v>2654</v>
      </c>
    </row>
    <row r="3284" spans="1:2" ht="15" hidden="1" x14ac:dyDescent="0.25">
      <c r="A3284" s="517" t="s">
        <v>2653</v>
      </c>
      <c r="B3284" s="517" t="s">
        <v>2654</v>
      </c>
    </row>
    <row r="3285" spans="1:2" ht="15" hidden="1" x14ac:dyDescent="0.25">
      <c r="A3285" s="517" t="s">
        <v>2655</v>
      </c>
      <c r="B3285" s="517" t="s">
        <v>2656</v>
      </c>
    </row>
    <row r="3286" spans="1:2" ht="15" hidden="1" x14ac:dyDescent="0.25">
      <c r="A3286" s="517" t="s">
        <v>2655</v>
      </c>
      <c r="B3286" s="517" t="s">
        <v>2656</v>
      </c>
    </row>
    <row r="3287" spans="1:2" ht="15" hidden="1" x14ac:dyDescent="0.25">
      <c r="A3287" s="517" t="s">
        <v>2657</v>
      </c>
      <c r="B3287" s="517" t="s">
        <v>2658</v>
      </c>
    </row>
    <row r="3288" spans="1:2" ht="15" hidden="1" x14ac:dyDescent="0.25">
      <c r="A3288" s="517" t="s">
        <v>2657</v>
      </c>
      <c r="B3288" s="517" t="s">
        <v>2658</v>
      </c>
    </row>
    <row r="3289" spans="1:2" ht="15" hidden="1" x14ac:dyDescent="0.25">
      <c r="A3289" s="517" t="s">
        <v>2657</v>
      </c>
      <c r="B3289" s="517" t="s">
        <v>2658</v>
      </c>
    </row>
    <row r="3290" spans="1:2" ht="15" hidden="1" x14ac:dyDescent="0.25">
      <c r="A3290" s="517" t="s">
        <v>2659</v>
      </c>
      <c r="B3290" s="517" t="s">
        <v>2660</v>
      </c>
    </row>
    <row r="3291" spans="1:2" ht="15" hidden="1" x14ac:dyDescent="0.25">
      <c r="A3291" s="517" t="s">
        <v>2661</v>
      </c>
      <c r="B3291" s="517" t="s">
        <v>2662</v>
      </c>
    </row>
    <row r="3292" spans="1:2" ht="15" hidden="1" x14ac:dyDescent="0.25">
      <c r="A3292" s="517" t="s">
        <v>2661</v>
      </c>
      <c r="B3292" s="517" t="s">
        <v>2662</v>
      </c>
    </row>
    <row r="3293" spans="1:2" ht="15" hidden="1" x14ac:dyDescent="0.25">
      <c r="A3293" s="517" t="s">
        <v>2661</v>
      </c>
      <c r="B3293" s="517" t="s">
        <v>2662</v>
      </c>
    </row>
    <row r="3294" spans="1:2" ht="15" hidden="1" x14ac:dyDescent="0.25">
      <c r="A3294" s="517" t="s">
        <v>2661</v>
      </c>
      <c r="B3294" s="517" t="s">
        <v>2662</v>
      </c>
    </row>
    <row r="3295" spans="1:2" ht="15" hidden="1" x14ac:dyDescent="0.25">
      <c r="A3295" s="517" t="s">
        <v>2663</v>
      </c>
      <c r="B3295" s="517" t="s">
        <v>2664</v>
      </c>
    </row>
    <row r="3296" spans="1:2" ht="15" hidden="1" x14ac:dyDescent="0.25">
      <c r="A3296" s="517" t="s">
        <v>2663</v>
      </c>
      <c r="B3296" s="517" t="s">
        <v>2664</v>
      </c>
    </row>
    <row r="3297" spans="1:2" ht="15" hidden="1" x14ac:dyDescent="0.25">
      <c r="A3297" s="517" t="s">
        <v>2665</v>
      </c>
      <c r="B3297" s="517" t="s">
        <v>2666</v>
      </c>
    </row>
    <row r="3298" spans="1:2" ht="15" hidden="1" x14ac:dyDescent="0.25">
      <c r="A3298" s="517" t="s">
        <v>2665</v>
      </c>
      <c r="B3298" s="517" t="s">
        <v>2666</v>
      </c>
    </row>
    <row r="3299" spans="1:2" ht="15" hidden="1" x14ac:dyDescent="0.25">
      <c r="A3299" s="517" t="s">
        <v>238</v>
      </c>
      <c r="B3299" s="517" t="s">
        <v>385</v>
      </c>
    </row>
    <row r="3300" spans="1:2" ht="15" hidden="1" x14ac:dyDescent="0.25">
      <c r="A3300" s="517" t="s">
        <v>238</v>
      </c>
      <c r="B3300" s="517" t="s">
        <v>385</v>
      </c>
    </row>
    <row r="3301" spans="1:2" ht="15" hidden="1" x14ac:dyDescent="0.25">
      <c r="A3301" s="517" t="s">
        <v>238</v>
      </c>
      <c r="B3301" s="517" t="s">
        <v>385</v>
      </c>
    </row>
    <row r="3302" spans="1:2" ht="15" hidden="1" x14ac:dyDescent="0.25">
      <c r="A3302" s="517" t="s">
        <v>238</v>
      </c>
      <c r="B3302" s="517" t="s">
        <v>385</v>
      </c>
    </row>
    <row r="3303" spans="1:2" ht="15" hidden="1" x14ac:dyDescent="0.25">
      <c r="A3303" s="517" t="s">
        <v>238</v>
      </c>
      <c r="B3303" s="517" t="s">
        <v>385</v>
      </c>
    </row>
    <row r="3304" spans="1:2" ht="15" hidden="1" x14ac:dyDescent="0.25">
      <c r="A3304" s="517" t="s">
        <v>2667</v>
      </c>
      <c r="B3304" s="517" t="s">
        <v>2668</v>
      </c>
    </row>
    <row r="3305" spans="1:2" ht="15" hidden="1" x14ac:dyDescent="0.25">
      <c r="A3305" s="517" t="s">
        <v>2667</v>
      </c>
      <c r="B3305" s="517" t="s">
        <v>2668</v>
      </c>
    </row>
    <row r="3306" spans="1:2" ht="15" hidden="1" x14ac:dyDescent="0.25">
      <c r="A3306" s="517" t="s">
        <v>239</v>
      </c>
      <c r="B3306" s="517" t="s">
        <v>386</v>
      </c>
    </row>
    <row r="3307" spans="1:2" ht="15" hidden="1" x14ac:dyDescent="0.25">
      <c r="A3307" s="517" t="s">
        <v>239</v>
      </c>
      <c r="B3307" s="517" t="s">
        <v>386</v>
      </c>
    </row>
    <row r="3308" spans="1:2" ht="15" hidden="1" x14ac:dyDescent="0.25">
      <c r="A3308" s="517" t="s">
        <v>239</v>
      </c>
      <c r="B3308" s="517" t="s">
        <v>386</v>
      </c>
    </row>
    <row r="3309" spans="1:2" ht="15" hidden="1" x14ac:dyDescent="0.25">
      <c r="A3309" s="517" t="s">
        <v>2669</v>
      </c>
      <c r="B3309" s="517" t="s">
        <v>2670</v>
      </c>
    </row>
    <row r="3310" spans="1:2" ht="15" hidden="1" x14ac:dyDescent="0.25">
      <c r="A3310" s="517" t="s">
        <v>2671</v>
      </c>
      <c r="B3310" s="517" t="s">
        <v>2672</v>
      </c>
    </row>
    <row r="3311" spans="1:2" ht="15" hidden="1" x14ac:dyDescent="0.25">
      <c r="A3311" s="517" t="s">
        <v>739</v>
      </c>
      <c r="B3311" s="517" t="s">
        <v>740</v>
      </c>
    </row>
    <row r="3312" spans="1:2" ht="15" hidden="1" x14ac:dyDescent="0.25">
      <c r="A3312" s="517" t="s">
        <v>2673</v>
      </c>
      <c r="B3312" s="517" t="s">
        <v>2674</v>
      </c>
    </row>
    <row r="3313" spans="1:2" ht="15" hidden="1" x14ac:dyDescent="0.25">
      <c r="A3313" s="517" t="s">
        <v>2675</v>
      </c>
      <c r="B3313" s="517" t="s">
        <v>2676</v>
      </c>
    </row>
    <row r="3314" spans="1:2" ht="15" hidden="1" x14ac:dyDescent="0.25">
      <c r="A3314" s="517" t="s">
        <v>2677</v>
      </c>
      <c r="B3314" s="517" t="s">
        <v>2678</v>
      </c>
    </row>
    <row r="3315" spans="1:2" ht="15" hidden="1" x14ac:dyDescent="0.25">
      <c r="A3315" s="517" t="s">
        <v>2679</v>
      </c>
      <c r="B3315" s="517" t="s">
        <v>2680</v>
      </c>
    </row>
    <row r="3316" spans="1:2" ht="15" hidden="1" x14ac:dyDescent="0.25">
      <c r="A3316" s="517" t="s">
        <v>2681</v>
      </c>
      <c r="B3316" s="517" t="s">
        <v>2682</v>
      </c>
    </row>
    <row r="3317" spans="1:2" ht="15" hidden="1" x14ac:dyDescent="0.25">
      <c r="A3317" s="517" t="s">
        <v>2681</v>
      </c>
      <c r="B3317" s="517" t="s">
        <v>2682</v>
      </c>
    </row>
    <row r="3318" spans="1:2" ht="15" hidden="1" x14ac:dyDescent="0.25">
      <c r="A3318" s="517" t="s">
        <v>2683</v>
      </c>
      <c r="B3318" s="517" t="s">
        <v>2684</v>
      </c>
    </row>
    <row r="3319" spans="1:2" ht="15" hidden="1" x14ac:dyDescent="0.25">
      <c r="A3319" s="517" t="s">
        <v>2685</v>
      </c>
      <c r="B3319" s="517" t="s">
        <v>2686</v>
      </c>
    </row>
    <row r="3320" spans="1:2" ht="15" hidden="1" x14ac:dyDescent="0.25">
      <c r="A3320" s="517" t="s">
        <v>2685</v>
      </c>
      <c r="B3320" s="517" t="s">
        <v>2686</v>
      </c>
    </row>
    <row r="3321" spans="1:2" ht="15" hidden="1" x14ac:dyDescent="0.25">
      <c r="A3321" s="517" t="s">
        <v>2687</v>
      </c>
      <c r="B3321" s="517" t="s">
        <v>2688</v>
      </c>
    </row>
    <row r="3322" spans="1:2" ht="15" hidden="1" x14ac:dyDescent="0.25">
      <c r="A3322" s="517" t="s">
        <v>2689</v>
      </c>
      <c r="B3322" s="517" t="s">
        <v>2690</v>
      </c>
    </row>
    <row r="3323" spans="1:2" ht="15" hidden="1" x14ac:dyDescent="0.25">
      <c r="A3323" s="517" t="s">
        <v>2691</v>
      </c>
      <c r="B3323" s="517" t="s">
        <v>2692</v>
      </c>
    </row>
    <row r="3324" spans="1:2" ht="15" hidden="1" x14ac:dyDescent="0.25">
      <c r="A3324" s="517" t="s">
        <v>2693</v>
      </c>
      <c r="B3324" s="517" t="s">
        <v>2694</v>
      </c>
    </row>
    <row r="3325" spans="1:2" ht="15" hidden="1" x14ac:dyDescent="0.25">
      <c r="A3325" s="517" t="s">
        <v>1434</v>
      </c>
      <c r="B3325" s="517" t="s">
        <v>1435</v>
      </c>
    </row>
    <row r="3326" spans="1:2" ht="15" hidden="1" x14ac:dyDescent="0.25">
      <c r="A3326" s="517" t="s">
        <v>1434</v>
      </c>
      <c r="B3326" s="517" t="s">
        <v>1435</v>
      </c>
    </row>
    <row r="3327" spans="1:2" ht="15" hidden="1" x14ac:dyDescent="0.25">
      <c r="A3327" s="517" t="s">
        <v>2695</v>
      </c>
      <c r="B3327" s="517" t="s">
        <v>2696</v>
      </c>
    </row>
    <row r="3328" spans="1:2" ht="15" hidden="1" x14ac:dyDescent="0.25">
      <c r="A3328" s="517" t="s">
        <v>2695</v>
      </c>
      <c r="B3328" s="517" t="s">
        <v>2696</v>
      </c>
    </row>
    <row r="3329" spans="1:2" ht="15" hidden="1" x14ac:dyDescent="0.25">
      <c r="A3329" s="517" t="s">
        <v>2695</v>
      </c>
      <c r="B3329" s="517" t="s">
        <v>2696</v>
      </c>
    </row>
    <row r="3330" spans="1:2" ht="15" hidden="1" x14ac:dyDescent="0.25">
      <c r="A3330" s="518" t="s">
        <v>2697</v>
      </c>
      <c r="B3330" s="518" t="s">
        <v>2698</v>
      </c>
    </row>
    <row r="3331" spans="1:2" ht="15" hidden="1" x14ac:dyDescent="0.25">
      <c r="A3331" s="517" t="s">
        <v>2015</v>
      </c>
      <c r="B3331" s="517" t="s">
        <v>2016</v>
      </c>
    </row>
    <row r="3332" spans="1:2" ht="15" hidden="1" x14ac:dyDescent="0.25">
      <c r="A3332" s="517" t="s">
        <v>1707</v>
      </c>
      <c r="B3332" s="517" t="s">
        <v>1708</v>
      </c>
    </row>
    <row r="3333" spans="1:2" ht="15" hidden="1" x14ac:dyDescent="0.25">
      <c r="A3333" s="517" t="s">
        <v>2699</v>
      </c>
      <c r="B3333" s="517" t="s">
        <v>2700</v>
      </c>
    </row>
    <row r="3334" spans="1:2" ht="15" hidden="1" x14ac:dyDescent="0.25">
      <c r="A3334" s="517" t="s">
        <v>2699</v>
      </c>
      <c r="B3334" s="517" t="s">
        <v>2700</v>
      </c>
    </row>
    <row r="3335" spans="1:2" ht="15" hidden="1" x14ac:dyDescent="0.25">
      <c r="A3335" s="517" t="s">
        <v>2699</v>
      </c>
      <c r="B3335" s="517" t="s">
        <v>2700</v>
      </c>
    </row>
    <row r="3336" spans="1:2" ht="15" hidden="1" x14ac:dyDescent="0.25">
      <c r="A3336" s="517" t="s">
        <v>2699</v>
      </c>
      <c r="B3336" s="517" t="s">
        <v>2700</v>
      </c>
    </row>
    <row r="3337" spans="1:2" ht="15" hidden="1" x14ac:dyDescent="0.25">
      <c r="A3337" s="517" t="s">
        <v>246</v>
      </c>
      <c r="B3337" s="517" t="s">
        <v>396</v>
      </c>
    </row>
    <row r="3338" spans="1:2" ht="15" hidden="1" x14ac:dyDescent="0.25">
      <c r="A3338" s="517" t="s">
        <v>2701</v>
      </c>
      <c r="B3338" s="517" t="s">
        <v>2526</v>
      </c>
    </row>
    <row r="3339" spans="1:2" ht="15" hidden="1" x14ac:dyDescent="0.25">
      <c r="A3339" s="517" t="s">
        <v>2702</v>
      </c>
      <c r="B3339" s="517" t="s">
        <v>2529</v>
      </c>
    </row>
    <row r="3340" spans="1:2" ht="15" hidden="1" x14ac:dyDescent="0.25">
      <c r="A3340" s="517" t="s">
        <v>2703</v>
      </c>
      <c r="B3340" s="517" t="s">
        <v>2704</v>
      </c>
    </row>
    <row r="3341" spans="1:2" ht="15" hidden="1" x14ac:dyDescent="0.25">
      <c r="A3341" s="517" t="s">
        <v>2705</v>
      </c>
      <c r="B3341" s="517" t="s">
        <v>2706</v>
      </c>
    </row>
    <row r="3342" spans="1:2" ht="15" hidden="1" x14ac:dyDescent="0.25">
      <c r="A3342" s="517" t="s">
        <v>2707</v>
      </c>
      <c r="B3342" s="517" t="s">
        <v>2708</v>
      </c>
    </row>
    <row r="3343" spans="1:2" ht="15" hidden="1" x14ac:dyDescent="0.25">
      <c r="A3343" s="517" t="s">
        <v>2709</v>
      </c>
      <c r="B3343" s="517" t="s">
        <v>2710</v>
      </c>
    </row>
    <row r="3344" spans="1:2" ht="15" hidden="1" x14ac:dyDescent="0.25">
      <c r="A3344" s="517" t="s">
        <v>2711</v>
      </c>
      <c r="B3344" s="517" t="s">
        <v>2712</v>
      </c>
    </row>
    <row r="3345" spans="1:2" ht="15" hidden="1" x14ac:dyDescent="0.25">
      <c r="A3345" s="517" t="s">
        <v>2711</v>
      </c>
      <c r="B3345" s="517" t="s">
        <v>2712</v>
      </c>
    </row>
    <row r="3346" spans="1:2" ht="15" hidden="1" x14ac:dyDescent="0.25">
      <c r="A3346" s="517" t="s">
        <v>2713</v>
      </c>
      <c r="B3346" s="517" t="s">
        <v>2714</v>
      </c>
    </row>
    <row r="3347" spans="1:2" ht="15" hidden="1" x14ac:dyDescent="0.25">
      <c r="A3347" s="517" t="s">
        <v>2713</v>
      </c>
      <c r="B3347" s="517" t="s">
        <v>2714</v>
      </c>
    </row>
    <row r="3348" spans="1:2" ht="15" hidden="1" x14ac:dyDescent="0.25">
      <c r="A3348" s="517" t="s">
        <v>2715</v>
      </c>
      <c r="B3348" s="517" t="s">
        <v>2716</v>
      </c>
    </row>
    <row r="3349" spans="1:2" ht="15" hidden="1" x14ac:dyDescent="0.25">
      <c r="A3349" s="517" t="s">
        <v>2717</v>
      </c>
      <c r="B3349" s="517" t="s">
        <v>2718</v>
      </c>
    </row>
    <row r="3350" spans="1:2" ht="15" hidden="1" x14ac:dyDescent="0.25">
      <c r="A3350" s="517" t="s">
        <v>2719</v>
      </c>
      <c r="B3350" s="517" t="s">
        <v>2720</v>
      </c>
    </row>
    <row r="3351" spans="1:2" ht="15" hidden="1" x14ac:dyDescent="0.25">
      <c r="A3351" s="517" t="s">
        <v>2721</v>
      </c>
      <c r="B3351" s="517" t="s">
        <v>2538</v>
      </c>
    </row>
    <row r="3352" spans="1:2" ht="15" hidden="1" x14ac:dyDescent="0.25">
      <c r="A3352" s="517" t="s">
        <v>2722</v>
      </c>
      <c r="B3352" s="517" t="s">
        <v>2542</v>
      </c>
    </row>
    <row r="3353" spans="1:2" ht="15" hidden="1" x14ac:dyDescent="0.25">
      <c r="A3353" s="517" t="s">
        <v>2723</v>
      </c>
      <c r="B3353" s="517" t="s">
        <v>2724</v>
      </c>
    </row>
    <row r="3354" spans="1:2" ht="15" hidden="1" x14ac:dyDescent="0.25">
      <c r="A3354" s="517" t="s">
        <v>2725</v>
      </c>
      <c r="B3354" s="517" t="s">
        <v>2726</v>
      </c>
    </row>
    <row r="3355" spans="1:2" ht="15" hidden="1" x14ac:dyDescent="0.25">
      <c r="A3355" s="517" t="s">
        <v>2727</v>
      </c>
      <c r="B3355" s="517" t="s">
        <v>2728</v>
      </c>
    </row>
    <row r="3356" spans="1:2" ht="15" hidden="1" x14ac:dyDescent="0.25">
      <c r="A3356" s="517" t="s">
        <v>2729</v>
      </c>
      <c r="B3356" s="517" t="s">
        <v>2730</v>
      </c>
    </row>
    <row r="3357" spans="1:2" ht="15" hidden="1" x14ac:dyDescent="0.25">
      <c r="A3357" s="517" t="s">
        <v>2731</v>
      </c>
      <c r="B3357" s="517" t="s">
        <v>2732</v>
      </c>
    </row>
    <row r="3358" spans="1:2" ht="15" hidden="1" x14ac:dyDescent="0.25">
      <c r="A3358" s="517" t="s">
        <v>2733</v>
      </c>
      <c r="B3358" s="517" t="s">
        <v>2734</v>
      </c>
    </row>
    <row r="3359" spans="1:2" ht="15" hidden="1" x14ac:dyDescent="0.25">
      <c r="A3359" s="517" t="s">
        <v>2735</v>
      </c>
      <c r="B3359" s="517" t="s">
        <v>2736</v>
      </c>
    </row>
    <row r="3360" spans="1:2" ht="15" hidden="1" x14ac:dyDescent="0.25">
      <c r="A3360" s="517" t="s">
        <v>2737</v>
      </c>
      <c r="B3360" s="517" t="s">
        <v>2738</v>
      </c>
    </row>
    <row r="3361" spans="1:2" ht="15" hidden="1" x14ac:dyDescent="0.25">
      <c r="A3361" s="517" t="s">
        <v>1449</v>
      </c>
      <c r="B3361" s="517" t="s">
        <v>1450</v>
      </c>
    </row>
    <row r="3362" spans="1:2" ht="15" hidden="1" x14ac:dyDescent="0.25">
      <c r="A3362" s="517" t="s">
        <v>1449</v>
      </c>
      <c r="B3362" s="517" t="s">
        <v>1450</v>
      </c>
    </row>
    <row r="3363" spans="1:2" ht="15" hidden="1" x14ac:dyDescent="0.25">
      <c r="A3363" s="517" t="s">
        <v>2739</v>
      </c>
      <c r="B3363" s="517" t="s">
        <v>2740</v>
      </c>
    </row>
    <row r="3364" spans="1:2" ht="15" hidden="1" x14ac:dyDescent="0.25">
      <c r="A3364" s="519" t="s">
        <v>2741</v>
      </c>
      <c r="B3364" s="519" t="s">
        <v>2742</v>
      </c>
    </row>
    <row r="3365" spans="1:2" ht="15" hidden="1" x14ac:dyDescent="0.25">
      <c r="A3365" s="517" t="s">
        <v>2743</v>
      </c>
      <c r="B3365" s="517" t="s">
        <v>2744</v>
      </c>
    </row>
    <row r="3366" spans="1:2" ht="15" hidden="1" x14ac:dyDescent="0.25">
      <c r="A3366" s="517" t="s">
        <v>2743</v>
      </c>
      <c r="B3366" s="517" t="s">
        <v>2744</v>
      </c>
    </row>
    <row r="3367" spans="1:2" ht="15" hidden="1" x14ac:dyDescent="0.25">
      <c r="A3367" s="517" t="s">
        <v>2745</v>
      </c>
      <c r="B3367" s="517" t="s">
        <v>2746</v>
      </c>
    </row>
    <row r="3368" spans="1:2" ht="15" hidden="1" x14ac:dyDescent="0.25">
      <c r="A3368" s="517" t="s">
        <v>2745</v>
      </c>
      <c r="B3368" s="517" t="s">
        <v>2746</v>
      </c>
    </row>
    <row r="3369" spans="1:2" ht="15" hidden="1" x14ac:dyDescent="0.25">
      <c r="A3369" s="517" t="s">
        <v>2747</v>
      </c>
      <c r="B3369" s="517" t="s">
        <v>2748</v>
      </c>
    </row>
    <row r="3370" spans="1:2" ht="15" hidden="1" x14ac:dyDescent="0.25">
      <c r="A3370" s="517" t="s">
        <v>2749</v>
      </c>
      <c r="B3370" s="517" t="s">
        <v>2750</v>
      </c>
    </row>
    <row r="3371" spans="1:2" ht="15" hidden="1" x14ac:dyDescent="0.25">
      <c r="A3371" s="517" t="s">
        <v>2751</v>
      </c>
      <c r="B3371" s="517" t="s">
        <v>2752</v>
      </c>
    </row>
    <row r="3372" spans="1:2" ht="15" hidden="1" x14ac:dyDescent="0.25">
      <c r="A3372" s="517" t="s">
        <v>2753</v>
      </c>
      <c r="B3372" s="517" t="s">
        <v>2754</v>
      </c>
    </row>
    <row r="3373" spans="1:2" ht="15" hidden="1" x14ac:dyDescent="0.25">
      <c r="A3373" s="517" t="s">
        <v>2755</v>
      </c>
      <c r="B3373" s="517" t="s">
        <v>2756</v>
      </c>
    </row>
    <row r="3374" spans="1:2" ht="15" hidden="1" x14ac:dyDescent="0.25">
      <c r="A3374" s="517" t="s">
        <v>2757</v>
      </c>
      <c r="B3374" s="517" t="s">
        <v>2758</v>
      </c>
    </row>
    <row r="3375" spans="1:2" ht="15" hidden="1" x14ac:dyDescent="0.25">
      <c r="A3375" s="517" t="s">
        <v>2759</v>
      </c>
      <c r="B3375" s="517" t="s">
        <v>2760</v>
      </c>
    </row>
    <row r="3376" spans="1:2" ht="15" hidden="1" x14ac:dyDescent="0.25">
      <c r="A3376" s="517" t="s">
        <v>2761</v>
      </c>
      <c r="B3376" s="517" t="s">
        <v>2762</v>
      </c>
    </row>
    <row r="3377" spans="1:2" ht="15" hidden="1" x14ac:dyDescent="0.25">
      <c r="A3377" s="517" t="s">
        <v>2763</v>
      </c>
      <c r="B3377" s="517" t="s">
        <v>2764</v>
      </c>
    </row>
    <row r="3378" spans="1:2" ht="15" hidden="1" x14ac:dyDescent="0.25">
      <c r="A3378" s="517" t="s">
        <v>2765</v>
      </c>
      <c r="B3378" s="517" t="s">
        <v>2766</v>
      </c>
    </row>
    <row r="3379" spans="1:2" ht="15" hidden="1" x14ac:dyDescent="0.25">
      <c r="A3379" s="517" t="s">
        <v>2767</v>
      </c>
      <c r="B3379" s="517" t="s">
        <v>2768</v>
      </c>
    </row>
    <row r="3380" spans="1:2" ht="15" hidden="1" x14ac:dyDescent="0.25">
      <c r="A3380" s="517" t="s">
        <v>2769</v>
      </c>
      <c r="B3380" s="517" t="s">
        <v>2770</v>
      </c>
    </row>
    <row r="3381" spans="1:2" ht="15" hidden="1" x14ac:dyDescent="0.25">
      <c r="A3381" s="517" t="s">
        <v>2771</v>
      </c>
      <c r="B3381" s="517" t="s">
        <v>2772</v>
      </c>
    </row>
    <row r="3382" spans="1:2" ht="15" hidden="1" x14ac:dyDescent="0.25">
      <c r="A3382" s="517" t="s">
        <v>2773</v>
      </c>
      <c r="B3382" s="517" t="s">
        <v>2774</v>
      </c>
    </row>
    <row r="3383" spans="1:2" ht="15" hidden="1" x14ac:dyDescent="0.25">
      <c r="A3383" s="517" t="s">
        <v>2365</v>
      </c>
      <c r="B3383" s="517" t="s">
        <v>2366</v>
      </c>
    </row>
    <row r="3384" spans="1:2" ht="15" hidden="1" x14ac:dyDescent="0.25">
      <c r="A3384" s="517" t="s">
        <v>2365</v>
      </c>
      <c r="B3384" s="517" t="s">
        <v>2366</v>
      </c>
    </row>
    <row r="3385" spans="1:2" ht="15" hidden="1" x14ac:dyDescent="0.25">
      <c r="A3385" s="517" t="s">
        <v>2775</v>
      </c>
      <c r="B3385" s="517" t="s">
        <v>2776</v>
      </c>
    </row>
    <row r="3386" spans="1:2" ht="15" hidden="1" x14ac:dyDescent="0.25">
      <c r="A3386" s="517" t="s">
        <v>1461</v>
      </c>
      <c r="B3386" s="517" t="s">
        <v>1462</v>
      </c>
    </row>
    <row r="3387" spans="1:2" ht="15" hidden="1" x14ac:dyDescent="0.25">
      <c r="A3387" s="517" t="s">
        <v>1847</v>
      </c>
      <c r="B3387" s="517" t="s">
        <v>1848</v>
      </c>
    </row>
    <row r="3388" spans="1:2" ht="15" hidden="1" x14ac:dyDescent="0.25">
      <c r="A3388" s="517" t="s">
        <v>1847</v>
      </c>
      <c r="B3388" s="517" t="s">
        <v>1848</v>
      </c>
    </row>
    <row r="3389" spans="1:2" ht="15" hidden="1" x14ac:dyDescent="0.25">
      <c r="A3389" s="517" t="s">
        <v>2777</v>
      </c>
      <c r="B3389" s="517" t="s">
        <v>2778</v>
      </c>
    </row>
    <row r="3390" spans="1:2" ht="15" hidden="1" x14ac:dyDescent="0.25">
      <c r="A3390" s="517" t="s">
        <v>2779</v>
      </c>
      <c r="B3390" s="517" t="s">
        <v>2780</v>
      </c>
    </row>
    <row r="3391" spans="1:2" ht="15" hidden="1" x14ac:dyDescent="0.25">
      <c r="A3391" s="517" t="s">
        <v>220</v>
      </c>
      <c r="B3391" s="517" t="s">
        <v>321</v>
      </c>
    </row>
    <row r="3392" spans="1:2" ht="15" hidden="1" x14ac:dyDescent="0.25">
      <c r="A3392" s="517" t="s">
        <v>220</v>
      </c>
      <c r="B3392" s="517" t="s">
        <v>321</v>
      </c>
    </row>
    <row r="3393" spans="1:2" ht="15" hidden="1" x14ac:dyDescent="0.25">
      <c r="A3393" s="517" t="s">
        <v>220</v>
      </c>
      <c r="B3393" s="517" t="s">
        <v>321</v>
      </c>
    </row>
    <row r="3394" spans="1:2" ht="15" hidden="1" x14ac:dyDescent="0.25">
      <c r="A3394" s="517" t="s">
        <v>220</v>
      </c>
      <c r="B3394" s="517" t="s">
        <v>321</v>
      </c>
    </row>
    <row r="3395" spans="1:2" ht="15" hidden="1" x14ac:dyDescent="0.25">
      <c r="A3395" s="517" t="s">
        <v>190</v>
      </c>
      <c r="B3395" s="517" t="s">
        <v>322</v>
      </c>
    </row>
    <row r="3396" spans="1:2" ht="15" hidden="1" x14ac:dyDescent="0.25">
      <c r="A3396" s="517" t="s">
        <v>190</v>
      </c>
      <c r="B3396" s="517" t="s">
        <v>322</v>
      </c>
    </row>
    <row r="3397" spans="1:2" ht="15" hidden="1" x14ac:dyDescent="0.25">
      <c r="A3397" s="517" t="s">
        <v>190</v>
      </c>
      <c r="B3397" s="517" t="s">
        <v>322</v>
      </c>
    </row>
    <row r="3398" spans="1:2" ht="15" hidden="1" x14ac:dyDescent="0.25">
      <c r="A3398" s="517" t="s">
        <v>190</v>
      </c>
      <c r="B3398" s="517" t="s">
        <v>322</v>
      </c>
    </row>
    <row r="3399" spans="1:2" ht="15" hidden="1" x14ac:dyDescent="0.25">
      <c r="A3399" s="517" t="s">
        <v>190</v>
      </c>
      <c r="B3399" s="517" t="s">
        <v>322</v>
      </c>
    </row>
    <row r="3400" spans="1:2" ht="15" hidden="1" x14ac:dyDescent="0.25">
      <c r="A3400" s="517" t="s">
        <v>190</v>
      </c>
      <c r="B3400" s="517" t="s">
        <v>322</v>
      </c>
    </row>
    <row r="3401" spans="1:2" ht="15" hidden="1" x14ac:dyDescent="0.25">
      <c r="A3401" s="517" t="s">
        <v>1629</v>
      </c>
      <c r="B3401" s="517" t="s">
        <v>1630</v>
      </c>
    </row>
    <row r="3402" spans="1:2" ht="15" hidden="1" x14ac:dyDescent="0.25">
      <c r="A3402" s="517" t="s">
        <v>192</v>
      </c>
      <c r="B3402" s="517" t="s">
        <v>324</v>
      </c>
    </row>
    <row r="3403" spans="1:2" ht="15" hidden="1" x14ac:dyDescent="0.25">
      <c r="A3403" s="517" t="s">
        <v>192</v>
      </c>
      <c r="B3403" s="517" t="s">
        <v>324</v>
      </c>
    </row>
    <row r="3404" spans="1:2" ht="15" hidden="1" x14ac:dyDescent="0.25">
      <c r="A3404" s="517" t="s">
        <v>192</v>
      </c>
      <c r="B3404" s="517" t="s">
        <v>324</v>
      </c>
    </row>
    <row r="3405" spans="1:2" ht="15" hidden="1" x14ac:dyDescent="0.25">
      <c r="A3405" s="517" t="s">
        <v>407</v>
      </c>
      <c r="B3405" s="517" t="s">
        <v>408</v>
      </c>
    </row>
    <row r="3406" spans="1:2" ht="15" hidden="1" x14ac:dyDescent="0.25">
      <c r="A3406" s="517" t="s">
        <v>407</v>
      </c>
      <c r="B3406" s="517" t="s">
        <v>408</v>
      </c>
    </row>
    <row r="3407" spans="1:2" ht="15" hidden="1" x14ac:dyDescent="0.25">
      <c r="A3407" s="517" t="s">
        <v>407</v>
      </c>
      <c r="B3407" s="517" t="s">
        <v>408</v>
      </c>
    </row>
    <row r="3408" spans="1:2" ht="15" hidden="1" x14ac:dyDescent="0.25">
      <c r="A3408" s="517" t="s">
        <v>193</v>
      </c>
      <c r="B3408" s="517" t="s">
        <v>325</v>
      </c>
    </row>
    <row r="3409" spans="1:2" ht="15" hidden="1" x14ac:dyDescent="0.25">
      <c r="A3409" s="517" t="s">
        <v>193</v>
      </c>
      <c r="B3409" s="517" t="s">
        <v>325</v>
      </c>
    </row>
    <row r="3410" spans="1:2" ht="15" hidden="1" x14ac:dyDescent="0.25">
      <c r="A3410" s="517" t="s">
        <v>193</v>
      </c>
      <c r="B3410" s="517" t="s">
        <v>325</v>
      </c>
    </row>
    <row r="3411" spans="1:2" ht="15" hidden="1" x14ac:dyDescent="0.25">
      <c r="A3411" s="517" t="s">
        <v>193</v>
      </c>
      <c r="B3411" s="517" t="s">
        <v>325</v>
      </c>
    </row>
    <row r="3412" spans="1:2" ht="15" hidden="1" x14ac:dyDescent="0.25">
      <c r="A3412" s="517" t="s">
        <v>193</v>
      </c>
      <c r="B3412" s="517" t="s">
        <v>325</v>
      </c>
    </row>
    <row r="3413" spans="1:2" ht="15" hidden="1" x14ac:dyDescent="0.25">
      <c r="A3413" s="517" t="s">
        <v>193</v>
      </c>
      <c r="B3413" s="517" t="s">
        <v>325</v>
      </c>
    </row>
    <row r="3414" spans="1:2" ht="15" hidden="1" x14ac:dyDescent="0.25">
      <c r="A3414" s="517" t="s">
        <v>193</v>
      </c>
      <c r="B3414" s="517" t="s">
        <v>325</v>
      </c>
    </row>
    <row r="3415" spans="1:2" ht="15" hidden="1" x14ac:dyDescent="0.25">
      <c r="A3415" s="517" t="s">
        <v>193</v>
      </c>
      <c r="B3415" s="517" t="s">
        <v>325</v>
      </c>
    </row>
    <row r="3416" spans="1:2" ht="15" hidden="1" x14ac:dyDescent="0.25">
      <c r="A3416" s="517" t="s">
        <v>193</v>
      </c>
      <c r="B3416" s="517" t="s">
        <v>325</v>
      </c>
    </row>
    <row r="3417" spans="1:2" ht="15" hidden="1" x14ac:dyDescent="0.25">
      <c r="A3417" s="517" t="s">
        <v>193</v>
      </c>
      <c r="B3417" s="517" t="s">
        <v>325</v>
      </c>
    </row>
    <row r="3418" spans="1:2" ht="15" hidden="1" x14ac:dyDescent="0.25">
      <c r="A3418" s="517" t="s">
        <v>193</v>
      </c>
      <c r="B3418" s="517" t="s">
        <v>325</v>
      </c>
    </row>
    <row r="3419" spans="1:2" ht="15" hidden="1" x14ac:dyDescent="0.25">
      <c r="A3419" s="517" t="s">
        <v>193</v>
      </c>
      <c r="B3419" s="517" t="s">
        <v>325</v>
      </c>
    </row>
    <row r="3420" spans="1:2" ht="15" hidden="1" x14ac:dyDescent="0.25">
      <c r="A3420" s="517" t="s">
        <v>193</v>
      </c>
      <c r="B3420" s="517" t="s">
        <v>325</v>
      </c>
    </row>
    <row r="3421" spans="1:2" ht="15" hidden="1" x14ac:dyDescent="0.25">
      <c r="A3421" s="517" t="s">
        <v>193</v>
      </c>
      <c r="B3421" s="517" t="s">
        <v>325</v>
      </c>
    </row>
    <row r="3422" spans="1:2" ht="15" hidden="1" x14ac:dyDescent="0.25">
      <c r="A3422" s="517" t="s">
        <v>193</v>
      </c>
      <c r="B3422" s="517" t="s">
        <v>325</v>
      </c>
    </row>
    <row r="3423" spans="1:2" ht="15" hidden="1" x14ac:dyDescent="0.25">
      <c r="A3423" s="517" t="s">
        <v>193</v>
      </c>
      <c r="B3423" s="517" t="s">
        <v>325</v>
      </c>
    </row>
    <row r="3424" spans="1:2" ht="15" hidden="1" x14ac:dyDescent="0.25">
      <c r="A3424" s="517" t="s">
        <v>193</v>
      </c>
      <c r="B3424" s="517" t="s">
        <v>325</v>
      </c>
    </row>
    <row r="3425" spans="1:2" ht="15" hidden="1" x14ac:dyDescent="0.25">
      <c r="A3425" s="517" t="s">
        <v>193</v>
      </c>
      <c r="B3425" s="517" t="s">
        <v>325</v>
      </c>
    </row>
    <row r="3426" spans="1:2" ht="15" hidden="1" x14ac:dyDescent="0.25">
      <c r="A3426" s="517" t="s">
        <v>193</v>
      </c>
      <c r="B3426" s="517" t="s">
        <v>325</v>
      </c>
    </row>
    <row r="3427" spans="1:2" ht="15" hidden="1" x14ac:dyDescent="0.25">
      <c r="A3427" s="517" t="s">
        <v>194</v>
      </c>
      <c r="B3427" s="517" t="s">
        <v>327</v>
      </c>
    </row>
    <row r="3428" spans="1:2" ht="15" hidden="1" x14ac:dyDescent="0.25">
      <c r="A3428" s="517" t="s">
        <v>194</v>
      </c>
      <c r="B3428" s="517" t="s">
        <v>327</v>
      </c>
    </row>
    <row r="3429" spans="1:2" ht="15" hidden="1" x14ac:dyDescent="0.25">
      <c r="A3429" s="517" t="s">
        <v>194</v>
      </c>
      <c r="B3429" s="517" t="s">
        <v>327</v>
      </c>
    </row>
    <row r="3430" spans="1:2" ht="15" hidden="1" x14ac:dyDescent="0.25">
      <c r="A3430" s="517" t="s">
        <v>194</v>
      </c>
      <c r="B3430" s="517" t="s">
        <v>327</v>
      </c>
    </row>
    <row r="3431" spans="1:2" ht="15" hidden="1" x14ac:dyDescent="0.25">
      <c r="A3431" s="517" t="s">
        <v>194</v>
      </c>
      <c r="B3431" s="517" t="s">
        <v>327</v>
      </c>
    </row>
    <row r="3432" spans="1:2" ht="15" hidden="1" x14ac:dyDescent="0.25">
      <c r="A3432" s="517" t="s">
        <v>194</v>
      </c>
      <c r="B3432" s="517" t="s">
        <v>327</v>
      </c>
    </row>
    <row r="3433" spans="1:2" ht="15" hidden="1" x14ac:dyDescent="0.25">
      <c r="A3433" s="517" t="s">
        <v>194</v>
      </c>
      <c r="B3433" s="517" t="s">
        <v>327</v>
      </c>
    </row>
    <row r="3434" spans="1:2" ht="15" hidden="1" x14ac:dyDescent="0.25">
      <c r="A3434" s="517" t="s">
        <v>194</v>
      </c>
      <c r="B3434" s="517" t="s">
        <v>327</v>
      </c>
    </row>
    <row r="3435" spans="1:2" ht="15" hidden="1" x14ac:dyDescent="0.25">
      <c r="A3435" s="517" t="s">
        <v>194</v>
      </c>
      <c r="B3435" s="517" t="s">
        <v>327</v>
      </c>
    </row>
    <row r="3436" spans="1:2" ht="15" hidden="1" x14ac:dyDescent="0.25">
      <c r="A3436" s="517" t="s">
        <v>194</v>
      </c>
      <c r="B3436" s="517" t="s">
        <v>327</v>
      </c>
    </row>
    <row r="3437" spans="1:2" ht="15" hidden="1" x14ac:dyDescent="0.25">
      <c r="A3437" s="517" t="s">
        <v>194</v>
      </c>
      <c r="B3437" s="517" t="s">
        <v>327</v>
      </c>
    </row>
    <row r="3438" spans="1:2" ht="15" hidden="1" x14ac:dyDescent="0.25">
      <c r="A3438" s="517" t="s">
        <v>194</v>
      </c>
      <c r="B3438" s="517" t="s">
        <v>327</v>
      </c>
    </row>
    <row r="3439" spans="1:2" ht="15" hidden="1" x14ac:dyDescent="0.25">
      <c r="A3439" s="517" t="s">
        <v>194</v>
      </c>
      <c r="B3439" s="517" t="s">
        <v>327</v>
      </c>
    </row>
    <row r="3440" spans="1:2" ht="15" hidden="1" x14ac:dyDescent="0.25">
      <c r="A3440" s="517" t="s">
        <v>194</v>
      </c>
      <c r="B3440" s="517" t="s">
        <v>327</v>
      </c>
    </row>
    <row r="3441" spans="1:2" ht="15" hidden="1" x14ac:dyDescent="0.25">
      <c r="A3441" s="517" t="s">
        <v>194</v>
      </c>
      <c r="B3441" s="517" t="s">
        <v>327</v>
      </c>
    </row>
    <row r="3442" spans="1:2" ht="15" hidden="1" x14ac:dyDescent="0.25">
      <c r="A3442" s="517" t="s">
        <v>194</v>
      </c>
      <c r="B3442" s="517" t="s">
        <v>327</v>
      </c>
    </row>
    <row r="3443" spans="1:2" ht="15" hidden="1" x14ac:dyDescent="0.25">
      <c r="A3443" s="517" t="s">
        <v>194</v>
      </c>
      <c r="B3443" s="517" t="s">
        <v>327</v>
      </c>
    </row>
    <row r="3444" spans="1:2" ht="15" hidden="1" x14ac:dyDescent="0.25">
      <c r="A3444" s="517" t="s">
        <v>194</v>
      </c>
      <c r="B3444" s="517" t="s">
        <v>327</v>
      </c>
    </row>
    <row r="3445" spans="1:2" ht="15" hidden="1" x14ac:dyDescent="0.25">
      <c r="A3445" s="517" t="s">
        <v>194</v>
      </c>
      <c r="B3445" s="517" t="s">
        <v>327</v>
      </c>
    </row>
    <row r="3446" spans="1:2" ht="15" hidden="1" x14ac:dyDescent="0.25">
      <c r="A3446" s="517" t="s">
        <v>194</v>
      </c>
      <c r="B3446" s="517" t="s">
        <v>327</v>
      </c>
    </row>
    <row r="3447" spans="1:2" ht="15" hidden="1" x14ac:dyDescent="0.25">
      <c r="A3447" s="517" t="s">
        <v>194</v>
      </c>
      <c r="B3447" s="517" t="s">
        <v>327</v>
      </c>
    </row>
    <row r="3448" spans="1:2" ht="15" hidden="1" x14ac:dyDescent="0.25">
      <c r="A3448" s="517" t="s">
        <v>194</v>
      </c>
      <c r="B3448" s="517" t="s">
        <v>327</v>
      </c>
    </row>
    <row r="3449" spans="1:2" ht="15" hidden="1" x14ac:dyDescent="0.25">
      <c r="A3449" s="517" t="s">
        <v>194</v>
      </c>
      <c r="B3449" s="517" t="s">
        <v>327</v>
      </c>
    </row>
    <row r="3450" spans="1:2" ht="15" hidden="1" x14ac:dyDescent="0.25">
      <c r="A3450" s="517" t="s">
        <v>194</v>
      </c>
      <c r="B3450" s="517" t="s">
        <v>327</v>
      </c>
    </row>
    <row r="3451" spans="1:2" ht="15" hidden="1" x14ac:dyDescent="0.25">
      <c r="A3451" s="517" t="s">
        <v>195</v>
      </c>
      <c r="B3451" s="517" t="s">
        <v>329</v>
      </c>
    </row>
    <row r="3452" spans="1:2" ht="15" hidden="1" x14ac:dyDescent="0.25">
      <c r="A3452" s="517" t="s">
        <v>195</v>
      </c>
      <c r="B3452" s="517" t="s">
        <v>329</v>
      </c>
    </row>
    <row r="3453" spans="1:2" ht="15" hidden="1" x14ac:dyDescent="0.25">
      <c r="A3453" s="517" t="s">
        <v>195</v>
      </c>
      <c r="B3453" s="517" t="s">
        <v>329</v>
      </c>
    </row>
    <row r="3454" spans="1:2" ht="15" hidden="1" x14ac:dyDescent="0.25">
      <c r="A3454" s="517" t="s">
        <v>195</v>
      </c>
      <c r="B3454" s="517" t="s">
        <v>329</v>
      </c>
    </row>
    <row r="3455" spans="1:2" ht="15" hidden="1" x14ac:dyDescent="0.25">
      <c r="A3455" s="517" t="s">
        <v>195</v>
      </c>
      <c r="B3455" s="517" t="s">
        <v>329</v>
      </c>
    </row>
    <row r="3456" spans="1:2" ht="15" hidden="1" x14ac:dyDescent="0.25">
      <c r="A3456" s="517" t="s">
        <v>195</v>
      </c>
      <c r="B3456" s="517" t="s">
        <v>329</v>
      </c>
    </row>
    <row r="3457" spans="1:2" ht="15" hidden="1" x14ac:dyDescent="0.25">
      <c r="A3457" s="517" t="s">
        <v>195</v>
      </c>
      <c r="B3457" s="517" t="s">
        <v>329</v>
      </c>
    </row>
    <row r="3458" spans="1:2" ht="15" hidden="1" x14ac:dyDescent="0.25">
      <c r="A3458" s="517" t="s">
        <v>195</v>
      </c>
      <c r="B3458" s="517" t="s">
        <v>329</v>
      </c>
    </row>
    <row r="3459" spans="1:2" ht="15" hidden="1" x14ac:dyDescent="0.25">
      <c r="A3459" s="517" t="s">
        <v>195</v>
      </c>
      <c r="B3459" s="517" t="s">
        <v>329</v>
      </c>
    </row>
    <row r="3460" spans="1:2" ht="15" hidden="1" x14ac:dyDescent="0.25">
      <c r="A3460" s="517" t="s">
        <v>195</v>
      </c>
      <c r="B3460" s="517" t="s">
        <v>329</v>
      </c>
    </row>
    <row r="3461" spans="1:2" ht="15" hidden="1" x14ac:dyDescent="0.25">
      <c r="A3461" s="517" t="s">
        <v>413</v>
      </c>
      <c r="B3461" s="517" t="s">
        <v>414</v>
      </c>
    </row>
    <row r="3462" spans="1:2" ht="15" hidden="1" x14ac:dyDescent="0.25">
      <c r="A3462" s="517" t="s">
        <v>413</v>
      </c>
      <c r="B3462" s="517" t="s">
        <v>414</v>
      </c>
    </row>
    <row r="3463" spans="1:2" ht="15" hidden="1" x14ac:dyDescent="0.25">
      <c r="A3463" s="517" t="s">
        <v>413</v>
      </c>
      <c r="B3463" s="517" t="s">
        <v>414</v>
      </c>
    </row>
    <row r="3464" spans="1:2" ht="15" hidden="1" x14ac:dyDescent="0.25">
      <c r="A3464" s="517" t="s">
        <v>868</v>
      </c>
      <c r="B3464" s="517" t="s">
        <v>869</v>
      </c>
    </row>
    <row r="3465" spans="1:2" ht="15" hidden="1" x14ac:dyDescent="0.25">
      <c r="A3465" s="517" t="s">
        <v>2781</v>
      </c>
      <c r="B3465" s="517" t="s">
        <v>2781</v>
      </c>
    </row>
    <row r="3466" spans="1:2" ht="15" hidden="1" x14ac:dyDescent="0.25">
      <c r="A3466" s="517" t="s">
        <v>2782</v>
      </c>
      <c r="B3466" s="517" t="s">
        <v>2782</v>
      </c>
    </row>
    <row r="3467" spans="1:2" ht="15" hidden="1" x14ac:dyDescent="0.25">
      <c r="A3467" s="517" t="s">
        <v>2783</v>
      </c>
      <c r="B3467" s="517" t="s">
        <v>2783</v>
      </c>
    </row>
    <row r="3468" spans="1:2" ht="15" hidden="1" x14ac:dyDescent="0.25">
      <c r="A3468" s="517" t="s">
        <v>2784</v>
      </c>
      <c r="B3468" s="517" t="s">
        <v>2784</v>
      </c>
    </row>
    <row r="3469" spans="1:2" ht="15" hidden="1" x14ac:dyDescent="0.25">
      <c r="A3469" s="517" t="s">
        <v>2785</v>
      </c>
      <c r="B3469" s="517" t="s">
        <v>2785</v>
      </c>
    </row>
    <row r="3470" spans="1:2" ht="15" hidden="1" x14ac:dyDescent="0.25">
      <c r="A3470" s="517" t="s">
        <v>2786</v>
      </c>
      <c r="B3470" s="517" t="s">
        <v>2786</v>
      </c>
    </row>
    <row r="3471" spans="1:2" ht="15" hidden="1" x14ac:dyDescent="0.25">
      <c r="A3471" s="517" t="s">
        <v>2787</v>
      </c>
      <c r="B3471" s="517" t="s">
        <v>2787</v>
      </c>
    </row>
    <row r="3472" spans="1:2" ht="15" hidden="1" x14ac:dyDescent="0.25">
      <c r="A3472" s="517" t="s">
        <v>2788</v>
      </c>
      <c r="B3472" s="517" t="s">
        <v>2788</v>
      </c>
    </row>
    <row r="3473" spans="1:2" ht="15" hidden="1" x14ac:dyDescent="0.25">
      <c r="A3473" s="517" t="s">
        <v>2789</v>
      </c>
      <c r="B3473" s="517" t="s">
        <v>2789</v>
      </c>
    </row>
    <row r="3474" spans="1:2" ht="15" hidden="1" x14ac:dyDescent="0.25">
      <c r="A3474" s="517" t="s">
        <v>2790</v>
      </c>
      <c r="B3474" s="517" t="s">
        <v>2790</v>
      </c>
    </row>
    <row r="3475" spans="1:2" ht="15" hidden="1" x14ac:dyDescent="0.25">
      <c r="A3475" s="517" t="s">
        <v>2791</v>
      </c>
      <c r="B3475" s="517" t="s">
        <v>2791</v>
      </c>
    </row>
    <row r="3476" spans="1:2" ht="15" hidden="1" x14ac:dyDescent="0.25">
      <c r="A3476" s="517" t="s">
        <v>2792</v>
      </c>
      <c r="B3476" s="517" t="s">
        <v>2792</v>
      </c>
    </row>
    <row r="3477" spans="1:2" ht="15" hidden="1" x14ac:dyDescent="0.25">
      <c r="A3477" s="517" t="s">
        <v>2793</v>
      </c>
      <c r="B3477" s="517" t="s">
        <v>2793</v>
      </c>
    </row>
    <row r="3478" spans="1:2" ht="15" hidden="1" x14ac:dyDescent="0.25">
      <c r="A3478" s="517" t="s">
        <v>2794</v>
      </c>
      <c r="B3478" s="517" t="s">
        <v>2794</v>
      </c>
    </row>
    <row r="3479" spans="1:2" ht="15" hidden="1" x14ac:dyDescent="0.25">
      <c r="A3479" s="517" t="s">
        <v>2795</v>
      </c>
      <c r="B3479" s="517" t="s">
        <v>2795</v>
      </c>
    </row>
    <row r="3480" spans="1:2" ht="15" hidden="1" x14ac:dyDescent="0.25">
      <c r="A3480" s="517" t="s">
        <v>2796</v>
      </c>
      <c r="B3480" s="517" t="s">
        <v>2796</v>
      </c>
    </row>
    <row r="3481" spans="1:2" ht="15" hidden="1" x14ac:dyDescent="0.25">
      <c r="A3481" s="517" t="s">
        <v>2797</v>
      </c>
      <c r="B3481" s="517" t="s">
        <v>2797</v>
      </c>
    </row>
    <row r="3482" spans="1:2" ht="15" hidden="1" x14ac:dyDescent="0.25">
      <c r="A3482" s="517" t="s">
        <v>2798</v>
      </c>
      <c r="B3482" s="517" t="s">
        <v>2798</v>
      </c>
    </row>
    <row r="3483" spans="1:2" ht="15" hidden="1" x14ac:dyDescent="0.25">
      <c r="A3483" s="517" t="s">
        <v>2799</v>
      </c>
      <c r="B3483" s="517" t="s">
        <v>2799</v>
      </c>
    </row>
    <row r="3484" spans="1:2" ht="15" hidden="1" x14ac:dyDescent="0.25">
      <c r="A3484" s="517" t="s">
        <v>2800</v>
      </c>
      <c r="B3484" s="517" t="s">
        <v>2800</v>
      </c>
    </row>
    <row r="3485" spans="1:2" ht="15" hidden="1" x14ac:dyDescent="0.25">
      <c r="A3485" s="517" t="s">
        <v>2801</v>
      </c>
      <c r="B3485" s="517" t="s">
        <v>2801</v>
      </c>
    </row>
    <row r="3486" spans="1:2" ht="15" hidden="1" x14ac:dyDescent="0.25">
      <c r="A3486" s="517" t="s">
        <v>2802</v>
      </c>
      <c r="B3486" s="517" t="s">
        <v>2802</v>
      </c>
    </row>
    <row r="3487" spans="1:2" ht="15" hidden="1" x14ac:dyDescent="0.25">
      <c r="A3487" s="517" t="s">
        <v>2803</v>
      </c>
      <c r="B3487" s="517" t="s">
        <v>2803</v>
      </c>
    </row>
    <row r="3488" spans="1:2" ht="15" hidden="1" x14ac:dyDescent="0.25">
      <c r="A3488" s="517" t="s">
        <v>2804</v>
      </c>
      <c r="B3488" s="517" t="s">
        <v>2804</v>
      </c>
    </row>
    <row r="3489" spans="1:2" ht="15" hidden="1" x14ac:dyDescent="0.25">
      <c r="A3489" s="517" t="s">
        <v>2805</v>
      </c>
      <c r="B3489" s="517" t="s">
        <v>2805</v>
      </c>
    </row>
    <row r="3490" spans="1:2" ht="15" hidden="1" x14ac:dyDescent="0.25">
      <c r="A3490" s="517" t="s">
        <v>2806</v>
      </c>
      <c r="B3490" s="517" t="s">
        <v>2806</v>
      </c>
    </row>
    <row r="3491" spans="1:2" ht="15" hidden="1" x14ac:dyDescent="0.25">
      <c r="A3491" s="517" t="s">
        <v>2807</v>
      </c>
      <c r="B3491" s="517" t="s">
        <v>2807</v>
      </c>
    </row>
    <row r="3492" spans="1:2" ht="15" hidden="1" x14ac:dyDescent="0.25">
      <c r="A3492" s="517" t="s">
        <v>2808</v>
      </c>
      <c r="B3492" s="517" t="s">
        <v>2808</v>
      </c>
    </row>
    <row r="3493" spans="1:2" ht="15" hidden="1" x14ac:dyDescent="0.25">
      <c r="A3493" s="517" t="s">
        <v>2809</v>
      </c>
      <c r="B3493" s="517" t="s">
        <v>2809</v>
      </c>
    </row>
    <row r="3494" spans="1:2" ht="15" hidden="1" x14ac:dyDescent="0.25">
      <c r="A3494" s="517" t="s">
        <v>2810</v>
      </c>
      <c r="B3494" s="517" t="s">
        <v>2810</v>
      </c>
    </row>
    <row r="3495" spans="1:2" ht="15" hidden="1" x14ac:dyDescent="0.25">
      <c r="A3495" s="517" t="s">
        <v>2811</v>
      </c>
      <c r="B3495" s="517" t="s">
        <v>2811</v>
      </c>
    </row>
    <row r="3496" spans="1:2" ht="15" hidden="1" x14ac:dyDescent="0.25">
      <c r="A3496" s="517" t="s">
        <v>2811</v>
      </c>
      <c r="B3496" s="517" t="s">
        <v>2811</v>
      </c>
    </row>
    <row r="3497" spans="1:2" ht="15" hidden="1" x14ac:dyDescent="0.25">
      <c r="A3497" s="517" t="s">
        <v>2812</v>
      </c>
      <c r="B3497" s="517" t="s">
        <v>2812</v>
      </c>
    </row>
    <row r="3498" spans="1:2" ht="15" hidden="1" x14ac:dyDescent="0.25">
      <c r="A3498" s="517" t="s">
        <v>2813</v>
      </c>
      <c r="B3498" s="517" t="s">
        <v>2813</v>
      </c>
    </row>
    <row r="3499" spans="1:2" ht="15" hidden="1" x14ac:dyDescent="0.25">
      <c r="A3499" s="517" t="s">
        <v>2814</v>
      </c>
      <c r="B3499" s="517" t="s">
        <v>2814</v>
      </c>
    </row>
    <row r="3500" spans="1:2" ht="15" hidden="1" x14ac:dyDescent="0.25">
      <c r="A3500" s="517" t="s">
        <v>2815</v>
      </c>
      <c r="B3500" s="517" t="s">
        <v>2815</v>
      </c>
    </row>
    <row r="3501" spans="1:2" ht="15" hidden="1" x14ac:dyDescent="0.25">
      <c r="A3501" s="517" t="s">
        <v>2816</v>
      </c>
      <c r="B3501" s="517" t="s">
        <v>2816</v>
      </c>
    </row>
    <row r="3502" spans="1:2" ht="15" hidden="1" x14ac:dyDescent="0.25">
      <c r="A3502" s="517" t="s">
        <v>2817</v>
      </c>
      <c r="B3502" s="517" t="s">
        <v>2817</v>
      </c>
    </row>
    <row r="3503" spans="1:2" ht="15" hidden="1" x14ac:dyDescent="0.25">
      <c r="A3503" s="517" t="s">
        <v>2818</v>
      </c>
      <c r="B3503" s="517" t="s">
        <v>2818</v>
      </c>
    </row>
    <row r="3504" spans="1:2" ht="15" hidden="1" x14ac:dyDescent="0.25">
      <c r="A3504" s="517" t="s">
        <v>2819</v>
      </c>
      <c r="B3504" s="517" t="s">
        <v>2819</v>
      </c>
    </row>
    <row r="3505" spans="1:2" ht="15" hidden="1" x14ac:dyDescent="0.25">
      <c r="A3505" s="517" t="s">
        <v>2820</v>
      </c>
      <c r="B3505" s="517" t="s">
        <v>2820</v>
      </c>
    </row>
    <row r="3506" spans="1:2" ht="15" hidden="1" x14ac:dyDescent="0.25">
      <c r="A3506" s="517" t="s">
        <v>2821</v>
      </c>
      <c r="B3506" s="517" t="s">
        <v>2821</v>
      </c>
    </row>
    <row r="3507" spans="1:2" ht="15" hidden="1" x14ac:dyDescent="0.25">
      <c r="A3507" s="517" t="s">
        <v>2822</v>
      </c>
      <c r="B3507" s="517" t="s">
        <v>2822</v>
      </c>
    </row>
    <row r="3508" spans="1:2" ht="15" hidden="1" x14ac:dyDescent="0.25">
      <c r="A3508" s="517" t="s">
        <v>2823</v>
      </c>
      <c r="B3508" s="517" t="s">
        <v>2823</v>
      </c>
    </row>
    <row r="3509" spans="1:2" ht="15" hidden="1" x14ac:dyDescent="0.25">
      <c r="A3509" s="517" t="s">
        <v>2824</v>
      </c>
      <c r="B3509" s="517" t="s">
        <v>2824</v>
      </c>
    </row>
    <row r="3510" spans="1:2" ht="15" hidden="1" x14ac:dyDescent="0.25">
      <c r="A3510" s="517" t="s">
        <v>2825</v>
      </c>
      <c r="B3510" s="517" t="s">
        <v>2825</v>
      </c>
    </row>
    <row r="3511" spans="1:2" ht="15" hidden="1" x14ac:dyDescent="0.25">
      <c r="A3511" s="517" t="s">
        <v>2826</v>
      </c>
      <c r="B3511" s="517" t="s">
        <v>2826</v>
      </c>
    </row>
    <row r="3512" spans="1:2" ht="15" hidden="1" x14ac:dyDescent="0.25">
      <c r="A3512" s="517" t="s">
        <v>2827</v>
      </c>
      <c r="B3512" s="517" t="s">
        <v>2827</v>
      </c>
    </row>
    <row r="3513" spans="1:2" ht="15" hidden="1" x14ac:dyDescent="0.25">
      <c r="A3513" s="517" t="s">
        <v>2828</v>
      </c>
      <c r="B3513" s="517" t="s">
        <v>2828</v>
      </c>
    </row>
    <row r="3514" spans="1:2" ht="15" hidden="1" x14ac:dyDescent="0.25">
      <c r="A3514" s="517" t="s">
        <v>2829</v>
      </c>
      <c r="B3514" s="517" t="s">
        <v>2829</v>
      </c>
    </row>
    <row r="3515" spans="1:2" ht="15" hidden="1" x14ac:dyDescent="0.25">
      <c r="A3515" s="517" t="s">
        <v>2830</v>
      </c>
      <c r="B3515" s="517" t="s">
        <v>2830</v>
      </c>
    </row>
    <row r="3516" spans="1:2" ht="15" hidden="1" x14ac:dyDescent="0.25">
      <c r="A3516" s="517" t="s">
        <v>2830</v>
      </c>
      <c r="B3516" s="517" t="s">
        <v>2830</v>
      </c>
    </row>
    <row r="3517" spans="1:2" ht="15" hidden="1" x14ac:dyDescent="0.25">
      <c r="A3517" s="517" t="s">
        <v>2831</v>
      </c>
      <c r="B3517" s="517" t="s">
        <v>2831</v>
      </c>
    </row>
    <row r="3518" spans="1:2" ht="15" hidden="1" x14ac:dyDescent="0.25">
      <c r="A3518" s="517" t="s">
        <v>2832</v>
      </c>
      <c r="B3518" s="517" t="s">
        <v>2832</v>
      </c>
    </row>
    <row r="3519" spans="1:2" ht="15" hidden="1" x14ac:dyDescent="0.25">
      <c r="A3519" s="517" t="s">
        <v>2833</v>
      </c>
      <c r="B3519" s="517" t="s">
        <v>2833</v>
      </c>
    </row>
    <row r="3520" spans="1:2" ht="15" hidden="1" x14ac:dyDescent="0.25">
      <c r="A3520" s="517" t="s">
        <v>2834</v>
      </c>
      <c r="B3520" s="517" t="s">
        <v>2834</v>
      </c>
    </row>
    <row r="3521" spans="1:2" ht="15" hidden="1" x14ac:dyDescent="0.25">
      <c r="A3521" s="517" t="s">
        <v>2835</v>
      </c>
      <c r="B3521" s="517" t="s">
        <v>2835</v>
      </c>
    </row>
    <row r="3522" spans="1:2" ht="15" hidden="1" x14ac:dyDescent="0.25">
      <c r="A3522" s="517" t="s">
        <v>2836</v>
      </c>
      <c r="B3522" s="517" t="s">
        <v>2836</v>
      </c>
    </row>
    <row r="3523" spans="1:2" ht="15" hidden="1" x14ac:dyDescent="0.25">
      <c r="A3523" s="517" t="s">
        <v>2837</v>
      </c>
      <c r="B3523" s="517" t="s">
        <v>2837</v>
      </c>
    </row>
    <row r="3524" spans="1:2" ht="15" hidden="1" x14ac:dyDescent="0.25">
      <c r="A3524" s="517" t="s">
        <v>2838</v>
      </c>
      <c r="B3524" s="517" t="s">
        <v>2838</v>
      </c>
    </row>
    <row r="3525" spans="1:2" ht="15" hidden="1" x14ac:dyDescent="0.25">
      <c r="A3525" s="517" t="s">
        <v>2839</v>
      </c>
      <c r="B3525" s="517" t="s">
        <v>2839</v>
      </c>
    </row>
    <row r="3526" spans="1:2" ht="15" hidden="1" x14ac:dyDescent="0.25">
      <c r="A3526" s="517" t="s">
        <v>2840</v>
      </c>
      <c r="B3526" s="517" t="s">
        <v>2840</v>
      </c>
    </row>
    <row r="3527" spans="1:2" ht="15" hidden="1" x14ac:dyDescent="0.25">
      <c r="A3527" s="517" t="s">
        <v>2841</v>
      </c>
      <c r="B3527" s="517" t="s">
        <v>2841</v>
      </c>
    </row>
    <row r="3528" spans="1:2" ht="15" hidden="1" x14ac:dyDescent="0.25">
      <c r="A3528" s="517" t="s">
        <v>2842</v>
      </c>
      <c r="B3528" s="517" t="s">
        <v>2842</v>
      </c>
    </row>
    <row r="3529" spans="1:2" ht="15" hidden="1" x14ac:dyDescent="0.25">
      <c r="A3529" s="517" t="s">
        <v>2843</v>
      </c>
      <c r="B3529" s="517" t="s">
        <v>2843</v>
      </c>
    </row>
    <row r="3530" spans="1:2" ht="15" hidden="1" x14ac:dyDescent="0.25">
      <c r="A3530" s="517" t="s">
        <v>2844</v>
      </c>
      <c r="B3530" s="517" t="s">
        <v>2844</v>
      </c>
    </row>
    <row r="3531" spans="1:2" ht="15" hidden="1" x14ac:dyDescent="0.25">
      <c r="A3531" s="517" t="s">
        <v>2845</v>
      </c>
      <c r="B3531" s="517" t="s">
        <v>2845</v>
      </c>
    </row>
    <row r="3532" spans="1:2" ht="15" hidden="1" x14ac:dyDescent="0.25">
      <c r="A3532" s="517" t="s">
        <v>2846</v>
      </c>
      <c r="B3532" s="517" t="s">
        <v>2846</v>
      </c>
    </row>
    <row r="3533" spans="1:2" ht="15" hidden="1" x14ac:dyDescent="0.25">
      <c r="A3533" s="517" t="s">
        <v>2847</v>
      </c>
      <c r="B3533" s="517" t="s">
        <v>2847</v>
      </c>
    </row>
    <row r="3534" spans="1:2" ht="15" hidden="1" x14ac:dyDescent="0.25">
      <c r="A3534" s="517" t="s">
        <v>2848</v>
      </c>
      <c r="B3534" s="517" t="s">
        <v>2848</v>
      </c>
    </row>
    <row r="3535" spans="1:2" ht="15" hidden="1" x14ac:dyDescent="0.25">
      <c r="A3535" s="517" t="s">
        <v>2849</v>
      </c>
      <c r="B3535" s="517" t="s">
        <v>2849</v>
      </c>
    </row>
    <row r="3536" spans="1:2" ht="15" hidden="1" x14ac:dyDescent="0.25">
      <c r="A3536" s="517" t="s">
        <v>2850</v>
      </c>
      <c r="B3536" s="517" t="s">
        <v>2850</v>
      </c>
    </row>
    <row r="3537" spans="1:2" ht="15" hidden="1" x14ac:dyDescent="0.25">
      <c r="A3537" s="517" t="s">
        <v>2851</v>
      </c>
      <c r="B3537" s="517" t="s">
        <v>2851</v>
      </c>
    </row>
    <row r="3538" spans="1:2" ht="15" hidden="1" x14ac:dyDescent="0.25">
      <c r="A3538" s="517" t="s">
        <v>2852</v>
      </c>
      <c r="B3538" s="517" t="s">
        <v>2852</v>
      </c>
    </row>
    <row r="3539" spans="1:2" ht="15" hidden="1" x14ac:dyDescent="0.25">
      <c r="A3539" s="517" t="s">
        <v>2853</v>
      </c>
      <c r="B3539" s="517" t="s">
        <v>2853</v>
      </c>
    </row>
    <row r="3540" spans="1:2" ht="15" hidden="1" x14ac:dyDescent="0.25">
      <c r="A3540" s="517" t="s">
        <v>2854</v>
      </c>
      <c r="B3540" s="517" t="s">
        <v>2854</v>
      </c>
    </row>
    <row r="3541" spans="1:2" ht="15" hidden="1" x14ac:dyDescent="0.25">
      <c r="A3541" s="517" t="s">
        <v>2855</v>
      </c>
      <c r="B3541" s="517" t="s">
        <v>2855</v>
      </c>
    </row>
    <row r="3542" spans="1:2" ht="15" hidden="1" x14ac:dyDescent="0.25">
      <c r="A3542" s="517" t="s">
        <v>2856</v>
      </c>
      <c r="B3542" s="517" t="s">
        <v>2856</v>
      </c>
    </row>
    <row r="3543" spans="1:2" ht="15" hidden="1" x14ac:dyDescent="0.25">
      <c r="A3543" s="517" t="s">
        <v>2857</v>
      </c>
      <c r="B3543" s="517" t="s">
        <v>2857</v>
      </c>
    </row>
    <row r="3544" spans="1:2" ht="15" hidden="1" x14ac:dyDescent="0.25">
      <c r="A3544" s="517" t="s">
        <v>2858</v>
      </c>
      <c r="B3544" s="517" t="s">
        <v>2858</v>
      </c>
    </row>
    <row r="3545" spans="1:2" ht="15" hidden="1" x14ac:dyDescent="0.25">
      <c r="A3545" s="517" t="s">
        <v>2859</v>
      </c>
      <c r="B3545" s="517" t="s">
        <v>2859</v>
      </c>
    </row>
    <row r="3546" spans="1:2" ht="15" hidden="1" x14ac:dyDescent="0.25">
      <c r="A3546" s="517" t="s">
        <v>2860</v>
      </c>
      <c r="B3546" s="517" t="s">
        <v>2860</v>
      </c>
    </row>
    <row r="3547" spans="1:2" ht="15" hidden="1" x14ac:dyDescent="0.25">
      <c r="A3547" s="517" t="s">
        <v>2861</v>
      </c>
      <c r="B3547" s="517" t="s">
        <v>2861</v>
      </c>
    </row>
    <row r="3548" spans="1:2" ht="15" hidden="1" x14ac:dyDescent="0.25">
      <c r="A3548" s="517" t="s">
        <v>2862</v>
      </c>
      <c r="B3548" s="517" t="s">
        <v>2862</v>
      </c>
    </row>
    <row r="3549" spans="1:2" ht="15" hidden="1" x14ac:dyDescent="0.25">
      <c r="A3549" s="517" t="s">
        <v>2863</v>
      </c>
      <c r="B3549" s="517" t="s">
        <v>2864</v>
      </c>
    </row>
    <row r="3550" spans="1:2" ht="15" hidden="1" x14ac:dyDescent="0.25">
      <c r="A3550" s="517" t="s">
        <v>2865</v>
      </c>
      <c r="B3550" s="517" t="s">
        <v>2866</v>
      </c>
    </row>
    <row r="3551" spans="1:2" ht="15" hidden="1" x14ac:dyDescent="0.25">
      <c r="A3551" s="517" t="s">
        <v>2865</v>
      </c>
      <c r="B3551" s="517" t="s">
        <v>2866</v>
      </c>
    </row>
    <row r="3552" spans="1:2" ht="15" hidden="1" x14ac:dyDescent="0.25">
      <c r="A3552" s="517" t="s">
        <v>2867</v>
      </c>
      <c r="B3552" s="517" t="s">
        <v>2868</v>
      </c>
    </row>
    <row r="3553" spans="1:2" ht="15" hidden="1" x14ac:dyDescent="0.25">
      <c r="A3553" s="517" t="s">
        <v>2867</v>
      </c>
      <c r="B3553" s="517" t="s">
        <v>2868</v>
      </c>
    </row>
    <row r="3554" spans="1:2" ht="15" hidden="1" x14ac:dyDescent="0.25">
      <c r="A3554" s="517" t="s">
        <v>2869</v>
      </c>
      <c r="B3554" s="517" t="s">
        <v>2870</v>
      </c>
    </row>
    <row r="3555" spans="1:2" ht="15" hidden="1" x14ac:dyDescent="0.25">
      <c r="A3555" s="517" t="s">
        <v>2869</v>
      </c>
      <c r="B3555" s="517" t="s">
        <v>2870</v>
      </c>
    </row>
    <row r="3556" spans="1:2" ht="15" hidden="1" x14ac:dyDescent="0.25">
      <c r="A3556" s="517" t="s">
        <v>2871</v>
      </c>
      <c r="B3556" s="517" t="s">
        <v>2872</v>
      </c>
    </row>
    <row r="3557" spans="1:2" ht="15" hidden="1" x14ac:dyDescent="0.25">
      <c r="A3557" s="517" t="s">
        <v>2873</v>
      </c>
      <c r="B3557" s="517" t="s">
        <v>2874</v>
      </c>
    </row>
    <row r="3558" spans="1:2" ht="15" hidden="1" x14ac:dyDescent="0.25">
      <c r="A3558" s="517" t="s">
        <v>2875</v>
      </c>
      <c r="B3558" s="517" t="s">
        <v>2876</v>
      </c>
    </row>
    <row r="3559" spans="1:2" ht="15" hidden="1" x14ac:dyDescent="0.25">
      <c r="A3559" s="517" t="s">
        <v>635</v>
      </c>
      <c r="B3559" s="517" t="s">
        <v>636</v>
      </c>
    </row>
    <row r="3560" spans="1:2" ht="15" hidden="1" x14ac:dyDescent="0.25">
      <c r="A3560" s="517" t="s">
        <v>2877</v>
      </c>
      <c r="B3560" s="517" t="s">
        <v>2878</v>
      </c>
    </row>
    <row r="3561" spans="1:2" ht="15" hidden="1" x14ac:dyDescent="0.25">
      <c r="A3561" s="517" t="s">
        <v>2877</v>
      </c>
      <c r="B3561" s="517" t="s">
        <v>2878</v>
      </c>
    </row>
    <row r="3562" spans="1:2" ht="15" hidden="1" x14ac:dyDescent="0.25">
      <c r="A3562" s="517" t="s">
        <v>2879</v>
      </c>
      <c r="B3562" s="517" t="s">
        <v>2880</v>
      </c>
    </row>
    <row r="3563" spans="1:2" ht="15" hidden="1" x14ac:dyDescent="0.25">
      <c r="A3563" s="517" t="s">
        <v>2879</v>
      </c>
      <c r="B3563" s="517" t="s">
        <v>2880</v>
      </c>
    </row>
    <row r="3564" spans="1:2" ht="15" hidden="1" x14ac:dyDescent="0.25">
      <c r="A3564" s="517" t="s">
        <v>2879</v>
      </c>
      <c r="B3564" s="517" t="s">
        <v>2880</v>
      </c>
    </row>
    <row r="3565" spans="1:2" ht="15" hidden="1" x14ac:dyDescent="0.25">
      <c r="A3565" s="517" t="s">
        <v>219</v>
      </c>
      <c r="B3565" s="517" t="s">
        <v>367</v>
      </c>
    </row>
    <row r="3566" spans="1:2" ht="15" hidden="1" x14ac:dyDescent="0.25">
      <c r="A3566" s="517" t="s">
        <v>1671</v>
      </c>
      <c r="B3566" s="517" t="s">
        <v>1672</v>
      </c>
    </row>
    <row r="3567" spans="1:2" ht="15" hidden="1" x14ac:dyDescent="0.25">
      <c r="A3567" s="517" t="s">
        <v>2881</v>
      </c>
      <c r="B3567" s="517" t="s">
        <v>2882</v>
      </c>
    </row>
    <row r="3568" spans="1:2" ht="15" hidden="1" x14ac:dyDescent="0.25">
      <c r="A3568" s="517" t="s">
        <v>2883</v>
      </c>
      <c r="B3568" s="517" t="s">
        <v>2884</v>
      </c>
    </row>
    <row r="3569" spans="1:2" ht="15" hidden="1" x14ac:dyDescent="0.25">
      <c r="A3569" s="517" t="s">
        <v>2885</v>
      </c>
      <c r="B3569" s="517" t="s">
        <v>2886</v>
      </c>
    </row>
    <row r="3570" spans="1:2" ht="15" hidden="1" x14ac:dyDescent="0.25">
      <c r="A3570" s="517" t="s">
        <v>2887</v>
      </c>
      <c r="B3570" s="517" t="s">
        <v>2888</v>
      </c>
    </row>
    <row r="3571" spans="1:2" ht="15" hidden="1" x14ac:dyDescent="0.25">
      <c r="A3571" s="517" t="s">
        <v>2889</v>
      </c>
      <c r="B3571" s="517" t="s">
        <v>2890</v>
      </c>
    </row>
    <row r="3572" spans="1:2" ht="15" hidden="1" x14ac:dyDescent="0.25">
      <c r="A3572" s="517" t="s">
        <v>2889</v>
      </c>
      <c r="B3572" s="517" t="s">
        <v>2890</v>
      </c>
    </row>
    <row r="3573" spans="1:2" ht="15" hidden="1" x14ac:dyDescent="0.25">
      <c r="A3573" s="517" t="s">
        <v>2889</v>
      </c>
      <c r="B3573" s="517" t="s">
        <v>2890</v>
      </c>
    </row>
    <row r="3574" spans="1:2" ht="15" hidden="1" x14ac:dyDescent="0.25">
      <c r="A3574" s="517" t="s">
        <v>2891</v>
      </c>
      <c r="B3574" s="517" t="s">
        <v>2892</v>
      </c>
    </row>
    <row r="3575" spans="1:2" ht="15" hidden="1" x14ac:dyDescent="0.25">
      <c r="A3575" s="517" t="s">
        <v>2893</v>
      </c>
      <c r="B3575" s="517" t="s">
        <v>2894</v>
      </c>
    </row>
    <row r="3576" spans="1:2" ht="15" hidden="1" x14ac:dyDescent="0.25">
      <c r="A3576" s="517" t="s">
        <v>2893</v>
      </c>
      <c r="B3576" s="517" t="s">
        <v>2894</v>
      </c>
    </row>
    <row r="3577" spans="1:2" ht="15" hidden="1" x14ac:dyDescent="0.25">
      <c r="A3577" s="517" t="s">
        <v>2893</v>
      </c>
      <c r="B3577" s="517" t="s">
        <v>2894</v>
      </c>
    </row>
    <row r="3578" spans="1:2" ht="15" hidden="1" x14ac:dyDescent="0.25">
      <c r="A3578" s="517" t="s">
        <v>2895</v>
      </c>
      <c r="B3578" s="517" t="s">
        <v>2896</v>
      </c>
    </row>
    <row r="3579" spans="1:2" ht="15" hidden="1" x14ac:dyDescent="0.25">
      <c r="A3579" s="517" t="s">
        <v>2895</v>
      </c>
      <c r="B3579" s="517" t="s">
        <v>2896</v>
      </c>
    </row>
    <row r="3580" spans="1:2" ht="15" hidden="1" x14ac:dyDescent="0.25">
      <c r="A3580" s="517" t="s">
        <v>2895</v>
      </c>
      <c r="B3580" s="517" t="s">
        <v>2896</v>
      </c>
    </row>
    <row r="3581" spans="1:2" ht="15" hidden="1" x14ac:dyDescent="0.25">
      <c r="A3581" s="517" t="s">
        <v>2897</v>
      </c>
      <c r="B3581" s="517" t="s">
        <v>2898</v>
      </c>
    </row>
    <row r="3582" spans="1:2" ht="15" hidden="1" x14ac:dyDescent="0.25">
      <c r="A3582" s="517" t="s">
        <v>234</v>
      </c>
      <c r="B3582" s="517" t="s">
        <v>378</v>
      </c>
    </row>
    <row r="3583" spans="1:2" ht="15" hidden="1" x14ac:dyDescent="0.25">
      <c r="A3583" s="517" t="s">
        <v>2899</v>
      </c>
      <c r="B3583" s="517" t="s">
        <v>2900</v>
      </c>
    </row>
    <row r="3584" spans="1:2" ht="15" hidden="1" x14ac:dyDescent="0.25">
      <c r="A3584" s="517" t="s">
        <v>2899</v>
      </c>
      <c r="B3584" s="517" t="s">
        <v>2900</v>
      </c>
    </row>
    <row r="3585" spans="1:2" ht="15" hidden="1" x14ac:dyDescent="0.25">
      <c r="A3585" s="517" t="s">
        <v>2901</v>
      </c>
      <c r="B3585" s="517" t="s">
        <v>2902</v>
      </c>
    </row>
    <row r="3586" spans="1:2" ht="15" hidden="1" x14ac:dyDescent="0.25">
      <c r="A3586" s="517" t="s">
        <v>2903</v>
      </c>
      <c r="B3586" s="517" t="s">
        <v>2904</v>
      </c>
    </row>
    <row r="3587" spans="1:2" ht="15" hidden="1" x14ac:dyDescent="0.25">
      <c r="A3587" s="517" t="s">
        <v>2903</v>
      </c>
      <c r="B3587" s="517" t="s">
        <v>2904</v>
      </c>
    </row>
    <row r="3588" spans="1:2" ht="15" hidden="1" x14ac:dyDescent="0.25">
      <c r="A3588" s="517" t="s">
        <v>2903</v>
      </c>
      <c r="B3588" s="517" t="s">
        <v>2904</v>
      </c>
    </row>
    <row r="3589" spans="1:2" ht="15" hidden="1" x14ac:dyDescent="0.25">
      <c r="A3589" s="517" t="s">
        <v>2905</v>
      </c>
      <c r="B3589" s="517" t="s">
        <v>2906</v>
      </c>
    </row>
    <row r="3590" spans="1:2" ht="15" hidden="1" x14ac:dyDescent="0.25">
      <c r="A3590" s="517" t="s">
        <v>2907</v>
      </c>
      <c r="B3590" s="517" t="s">
        <v>2908</v>
      </c>
    </row>
    <row r="3591" spans="1:2" ht="15" hidden="1" x14ac:dyDescent="0.25">
      <c r="A3591" s="517" t="s">
        <v>2907</v>
      </c>
      <c r="B3591" s="517" t="s">
        <v>2908</v>
      </c>
    </row>
    <row r="3592" spans="1:2" ht="15" hidden="1" x14ac:dyDescent="0.25">
      <c r="A3592" s="517" t="s">
        <v>2907</v>
      </c>
      <c r="B3592" s="517" t="s">
        <v>2908</v>
      </c>
    </row>
    <row r="3593" spans="1:2" ht="15" hidden="1" x14ac:dyDescent="0.25">
      <c r="A3593" s="517" t="s">
        <v>2909</v>
      </c>
      <c r="B3593" s="517" t="s">
        <v>2910</v>
      </c>
    </row>
    <row r="3594" spans="1:2" ht="15" hidden="1" x14ac:dyDescent="0.25">
      <c r="A3594" s="517" t="s">
        <v>2911</v>
      </c>
      <c r="B3594" s="517" t="s">
        <v>2912</v>
      </c>
    </row>
    <row r="3595" spans="1:2" ht="15" hidden="1" x14ac:dyDescent="0.25">
      <c r="A3595" s="517" t="s">
        <v>1693</v>
      </c>
      <c r="B3595" s="517" t="s">
        <v>2913</v>
      </c>
    </row>
    <row r="3596" spans="1:2" ht="15" hidden="1" x14ac:dyDescent="0.25">
      <c r="A3596" s="517" t="s">
        <v>2914</v>
      </c>
      <c r="B3596" s="517" t="s">
        <v>2915</v>
      </c>
    </row>
    <row r="3597" spans="1:2" ht="15" hidden="1" x14ac:dyDescent="0.25">
      <c r="A3597" s="517" t="s">
        <v>2916</v>
      </c>
      <c r="B3597" s="517" t="s">
        <v>2917</v>
      </c>
    </row>
    <row r="3598" spans="1:2" ht="15" hidden="1" x14ac:dyDescent="0.25">
      <c r="A3598" s="517" t="s">
        <v>1697</v>
      </c>
      <c r="B3598" s="517" t="s">
        <v>1698</v>
      </c>
    </row>
    <row r="3599" spans="1:2" ht="15" hidden="1" x14ac:dyDescent="0.25">
      <c r="A3599" s="517" t="s">
        <v>2918</v>
      </c>
      <c r="B3599" s="517" t="s">
        <v>2919</v>
      </c>
    </row>
    <row r="3600" spans="1:2" ht="15" hidden="1" x14ac:dyDescent="0.25">
      <c r="A3600" s="517" t="s">
        <v>2920</v>
      </c>
      <c r="B3600" s="517" t="s">
        <v>2921</v>
      </c>
    </row>
    <row r="3601" spans="1:2" ht="15" hidden="1" x14ac:dyDescent="0.25">
      <c r="A3601" s="517" t="s">
        <v>2922</v>
      </c>
      <c r="B3601" s="517" t="s">
        <v>2923</v>
      </c>
    </row>
    <row r="3602" spans="1:2" ht="15" hidden="1" x14ac:dyDescent="0.25">
      <c r="A3602" s="517" t="s">
        <v>1707</v>
      </c>
      <c r="B3602" s="517" t="s">
        <v>1708</v>
      </c>
    </row>
    <row r="3603" spans="1:2" ht="15" hidden="1" x14ac:dyDescent="0.25">
      <c r="A3603" s="517" t="s">
        <v>2924</v>
      </c>
      <c r="B3603" s="517" t="s">
        <v>2925</v>
      </c>
    </row>
    <row r="3604" spans="1:2" ht="15" hidden="1" x14ac:dyDescent="0.25">
      <c r="A3604" s="517" t="s">
        <v>2924</v>
      </c>
      <c r="B3604" s="517" t="s">
        <v>2925</v>
      </c>
    </row>
    <row r="3605" spans="1:2" ht="15" hidden="1" x14ac:dyDescent="0.25">
      <c r="A3605" s="517" t="s">
        <v>2926</v>
      </c>
      <c r="B3605" s="517" t="s">
        <v>2927</v>
      </c>
    </row>
    <row r="3606" spans="1:2" ht="15" hidden="1" x14ac:dyDescent="0.25">
      <c r="A3606" s="517" t="s">
        <v>2928</v>
      </c>
      <c r="B3606" s="517" t="s">
        <v>2929</v>
      </c>
    </row>
    <row r="3607" spans="1:2" ht="15" hidden="1" x14ac:dyDescent="0.25">
      <c r="A3607" s="517" t="s">
        <v>2928</v>
      </c>
      <c r="B3607" s="517" t="s">
        <v>2929</v>
      </c>
    </row>
    <row r="3608" spans="1:2" ht="15" hidden="1" x14ac:dyDescent="0.25">
      <c r="A3608" s="517" t="s">
        <v>2928</v>
      </c>
      <c r="B3608" s="517" t="s">
        <v>2929</v>
      </c>
    </row>
    <row r="3609" spans="1:2" ht="15" hidden="1" x14ac:dyDescent="0.25">
      <c r="A3609" s="517" t="s">
        <v>2928</v>
      </c>
      <c r="B3609" s="517" t="s">
        <v>2929</v>
      </c>
    </row>
    <row r="3610" spans="1:2" ht="15" hidden="1" x14ac:dyDescent="0.25">
      <c r="A3610" s="517" t="s">
        <v>2928</v>
      </c>
      <c r="B3610" s="517" t="s">
        <v>2929</v>
      </c>
    </row>
    <row r="3611" spans="1:2" ht="15" hidden="1" x14ac:dyDescent="0.25">
      <c r="A3611" s="517" t="s">
        <v>2928</v>
      </c>
      <c r="B3611" s="517" t="s">
        <v>2929</v>
      </c>
    </row>
    <row r="3612" spans="1:2" ht="15" hidden="1" x14ac:dyDescent="0.25">
      <c r="A3612" s="517" t="s">
        <v>2928</v>
      </c>
      <c r="B3612" s="517" t="s">
        <v>2929</v>
      </c>
    </row>
    <row r="3613" spans="1:2" ht="15" hidden="1" x14ac:dyDescent="0.25">
      <c r="A3613" s="517" t="s">
        <v>2930</v>
      </c>
      <c r="B3613" s="517" t="s">
        <v>2931</v>
      </c>
    </row>
    <row r="3614" spans="1:2" ht="15" hidden="1" x14ac:dyDescent="0.25">
      <c r="A3614" s="517" t="s">
        <v>2932</v>
      </c>
      <c r="B3614" s="517" t="s">
        <v>2933</v>
      </c>
    </row>
    <row r="3615" spans="1:2" ht="15" hidden="1" x14ac:dyDescent="0.25">
      <c r="A3615" s="517" t="s">
        <v>2934</v>
      </c>
      <c r="B3615" s="517" t="s">
        <v>2935</v>
      </c>
    </row>
    <row r="3616" spans="1:2" ht="15" hidden="1" x14ac:dyDescent="0.25">
      <c r="A3616" s="517" t="s">
        <v>2934</v>
      </c>
      <c r="B3616" s="517" t="s">
        <v>2935</v>
      </c>
    </row>
    <row r="3617" spans="1:2" ht="15" hidden="1" x14ac:dyDescent="0.25">
      <c r="A3617" s="517" t="s">
        <v>2936</v>
      </c>
      <c r="B3617" s="517" t="s">
        <v>2937</v>
      </c>
    </row>
    <row r="3618" spans="1:2" ht="15" hidden="1" x14ac:dyDescent="0.25">
      <c r="A3618" s="517" t="s">
        <v>2936</v>
      </c>
      <c r="B3618" s="517" t="s">
        <v>2937</v>
      </c>
    </row>
    <row r="3619" spans="1:2" ht="15" hidden="1" x14ac:dyDescent="0.25">
      <c r="A3619" s="517" t="s">
        <v>204</v>
      </c>
      <c r="B3619" s="517" t="s">
        <v>400</v>
      </c>
    </row>
    <row r="3620" spans="1:2" ht="15" hidden="1" x14ac:dyDescent="0.25">
      <c r="A3620" s="517" t="s">
        <v>2938</v>
      </c>
      <c r="B3620" s="517" t="s">
        <v>2939</v>
      </c>
    </row>
    <row r="3621" spans="1:2" ht="15" hidden="1" x14ac:dyDescent="0.25">
      <c r="A3621" s="517" t="s">
        <v>2940</v>
      </c>
      <c r="B3621" s="517" t="s">
        <v>2941</v>
      </c>
    </row>
    <row r="3622" spans="1:2" ht="15" hidden="1" x14ac:dyDescent="0.25">
      <c r="A3622" s="517" t="s">
        <v>2942</v>
      </c>
      <c r="B3622" s="517" t="s">
        <v>2943</v>
      </c>
    </row>
    <row r="3623" spans="1:2" ht="15" hidden="1" x14ac:dyDescent="0.25">
      <c r="A3623" s="517" t="s">
        <v>2944</v>
      </c>
      <c r="B3623" s="517" t="s">
        <v>2945</v>
      </c>
    </row>
    <row r="3624" spans="1:2" ht="15" hidden="1" x14ac:dyDescent="0.25">
      <c r="A3624" s="517" t="s">
        <v>2946</v>
      </c>
      <c r="B3624" s="517" t="s">
        <v>2947</v>
      </c>
    </row>
    <row r="3625" spans="1:2" ht="15" hidden="1" x14ac:dyDescent="0.25">
      <c r="A3625" s="517" t="s">
        <v>2946</v>
      </c>
      <c r="B3625" s="517" t="s">
        <v>2947</v>
      </c>
    </row>
    <row r="3626" spans="1:2" ht="15" hidden="1" x14ac:dyDescent="0.25">
      <c r="A3626" s="517" t="s">
        <v>2948</v>
      </c>
      <c r="B3626" s="517" t="s">
        <v>2949</v>
      </c>
    </row>
    <row r="3627" spans="1:2" ht="15" hidden="1" x14ac:dyDescent="0.25">
      <c r="A3627" s="517" t="s">
        <v>2950</v>
      </c>
      <c r="B3627" s="517" t="s">
        <v>2951</v>
      </c>
    </row>
    <row r="3628" spans="1:2" ht="15" hidden="1" x14ac:dyDescent="0.25">
      <c r="A3628" s="517" t="s">
        <v>2952</v>
      </c>
      <c r="B3628" s="517" t="s">
        <v>2953</v>
      </c>
    </row>
    <row r="3629" spans="1:2" ht="15" hidden="1" x14ac:dyDescent="0.25">
      <c r="A3629" s="517" t="s">
        <v>1231</v>
      </c>
      <c r="B3629" s="517" t="s">
        <v>1232</v>
      </c>
    </row>
    <row r="3630" spans="1:2" ht="15" hidden="1" x14ac:dyDescent="0.25">
      <c r="A3630" s="517" t="s">
        <v>2954</v>
      </c>
      <c r="B3630" s="517" t="s">
        <v>2955</v>
      </c>
    </row>
    <row r="3631" spans="1:2" ht="15" hidden="1" x14ac:dyDescent="0.25">
      <c r="A3631" s="517" t="s">
        <v>2956</v>
      </c>
      <c r="B3631" s="517" t="s">
        <v>2957</v>
      </c>
    </row>
    <row r="3632" spans="1:2" ht="15" hidden="1" x14ac:dyDescent="0.25">
      <c r="A3632" s="517" t="s">
        <v>2956</v>
      </c>
      <c r="B3632" s="517" t="s">
        <v>2957</v>
      </c>
    </row>
    <row r="3633" spans="1:2" ht="15" hidden="1" x14ac:dyDescent="0.25">
      <c r="A3633" s="517" t="s">
        <v>2956</v>
      </c>
      <c r="B3633" s="517" t="s">
        <v>2957</v>
      </c>
    </row>
    <row r="3634" spans="1:2" ht="15" hidden="1" x14ac:dyDescent="0.25">
      <c r="A3634" s="517" t="s">
        <v>2958</v>
      </c>
      <c r="B3634" s="517" t="s">
        <v>2959</v>
      </c>
    </row>
    <row r="3635" spans="1:2" ht="15" hidden="1" x14ac:dyDescent="0.25">
      <c r="A3635" s="517" t="s">
        <v>2960</v>
      </c>
      <c r="B3635" s="517" t="s">
        <v>2961</v>
      </c>
    </row>
    <row r="3636" spans="1:2" ht="15" hidden="1" x14ac:dyDescent="0.25">
      <c r="A3636" s="517" t="s">
        <v>2960</v>
      </c>
      <c r="B3636" s="517" t="s">
        <v>2961</v>
      </c>
    </row>
    <row r="3637" spans="1:2" ht="15" hidden="1" x14ac:dyDescent="0.25">
      <c r="A3637" s="517" t="s">
        <v>2962</v>
      </c>
      <c r="B3637" s="517" t="s">
        <v>2963</v>
      </c>
    </row>
    <row r="3638" spans="1:2" ht="15" hidden="1" x14ac:dyDescent="0.25">
      <c r="A3638" s="517" t="s">
        <v>2962</v>
      </c>
      <c r="B3638" s="517" t="s">
        <v>2963</v>
      </c>
    </row>
    <row r="3639" spans="1:2" ht="15" hidden="1" x14ac:dyDescent="0.25">
      <c r="A3639" s="517" t="s">
        <v>2964</v>
      </c>
      <c r="B3639" s="517" t="s">
        <v>2965</v>
      </c>
    </row>
    <row r="3640" spans="1:2" ht="15" hidden="1" x14ac:dyDescent="0.25">
      <c r="A3640" s="517" t="s">
        <v>2966</v>
      </c>
      <c r="B3640" s="517" t="s">
        <v>2967</v>
      </c>
    </row>
    <row r="3641" spans="1:2" ht="15" hidden="1" x14ac:dyDescent="0.25">
      <c r="A3641" s="517" t="s">
        <v>2968</v>
      </c>
      <c r="B3641" s="517" t="s">
        <v>2969</v>
      </c>
    </row>
    <row r="3642" spans="1:2" ht="15" hidden="1" x14ac:dyDescent="0.25">
      <c r="A3642" s="517" t="s">
        <v>2970</v>
      </c>
      <c r="B3642" s="517" t="s">
        <v>2971</v>
      </c>
    </row>
    <row r="3643" spans="1:2" ht="15" hidden="1" x14ac:dyDescent="0.25">
      <c r="A3643" s="517" t="s">
        <v>2970</v>
      </c>
      <c r="B3643" s="517" t="s">
        <v>2971</v>
      </c>
    </row>
    <row r="3644" spans="1:2" ht="15" hidden="1" x14ac:dyDescent="0.25">
      <c r="A3644" s="517" t="s">
        <v>2972</v>
      </c>
      <c r="B3644" s="517" t="s">
        <v>2973</v>
      </c>
    </row>
    <row r="3645" spans="1:2" ht="15" hidden="1" x14ac:dyDescent="0.25">
      <c r="A3645" s="517" t="s">
        <v>2974</v>
      </c>
      <c r="B3645" s="517" t="s">
        <v>2975</v>
      </c>
    </row>
    <row r="3646" spans="1:2" ht="15" hidden="1" x14ac:dyDescent="0.25">
      <c r="A3646" s="517" t="s">
        <v>220</v>
      </c>
      <c r="B3646" s="517" t="s">
        <v>321</v>
      </c>
    </row>
    <row r="3647" spans="1:2" ht="15" hidden="1" x14ac:dyDescent="0.25">
      <c r="A3647" s="517" t="s">
        <v>220</v>
      </c>
      <c r="B3647" s="517" t="s">
        <v>321</v>
      </c>
    </row>
    <row r="3648" spans="1:2" ht="15" hidden="1" x14ac:dyDescent="0.25">
      <c r="A3648" s="517" t="s">
        <v>220</v>
      </c>
      <c r="B3648" s="517" t="s">
        <v>321</v>
      </c>
    </row>
    <row r="3649" spans="1:2" ht="15" hidden="1" x14ac:dyDescent="0.25">
      <c r="A3649" s="517" t="s">
        <v>220</v>
      </c>
      <c r="B3649" s="517" t="s">
        <v>321</v>
      </c>
    </row>
    <row r="3650" spans="1:2" ht="15" hidden="1" x14ac:dyDescent="0.25">
      <c r="A3650" s="517" t="s">
        <v>220</v>
      </c>
      <c r="B3650" s="517" t="s">
        <v>321</v>
      </c>
    </row>
    <row r="3651" spans="1:2" ht="15" hidden="1" x14ac:dyDescent="0.25">
      <c r="A3651" s="517" t="s">
        <v>220</v>
      </c>
      <c r="B3651" s="517" t="s">
        <v>321</v>
      </c>
    </row>
    <row r="3652" spans="1:2" ht="15" hidden="1" x14ac:dyDescent="0.25">
      <c r="A3652" s="517" t="s">
        <v>2047</v>
      </c>
      <c r="B3652" s="517" t="s">
        <v>2048</v>
      </c>
    </row>
    <row r="3653" spans="1:2" ht="15" hidden="1" x14ac:dyDescent="0.25">
      <c r="A3653" s="517" t="s">
        <v>407</v>
      </c>
      <c r="B3653" s="517" t="s">
        <v>408</v>
      </c>
    </row>
    <row r="3654" spans="1:2" ht="15" hidden="1" x14ac:dyDescent="0.25">
      <c r="A3654" s="517" t="s">
        <v>407</v>
      </c>
      <c r="B3654" s="517" t="s">
        <v>408</v>
      </c>
    </row>
    <row r="3655" spans="1:2" ht="15" hidden="1" x14ac:dyDescent="0.25">
      <c r="A3655" s="517" t="s">
        <v>407</v>
      </c>
      <c r="B3655" s="517" t="s">
        <v>408</v>
      </c>
    </row>
    <row r="3656" spans="1:2" ht="15" hidden="1" x14ac:dyDescent="0.25">
      <c r="A3656" s="517" t="s">
        <v>194</v>
      </c>
      <c r="B3656" s="517" t="s">
        <v>327</v>
      </c>
    </row>
    <row r="3657" spans="1:2" ht="15" hidden="1" x14ac:dyDescent="0.25">
      <c r="A3657" s="517" t="s">
        <v>194</v>
      </c>
      <c r="B3657" s="517" t="s">
        <v>327</v>
      </c>
    </row>
    <row r="3658" spans="1:2" ht="15" hidden="1" x14ac:dyDescent="0.25">
      <c r="A3658" s="517" t="s">
        <v>194</v>
      </c>
      <c r="B3658" s="517" t="s">
        <v>327</v>
      </c>
    </row>
    <row r="3659" spans="1:2" ht="15" hidden="1" x14ac:dyDescent="0.25">
      <c r="A3659" s="517" t="s">
        <v>194</v>
      </c>
      <c r="B3659" s="517" t="s">
        <v>327</v>
      </c>
    </row>
    <row r="3660" spans="1:2" ht="15" hidden="1" x14ac:dyDescent="0.25">
      <c r="A3660" s="517" t="s">
        <v>194</v>
      </c>
      <c r="B3660" s="517" t="s">
        <v>327</v>
      </c>
    </row>
    <row r="3661" spans="1:2" ht="15" hidden="1" x14ac:dyDescent="0.25">
      <c r="A3661" s="517" t="s">
        <v>194</v>
      </c>
      <c r="B3661" s="517" t="s">
        <v>327</v>
      </c>
    </row>
    <row r="3662" spans="1:2" ht="15" hidden="1" x14ac:dyDescent="0.25">
      <c r="A3662" s="517" t="s">
        <v>194</v>
      </c>
      <c r="B3662" s="517" t="s">
        <v>327</v>
      </c>
    </row>
    <row r="3663" spans="1:2" ht="15" hidden="1" x14ac:dyDescent="0.25">
      <c r="A3663" s="517" t="s">
        <v>194</v>
      </c>
      <c r="B3663" s="517" t="s">
        <v>327</v>
      </c>
    </row>
    <row r="3664" spans="1:2" ht="15" hidden="1" x14ac:dyDescent="0.25">
      <c r="A3664" s="517" t="s">
        <v>194</v>
      </c>
      <c r="B3664" s="517" t="s">
        <v>327</v>
      </c>
    </row>
    <row r="3665" spans="1:2" ht="15" hidden="1" x14ac:dyDescent="0.25">
      <c r="A3665" s="517" t="s">
        <v>194</v>
      </c>
      <c r="B3665" s="517" t="s">
        <v>327</v>
      </c>
    </row>
    <row r="3666" spans="1:2" ht="15" hidden="1" x14ac:dyDescent="0.25">
      <c r="A3666" s="517" t="s">
        <v>194</v>
      </c>
      <c r="B3666" s="517" t="s">
        <v>327</v>
      </c>
    </row>
    <row r="3667" spans="1:2" ht="15" hidden="1" x14ac:dyDescent="0.25">
      <c r="A3667" s="517" t="s">
        <v>194</v>
      </c>
      <c r="B3667" s="517" t="s">
        <v>327</v>
      </c>
    </row>
    <row r="3668" spans="1:2" ht="15" hidden="1" x14ac:dyDescent="0.25">
      <c r="A3668" s="517" t="s">
        <v>194</v>
      </c>
      <c r="B3668" s="517" t="s">
        <v>327</v>
      </c>
    </row>
    <row r="3669" spans="1:2" ht="15" hidden="1" x14ac:dyDescent="0.25">
      <c r="A3669" s="517" t="s">
        <v>194</v>
      </c>
      <c r="B3669" s="517" t="s">
        <v>327</v>
      </c>
    </row>
    <row r="3670" spans="1:2" ht="15" hidden="1" x14ac:dyDescent="0.25">
      <c r="A3670" s="517" t="s">
        <v>194</v>
      </c>
      <c r="B3670" s="517" t="s">
        <v>327</v>
      </c>
    </row>
    <row r="3671" spans="1:2" ht="15" hidden="1" x14ac:dyDescent="0.25">
      <c r="A3671" s="517" t="s">
        <v>194</v>
      </c>
      <c r="B3671" s="517" t="s">
        <v>327</v>
      </c>
    </row>
    <row r="3672" spans="1:2" ht="15" hidden="1" x14ac:dyDescent="0.25">
      <c r="A3672" s="517" t="s">
        <v>194</v>
      </c>
      <c r="B3672" s="517" t="s">
        <v>327</v>
      </c>
    </row>
    <row r="3673" spans="1:2" ht="15" hidden="1" x14ac:dyDescent="0.25">
      <c r="A3673" s="517" t="s">
        <v>194</v>
      </c>
      <c r="B3673" s="517" t="s">
        <v>327</v>
      </c>
    </row>
    <row r="3674" spans="1:2" ht="15" hidden="1" x14ac:dyDescent="0.25">
      <c r="A3674" s="517" t="s">
        <v>194</v>
      </c>
      <c r="B3674" s="517" t="s">
        <v>327</v>
      </c>
    </row>
    <row r="3675" spans="1:2" ht="15" hidden="1" x14ac:dyDescent="0.25">
      <c r="A3675" s="517" t="s">
        <v>194</v>
      </c>
      <c r="B3675" s="517" t="s">
        <v>327</v>
      </c>
    </row>
    <row r="3676" spans="1:2" ht="15" hidden="1" x14ac:dyDescent="0.25">
      <c r="A3676" s="517" t="s">
        <v>194</v>
      </c>
      <c r="B3676" s="517" t="s">
        <v>327</v>
      </c>
    </row>
    <row r="3677" spans="1:2" ht="15" hidden="1" x14ac:dyDescent="0.25">
      <c r="A3677" s="517" t="s">
        <v>194</v>
      </c>
      <c r="B3677" s="517" t="s">
        <v>327</v>
      </c>
    </row>
    <row r="3678" spans="1:2" ht="15" hidden="1" x14ac:dyDescent="0.25">
      <c r="A3678" s="517" t="s">
        <v>194</v>
      </c>
      <c r="B3678" s="517" t="s">
        <v>327</v>
      </c>
    </row>
    <row r="3679" spans="1:2" ht="15" hidden="1" x14ac:dyDescent="0.25">
      <c r="A3679" s="517" t="s">
        <v>194</v>
      </c>
      <c r="B3679" s="517" t="s">
        <v>327</v>
      </c>
    </row>
    <row r="3680" spans="1:2" ht="15" hidden="1" x14ac:dyDescent="0.25">
      <c r="A3680" s="517" t="s">
        <v>194</v>
      </c>
      <c r="B3680" s="517" t="s">
        <v>327</v>
      </c>
    </row>
    <row r="3681" spans="1:2" ht="15" hidden="1" x14ac:dyDescent="0.25">
      <c r="A3681" s="517" t="s">
        <v>194</v>
      </c>
      <c r="B3681" s="517" t="s">
        <v>327</v>
      </c>
    </row>
    <row r="3682" spans="1:2" ht="15" hidden="1" x14ac:dyDescent="0.25">
      <c r="A3682" s="517" t="s">
        <v>194</v>
      </c>
      <c r="B3682" s="517" t="s">
        <v>327</v>
      </c>
    </row>
    <row r="3683" spans="1:2" ht="15" hidden="1" x14ac:dyDescent="0.25">
      <c r="A3683" s="517" t="s">
        <v>194</v>
      </c>
      <c r="B3683" s="517" t="s">
        <v>327</v>
      </c>
    </row>
    <row r="3684" spans="1:2" ht="15" hidden="1" x14ac:dyDescent="0.25">
      <c r="A3684" s="517" t="s">
        <v>194</v>
      </c>
      <c r="B3684" s="517" t="s">
        <v>327</v>
      </c>
    </row>
    <row r="3685" spans="1:2" ht="15" hidden="1" x14ac:dyDescent="0.25">
      <c r="A3685" s="517" t="s">
        <v>194</v>
      </c>
      <c r="B3685" s="517" t="s">
        <v>327</v>
      </c>
    </row>
    <row r="3686" spans="1:2" ht="15" hidden="1" x14ac:dyDescent="0.25">
      <c r="A3686" s="517" t="s">
        <v>194</v>
      </c>
      <c r="B3686" s="517" t="s">
        <v>327</v>
      </c>
    </row>
    <row r="3687" spans="1:2" ht="15" hidden="1" x14ac:dyDescent="0.25">
      <c r="A3687" s="517" t="s">
        <v>194</v>
      </c>
      <c r="B3687" s="517" t="s">
        <v>327</v>
      </c>
    </row>
    <row r="3688" spans="1:2" ht="15" hidden="1" x14ac:dyDescent="0.25">
      <c r="A3688" s="517" t="s">
        <v>222</v>
      </c>
      <c r="B3688" s="517" t="s">
        <v>328</v>
      </c>
    </row>
    <row r="3689" spans="1:2" ht="15" hidden="1" x14ac:dyDescent="0.25">
      <c r="A3689" s="517" t="s">
        <v>222</v>
      </c>
      <c r="B3689" s="517" t="s">
        <v>328</v>
      </c>
    </row>
    <row r="3690" spans="1:2" ht="15" hidden="1" x14ac:dyDescent="0.25">
      <c r="A3690" s="517" t="s">
        <v>222</v>
      </c>
      <c r="B3690" s="517" t="s">
        <v>328</v>
      </c>
    </row>
    <row r="3691" spans="1:2" ht="15" hidden="1" x14ac:dyDescent="0.25">
      <c r="A3691" s="517" t="s">
        <v>222</v>
      </c>
      <c r="B3691" s="517" t="s">
        <v>328</v>
      </c>
    </row>
    <row r="3692" spans="1:2" ht="15" hidden="1" x14ac:dyDescent="0.25">
      <c r="A3692" s="517" t="s">
        <v>222</v>
      </c>
      <c r="B3692" s="517" t="s">
        <v>328</v>
      </c>
    </row>
    <row r="3693" spans="1:2" ht="15" hidden="1" x14ac:dyDescent="0.25">
      <c r="A3693" s="517" t="s">
        <v>222</v>
      </c>
      <c r="B3693" s="517" t="s">
        <v>328</v>
      </c>
    </row>
    <row r="3694" spans="1:2" ht="15" hidden="1" x14ac:dyDescent="0.25">
      <c r="A3694" s="517" t="s">
        <v>222</v>
      </c>
      <c r="B3694" s="517" t="s">
        <v>328</v>
      </c>
    </row>
    <row r="3695" spans="1:2" ht="15" hidden="1" x14ac:dyDescent="0.25">
      <c r="A3695" s="517" t="s">
        <v>222</v>
      </c>
      <c r="B3695" s="517" t="s">
        <v>328</v>
      </c>
    </row>
    <row r="3696" spans="1:2" ht="15" hidden="1" x14ac:dyDescent="0.25">
      <c r="A3696" s="517" t="s">
        <v>222</v>
      </c>
      <c r="B3696" s="517" t="s">
        <v>328</v>
      </c>
    </row>
    <row r="3697" spans="1:2" ht="15" hidden="1" x14ac:dyDescent="0.25">
      <c r="A3697" s="517" t="s">
        <v>222</v>
      </c>
      <c r="B3697" s="517" t="s">
        <v>328</v>
      </c>
    </row>
    <row r="3698" spans="1:2" ht="15" hidden="1" x14ac:dyDescent="0.25">
      <c r="A3698" s="517" t="s">
        <v>222</v>
      </c>
      <c r="B3698" s="517" t="s">
        <v>328</v>
      </c>
    </row>
    <row r="3699" spans="1:2" ht="15" hidden="1" x14ac:dyDescent="0.25">
      <c r="A3699" s="517" t="s">
        <v>222</v>
      </c>
      <c r="B3699" s="517" t="s">
        <v>328</v>
      </c>
    </row>
    <row r="3700" spans="1:2" ht="15" hidden="1" x14ac:dyDescent="0.25">
      <c r="A3700" s="517" t="s">
        <v>222</v>
      </c>
      <c r="B3700" s="517" t="s">
        <v>328</v>
      </c>
    </row>
    <row r="3701" spans="1:2" ht="15" hidden="1" x14ac:dyDescent="0.25">
      <c r="A3701" s="517" t="s">
        <v>222</v>
      </c>
      <c r="B3701" s="517" t="s">
        <v>328</v>
      </c>
    </row>
    <row r="3702" spans="1:2" ht="15" hidden="1" x14ac:dyDescent="0.25">
      <c r="A3702" s="517" t="s">
        <v>222</v>
      </c>
      <c r="B3702" s="517" t="s">
        <v>328</v>
      </c>
    </row>
    <row r="3703" spans="1:2" ht="15" hidden="1" x14ac:dyDescent="0.25">
      <c r="A3703" s="517" t="s">
        <v>222</v>
      </c>
      <c r="B3703" s="517" t="s">
        <v>328</v>
      </c>
    </row>
    <row r="3704" spans="1:2" ht="15" hidden="1" x14ac:dyDescent="0.25">
      <c r="A3704" s="517" t="s">
        <v>222</v>
      </c>
      <c r="B3704" s="517" t="s">
        <v>328</v>
      </c>
    </row>
    <row r="3705" spans="1:2" ht="15" hidden="1" x14ac:dyDescent="0.25">
      <c r="A3705" s="517" t="s">
        <v>222</v>
      </c>
      <c r="B3705" s="517" t="s">
        <v>328</v>
      </c>
    </row>
    <row r="3706" spans="1:2" ht="15" hidden="1" x14ac:dyDescent="0.25">
      <c r="A3706" s="517" t="s">
        <v>222</v>
      </c>
      <c r="B3706" s="517" t="s">
        <v>328</v>
      </c>
    </row>
    <row r="3707" spans="1:2" ht="15" hidden="1" x14ac:dyDescent="0.25">
      <c r="A3707" s="517" t="s">
        <v>222</v>
      </c>
      <c r="B3707" s="517" t="s">
        <v>328</v>
      </c>
    </row>
    <row r="3708" spans="1:2" ht="15" hidden="1" x14ac:dyDescent="0.25">
      <c r="A3708" s="517" t="s">
        <v>222</v>
      </c>
      <c r="B3708" s="517" t="s">
        <v>328</v>
      </c>
    </row>
    <row r="3709" spans="1:2" ht="15" hidden="1" x14ac:dyDescent="0.25">
      <c r="A3709" s="517" t="s">
        <v>222</v>
      </c>
      <c r="B3709" s="517" t="s">
        <v>328</v>
      </c>
    </row>
    <row r="3710" spans="1:2" ht="15" hidden="1" x14ac:dyDescent="0.25">
      <c r="A3710" s="517" t="s">
        <v>222</v>
      </c>
      <c r="B3710" s="517" t="s">
        <v>328</v>
      </c>
    </row>
    <row r="3711" spans="1:2" ht="15" hidden="1" x14ac:dyDescent="0.25">
      <c r="A3711" s="517" t="s">
        <v>195</v>
      </c>
      <c r="B3711" s="517" t="s">
        <v>329</v>
      </c>
    </row>
    <row r="3712" spans="1:2" ht="15" hidden="1" x14ac:dyDescent="0.25">
      <c r="A3712" s="518" t="s">
        <v>195</v>
      </c>
      <c r="B3712" s="517" t="s">
        <v>329</v>
      </c>
    </row>
    <row r="3713" spans="1:2" ht="15" hidden="1" x14ac:dyDescent="0.25">
      <c r="A3713" s="517" t="s">
        <v>196</v>
      </c>
      <c r="B3713" s="517" t="s">
        <v>330</v>
      </c>
    </row>
    <row r="3714" spans="1:2" ht="15" hidden="1" x14ac:dyDescent="0.25">
      <c r="A3714" s="517" t="s">
        <v>196</v>
      </c>
      <c r="B3714" s="517" t="s">
        <v>330</v>
      </c>
    </row>
    <row r="3715" spans="1:2" ht="15" hidden="1" x14ac:dyDescent="0.25">
      <c r="A3715" s="517" t="s">
        <v>196</v>
      </c>
      <c r="B3715" s="517" t="s">
        <v>330</v>
      </c>
    </row>
    <row r="3716" spans="1:2" ht="15" hidden="1" x14ac:dyDescent="0.25">
      <c r="A3716" s="517" t="s">
        <v>196</v>
      </c>
      <c r="B3716" s="517" t="s">
        <v>330</v>
      </c>
    </row>
    <row r="3717" spans="1:2" ht="15" hidden="1" x14ac:dyDescent="0.25">
      <c r="A3717" s="517" t="s">
        <v>196</v>
      </c>
      <c r="B3717" s="517" t="s">
        <v>330</v>
      </c>
    </row>
    <row r="3718" spans="1:2" ht="15" hidden="1" x14ac:dyDescent="0.25">
      <c r="A3718" s="517" t="s">
        <v>197</v>
      </c>
      <c r="B3718" s="517" t="s">
        <v>331</v>
      </c>
    </row>
    <row r="3719" spans="1:2" ht="15" hidden="1" x14ac:dyDescent="0.25">
      <c r="A3719" s="517" t="s">
        <v>197</v>
      </c>
      <c r="B3719" s="517" t="s">
        <v>331</v>
      </c>
    </row>
    <row r="3720" spans="1:2" ht="15" hidden="1" x14ac:dyDescent="0.25">
      <c r="A3720" s="517" t="s">
        <v>197</v>
      </c>
      <c r="B3720" s="517" t="s">
        <v>331</v>
      </c>
    </row>
    <row r="3721" spans="1:2" ht="15" hidden="1" x14ac:dyDescent="0.25">
      <c r="A3721" s="517" t="s">
        <v>197</v>
      </c>
      <c r="B3721" s="517" t="s">
        <v>331</v>
      </c>
    </row>
    <row r="3722" spans="1:2" ht="15" hidden="1" x14ac:dyDescent="0.25">
      <c r="A3722" s="517" t="s">
        <v>197</v>
      </c>
      <c r="B3722" s="517" t="s">
        <v>331</v>
      </c>
    </row>
    <row r="3723" spans="1:2" ht="15" hidden="1" x14ac:dyDescent="0.25">
      <c r="A3723" s="517" t="s">
        <v>197</v>
      </c>
      <c r="B3723" s="517" t="s">
        <v>331</v>
      </c>
    </row>
    <row r="3724" spans="1:2" ht="15" hidden="1" x14ac:dyDescent="0.25">
      <c r="A3724" s="517" t="s">
        <v>197</v>
      </c>
      <c r="B3724" s="517" t="s">
        <v>331</v>
      </c>
    </row>
    <row r="3725" spans="1:2" ht="15" hidden="1" x14ac:dyDescent="0.25">
      <c r="A3725" s="517" t="s">
        <v>199</v>
      </c>
      <c r="B3725" s="517" t="s">
        <v>334</v>
      </c>
    </row>
    <row r="3726" spans="1:2" ht="15" hidden="1" x14ac:dyDescent="0.25">
      <c r="A3726" s="517" t="s">
        <v>199</v>
      </c>
      <c r="B3726" s="517" t="s">
        <v>334</v>
      </c>
    </row>
    <row r="3727" spans="1:2" ht="15" hidden="1" x14ac:dyDescent="0.25">
      <c r="A3727" s="517" t="s">
        <v>199</v>
      </c>
      <c r="B3727" s="517" t="s">
        <v>334</v>
      </c>
    </row>
    <row r="3728" spans="1:2" ht="15" hidden="1" x14ac:dyDescent="0.25">
      <c r="A3728" s="517" t="s">
        <v>199</v>
      </c>
      <c r="B3728" s="517" t="s">
        <v>334</v>
      </c>
    </row>
    <row r="3729" spans="1:2" ht="15" hidden="1" x14ac:dyDescent="0.25">
      <c r="A3729" s="517" t="s">
        <v>199</v>
      </c>
      <c r="B3729" s="517" t="s">
        <v>334</v>
      </c>
    </row>
    <row r="3730" spans="1:2" ht="15" hidden="1" x14ac:dyDescent="0.25">
      <c r="A3730" s="517" t="s">
        <v>1471</v>
      </c>
      <c r="B3730" s="517" t="s">
        <v>1472</v>
      </c>
    </row>
    <row r="3731" spans="1:2" ht="15" hidden="1" x14ac:dyDescent="0.25">
      <c r="A3731" s="517" t="s">
        <v>200</v>
      </c>
      <c r="B3731" s="517" t="s">
        <v>335</v>
      </c>
    </row>
    <row r="3732" spans="1:2" ht="15" hidden="1" x14ac:dyDescent="0.25">
      <c r="A3732" s="517" t="s">
        <v>1281</v>
      </c>
      <c r="B3732" s="517" t="s">
        <v>1282</v>
      </c>
    </row>
    <row r="3733" spans="1:2" ht="15" hidden="1" x14ac:dyDescent="0.25">
      <c r="A3733" s="517" t="s">
        <v>1281</v>
      </c>
      <c r="B3733" s="517" t="s">
        <v>1282</v>
      </c>
    </row>
    <row r="3734" spans="1:2" ht="15" hidden="1" x14ac:dyDescent="0.25">
      <c r="A3734" s="517" t="s">
        <v>1281</v>
      </c>
      <c r="B3734" s="517" t="s">
        <v>1282</v>
      </c>
    </row>
    <row r="3735" spans="1:2" ht="15" hidden="1" x14ac:dyDescent="0.25">
      <c r="A3735" s="517" t="s">
        <v>1281</v>
      </c>
      <c r="B3735" s="517" t="s">
        <v>1282</v>
      </c>
    </row>
    <row r="3736" spans="1:2" ht="15" hidden="1" x14ac:dyDescent="0.25">
      <c r="A3736" s="517" t="s">
        <v>1281</v>
      </c>
      <c r="B3736" s="517" t="s">
        <v>1282</v>
      </c>
    </row>
    <row r="3737" spans="1:2" ht="15" hidden="1" x14ac:dyDescent="0.25">
      <c r="A3737" s="517" t="s">
        <v>1281</v>
      </c>
      <c r="B3737" s="517" t="s">
        <v>1282</v>
      </c>
    </row>
    <row r="3738" spans="1:2" ht="15" hidden="1" x14ac:dyDescent="0.25">
      <c r="A3738" s="517" t="s">
        <v>1281</v>
      </c>
      <c r="B3738" s="517" t="s">
        <v>1282</v>
      </c>
    </row>
    <row r="3739" spans="1:2" ht="15" hidden="1" x14ac:dyDescent="0.25">
      <c r="A3739" s="517" t="s">
        <v>1281</v>
      </c>
      <c r="B3739" s="517" t="s">
        <v>1282</v>
      </c>
    </row>
    <row r="3740" spans="1:2" ht="15" hidden="1" x14ac:dyDescent="0.25">
      <c r="A3740" s="517" t="s">
        <v>1281</v>
      </c>
      <c r="B3740" s="517" t="s">
        <v>1282</v>
      </c>
    </row>
    <row r="3741" spans="1:2" ht="15" hidden="1" x14ac:dyDescent="0.25">
      <c r="A3741" s="517" t="s">
        <v>2976</v>
      </c>
      <c r="B3741" s="517" t="s">
        <v>2976</v>
      </c>
    </row>
    <row r="3742" spans="1:2" ht="15" hidden="1" x14ac:dyDescent="0.25">
      <c r="A3742" s="517" t="s">
        <v>2977</v>
      </c>
      <c r="B3742" s="517" t="s">
        <v>2977</v>
      </c>
    </row>
    <row r="3743" spans="1:2" ht="15" hidden="1" x14ac:dyDescent="0.25">
      <c r="A3743" s="517" t="s">
        <v>2978</v>
      </c>
      <c r="B3743" s="517" t="s">
        <v>2978</v>
      </c>
    </row>
    <row r="3744" spans="1:2" ht="15" hidden="1" x14ac:dyDescent="0.25">
      <c r="A3744" s="517" t="s">
        <v>2979</v>
      </c>
      <c r="B3744" s="517" t="s">
        <v>2979</v>
      </c>
    </row>
    <row r="3745" spans="1:2" ht="15" hidden="1" x14ac:dyDescent="0.25">
      <c r="A3745" s="517" t="s">
        <v>2980</v>
      </c>
      <c r="B3745" s="517" t="s">
        <v>2980</v>
      </c>
    </row>
    <row r="3746" spans="1:2" ht="15" hidden="1" x14ac:dyDescent="0.25">
      <c r="A3746" s="517" t="s">
        <v>2981</v>
      </c>
      <c r="B3746" s="517" t="s">
        <v>2981</v>
      </c>
    </row>
    <row r="3747" spans="1:2" ht="15" hidden="1" x14ac:dyDescent="0.25">
      <c r="A3747" s="517" t="s">
        <v>2982</v>
      </c>
      <c r="B3747" s="517" t="s">
        <v>2982</v>
      </c>
    </row>
    <row r="3748" spans="1:2" ht="15" hidden="1" x14ac:dyDescent="0.25">
      <c r="A3748" s="517" t="s">
        <v>2983</v>
      </c>
      <c r="B3748" s="517" t="s">
        <v>2983</v>
      </c>
    </row>
    <row r="3749" spans="1:2" ht="15" hidden="1" x14ac:dyDescent="0.25">
      <c r="A3749" s="517" t="s">
        <v>2984</v>
      </c>
      <c r="B3749" s="517" t="s">
        <v>2984</v>
      </c>
    </row>
    <row r="3750" spans="1:2" ht="15" hidden="1" x14ac:dyDescent="0.25">
      <c r="A3750" s="517" t="s">
        <v>2985</v>
      </c>
      <c r="B3750" s="517" t="s">
        <v>2985</v>
      </c>
    </row>
    <row r="3751" spans="1:2" ht="15" hidden="1" x14ac:dyDescent="0.25">
      <c r="A3751" s="517" t="s">
        <v>2986</v>
      </c>
      <c r="B3751" s="517" t="s">
        <v>2986</v>
      </c>
    </row>
    <row r="3752" spans="1:2" ht="15" hidden="1" x14ac:dyDescent="0.25">
      <c r="A3752" s="517" t="s">
        <v>2987</v>
      </c>
      <c r="B3752" s="517" t="s">
        <v>2987</v>
      </c>
    </row>
    <row r="3753" spans="1:2" ht="15" hidden="1" x14ac:dyDescent="0.25">
      <c r="A3753" s="517" t="s">
        <v>2988</v>
      </c>
      <c r="B3753" s="517" t="s">
        <v>2988</v>
      </c>
    </row>
    <row r="3754" spans="1:2" ht="15" hidden="1" x14ac:dyDescent="0.25">
      <c r="A3754" s="517" t="s">
        <v>2989</v>
      </c>
      <c r="B3754" s="517" t="s">
        <v>2989</v>
      </c>
    </row>
    <row r="3755" spans="1:2" ht="15" hidden="1" x14ac:dyDescent="0.25">
      <c r="A3755" s="517" t="s">
        <v>2989</v>
      </c>
      <c r="B3755" s="517" t="s">
        <v>2989</v>
      </c>
    </row>
    <row r="3756" spans="1:2" ht="15" hidden="1" x14ac:dyDescent="0.25">
      <c r="A3756" s="517" t="s">
        <v>2990</v>
      </c>
      <c r="B3756" s="517" t="s">
        <v>2990</v>
      </c>
    </row>
    <row r="3757" spans="1:2" ht="15" hidden="1" x14ac:dyDescent="0.25">
      <c r="A3757" s="517" t="s">
        <v>2991</v>
      </c>
      <c r="B3757" s="517" t="s">
        <v>2991</v>
      </c>
    </row>
    <row r="3758" spans="1:2" ht="15" hidden="1" x14ac:dyDescent="0.25">
      <c r="A3758" s="517" t="s">
        <v>2991</v>
      </c>
      <c r="B3758" s="517" t="s">
        <v>2991</v>
      </c>
    </row>
    <row r="3759" spans="1:2" ht="15" hidden="1" x14ac:dyDescent="0.25">
      <c r="A3759" s="517" t="s">
        <v>2992</v>
      </c>
      <c r="B3759" s="517" t="s">
        <v>2992</v>
      </c>
    </row>
    <row r="3760" spans="1:2" ht="15" hidden="1" x14ac:dyDescent="0.25">
      <c r="A3760" s="517" t="s">
        <v>2993</v>
      </c>
      <c r="B3760" s="517" t="s">
        <v>2993</v>
      </c>
    </row>
    <row r="3761" spans="1:2" ht="15" hidden="1" x14ac:dyDescent="0.25">
      <c r="A3761" s="517" t="s">
        <v>2994</v>
      </c>
      <c r="B3761" s="517" t="s">
        <v>2994</v>
      </c>
    </row>
    <row r="3762" spans="1:2" ht="15" hidden="1" x14ac:dyDescent="0.25">
      <c r="A3762" s="517" t="s">
        <v>2995</v>
      </c>
      <c r="B3762" s="517" t="s">
        <v>2995</v>
      </c>
    </row>
    <row r="3763" spans="1:2" ht="15" hidden="1" x14ac:dyDescent="0.25">
      <c r="A3763" s="517" t="s">
        <v>2996</v>
      </c>
      <c r="B3763" s="517" t="s">
        <v>2996</v>
      </c>
    </row>
    <row r="3764" spans="1:2" ht="15" hidden="1" x14ac:dyDescent="0.25">
      <c r="A3764" s="517" t="s">
        <v>2894</v>
      </c>
      <c r="B3764" s="517" t="s">
        <v>2894</v>
      </c>
    </row>
    <row r="3765" spans="1:2" ht="15" hidden="1" x14ac:dyDescent="0.25">
      <c r="A3765" s="517" t="s">
        <v>2997</v>
      </c>
      <c r="B3765" s="517" t="s">
        <v>2997</v>
      </c>
    </row>
    <row r="3766" spans="1:2" ht="15" hidden="1" x14ac:dyDescent="0.25">
      <c r="A3766" s="517" t="s">
        <v>2998</v>
      </c>
      <c r="B3766" s="517" t="s">
        <v>2998</v>
      </c>
    </row>
    <row r="3767" spans="1:2" ht="15" hidden="1" x14ac:dyDescent="0.25">
      <c r="A3767" s="517" t="s">
        <v>2998</v>
      </c>
      <c r="B3767" s="517" t="s">
        <v>2998</v>
      </c>
    </row>
    <row r="3768" spans="1:2" ht="15" hidden="1" x14ac:dyDescent="0.25">
      <c r="A3768" s="517" t="s">
        <v>2999</v>
      </c>
      <c r="B3768" s="517" t="s">
        <v>2999</v>
      </c>
    </row>
    <row r="3769" spans="1:2" ht="15" hidden="1" x14ac:dyDescent="0.25">
      <c r="A3769" s="517" t="s">
        <v>3000</v>
      </c>
      <c r="B3769" s="517" t="s">
        <v>3000</v>
      </c>
    </row>
    <row r="3770" spans="1:2" ht="15" hidden="1" x14ac:dyDescent="0.25">
      <c r="A3770" s="517" t="s">
        <v>3000</v>
      </c>
      <c r="B3770" s="517" t="s">
        <v>3000</v>
      </c>
    </row>
    <row r="3771" spans="1:2" ht="15" hidden="1" x14ac:dyDescent="0.25">
      <c r="A3771" s="517" t="s">
        <v>3001</v>
      </c>
      <c r="B3771" s="517" t="s">
        <v>3001</v>
      </c>
    </row>
    <row r="3772" spans="1:2" ht="15" hidden="1" x14ac:dyDescent="0.25">
      <c r="A3772" s="517" t="s">
        <v>3001</v>
      </c>
      <c r="B3772" s="517" t="s">
        <v>3001</v>
      </c>
    </row>
    <row r="3773" spans="1:2" ht="15" hidden="1" x14ac:dyDescent="0.25">
      <c r="A3773" s="517" t="s">
        <v>3002</v>
      </c>
      <c r="B3773" s="517" t="s">
        <v>3002</v>
      </c>
    </row>
    <row r="3774" spans="1:2" ht="15" hidden="1" x14ac:dyDescent="0.25">
      <c r="A3774" s="517" t="s">
        <v>3003</v>
      </c>
      <c r="B3774" s="517" t="s">
        <v>3003</v>
      </c>
    </row>
    <row r="3775" spans="1:2" ht="15" hidden="1" x14ac:dyDescent="0.25">
      <c r="A3775" s="517" t="s">
        <v>3004</v>
      </c>
      <c r="B3775" s="517" t="s">
        <v>3004</v>
      </c>
    </row>
    <row r="3776" spans="1:2" ht="15" hidden="1" x14ac:dyDescent="0.25">
      <c r="A3776" s="517" t="s">
        <v>3005</v>
      </c>
      <c r="B3776" s="517" t="s">
        <v>3005</v>
      </c>
    </row>
    <row r="3777" spans="1:2" ht="15" hidden="1" x14ac:dyDescent="0.25">
      <c r="A3777" s="517" t="s">
        <v>3006</v>
      </c>
      <c r="B3777" s="517" t="s">
        <v>3006</v>
      </c>
    </row>
    <row r="3778" spans="1:2" ht="15" hidden="1" x14ac:dyDescent="0.25">
      <c r="A3778" s="517" t="s">
        <v>3006</v>
      </c>
      <c r="B3778" s="517" t="s">
        <v>3006</v>
      </c>
    </row>
    <row r="3779" spans="1:2" ht="15" hidden="1" x14ac:dyDescent="0.25">
      <c r="A3779" s="517" t="s">
        <v>3007</v>
      </c>
      <c r="B3779" s="517" t="s">
        <v>3007</v>
      </c>
    </row>
    <row r="3780" spans="1:2" ht="15" hidden="1" x14ac:dyDescent="0.25">
      <c r="A3780" s="517" t="s">
        <v>3008</v>
      </c>
      <c r="B3780" s="517" t="s">
        <v>3008</v>
      </c>
    </row>
    <row r="3781" spans="1:2" ht="15" hidden="1" x14ac:dyDescent="0.25">
      <c r="A3781" s="517" t="s">
        <v>3009</v>
      </c>
      <c r="B3781" s="517" t="s">
        <v>3009</v>
      </c>
    </row>
    <row r="3782" spans="1:2" ht="15" hidden="1" x14ac:dyDescent="0.25">
      <c r="A3782" s="517" t="s">
        <v>3010</v>
      </c>
      <c r="B3782" s="517" t="s">
        <v>3010</v>
      </c>
    </row>
    <row r="3783" spans="1:2" ht="15" hidden="1" x14ac:dyDescent="0.25">
      <c r="A3783" s="517" t="s">
        <v>3011</v>
      </c>
      <c r="B3783" s="517" t="s">
        <v>3011</v>
      </c>
    </row>
    <row r="3784" spans="1:2" ht="15" hidden="1" x14ac:dyDescent="0.25">
      <c r="A3784" s="517" t="s">
        <v>3012</v>
      </c>
      <c r="B3784" s="517" t="s">
        <v>3012</v>
      </c>
    </row>
    <row r="3785" spans="1:2" ht="15" hidden="1" x14ac:dyDescent="0.25">
      <c r="A3785" s="517" t="s">
        <v>3013</v>
      </c>
      <c r="B3785" s="517" t="s">
        <v>3013</v>
      </c>
    </row>
    <row r="3786" spans="1:2" ht="15" hidden="1" x14ac:dyDescent="0.25">
      <c r="A3786" s="517" t="s">
        <v>3014</v>
      </c>
      <c r="B3786" s="517" t="s">
        <v>3014</v>
      </c>
    </row>
    <row r="3787" spans="1:2" ht="15" hidden="1" x14ac:dyDescent="0.25">
      <c r="A3787" s="517" t="s">
        <v>3015</v>
      </c>
      <c r="B3787" s="517" t="s">
        <v>3015</v>
      </c>
    </row>
    <row r="3788" spans="1:2" ht="15" hidden="1" x14ac:dyDescent="0.25">
      <c r="A3788" s="517" t="s">
        <v>3016</v>
      </c>
      <c r="B3788" s="517" t="s">
        <v>3016</v>
      </c>
    </row>
    <row r="3789" spans="1:2" ht="15" hidden="1" x14ac:dyDescent="0.25">
      <c r="A3789" s="517" t="s">
        <v>3017</v>
      </c>
      <c r="B3789" s="517" t="s">
        <v>3017</v>
      </c>
    </row>
    <row r="3790" spans="1:2" ht="15" hidden="1" x14ac:dyDescent="0.25">
      <c r="A3790" s="517" t="s">
        <v>3018</v>
      </c>
      <c r="B3790" s="517" t="s">
        <v>3018</v>
      </c>
    </row>
    <row r="3791" spans="1:2" ht="15" hidden="1" x14ac:dyDescent="0.25">
      <c r="A3791" s="517" t="s">
        <v>3019</v>
      </c>
      <c r="B3791" s="517" t="s">
        <v>3019</v>
      </c>
    </row>
    <row r="3792" spans="1:2" ht="15" hidden="1" x14ac:dyDescent="0.25">
      <c r="A3792" s="517" t="s">
        <v>3019</v>
      </c>
      <c r="B3792" s="517" t="s">
        <v>3019</v>
      </c>
    </row>
    <row r="3793" spans="1:2" ht="15" hidden="1" x14ac:dyDescent="0.25">
      <c r="A3793" s="517" t="s">
        <v>3020</v>
      </c>
      <c r="B3793" s="517" t="s">
        <v>3020</v>
      </c>
    </row>
    <row r="3794" spans="1:2" ht="15" hidden="1" x14ac:dyDescent="0.25">
      <c r="A3794" s="517" t="s">
        <v>3021</v>
      </c>
      <c r="B3794" s="517" t="s">
        <v>3021</v>
      </c>
    </row>
    <row r="3795" spans="1:2" ht="15" hidden="1" x14ac:dyDescent="0.25">
      <c r="A3795" s="517" t="s">
        <v>3022</v>
      </c>
      <c r="B3795" s="517" t="s">
        <v>3022</v>
      </c>
    </row>
    <row r="3796" spans="1:2" ht="15" hidden="1" x14ac:dyDescent="0.25">
      <c r="A3796" s="517" t="s">
        <v>3023</v>
      </c>
      <c r="B3796" s="517" t="s">
        <v>3023</v>
      </c>
    </row>
    <row r="3797" spans="1:2" ht="15" hidden="1" x14ac:dyDescent="0.25">
      <c r="A3797" s="517" t="s">
        <v>3024</v>
      </c>
      <c r="B3797" s="517" t="s">
        <v>3024</v>
      </c>
    </row>
    <row r="3798" spans="1:2" ht="15" hidden="1" x14ac:dyDescent="0.25">
      <c r="A3798" s="517" t="s">
        <v>3025</v>
      </c>
      <c r="B3798" s="517" t="s">
        <v>3025</v>
      </c>
    </row>
    <row r="3799" spans="1:2" ht="15" hidden="1" x14ac:dyDescent="0.25">
      <c r="A3799" s="517" t="s">
        <v>3026</v>
      </c>
      <c r="B3799" s="517" t="s">
        <v>3026</v>
      </c>
    </row>
    <row r="3800" spans="1:2" ht="15" hidden="1" x14ac:dyDescent="0.25">
      <c r="A3800" s="517" t="s">
        <v>3026</v>
      </c>
      <c r="B3800" s="517" t="s">
        <v>3026</v>
      </c>
    </row>
    <row r="3801" spans="1:2" ht="15" hidden="1" x14ac:dyDescent="0.25">
      <c r="A3801" s="517" t="s">
        <v>3027</v>
      </c>
      <c r="B3801" s="517" t="s">
        <v>3027</v>
      </c>
    </row>
    <row r="3802" spans="1:2" ht="15" hidden="1" x14ac:dyDescent="0.25">
      <c r="A3802" s="517" t="s">
        <v>3028</v>
      </c>
      <c r="B3802" s="517" t="s">
        <v>3028</v>
      </c>
    </row>
    <row r="3803" spans="1:2" ht="15" hidden="1" x14ac:dyDescent="0.25">
      <c r="A3803" s="517" t="s">
        <v>3029</v>
      </c>
      <c r="B3803" s="517" t="s">
        <v>3029</v>
      </c>
    </row>
    <row r="3804" spans="1:2" ht="15" hidden="1" x14ac:dyDescent="0.25">
      <c r="A3804" s="517" t="s">
        <v>3029</v>
      </c>
      <c r="B3804" s="517" t="s">
        <v>3029</v>
      </c>
    </row>
    <row r="3805" spans="1:2" ht="15" hidden="1" x14ac:dyDescent="0.25">
      <c r="A3805" s="517" t="s">
        <v>3030</v>
      </c>
      <c r="B3805" s="517" t="s">
        <v>3030</v>
      </c>
    </row>
    <row r="3806" spans="1:2" ht="15" hidden="1" x14ac:dyDescent="0.25">
      <c r="A3806" s="517" t="s">
        <v>3031</v>
      </c>
      <c r="B3806" s="517" t="s">
        <v>3031</v>
      </c>
    </row>
    <row r="3807" spans="1:2" ht="15" hidden="1" x14ac:dyDescent="0.25">
      <c r="A3807" s="517" t="s">
        <v>3031</v>
      </c>
      <c r="B3807" s="517" t="s">
        <v>3031</v>
      </c>
    </row>
    <row r="3808" spans="1:2" ht="15" hidden="1" x14ac:dyDescent="0.25">
      <c r="A3808" s="517" t="s">
        <v>3032</v>
      </c>
      <c r="B3808" s="517" t="s">
        <v>3032</v>
      </c>
    </row>
    <row r="3809" spans="1:2" ht="15" hidden="1" x14ac:dyDescent="0.25">
      <c r="A3809" s="517" t="s">
        <v>3033</v>
      </c>
      <c r="B3809" s="517" t="s">
        <v>3033</v>
      </c>
    </row>
    <row r="3810" spans="1:2" ht="15" hidden="1" x14ac:dyDescent="0.25">
      <c r="A3810" s="517" t="s">
        <v>3034</v>
      </c>
      <c r="B3810" s="517" t="s">
        <v>3034</v>
      </c>
    </row>
    <row r="3811" spans="1:2" ht="15" hidden="1" x14ac:dyDescent="0.25">
      <c r="A3811" s="517" t="s">
        <v>3035</v>
      </c>
      <c r="B3811" s="517" t="s">
        <v>3035</v>
      </c>
    </row>
    <row r="3812" spans="1:2" ht="15" hidden="1" x14ac:dyDescent="0.25">
      <c r="A3812" s="517" t="s">
        <v>3036</v>
      </c>
      <c r="B3812" s="517" t="s">
        <v>3036</v>
      </c>
    </row>
    <row r="3813" spans="1:2" ht="15" hidden="1" x14ac:dyDescent="0.25">
      <c r="A3813" s="517" t="s">
        <v>3037</v>
      </c>
      <c r="B3813" s="517" t="s">
        <v>3037</v>
      </c>
    </row>
    <row r="3814" spans="1:2" ht="15" hidden="1" x14ac:dyDescent="0.25">
      <c r="A3814" s="517" t="s">
        <v>3038</v>
      </c>
      <c r="B3814" s="517" t="s">
        <v>3039</v>
      </c>
    </row>
    <row r="3815" spans="1:2" ht="15" hidden="1" x14ac:dyDescent="0.25">
      <c r="A3815" s="517" t="s">
        <v>3040</v>
      </c>
      <c r="B3815" s="517" t="s">
        <v>3041</v>
      </c>
    </row>
    <row r="3816" spans="1:2" ht="15" hidden="1" x14ac:dyDescent="0.25">
      <c r="A3816" s="517" t="s">
        <v>3042</v>
      </c>
      <c r="B3816" s="517" t="s">
        <v>3043</v>
      </c>
    </row>
    <row r="3817" spans="1:2" ht="15" hidden="1" x14ac:dyDescent="0.25">
      <c r="A3817" s="517" t="s">
        <v>3044</v>
      </c>
      <c r="B3817" s="517" t="s">
        <v>3045</v>
      </c>
    </row>
    <row r="3818" spans="1:2" ht="15" hidden="1" x14ac:dyDescent="0.25">
      <c r="A3818" s="517" t="s">
        <v>3044</v>
      </c>
      <c r="B3818" s="517" t="s">
        <v>3045</v>
      </c>
    </row>
    <row r="3819" spans="1:2" ht="15" hidden="1" x14ac:dyDescent="0.25">
      <c r="A3819" s="517" t="s">
        <v>1780</v>
      </c>
      <c r="B3819" s="517" t="s">
        <v>3046</v>
      </c>
    </row>
    <row r="3820" spans="1:2" ht="15" hidden="1" x14ac:dyDescent="0.25">
      <c r="A3820" s="517" t="s">
        <v>1780</v>
      </c>
      <c r="B3820" s="517" t="s">
        <v>1781</v>
      </c>
    </row>
    <row r="3821" spans="1:2" ht="15" hidden="1" x14ac:dyDescent="0.25">
      <c r="A3821" s="517" t="s">
        <v>1780</v>
      </c>
      <c r="B3821" s="517" t="s">
        <v>1781</v>
      </c>
    </row>
    <row r="3822" spans="1:2" ht="15" hidden="1" x14ac:dyDescent="0.25">
      <c r="A3822" s="517" t="s">
        <v>3047</v>
      </c>
      <c r="B3822" s="517" t="s">
        <v>3048</v>
      </c>
    </row>
    <row r="3823" spans="1:2" ht="15" hidden="1" x14ac:dyDescent="0.25">
      <c r="A3823" s="517" t="s">
        <v>3049</v>
      </c>
      <c r="B3823" s="517" t="s">
        <v>3050</v>
      </c>
    </row>
    <row r="3824" spans="1:2" ht="15" hidden="1" x14ac:dyDescent="0.25">
      <c r="A3824" s="517" t="s">
        <v>3051</v>
      </c>
      <c r="B3824" s="517" t="s">
        <v>3052</v>
      </c>
    </row>
    <row r="3825" spans="1:2" ht="15" hidden="1" x14ac:dyDescent="0.25">
      <c r="A3825" s="517" t="s">
        <v>3051</v>
      </c>
      <c r="B3825" s="517" t="s">
        <v>3052</v>
      </c>
    </row>
    <row r="3826" spans="1:2" ht="15" hidden="1" x14ac:dyDescent="0.25">
      <c r="A3826" s="517" t="s">
        <v>3051</v>
      </c>
      <c r="B3826" s="517" t="s">
        <v>3052</v>
      </c>
    </row>
    <row r="3827" spans="1:2" ht="15" hidden="1" x14ac:dyDescent="0.25">
      <c r="A3827" s="517" t="s">
        <v>3053</v>
      </c>
      <c r="B3827" s="517" t="s">
        <v>3054</v>
      </c>
    </row>
    <row r="3828" spans="1:2" ht="15" hidden="1" x14ac:dyDescent="0.25">
      <c r="A3828" s="517" t="s">
        <v>2291</v>
      </c>
      <c r="B3828" s="517" t="s">
        <v>3055</v>
      </c>
    </row>
    <row r="3829" spans="1:2" ht="15" hidden="1" x14ac:dyDescent="0.25">
      <c r="A3829" s="517" t="s">
        <v>2291</v>
      </c>
      <c r="B3829" s="517" t="s">
        <v>3055</v>
      </c>
    </row>
    <row r="3830" spans="1:2" ht="15" hidden="1" x14ac:dyDescent="0.25">
      <c r="A3830" s="517" t="s">
        <v>3056</v>
      </c>
      <c r="B3830" s="517" t="s">
        <v>3057</v>
      </c>
    </row>
    <row r="3831" spans="1:2" ht="15" hidden="1" x14ac:dyDescent="0.25">
      <c r="A3831" s="517" t="s">
        <v>1549</v>
      </c>
      <c r="B3831" s="517" t="s">
        <v>1550</v>
      </c>
    </row>
    <row r="3832" spans="1:2" ht="15" hidden="1" x14ac:dyDescent="0.25">
      <c r="A3832" s="517" t="s">
        <v>1549</v>
      </c>
      <c r="B3832" s="517" t="s">
        <v>1550</v>
      </c>
    </row>
    <row r="3833" spans="1:2" ht="15" hidden="1" x14ac:dyDescent="0.25">
      <c r="A3833" s="517" t="s">
        <v>3058</v>
      </c>
      <c r="B3833" s="517" t="s">
        <v>3059</v>
      </c>
    </row>
    <row r="3834" spans="1:2" ht="15" hidden="1" x14ac:dyDescent="0.25">
      <c r="A3834" s="517" t="s">
        <v>3058</v>
      </c>
      <c r="B3834" s="517" t="s">
        <v>3059</v>
      </c>
    </row>
    <row r="3835" spans="1:2" ht="15" hidden="1" x14ac:dyDescent="0.25">
      <c r="A3835" s="517" t="s">
        <v>3060</v>
      </c>
      <c r="B3835" s="517" t="s">
        <v>3061</v>
      </c>
    </row>
    <row r="3836" spans="1:2" ht="15" hidden="1" x14ac:dyDescent="0.25">
      <c r="A3836" s="517" t="s">
        <v>1679</v>
      </c>
      <c r="B3836" s="517" t="s">
        <v>1680</v>
      </c>
    </row>
    <row r="3837" spans="1:2" ht="15" hidden="1" x14ac:dyDescent="0.25">
      <c r="A3837" s="517" t="s">
        <v>1679</v>
      </c>
      <c r="B3837" s="517" t="s">
        <v>1680</v>
      </c>
    </row>
    <row r="3838" spans="1:2" ht="15" hidden="1" x14ac:dyDescent="0.25">
      <c r="A3838" s="517" t="s">
        <v>3062</v>
      </c>
      <c r="B3838" s="517" t="s">
        <v>3063</v>
      </c>
    </row>
    <row r="3839" spans="1:2" ht="15" hidden="1" x14ac:dyDescent="0.25">
      <c r="A3839" s="517" t="s">
        <v>3062</v>
      </c>
      <c r="B3839" s="517" t="s">
        <v>3063</v>
      </c>
    </row>
    <row r="3840" spans="1:2" ht="15" hidden="1" x14ac:dyDescent="0.25">
      <c r="A3840" s="517" t="s">
        <v>3064</v>
      </c>
      <c r="B3840" s="517" t="s">
        <v>3065</v>
      </c>
    </row>
    <row r="3841" spans="1:2" ht="15" hidden="1" x14ac:dyDescent="0.25">
      <c r="A3841" s="517" t="s">
        <v>3066</v>
      </c>
      <c r="B3841" s="517" t="s">
        <v>3067</v>
      </c>
    </row>
    <row r="3842" spans="1:2" ht="15" hidden="1" x14ac:dyDescent="0.25">
      <c r="A3842" s="517" t="s">
        <v>3068</v>
      </c>
      <c r="B3842" s="517" t="s">
        <v>3069</v>
      </c>
    </row>
    <row r="3843" spans="1:2" ht="15" hidden="1" x14ac:dyDescent="0.25">
      <c r="A3843" s="517" t="s">
        <v>2322</v>
      </c>
      <c r="B3843" s="517" t="s">
        <v>2323</v>
      </c>
    </row>
    <row r="3844" spans="1:2" ht="15" hidden="1" x14ac:dyDescent="0.25">
      <c r="A3844" s="517" t="s">
        <v>2322</v>
      </c>
      <c r="B3844" s="517" t="s">
        <v>2323</v>
      </c>
    </row>
    <row r="3845" spans="1:2" ht="15" hidden="1" x14ac:dyDescent="0.25">
      <c r="A3845" s="517" t="s">
        <v>3070</v>
      </c>
      <c r="B3845" s="517" t="s">
        <v>3071</v>
      </c>
    </row>
    <row r="3846" spans="1:2" ht="15" hidden="1" x14ac:dyDescent="0.25">
      <c r="A3846" s="517" t="s">
        <v>3072</v>
      </c>
      <c r="B3846" s="517" t="s">
        <v>3073</v>
      </c>
    </row>
    <row r="3847" spans="1:2" ht="15" hidden="1" x14ac:dyDescent="0.25">
      <c r="A3847" s="517" t="s">
        <v>1802</v>
      </c>
      <c r="B3847" s="517" t="s">
        <v>1803</v>
      </c>
    </row>
    <row r="3848" spans="1:2" ht="15" hidden="1" x14ac:dyDescent="0.25">
      <c r="A3848" s="517" t="s">
        <v>1802</v>
      </c>
      <c r="B3848" s="517" t="s">
        <v>1803</v>
      </c>
    </row>
    <row r="3849" spans="1:2" ht="15" hidden="1" x14ac:dyDescent="0.25">
      <c r="A3849" s="517" t="s">
        <v>1804</v>
      </c>
      <c r="B3849" s="517" t="s">
        <v>1805</v>
      </c>
    </row>
    <row r="3850" spans="1:2" ht="15" hidden="1" x14ac:dyDescent="0.25">
      <c r="A3850" s="517" t="s">
        <v>1806</v>
      </c>
      <c r="B3850" s="517" t="s">
        <v>1807</v>
      </c>
    </row>
    <row r="3851" spans="1:2" ht="15" hidden="1" x14ac:dyDescent="0.25">
      <c r="A3851" s="517" t="s">
        <v>3074</v>
      </c>
      <c r="B3851" s="517" t="s">
        <v>3075</v>
      </c>
    </row>
    <row r="3852" spans="1:2" ht="15" hidden="1" x14ac:dyDescent="0.25">
      <c r="A3852" s="517" t="s">
        <v>1808</v>
      </c>
      <c r="B3852" s="517" t="s">
        <v>1809</v>
      </c>
    </row>
    <row r="3853" spans="1:2" ht="15" hidden="1" x14ac:dyDescent="0.25">
      <c r="A3853" s="517" t="s">
        <v>3076</v>
      </c>
      <c r="B3853" s="517" t="s">
        <v>3077</v>
      </c>
    </row>
    <row r="3854" spans="1:2" ht="15" hidden="1" x14ac:dyDescent="0.25">
      <c r="A3854" s="517" t="s">
        <v>3078</v>
      </c>
      <c r="B3854" s="517" t="s">
        <v>3079</v>
      </c>
    </row>
    <row r="3855" spans="1:2" ht="15" hidden="1" x14ac:dyDescent="0.25">
      <c r="A3855" s="517" t="s">
        <v>3080</v>
      </c>
      <c r="B3855" s="517" t="s">
        <v>3081</v>
      </c>
    </row>
    <row r="3856" spans="1:2" ht="15" hidden="1" x14ac:dyDescent="0.25">
      <c r="A3856" s="517" t="s">
        <v>1823</v>
      </c>
      <c r="B3856" s="517" t="s">
        <v>1824</v>
      </c>
    </row>
    <row r="3857" spans="1:2" ht="15" hidden="1" x14ac:dyDescent="0.25">
      <c r="A3857" s="517" t="s">
        <v>3082</v>
      </c>
      <c r="B3857" s="517" t="s">
        <v>3083</v>
      </c>
    </row>
    <row r="3858" spans="1:2" ht="15" hidden="1" x14ac:dyDescent="0.25">
      <c r="A3858" s="517" t="s">
        <v>2356</v>
      </c>
      <c r="B3858" s="517" t="s">
        <v>2357</v>
      </c>
    </row>
    <row r="3859" spans="1:2" ht="15" hidden="1" x14ac:dyDescent="0.25">
      <c r="A3859" s="517" t="s">
        <v>1825</v>
      </c>
      <c r="B3859" s="517" t="s">
        <v>1826</v>
      </c>
    </row>
    <row r="3860" spans="1:2" ht="15" hidden="1" x14ac:dyDescent="0.25">
      <c r="A3860" s="517" t="s">
        <v>3084</v>
      </c>
      <c r="B3860" s="517" t="s">
        <v>3085</v>
      </c>
    </row>
    <row r="3861" spans="1:2" ht="15" hidden="1" x14ac:dyDescent="0.25">
      <c r="A3861" s="517" t="s">
        <v>3084</v>
      </c>
      <c r="B3861" s="517" t="s">
        <v>3085</v>
      </c>
    </row>
    <row r="3862" spans="1:2" ht="15" hidden="1" x14ac:dyDescent="0.25">
      <c r="A3862" s="517" t="s">
        <v>2363</v>
      </c>
      <c r="B3862" s="517" t="s">
        <v>2364</v>
      </c>
    </row>
    <row r="3863" spans="1:2" ht="15" hidden="1" x14ac:dyDescent="0.25">
      <c r="A3863" s="517" t="s">
        <v>2363</v>
      </c>
      <c r="B3863" s="517" t="s">
        <v>2364</v>
      </c>
    </row>
    <row r="3864" spans="1:2" ht="15" hidden="1" x14ac:dyDescent="0.25">
      <c r="A3864" s="517" t="s">
        <v>3086</v>
      </c>
      <c r="B3864" s="517" t="s">
        <v>3087</v>
      </c>
    </row>
    <row r="3865" spans="1:2" ht="15" hidden="1" x14ac:dyDescent="0.25">
      <c r="A3865" s="517" t="s">
        <v>3086</v>
      </c>
      <c r="B3865" s="517" t="s">
        <v>3087</v>
      </c>
    </row>
    <row r="3866" spans="1:2" ht="15" hidden="1" x14ac:dyDescent="0.25">
      <c r="A3866" s="517" t="s">
        <v>3086</v>
      </c>
      <c r="B3866" s="517" t="s">
        <v>3087</v>
      </c>
    </row>
    <row r="3867" spans="1:2" ht="15" hidden="1" x14ac:dyDescent="0.25">
      <c r="A3867" s="517" t="s">
        <v>3088</v>
      </c>
      <c r="B3867" s="517" t="s">
        <v>3089</v>
      </c>
    </row>
  </sheetData>
  <autoFilter ref="A1:B3867" xr:uid="{00000000-0009-0000-0000-000001000000}">
    <filterColumn colId="0">
      <filters>
        <filter val="IVANEIDE SIQUEIRA DE ASSIS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9">
    <tabColor indexed="40"/>
  </sheetPr>
  <dimension ref="A1:BW114"/>
  <sheetViews>
    <sheetView showGridLines="0" topLeftCell="R1" zoomScale="80" zoomScaleNormal="80" workbookViewId="0">
      <selection activeCell="L106" sqref="L106:BU110"/>
    </sheetView>
  </sheetViews>
  <sheetFormatPr defaultColWidth="9.140625" defaultRowHeight="21.95" customHeight="1" x14ac:dyDescent="0.2"/>
  <cols>
    <col min="1" max="1" width="13" style="5" customWidth="1"/>
    <col min="2" max="2" width="22.140625" style="5" customWidth="1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73" width="10.85546875" style="84" customWidth="1"/>
    <col min="74" max="74" width="10.7109375" style="5" bestFit="1" customWidth="1"/>
    <col min="75" max="75" width="11" style="5" bestFit="1" customWidth="1"/>
    <col min="76" max="16384" width="9.140625" style="5"/>
  </cols>
  <sheetData>
    <row r="1" spans="1:75" ht="21.95" customHeight="1" thickBot="1" x14ac:dyDescent="0.25">
      <c r="A1" s="657" t="str">
        <f>'APONTAMENTO CREDENCIAMENTO'!A1</f>
        <v>Butantã</v>
      </c>
      <c r="B1" s="657"/>
      <c r="C1" s="657"/>
      <c r="D1" s="657"/>
      <c r="E1" s="657"/>
      <c r="F1" s="657"/>
      <c r="G1" s="664" t="str">
        <f>'BASE C'!E4</f>
        <v>ABRIL</v>
      </c>
      <c r="H1" s="664"/>
      <c r="I1" s="659" t="s">
        <v>37</v>
      </c>
      <c r="J1" s="659"/>
      <c r="K1" s="8"/>
    </row>
    <row r="2" spans="1:75" s="78" customFormat="1" ht="21.95" customHeight="1" thickBot="1" x14ac:dyDescent="0.25">
      <c r="A2" s="657"/>
      <c r="B2" s="657"/>
      <c r="C2" s="657"/>
      <c r="D2" s="657"/>
      <c r="E2" s="657"/>
      <c r="F2" s="657"/>
      <c r="G2" s="665" t="s">
        <v>167</v>
      </c>
      <c r="H2" s="666"/>
      <c r="I2" s="659"/>
      <c r="J2" s="659"/>
      <c r="K2" s="8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</row>
    <row r="3" spans="1:75" s="9" customFormat="1" ht="21.95" customHeight="1" x14ac:dyDescent="0.2">
      <c r="B3" s="9">
        <f>A3+1</f>
        <v>1</v>
      </c>
      <c r="C3" s="9">
        <v>3</v>
      </c>
      <c r="D3" s="9">
        <v>3</v>
      </c>
      <c r="F3" s="9">
        <f>D3+1</f>
        <v>4</v>
      </c>
      <c r="G3" s="9">
        <v>5</v>
      </c>
      <c r="H3" s="78">
        <f>G3+1</f>
        <v>6</v>
      </c>
      <c r="I3" s="80">
        <f t="shared" ref="I3:K3" si="0">H3+1</f>
        <v>7</v>
      </c>
      <c r="J3" s="9">
        <f t="shared" si="0"/>
        <v>8</v>
      </c>
      <c r="K3" s="9">
        <f t="shared" si="0"/>
        <v>9</v>
      </c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</row>
    <row r="4" spans="1:75" s="63" customFormat="1" ht="51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667" t="s">
        <v>16</v>
      </c>
      <c r="G4" s="667"/>
      <c r="H4" s="245" t="s">
        <v>12</v>
      </c>
      <c r="I4" s="246" t="s">
        <v>42</v>
      </c>
      <c r="J4" s="247" t="s">
        <v>43</v>
      </c>
      <c r="K4" s="147" t="s">
        <v>44</v>
      </c>
      <c r="L4" s="670">
        <f>F5</f>
        <v>46113</v>
      </c>
      <c r="M4" s="671"/>
      <c r="N4" s="668">
        <f>L4+1</f>
        <v>46114</v>
      </c>
      <c r="O4" s="668"/>
      <c r="P4" s="668">
        <f>N4+1</f>
        <v>46115</v>
      </c>
      <c r="Q4" s="668"/>
      <c r="R4" s="668">
        <f>P4+1</f>
        <v>46116</v>
      </c>
      <c r="S4" s="668"/>
      <c r="T4" s="668">
        <f>R4+1</f>
        <v>46117</v>
      </c>
      <c r="U4" s="668"/>
      <c r="V4" s="668">
        <f>T4+1</f>
        <v>46118</v>
      </c>
      <c r="W4" s="668"/>
      <c r="X4" s="669">
        <f>V4+1</f>
        <v>46119</v>
      </c>
      <c r="Y4" s="669"/>
      <c r="Z4" s="669">
        <f>X4+1</f>
        <v>46120</v>
      </c>
      <c r="AA4" s="669"/>
      <c r="AB4" s="668">
        <f>Z4+1</f>
        <v>46121</v>
      </c>
      <c r="AC4" s="668"/>
      <c r="AD4" s="668">
        <f>AB4+1</f>
        <v>46122</v>
      </c>
      <c r="AE4" s="668"/>
      <c r="AF4" s="668">
        <f>AD4+1</f>
        <v>46123</v>
      </c>
      <c r="AG4" s="668"/>
      <c r="AH4" s="668">
        <f>AF4+1</f>
        <v>46124</v>
      </c>
      <c r="AI4" s="668"/>
      <c r="AJ4" s="668">
        <f>AH4+1</f>
        <v>46125</v>
      </c>
      <c r="AK4" s="668"/>
      <c r="AL4" s="669">
        <f>AJ4+1</f>
        <v>46126</v>
      </c>
      <c r="AM4" s="669"/>
      <c r="AN4" s="669">
        <f>AL4+1</f>
        <v>46127</v>
      </c>
      <c r="AO4" s="669"/>
      <c r="AP4" s="668">
        <f>AN4+1</f>
        <v>46128</v>
      </c>
      <c r="AQ4" s="668"/>
      <c r="AR4" s="668">
        <f>AP4+1</f>
        <v>46129</v>
      </c>
      <c r="AS4" s="668"/>
      <c r="AT4" s="668">
        <f>AR4+1</f>
        <v>46130</v>
      </c>
      <c r="AU4" s="668"/>
      <c r="AV4" s="668">
        <f>AT4+1</f>
        <v>46131</v>
      </c>
      <c r="AW4" s="668"/>
      <c r="AX4" s="668">
        <f>AV4+1</f>
        <v>46132</v>
      </c>
      <c r="AY4" s="668"/>
      <c r="AZ4" s="669">
        <f>AX4+1</f>
        <v>46133</v>
      </c>
      <c r="BA4" s="669"/>
      <c r="BB4" s="669">
        <f>AZ4+1</f>
        <v>46134</v>
      </c>
      <c r="BC4" s="669"/>
      <c r="BD4" s="668">
        <f>BB4+1</f>
        <v>46135</v>
      </c>
      <c r="BE4" s="668"/>
      <c r="BF4" s="668">
        <f>BD4+1</f>
        <v>46136</v>
      </c>
      <c r="BG4" s="668"/>
      <c r="BH4" s="668">
        <f>BF4+1</f>
        <v>46137</v>
      </c>
      <c r="BI4" s="668"/>
      <c r="BJ4" s="668">
        <f>BH4+1</f>
        <v>46138</v>
      </c>
      <c r="BK4" s="668"/>
      <c r="BL4" s="668">
        <f>BJ4+1</f>
        <v>46139</v>
      </c>
      <c r="BM4" s="668"/>
      <c r="BN4" s="669">
        <f>BL4+1</f>
        <v>46140</v>
      </c>
      <c r="BO4" s="669"/>
      <c r="BP4" s="669">
        <f t="shared" ref="BP4" si="1">BN4+1</f>
        <v>46141</v>
      </c>
      <c r="BQ4" s="669"/>
      <c r="BR4" s="668">
        <f t="shared" ref="BR4" si="2">BP4+1</f>
        <v>46142</v>
      </c>
      <c r="BS4" s="668"/>
      <c r="BT4" s="668"/>
      <c r="BU4" s="668"/>
      <c r="BV4" s="262" t="s">
        <v>146</v>
      </c>
      <c r="BW4" s="233" t="s">
        <v>147</v>
      </c>
    </row>
    <row r="5" spans="1:75" s="10" customFormat="1" ht="21.95" customHeight="1" thickBot="1" x14ac:dyDescent="0.25">
      <c r="A5" s="154"/>
      <c r="B5" s="161"/>
      <c r="C5" s="161"/>
      <c r="D5" s="161"/>
      <c r="E5" s="161"/>
      <c r="F5" s="365">
        <f>'VALORES TABELA'!$B$11</f>
        <v>46113</v>
      </c>
      <c r="G5" s="366">
        <f>'VALORES TABELA'!$C$11</f>
        <v>46142</v>
      </c>
      <c r="H5" s="162"/>
      <c r="I5" s="163"/>
      <c r="J5" s="164"/>
      <c r="K5" s="164"/>
      <c r="L5" s="260" t="s">
        <v>148</v>
      </c>
      <c r="M5" s="261" t="s">
        <v>149</v>
      </c>
      <c r="N5" s="260" t="s">
        <v>148</v>
      </c>
      <c r="O5" s="261" t="s">
        <v>149</v>
      </c>
      <c r="P5" s="260" t="s">
        <v>148</v>
      </c>
      <c r="Q5" s="261" t="s">
        <v>149</v>
      </c>
      <c r="R5" s="260" t="s">
        <v>148</v>
      </c>
      <c r="S5" s="261" t="s">
        <v>149</v>
      </c>
      <c r="T5" s="260" t="s">
        <v>148</v>
      </c>
      <c r="U5" s="261" t="s">
        <v>149</v>
      </c>
      <c r="V5" s="260" t="s">
        <v>148</v>
      </c>
      <c r="W5" s="261" t="s">
        <v>149</v>
      </c>
      <c r="X5" s="260" t="s">
        <v>148</v>
      </c>
      <c r="Y5" s="261" t="s">
        <v>149</v>
      </c>
      <c r="Z5" s="260" t="s">
        <v>148</v>
      </c>
      <c r="AA5" s="261" t="s">
        <v>149</v>
      </c>
      <c r="AB5" s="260" t="s">
        <v>148</v>
      </c>
      <c r="AC5" s="261" t="s">
        <v>149</v>
      </c>
      <c r="AD5" s="260" t="s">
        <v>148</v>
      </c>
      <c r="AE5" s="261" t="s">
        <v>149</v>
      </c>
      <c r="AF5" s="260" t="s">
        <v>148</v>
      </c>
      <c r="AG5" s="261" t="s">
        <v>149</v>
      </c>
      <c r="AH5" s="260" t="s">
        <v>148</v>
      </c>
      <c r="AI5" s="261" t="s">
        <v>149</v>
      </c>
      <c r="AJ5" s="260" t="s">
        <v>148</v>
      </c>
      <c r="AK5" s="261" t="s">
        <v>149</v>
      </c>
      <c r="AL5" s="260" t="s">
        <v>148</v>
      </c>
      <c r="AM5" s="261" t="s">
        <v>149</v>
      </c>
      <c r="AN5" s="260" t="s">
        <v>148</v>
      </c>
      <c r="AO5" s="261" t="s">
        <v>149</v>
      </c>
      <c r="AP5" s="260" t="s">
        <v>148</v>
      </c>
      <c r="AQ5" s="261" t="s">
        <v>149</v>
      </c>
      <c r="AR5" s="260" t="s">
        <v>148</v>
      </c>
      <c r="AS5" s="261" t="s">
        <v>149</v>
      </c>
      <c r="AT5" s="260" t="s">
        <v>148</v>
      </c>
      <c r="AU5" s="261" t="s">
        <v>149</v>
      </c>
      <c r="AV5" s="260" t="s">
        <v>148</v>
      </c>
      <c r="AW5" s="261" t="s">
        <v>149</v>
      </c>
      <c r="AX5" s="260" t="s">
        <v>148</v>
      </c>
      <c r="AY5" s="261" t="s">
        <v>149</v>
      </c>
      <c r="AZ5" s="260" t="s">
        <v>148</v>
      </c>
      <c r="BA5" s="261" t="s">
        <v>149</v>
      </c>
      <c r="BB5" s="260" t="s">
        <v>148</v>
      </c>
      <c r="BC5" s="261" t="s">
        <v>149</v>
      </c>
      <c r="BD5" s="260" t="s">
        <v>148</v>
      </c>
      <c r="BE5" s="261" t="s">
        <v>149</v>
      </c>
      <c r="BF5" s="260"/>
      <c r="BG5" s="261" t="s">
        <v>149</v>
      </c>
      <c r="BH5" s="260" t="s">
        <v>148</v>
      </c>
      <c r="BI5" s="261"/>
      <c r="BJ5" s="260" t="s">
        <v>148</v>
      </c>
      <c r="BK5" s="261" t="s">
        <v>149</v>
      </c>
      <c r="BL5" s="260" t="s">
        <v>148</v>
      </c>
      <c r="BM5" s="261" t="s">
        <v>149</v>
      </c>
      <c r="BN5" s="260" t="s">
        <v>148</v>
      </c>
      <c r="BO5" s="261" t="s">
        <v>149</v>
      </c>
      <c r="BP5" s="260" t="s">
        <v>148</v>
      </c>
      <c r="BQ5" s="261" t="s">
        <v>149</v>
      </c>
      <c r="BR5" s="260" t="s">
        <v>148</v>
      </c>
      <c r="BS5" s="261" t="s">
        <v>149</v>
      </c>
      <c r="BT5" s="260" t="s">
        <v>148</v>
      </c>
      <c r="BU5" s="261" t="s">
        <v>149</v>
      </c>
      <c r="BV5" s="234"/>
      <c r="BW5" s="234"/>
    </row>
    <row r="6" spans="1:75" s="64" customFormat="1" ht="21.95" customHeight="1" x14ac:dyDescent="0.25">
      <c r="A6" s="425" t="s">
        <v>3190</v>
      </c>
      <c r="B6" s="526" t="s">
        <v>3191</v>
      </c>
      <c r="C6" s="527">
        <v>1</v>
      </c>
      <c r="D6" s="528" t="s">
        <v>3192</v>
      </c>
      <c r="E6" s="426" t="s">
        <v>3193</v>
      </c>
      <c r="F6" s="529" t="s">
        <v>3182</v>
      </c>
      <c r="G6" s="529" t="s">
        <v>3183</v>
      </c>
      <c r="H6" s="530" t="s">
        <v>336</v>
      </c>
      <c r="I6" s="384" t="s">
        <v>336</v>
      </c>
      <c r="J6" s="353" t="s">
        <v>3184</v>
      </c>
      <c r="K6" s="354" t="s">
        <v>3185</v>
      </c>
      <c r="L6" s="402"/>
      <c r="M6" s="403"/>
      <c r="N6" s="402"/>
      <c r="O6" s="403"/>
      <c r="P6" s="402"/>
      <c r="Q6" s="403"/>
      <c r="R6" s="402"/>
      <c r="S6" s="403"/>
      <c r="T6" s="402"/>
      <c r="U6" s="403"/>
      <c r="V6" s="402"/>
      <c r="W6" s="403"/>
      <c r="X6" s="402"/>
      <c r="Y6" s="403"/>
      <c r="Z6" s="402"/>
      <c r="AA6" s="403"/>
      <c r="AB6" s="402"/>
      <c r="AC6" s="403"/>
      <c r="AD6" s="402"/>
      <c r="AE6" s="403"/>
      <c r="AF6" s="402"/>
      <c r="AG6" s="403"/>
      <c r="AH6" s="402"/>
      <c r="AI6" s="403"/>
      <c r="AJ6" s="402"/>
      <c r="AK6" s="403"/>
      <c r="AL6" s="402"/>
      <c r="AM6" s="403"/>
      <c r="AN6" s="402"/>
      <c r="AO6" s="403"/>
      <c r="AP6" s="402"/>
      <c r="AQ6" s="403"/>
      <c r="AR6" s="402"/>
      <c r="AS6" s="403"/>
      <c r="AT6" s="402"/>
      <c r="AU6" s="403"/>
      <c r="AV6" s="402"/>
      <c r="AW6" s="403"/>
      <c r="AX6" s="402"/>
      <c r="AY6" s="403"/>
      <c r="AZ6" s="402"/>
      <c r="BA6" s="403"/>
      <c r="BB6" s="402"/>
      <c r="BC6" s="403"/>
      <c r="BD6" s="402"/>
      <c r="BE6" s="403"/>
      <c r="BF6" s="402"/>
      <c r="BG6" s="403"/>
      <c r="BH6" s="402"/>
      <c r="BI6" s="403"/>
      <c r="BJ6" s="402"/>
      <c r="BK6" s="403"/>
      <c r="BL6" s="402"/>
      <c r="BM6" s="403"/>
      <c r="BN6" s="402"/>
      <c r="BO6" s="403"/>
      <c r="BP6" s="402"/>
      <c r="BQ6" s="403"/>
      <c r="BR6" s="402"/>
      <c r="BS6" s="403"/>
      <c r="BT6" s="402"/>
      <c r="BU6" s="403"/>
      <c r="BV6" s="337">
        <f>L6+N6+P6+R6+T6+V6+X6+Z6+AB6+AD6+AF6+AH6+AJ6+AL6+AN6+AP6+AR6+AT6+AV6+AX6+AZ6+BB6+BD6+BF6+BH6+BJ6+BL6+BN6+BP6+BR6+BT6</f>
        <v>0</v>
      </c>
      <c r="BW6" s="337">
        <f>M6+O6+Q6+S6+U6+W6+Y6+AA6+AC6+AE6+AG6+AI6+AK6+AM6+AO6+AQ6+AS6+AU6+AW6+AY6+BA6+BC6+BE6+BG6+BI6+BK6+BM6+BO6+BQ6+BS6+BU6</f>
        <v>0</v>
      </c>
    </row>
    <row r="7" spans="1:75" s="64" customFormat="1" ht="21.95" customHeight="1" x14ac:dyDescent="0.2">
      <c r="A7" s="385" t="s">
        <v>3190</v>
      </c>
      <c r="B7" s="386" t="s">
        <v>3191</v>
      </c>
      <c r="C7" s="352" t="s">
        <v>3186</v>
      </c>
      <c r="D7" s="387" t="s">
        <v>3192</v>
      </c>
      <c r="E7" s="388" t="s">
        <v>3193</v>
      </c>
      <c r="F7" s="389" t="s">
        <v>3182</v>
      </c>
      <c r="G7" s="389" t="s">
        <v>3183</v>
      </c>
      <c r="H7" s="390" t="s">
        <v>336</v>
      </c>
      <c r="I7" s="391" t="s">
        <v>336</v>
      </c>
      <c r="J7" s="353" t="s">
        <v>3184</v>
      </c>
      <c r="K7" s="353" t="s">
        <v>3187</v>
      </c>
      <c r="L7" s="400"/>
      <c r="M7" s="401"/>
      <c r="N7" s="400"/>
      <c r="O7" s="401"/>
      <c r="P7" s="400">
        <v>1</v>
      </c>
      <c r="Q7" s="401"/>
      <c r="R7" s="400"/>
      <c r="S7" s="401"/>
      <c r="T7" s="400"/>
      <c r="U7" s="401"/>
      <c r="V7" s="400"/>
      <c r="W7" s="401"/>
      <c r="X7" s="400"/>
      <c r="Y7" s="401"/>
      <c r="Z7" s="400"/>
      <c r="AA7" s="401"/>
      <c r="AB7" s="400"/>
      <c r="AC7" s="401"/>
      <c r="AD7" s="400">
        <v>1</v>
      </c>
      <c r="AE7" s="401"/>
      <c r="AF7" s="400"/>
      <c r="AG7" s="401"/>
      <c r="AH7" s="400"/>
      <c r="AI7" s="401"/>
      <c r="AJ7" s="400"/>
      <c r="AK7" s="401"/>
      <c r="AL7" s="400"/>
      <c r="AM7" s="401"/>
      <c r="AN7" s="400"/>
      <c r="AO7" s="401"/>
      <c r="AP7" s="400"/>
      <c r="AQ7" s="401"/>
      <c r="AR7" s="400">
        <v>1</v>
      </c>
      <c r="AS7" s="401"/>
      <c r="AT7" s="400"/>
      <c r="AU7" s="401"/>
      <c r="AV7" s="400"/>
      <c r="AW7" s="401"/>
      <c r="AX7" s="400"/>
      <c r="AY7" s="401"/>
      <c r="AZ7" s="400"/>
      <c r="BA7" s="401"/>
      <c r="BB7" s="400"/>
      <c r="BC7" s="401"/>
      <c r="BD7" s="400"/>
      <c r="BE7" s="401"/>
      <c r="BF7" s="400">
        <v>1</v>
      </c>
      <c r="BG7" s="401"/>
      <c r="BH7" s="400"/>
      <c r="BI7" s="401"/>
      <c r="BJ7" s="400"/>
      <c r="BK7" s="401"/>
      <c r="BL7" s="400"/>
      <c r="BM7" s="401"/>
      <c r="BN7" s="400"/>
      <c r="BO7" s="401"/>
      <c r="BP7" s="400"/>
      <c r="BQ7" s="401"/>
      <c r="BR7" s="400"/>
      <c r="BS7" s="401"/>
      <c r="BT7" s="400"/>
      <c r="BU7" s="401"/>
      <c r="BV7" s="337">
        <f t="shared" ref="BV7:BV10" si="3">L7+N7+P7+R7+T7+V7+X7+Z7+AB7+AD7+AF7+AH7+AJ7+AL7+AN7+AP7+AR7+AT7+AV7+AX7+AZ7+BB7+BD7+BF7+BH7+BJ7+BL7+BN7+BP7+BR7+BT7</f>
        <v>4</v>
      </c>
      <c r="BW7" s="337">
        <f t="shared" ref="BW7:BW10" si="4">M7+O7+Q7+S7+U7+W7+Y7+AA7+AC7+AE7+AG7+AI7+AK7+AM7+AO7+AQ7+AS7+AU7+AW7+AY7+BA7+BC7+BE7+BG7+BI7+BK7+BM7+BO7+BQ7+BS7+BU7</f>
        <v>0</v>
      </c>
    </row>
    <row r="8" spans="1:75" s="64" customFormat="1" ht="21.95" customHeight="1" x14ac:dyDescent="0.2">
      <c r="A8" s="385" t="s">
        <v>3190</v>
      </c>
      <c r="B8" s="386" t="s">
        <v>3191</v>
      </c>
      <c r="C8" s="392" t="s">
        <v>3186</v>
      </c>
      <c r="D8" s="387" t="s">
        <v>3192</v>
      </c>
      <c r="E8" s="388" t="s">
        <v>3193</v>
      </c>
      <c r="F8" s="389" t="s">
        <v>3182</v>
      </c>
      <c r="G8" s="389" t="s">
        <v>3183</v>
      </c>
      <c r="H8" s="390" t="s">
        <v>336</v>
      </c>
      <c r="I8" s="391" t="s">
        <v>336</v>
      </c>
      <c r="J8" s="353" t="s">
        <v>3184</v>
      </c>
      <c r="K8" s="355" t="s">
        <v>3188</v>
      </c>
      <c r="L8" s="400"/>
      <c r="M8" s="401"/>
      <c r="N8" s="400"/>
      <c r="O8" s="401"/>
      <c r="P8" s="400"/>
      <c r="Q8" s="401"/>
      <c r="R8" s="400"/>
      <c r="S8" s="401"/>
      <c r="T8" s="400"/>
      <c r="U8" s="401"/>
      <c r="V8" s="400"/>
      <c r="W8" s="401"/>
      <c r="X8" s="400"/>
      <c r="Y8" s="401"/>
      <c r="Z8" s="400"/>
      <c r="AA8" s="401"/>
      <c r="AB8" s="400"/>
      <c r="AC8" s="401"/>
      <c r="AD8" s="400"/>
      <c r="AE8" s="401"/>
      <c r="AF8" s="400"/>
      <c r="AG8" s="401"/>
      <c r="AH8" s="400"/>
      <c r="AI8" s="401"/>
      <c r="AJ8" s="400"/>
      <c r="AK8" s="401"/>
      <c r="AL8" s="400"/>
      <c r="AM8" s="401"/>
      <c r="AN8" s="400"/>
      <c r="AO8" s="401"/>
      <c r="AP8" s="400"/>
      <c r="AQ8" s="401"/>
      <c r="AR8" s="400"/>
      <c r="AS8" s="401"/>
      <c r="AT8" s="400"/>
      <c r="AU8" s="401"/>
      <c r="AV8" s="400"/>
      <c r="AW8" s="401"/>
      <c r="AX8" s="400"/>
      <c r="AY8" s="401"/>
      <c r="AZ8" s="400"/>
      <c r="BA8" s="401"/>
      <c r="BB8" s="400"/>
      <c r="BC8" s="401"/>
      <c r="BD8" s="400"/>
      <c r="BE8" s="401"/>
      <c r="BF8" s="400"/>
      <c r="BG8" s="401"/>
      <c r="BH8" s="400"/>
      <c r="BI8" s="401"/>
      <c r="BJ8" s="400"/>
      <c r="BK8" s="401"/>
      <c r="BL8" s="400"/>
      <c r="BM8" s="401"/>
      <c r="BN8" s="400"/>
      <c r="BO8" s="401"/>
      <c r="BP8" s="400"/>
      <c r="BQ8" s="401"/>
      <c r="BR8" s="400"/>
      <c r="BS8" s="401"/>
      <c r="BT8" s="400"/>
      <c r="BU8" s="401"/>
      <c r="BV8" s="337">
        <f t="shared" si="3"/>
        <v>0</v>
      </c>
      <c r="BW8" s="337">
        <f t="shared" si="4"/>
        <v>0</v>
      </c>
    </row>
    <row r="9" spans="1:75" s="64" customFormat="1" ht="21.95" customHeight="1" x14ac:dyDescent="0.2">
      <c r="A9" s="385" t="s">
        <v>3190</v>
      </c>
      <c r="B9" s="386" t="s">
        <v>3191</v>
      </c>
      <c r="C9" s="392" t="s">
        <v>3186</v>
      </c>
      <c r="D9" s="387" t="s">
        <v>3192</v>
      </c>
      <c r="E9" s="388" t="s">
        <v>3193</v>
      </c>
      <c r="F9" s="389" t="s">
        <v>3182</v>
      </c>
      <c r="G9" s="389" t="s">
        <v>3183</v>
      </c>
      <c r="H9" s="390" t="s">
        <v>336</v>
      </c>
      <c r="I9" s="391" t="s">
        <v>336</v>
      </c>
      <c r="J9" s="353" t="s">
        <v>3184</v>
      </c>
      <c r="K9" s="356" t="s">
        <v>3189</v>
      </c>
      <c r="L9" s="400"/>
      <c r="M9" s="401"/>
      <c r="N9" s="400"/>
      <c r="O9" s="401"/>
      <c r="P9" s="400"/>
      <c r="Q9" s="401"/>
      <c r="R9" s="400"/>
      <c r="S9" s="401"/>
      <c r="T9" s="400"/>
      <c r="U9" s="401"/>
      <c r="V9" s="400"/>
      <c r="W9" s="401"/>
      <c r="X9" s="400"/>
      <c r="Y9" s="401"/>
      <c r="Z9" s="400"/>
      <c r="AA9" s="401"/>
      <c r="AB9" s="400"/>
      <c r="AC9" s="401"/>
      <c r="AD9" s="400"/>
      <c r="AE9" s="401"/>
      <c r="AF9" s="400"/>
      <c r="AG9" s="401"/>
      <c r="AH9" s="400"/>
      <c r="AI9" s="401"/>
      <c r="AJ9" s="400"/>
      <c r="AK9" s="401"/>
      <c r="AL9" s="400"/>
      <c r="AM9" s="401"/>
      <c r="AN9" s="400"/>
      <c r="AO9" s="401"/>
      <c r="AP9" s="400"/>
      <c r="AQ9" s="401"/>
      <c r="AR9" s="400"/>
      <c r="AS9" s="401"/>
      <c r="AT9" s="400"/>
      <c r="AU9" s="401"/>
      <c r="AV9" s="400"/>
      <c r="AW9" s="401"/>
      <c r="AX9" s="400"/>
      <c r="AY9" s="401"/>
      <c r="AZ9" s="400"/>
      <c r="BA9" s="401"/>
      <c r="BB9" s="400"/>
      <c r="BC9" s="401"/>
      <c r="BD9" s="400"/>
      <c r="BE9" s="401"/>
      <c r="BF9" s="400"/>
      <c r="BG9" s="401"/>
      <c r="BH9" s="400"/>
      <c r="BI9" s="401"/>
      <c r="BJ9" s="400"/>
      <c r="BK9" s="401"/>
      <c r="BL9" s="400"/>
      <c r="BM9" s="401"/>
      <c r="BN9" s="400"/>
      <c r="BO9" s="401"/>
      <c r="BP9" s="400"/>
      <c r="BQ9" s="401"/>
      <c r="BR9" s="400"/>
      <c r="BS9" s="401"/>
      <c r="BT9" s="400"/>
      <c r="BU9" s="401"/>
      <c r="BV9" s="337">
        <f t="shared" si="3"/>
        <v>0</v>
      </c>
      <c r="BW9" s="337">
        <f t="shared" si="4"/>
        <v>0</v>
      </c>
    </row>
    <row r="10" spans="1:75" s="64" customFormat="1" ht="21.95" customHeight="1" thickBot="1" x14ac:dyDescent="0.25">
      <c r="A10" s="898" t="s">
        <v>3190</v>
      </c>
      <c r="B10" s="393" t="s">
        <v>3191</v>
      </c>
      <c r="C10" s="394" t="s">
        <v>3186</v>
      </c>
      <c r="D10" s="395" t="s">
        <v>3192</v>
      </c>
      <c r="E10" s="411" t="s">
        <v>3193</v>
      </c>
      <c r="F10" s="396" t="s">
        <v>3182</v>
      </c>
      <c r="G10" s="396" t="s">
        <v>3183</v>
      </c>
      <c r="H10" s="397" t="s">
        <v>336</v>
      </c>
      <c r="I10" s="899" t="s">
        <v>336</v>
      </c>
      <c r="J10" s="353" t="s">
        <v>3184</v>
      </c>
      <c r="K10" s="357" t="s">
        <v>60</v>
      </c>
      <c r="L10" s="402"/>
      <c r="M10" s="403"/>
      <c r="N10" s="402"/>
      <c r="O10" s="403"/>
      <c r="P10" s="402"/>
      <c r="Q10" s="403"/>
      <c r="R10" s="402"/>
      <c r="S10" s="403"/>
      <c r="T10" s="402"/>
      <c r="U10" s="403"/>
      <c r="V10" s="402"/>
      <c r="W10" s="403"/>
      <c r="X10" s="402"/>
      <c r="Y10" s="403"/>
      <c r="Z10" s="402"/>
      <c r="AA10" s="403"/>
      <c r="AB10" s="402"/>
      <c r="AC10" s="403"/>
      <c r="AD10" s="402"/>
      <c r="AE10" s="403"/>
      <c r="AF10" s="402"/>
      <c r="AG10" s="403"/>
      <c r="AH10" s="402"/>
      <c r="AI10" s="403"/>
      <c r="AJ10" s="402"/>
      <c r="AK10" s="403"/>
      <c r="AL10" s="402"/>
      <c r="AM10" s="403"/>
      <c r="AN10" s="402"/>
      <c r="AO10" s="403"/>
      <c r="AP10" s="402"/>
      <c r="AQ10" s="403"/>
      <c r="AR10" s="402"/>
      <c r="AS10" s="403"/>
      <c r="AT10" s="402"/>
      <c r="AU10" s="403"/>
      <c r="AV10" s="402"/>
      <c r="AW10" s="403"/>
      <c r="AX10" s="402"/>
      <c r="AY10" s="403"/>
      <c r="AZ10" s="402"/>
      <c r="BA10" s="403"/>
      <c r="BB10" s="402"/>
      <c r="BC10" s="403"/>
      <c r="BD10" s="402"/>
      <c r="BE10" s="403"/>
      <c r="BF10" s="402"/>
      <c r="BG10" s="403"/>
      <c r="BH10" s="402"/>
      <c r="BI10" s="403"/>
      <c r="BJ10" s="402"/>
      <c r="BK10" s="403"/>
      <c r="BL10" s="402"/>
      <c r="BM10" s="403"/>
      <c r="BN10" s="402"/>
      <c r="BO10" s="403"/>
      <c r="BP10" s="402"/>
      <c r="BQ10" s="403"/>
      <c r="BR10" s="402"/>
      <c r="BS10" s="403"/>
      <c r="BT10" s="402"/>
      <c r="BU10" s="403"/>
      <c r="BV10" s="337">
        <f t="shared" si="3"/>
        <v>0</v>
      </c>
      <c r="BW10" s="337">
        <f t="shared" si="4"/>
        <v>0</v>
      </c>
    </row>
    <row r="11" spans="1:75" s="64" customFormat="1" ht="21.95" customHeight="1" x14ac:dyDescent="0.25">
      <c r="A11" s="425" t="s">
        <v>3194</v>
      </c>
      <c r="B11" s="526" t="s">
        <v>3195</v>
      </c>
      <c r="C11" s="527">
        <v>1</v>
      </c>
      <c r="D11" s="528" t="s">
        <v>3196</v>
      </c>
      <c r="E11" s="426" t="s">
        <v>3197</v>
      </c>
      <c r="F11" s="529" t="s">
        <v>3182</v>
      </c>
      <c r="G11" s="529" t="s">
        <v>3183</v>
      </c>
      <c r="H11" s="530" t="s">
        <v>337</v>
      </c>
      <c r="I11" s="384" t="s">
        <v>337</v>
      </c>
      <c r="J11" s="353" t="s">
        <v>3184</v>
      </c>
      <c r="K11" s="354" t="s">
        <v>3185</v>
      </c>
      <c r="L11" s="402"/>
      <c r="M11" s="403"/>
      <c r="N11" s="402"/>
      <c r="O11" s="403"/>
      <c r="P11" s="402"/>
      <c r="Q11" s="403"/>
      <c r="R11" s="402"/>
      <c r="S11" s="403"/>
      <c r="T11" s="402"/>
      <c r="U11" s="403"/>
      <c r="V11" s="402"/>
      <c r="W11" s="403"/>
      <c r="X11" s="402"/>
      <c r="Y11" s="403"/>
      <c r="Z11" s="402"/>
      <c r="AA11" s="403"/>
      <c r="AB11" s="402"/>
      <c r="AC11" s="403"/>
      <c r="AD11" s="402"/>
      <c r="AE11" s="403"/>
      <c r="AF11" s="402"/>
      <c r="AG11" s="403"/>
      <c r="AH11" s="402"/>
      <c r="AI11" s="403"/>
      <c r="AJ11" s="402"/>
      <c r="AK11" s="403"/>
      <c r="AL11" s="402"/>
      <c r="AM11" s="403"/>
      <c r="AN11" s="402"/>
      <c r="AO11" s="403"/>
      <c r="AP11" s="402"/>
      <c r="AQ11" s="403"/>
      <c r="AR11" s="402"/>
      <c r="AS11" s="403"/>
      <c r="AT11" s="402"/>
      <c r="AU11" s="403"/>
      <c r="AV11" s="402"/>
      <c r="AW11" s="403"/>
      <c r="AX11" s="402"/>
      <c r="AY11" s="403"/>
      <c r="AZ11" s="402"/>
      <c r="BA11" s="403"/>
      <c r="BB11" s="402"/>
      <c r="BC11" s="403"/>
      <c r="BD11" s="402"/>
      <c r="BE11" s="403"/>
      <c r="BF11" s="402"/>
      <c r="BG11" s="403"/>
      <c r="BH11" s="402"/>
      <c r="BI11" s="403"/>
      <c r="BJ11" s="402"/>
      <c r="BK11" s="403"/>
      <c r="BL11" s="402"/>
      <c r="BM11" s="403"/>
      <c r="BN11" s="402"/>
      <c r="BO11" s="403"/>
      <c r="BP11" s="402"/>
      <c r="BQ11" s="403"/>
      <c r="BR11" s="402"/>
      <c r="BS11" s="403"/>
      <c r="BT11" s="402"/>
      <c r="BU11" s="403"/>
      <c r="BV11" s="337">
        <f>L11+N11+P11+R11+T11+V11+X11+Z11+AB11+AD11+AF11+AH11+AJ11+AL11+AN11+AP11+AR11+AT11+AV11+AX11+AZ11+BB11+BD11+BF11+BH11+BJ11+BL11+BN11+BP11+BR11+BT11</f>
        <v>0</v>
      </c>
      <c r="BW11" s="337">
        <f>M11+O11+Q11+S11+U11+W11+Y11+AA11+AC11+AE11+AG11+AI11+AK11+AM11+AO11+AQ11+AS11+AU11+AW11+AY11+BA11+BC11+BE11+BG11+BI11+BK11+BM11+BO11+BQ11+BS11+BU11</f>
        <v>0</v>
      </c>
    </row>
    <row r="12" spans="1:75" s="64" customFormat="1" ht="21.95" customHeight="1" x14ac:dyDescent="0.2">
      <c r="A12" s="385" t="s">
        <v>3194</v>
      </c>
      <c r="B12" s="386" t="s">
        <v>3195</v>
      </c>
      <c r="C12" s="352" t="s">
        <v>3186</v>
      </c>
      <c r="D12" s="387" t="s">
        <v>3196</v>
      </c>
      <c r="E12" s="388" t="s">
        <v>3197</v>
      </c>
      <c r="F12" s="389" t="s">
        <v>3182</v>
      </c>
      <c r="G12" s="389" t="s">
        <v>3183</v>
      </c>
      <c r="H12" s="390" t="s">
        <v>337</v>
      </c>
      <c r="I12" s="391" t="s">
        <v>337</v>
      </c>
      <c r="J12" s="353" t="s">
        <v>3184</v>
      </c>
      <c r="K12" s="353" t="s">
        <v>3187</v>
      </c>
      <c r="L12" s="400"/>
      <c r="M12" s="401"/>
      <c r="N12" s="400"/>
      <c r="O12" s="401"/>
      <c r="P12" s="400"/>
      <c r="Q12" s="401"/>
      <c r="R12" s="400"/>
      <c r="S12" s="401"/>
      <c r="T12" s="400"/>
      <c r="U12" s="401"/>
      <c r="V12" s="400"/>
      <c r="W12" s="401"/>
      <c r="X12" s="400"/>
      <c r="Y12" s="401"/>
      <c r="Z12" s="400"/>
      <c r="AA12" s="401"/>
      <c r="AB12" s="400"/>
      <c r="AC12" s="401"/>
      <c r="AD12" s="400"/>
      <c r="AE12" s="401"/>
      <c r="AF12" s="400"/>
      <c r="AG12" s="401"/>
      <c r="AH12" s="400"/>
      <c r="AI12" s="401"/>
      <c r="AJ12" s="400"/>
      <c r="AK12" s="401"/>
      <c r="AL12" s="400"/>
      <c r="AM12" s="401"/>
      <c r="AN12" s="400"/>
      <c r="AO12" s="401"/>
      <c r="AP12" s="400"/>
      <c r="AQ12" s="401"/>
      <c r="AR12" s="400"/>
      <c r="AS12" s="401"/>
      <c r="AT12" s="400"/>
      <c r="AU12" s="401"/>
      <c r="AV12" s="400"/>
      <c r="AW12" s="401"/>
      <c r="AX12" s="400"/>
      <c r="AY12" s="401"/>
      <c r="AZ12" s="400"/>
      <c r="BA12" s="401"/>
      <c r="BB12" s="400"/>
      <c r="BC12" s="401"/>
      <c r="BD12" s="400"/>
      <c r="BE12" s="401"/>
      <c r="BF12" s="400"/>
      <c r="BG12" s="401"/>
      <c r="BH12" s="400"/>
      <c r="BI12" s="401"/>
      <c r="BJ12" s="400"/>
      <c r="BK12" s="401"/>
      <c r="BL12" s="400"/>
      <c r="BM12" s="401"/>
      <c r="BN12" s="400"/>
      <c r="BO12" s="401"/>
      <c r="BP12" s="400"/>
      <c r="BQ12" s="401"/>
      <c r="BR12" s="400"/>
      <c r="BS12" s="401"/>
      <c r="BT12" s="400"/>
      <c r="BU12" s="401"/>
      <c r="BV12" s="337">
        <f t="shared" ref="BV12:BV15" si="5">L12+N12+P12+R12+T12+V12+X12+Z12+AB12+AD12+AF12+AH12+AJ12+AL12+AN12+AP12+AR12+AT12+AV12+AX12+AZ12+BB12+BD12+BF12+BH12+BJ12+BL12+BN12+BP12+BR12+BT12</f>
        <v>0</v>
      </c>
      <c r="BW12" s="337">
        <f t="shared" ref="BW12:BW15" si="6">M12+O12+Q12+S12+U12+W12+Y12+AA12+AC12+AE12+AG12+AI12+AK12+AM12+AO12+AQ12+AS12+AU12+AW12+AY12+BA12+BC12+BE12+BG12+BI12+BK12+BM12+BO12+BQ12+BS12+BU12</f>
        <v>0</v>
      </c>
    </row>
    <row r="13" spans="1:75" s="64" customFormat="1" ht="21.95" customHeight="1" x14ac:dyDescent="0.2">
      <c r="A13" s="385" t="s">
        <v>3194</v>
      </c>
      <c r="B13" s="386" t="s">
        <v>3195</v>
      </c>
      <c r="C13" s="392" t="s">
        <v>3186</v>
      </c>
      <c r="D13" s="387" t="s">
        <v>3196</v>
      </c>
      <c r="E13" s="388" t="s">
        <v>3197</v>
      </c>
      <c r="F13" s="389" t="s">
        <v>3182</v>
      </c>
      <c r="G13" s="389" t="s">
        <v>3183</v>
      </c>
      <c r="H13" s="390" t="s">
        <v>337</v>
      </c>
      <c r="I13" s="391" t="s">
        <v>337</v>
      </c>
      <c r="J13" s="353" t="s">
        <v>3184</v>
      </c>
      <c r="K13" s="355" t="s">
        <v>3188</v>
      </c>
      <c r="L13" s="400"/>
      <c r="M13" s="401"/>
      <c r="N13" s="400"/>
      <c r="O13" s="401"/>
      <c r="P13" s="400"/>
      <c r="Q13" s="401"/>
      <c r="R13" s="400"/>
      <c r="S13" s="401"/>
      <c r="T13" s="400"/>
      <c r="U13" s="401"/>
      <c r="V13" s="400"/>
      <c r="W13" s="401"/>
      <c r="X13" s="400"/>
      <c r="Y13" s="401"/>
      <c r="Z13" s="400"/>
      <c r="AA13" s="401"/>
      <c r="AB13" s="400"/>
      <c r="AC13" s="401"/>
      <c r="AD13" s="400"/>
      <c r="AE13" s="401"/>
      <c r="AF13" s="400"/>
      <c r="AG13" s="401"/>
      <c r="AH13" s="400"/>
      <c r="AI13" s="401"/>
      <c r="AJ13" s="400"/>
      <c r="AK13" s="401"/>
      <c r="AL13" s="400"/>
      <c r="AM13" s="401"/>
      <c r="AN13" s="400"/>
      <c r="AO13" s="401"/>
      <c r="AP13" s="400"/>
      <c r="AQ13" s="401"/>
      <c r="AR13" s="400"/>
      <c r="AS13" s="401"/>
      <c r="AT13" s="400"/>
      <c r="AU13" s="401"/>
      <c r="AV13" s="400"/>
      <c r="AW13" s="401"/>
      <c r="AX13" s="400"/>
      <c r="AY13" s="401"/>
      <c r="AZ13" s="400"/>
      <c r="BA13" s="401"/>
      <c r="BB13" s="400"/>
      <c r="BC13" s="401"/>
      <c r="BD13" s="400"/>
      <c r="BE13" s="401"/>
      <c r="BF13" s="400"/>
      <c r="BG13" s="401"/>
      <c r="BH13" s="400"/>
      <c r="BI13" s="401"/>
      <c r="BJ13" s="400"/>
      <c r="BK13" s="401"/>
      <c r="BL13" s="400"/>
      <c r="BM13" s="401"/>
      <c r="BN13" s="400"/>
      <c r="BO13" s="401"/>
      <c r="BP13" s="400"/>
      <c r="BQ13" s="401"/>
      <c r="BR13" s="400"/>
      <c r="BS13" s="401"/>
      <c r="BT13" s="400"/>
      <c r="BU13" s="401"/>
      <c r="BV13" s="337">
        <f t="shared" si="5"/>
        <v>0</v>
      </c>
      <c r="BW13" s="337">
        <f t="shared" si="6"/>
        <v>0</v>
      </c>
    </row>
    <row r="14" spans="1:75" s="64" customFormat="1" ht="21.95" customHeight="1" x14ac:dyDescent="0.2">
      <c r="A14" s="385" t="s">
        <v>3194</v>
      </c>
      <c r="B14" s="386" t="s">
        <v>3195</v>
      </c>
      <c r="C14" s="392" t="s">
        <v>3186</v>
      </c>
      <c r="D14" s="387" t="s">
        <v>3196</v>
      </c>
      <c r="E14" s="388" t="s">
        <v>3197</v>
      </c>
      <c r="F14" s="389" t="s">
        <v>3182</v>
      </c>
      <c r="G14" s="389" t="s">
        <v>3183</v>
      </c>
      <c r="H14" s="390" t="s">
        <v>337</v>
      </c>
      <c r="I14" s="391" t="s">
        <v>337</v>
      </c>
      <c r="J14" s="353" t="s">
        <v>3184</v>
      </c>
      <c r="K14" s="356" t="s">
        <v>3189</v>
      </c>
      <c r="L14" s="400"/>
      <c r="M14" s="401"/>
      <c r="N14" s="400"/>
      <c r="O14" s="401"/>
      <c r="P14" s="400"/>
      <c r="Q14" s="401"/>
      <c r="R14" s="400"/>
      <c r="S14" s="401"/>
      <c r="T14" s="400"/>
      <c r="U14" s="401"/>
      <c r="V14" s="400"/>
      <c r="W14" s="401"/>
      <c r="X14" s="400"/>
      <c r="Y14" s="401"/>
      <c r="Z14" s="400"/>
      <c r="AA14" s="401"/>
      <c r="AB14" s="400"/>
      <c r="AC14" s="401"/>
      <c r="AD14" s="400"/>
      <c r="AE14" s="401"/>
      <c r="AF14" s="400"/>
      <c r="AG14" s="401"/>
      <c r="AH14" s="400"/>
      <c r="AI14" s="401"/>
      <c r="AJ14" s="400"/>
      <c r="AK14" s="401"/>
      <c r="AL14" s="400"/>
      <c r="AM14" s="401"/>
      <c r="AN14" s="400"/>
      <c r="AO14" s="401"/>
      <c r="AP14" s="400"/>
      <c r="AQ14" s="401"/>
      <c r="AR14" s="400"/>
      <c r="AS14" s="401"/>
      <c r="AT14" s="400"/>
      <c r="AU14" s="401"/>
      <c r="AV14" s="400"/>
      <c r="AW14" s="401"/>
      <c r="AX14" s="400"/>
      <c r="AY14" s="401"/>
      <c r="AZ14" s="400"/>
      <c r="BA14" s="401"/>
      <c r="BB14" s="400"/>
      <c r="BC14" s="401"/>
      <c r="BD14" s="400"/>
      <c r="BE14" s="401"/>
      <c r="BF14" s="400"/>
      <c r="BG14" s="401"/>
      <c r="BH14" s="400"/>
      <c r="BI14" s="401"/>
      <c r="BJ14" s="400"/>
      <c r="BK14" s="401"/>
      <c r="BL14" s="400"/>
      <c r="BM14" s="401"/>
      <c r="BN14" s="400"/>
      <c r="BO14" s="401"/>
      <c r="BP14" s="400"/>
      <c r="BQ14" s="401"/>
      <c r="BR14" s="400"/>
      <c r="BS14" s="401"/>
      <c r="BT14" s="400"/>
      <c r="BU14" s="401"/>
      <c r="BV14" s="337">
        <f t="shared" si="5"/>
        <v>0</v>
      </c>
      <c r="BW14" s="337">
        <f t="shared" si="6"/>
        <v>0</v>
      </c>
    </row>
    <row r="15" spans="1:75" s="64" customFormat="1" ht="21.95" customHeight="1" thickBot="1" x14ac:dyDescent="0.25">
      <c r="A15" s="898" t="s">
        <v>3194</v>
      </c>
      <c r="B15" s="393" t="s">
        <v>3195</v>
      </c>
      <c r="C15" s="394" t="s">
        <v>3186</v>
      </c>
      <c r="D15" s="395" t="s">
        <v>3196</v>
      </c>
      <c r="E15" s="411" t="s">
        <v>3197</v>
      </c>
      <c r="F15" s="396" t="s">
        <v>3182</v>
      </c>
      <c r="G15" s="396" t="s">
        <v>3183</v>
      </c>
      <c r="H15" s="397" t="s">
        <v>337</v>
      </c>
      <c r="I15" s="899" t="s">
        <v>337</v>
      </c>
      <c r="J15" s="353" t="s">
        <v>3184</v>
      </c>
      <c r="K15" s="357" t="s">
        <v>60</v>
      </c>
      <c r="L15" s="402"/>
      <c r="M15" s="403"/>
      <c r="N15" s="402"/>
      <c r="O15" s="403"/>
      <c r="P15" s="402"/>
      <c r="Q15" s="403"/>
      <c r="R15" s="402"/>
      <c r="S15" s="403"/>
      <c r="T15" s="402"/>
      <c r="U15" s="403"/>
      <c r="V15" s="402"/>
      <c r="W15" s="403"/>
      <c r="X15" s="402"/>
      <c r="Y15" s="403"/>
      <c r="Z15" s="402"/>
      <c r="AA15" s="403"/>
      <c r="AB15" s="402"/>
      <c r="AC15" s="403"/>
      <c r="AD15" s="402"/>
      <c r="AE15" s="403"/>
      <c r="AF15" s="402"/>
      <c r="AG15" s="403"/>
      <c r="AH15" s="402"/>
      <c r="AI15" s="403"/>
      <c r="AJ15" s="402"/>
      <c r="AK15" s="403"/>
      <c r="AL15" s="402"/>
      <c r="AM15" s="403"/>
      <c r="AN15" s="402"/>
      <c r="AO15" s="403"/>
      <c r="AP15" s="402"/>
      <c r="AQ15" s="403"/>
      <c r="AR15" s="402"/>
      <c r="AS15" s="403"/>
      <c r="AT15" s="402"/>
      <c r="AU15" s="403"/>
      <c r="AV15" s="402"/>
      <c r="AW15" s="403"/>
      <c r="AX15" s="402"/>
      <c r="AY15" s="403"/>
      <c r="AZ15" s="402"/>
      <c r="BA15" s="403"/>
      <c r="BB15" s="402"/>
      <c r="BC15" s="403"/>
      <c r="BD15" s="402"/>
      <c r="BE15" s="403"/>
      <c r="BF15" s="402"/>
      <c r="BG15" s="403"/>
      <c r="BH15" s="402"/>
      <c r="BI15" s="403"/>
      <c r="BJ15" s="402"/>
      <c r="BK15" s="403"/>
      <c r="BL15" s="402"/>
      <c r="BM15" s="403"/>
      <c r="BN15" s="402"/>
      <c r="BO15" s="403"/>
      <c r="BP15" s="402"/>
      <c r="BQ15" s="403"/>
      <c r="BR15" s="402"/>
      <c r="BS15" s="403"/>
      <c r="BT15" s="402"/>
      <c r="BU15" s="403"/>
      <c r="BV15" s="337">
        <f t="shared" si="5"/>
        <v>0</v>
      </c>
      <c r="BW15" s="337">
        <f t="shared" si="6"/>
        <v>0</v>
      </c>
    </row>
    <row r="16" spans="1:75" s="64" customFormat="1" ht="21.95" customHeight="1" x14ac:dyDescent="0.25">
      <c r="A16" s="425" t="s">
        <v>3198</v>
      </c>
      <c r="B16" s="526" t="s">
        <v>3199</v>
      </c>
      <c r="C16" s="527">
        <v>1</v>
      </c>
      <c r="D16" s="528" t="s">
        <v>3200</v>
      </c>
      <c r="E16" s="426" t="s">
        <v>3201</v>
      </c>
      <c r="F16" s="529" t="s">
        <v>3182</v>
      </c>
      <c r="G16" s="529" t="s">
        <v>3183</v>
      </c>
      <c r="H16" s="530" t="s">
        <v>338</v>
      </c>
      <c r="I16" s="384" t="s">
        <v>338</v>
      </c>
      <c r="J16" s="353" t="s">
        <v>3184</v>
      </c>
      <c r="K16" s="354" t="s">
        <v>3185</v>
      </c>
      <c r="L16" s="402"/>
      <c r="M16" s="403"/>
      <c r="N16" s="402"/>
      <c r="O16" s="403"/>
      <c r="P16" s="402"/>
      <c r="Q16" s="403"/>
      <c r="R16" s="402"/>
      <c r="S16" s="403"/>
      <c r="T16" s="402"/>
      <c r="U16" s="403"/>
      <c r="V16" s="402"/>
      <c r="W16" s="403"/>
      <c r="X16" s="402"/>
      <c r="Y16" s="403"/>
      <c r="Z16" s="402"/>
      <c r="AA16" s="403"/>
      <c r="AB16" s="402"/>
      <c r="AC16" s="403"/>
      <c r="AD16" s="402"/>
      <c r="AE16" s="403"/>
      <c r="AF16" s="402"/>
      <c r="AG16" s="403"/>
      <c r="AH16" s="402"/>
      <c r="AI16" s="403"/>
      <c r="AJ16" s="402"/>
      <c r="AK16" s="403"/>
      <c r="AL16" s="402"/>
      <c r="AM16" s="403"/>
      <c r="AN16" s="402"/>
      <c r="AO16" s="403"/>
      <c r="AP16" s="402"/>
      <c r="AQ16" s="403"/>
      <c r="AR16" s="402"/>
      <c r="AS16" s="403"/>
      <c r="AT16" s="402"/>
      <c r="AU16" s="403"/>
      <c r="AV16" s="402"/>
      <c r="AW16" s="403"/>
      <c r="AX16" s="402"/>
      <c r="AY16" s="403"/>
      <c r="AZ16" s="402"/>
      <c r="BA16" s="403"/>
      <c r="BB16" s="402"/>
      <c r="BC16" s="403"/>
      <c r="BD16" s="402"/>
      <c r="BE16" s="403"/>
      <c r="BF16" s="402"/>
      <c r="BG16" s="403"/>
      <c r="BH16" s="402"/>
      <c r="BI16" s="403"/>
      <c r="BJ16" s="402"/>
      <c r="BK16" s="403"/>
      <c r="BL16" s="402"/>
      <c r="BM16" s="403"/>
      <c r="BN16" s="402"/>
      <c r="BO16" s="403"/>
      <c r="BP16" s="402"/>
      <c r="BQ16" s="403"/>
      <c r="BR16" s="402"/>
      <c r="BS16" s="403"/>
      <c r="BT16" s="402"/>
      <c r="BU16" s="403"/>
      <c r="BV16" s="337">
        <f>L16+N16+P16+R16+T16+V16+X16+Z16+AB16+AD16+AF16+AH16+AJ16+AL16+AN16+AP16+AR16+AT16+AV16+AX16+AZ16+BB16+BD16+BF16+BH16+BJ16+BL16+BN16+BP16+BR16+BT16</f>
        <v>0</v>
      </c>
      <c r="BW16" s="337">
        <f>M16+O16+Q16+S16+U16+W16+Y16+AA16+AC16+AE16+AG16+AI16+AK16+AM16+AO16+AQ16+AS16+AU16+AW16+AY16+BA16+BC16+BE16+BG16+BI16+BK16+BM16+BO16+BQ16+BS16+BU16</f>
        <v>0</v>
      </c>
    </row>
    <row r="17" spans="1:75" s="64" customFormat="1" ht="21.95" customHeight="1" x14ac:dyDescent="0.2">
      <c r="A17" s="385" t="s">
        <v>3198</v>
      </c>
      <c r="B17" s="386" t="s">
        <v>3199</v>
      </c>
      <c r="C17" s="352" t="s">
        <v>3186</v>
      </c>
      <c r="D17" s="387" t="s">
        <v>3200</v>
      </c>
      <c r="E17" s="388" t="s">
        <v>3201</v>
      </c>
      <c r="F17" s="389" t="s">
        <v>3182</v>
      </c>
      <c r="G17" s="389" t="s">
        <v>3183</v>
      </c>
      <c r="H17" s="390" t="s">
        <v>338</v>
      </c>
      <c r="I17" s="391" t="s">
        <v>338</v>
      </c>
      <c r="J17" s="353" t="s">
        <v>3184</v>
      </c>
      <c r="K17" s="353" t="s">
        <v>3187</v>
      </c>
      <c r="L17" s="400">
        <v>2</v>
      </c>
      <c r="M17" s="401"/>
      <c r="N17" s="400">
        <v>3</v>
      </c>
      <c r="O17" s="401"/>
      <c r="P17" s="400">
        <v>1</v>
      </c>
      <c r="Q17" s="401"/>
      <c r="R17" s="400"/>
      <c r="S17" s="401"/>
      <c r="T17" s="400"/>
      <c r="U17" s="401"/>
      <c r="V17" s="400">
        <v>2</v>
      </c>
      <c r="W17" s="401"/>
      <c r="X17" s="400">
        <v>2</v>
      </c>
      <c r="Y17" s="401"/>
      <c r="Z17" s="400">
        <v>2</v>
      </c>
      <c r="AA17" s="401"/>
      <c r="AB17" s="400">
        <v>3</v>
      </c>
      <c r="AC17" s="401"/>
      <c r="AD17" s="400">
        <v>1</v>
      </c>
      <c r="AE17" s="401"/>
      <c r="AF17" s="400"/>
      <c r="AG17" s="401"/>
      <c r="AH17" s="400"/>
      <c r="AI17" s="401"/>
      <c r="AJ17" s="400">
        <v>2</v>
      </c>
      <c r="AK17" s="401"/>
      <c r="AL17" s="400">
        <v>2</v>
      </c>
      <c r="AM17" s="401"/>
      <c r="AN17" s="400">
        <v>2</v>
      </c>
      <c r="AO17" s="401"/>
      <c r="AP17" s="400">
        <v>3</v>
      </c>
      <c r="AQ17" s="401"/>
      <c r="AR17" s="400">
        <v>1</v>
      </c>
      <c r="AS17" s="401"/>
      <c r="AT17" s="400"/>
      <c r="AU17" s="401"/>
      <c r="AV17" s="400"/>
      <c r="AW17" s="401"/>
      <c r="AX17" s="400">
        <v>2</v>
      </c>
      <c r="AY17" s="401"/>
      <c r="AZ17" s="400">
        <v>2</v>
      </c>
      <c r="BA17" s="401"/>
      <c r="BB17" s="400">
        <v>2</v>
      </c>
      <c r="BC17" s="401"/>
      <c r="BD17" s="400">
        <v>3</v>
      </c>
      <c r="BE17" s="401"/>
      <c r="BF17" s="400">
        <v>1</v>
      </c>
      <c r="BG17" s="401"/>
      <c r="BH17" s="400"/>
      <c r="BI17" s="401"/>
      <c r="BJ17" s="400"/>
      <c r="BK17" s="401"/>
      <c r="BL17" s="400">
        <v>2</v>
      </c>
      <c r="BM17" s="401"/>
      <c r="BN17" s="400">
        <v>2</v>
      </c>
      <c r="BO17" s="401"/>
      <c r="BP17" s="400">
        <v>2</v>
      </c>
      <c r="BQ17" s="401"/>
      <c r="BR17" s="400">
        <v>3</v>
      </c>
      <c r="BS17" s="401"/>
      <c r="BT17" s="400"/>
      <c r="BU17" s="401"/>
      <c r="BV17" s="337">
        <f t="shared" ref="BV17:BV20" si="7">L17+N17+P17+R17+T17+V17+X17+Z17+AB17+AD17+AF17+AH17+AJ17+AL17+AN17+AP17+AR17+AT17+AV17+AX17+AZ17+BB17+BD17+BF17+BH17+BJ17+BL17+BN17+BP17+BR17+BT17</f>
        <v>45</v>
      </c>
      <c r="BW17" s="337">
        <f t="shared" ref="BW17:BW20" si="8">M17+O17+Q17+S17+U17+W17+Y17+AA17+AC17+AE17+AG17+AI17+AK17+AM17+AO17+AQ17+AS17+AU17+AW17+AY17+BA17+BC17+BE17+BG17+BI17+BK17+BM17+BO17+BQ17+BS17+BU17</f>
        <v>0</v>
      </c>
    </row>
    <row r="18" spans="1:75" s="64" customFormat="1" ht="21.95" customHeight="1" x14ac:dyDescent="0.2">
      <c r="A18" s="385" t="s">
        <v>3198</v>
      </c>
      <c r="B18" s="386" t="s">
        <v>3199</v>
      </c>
      <c r="C18" s="392" t="s">
        <v>3186</v>
      </c>
      <c r="D18" s="387" t="s">
        <v>3200</v>
      </c>
      <c r="E18" s="388" t="s">
        <v>3201</v>
      </c>
      <c r="F18" s="389" t="s">
        <v>3182</v>
      </c>
      <c r="G18" s="389" t="s">
        <v>3183</v>
      </c>
      <c r="H18" s="390" t="s">
        <v>338</v>
      </c>
      <c r="I18" s="391" t="s">
        <v>338</v>
      </c>
      <c r="J18" s="353" t="s">
        <v>3184</v>
      </c>
      <c r="K18" s="355" t="s">
        <v>3188</v>
      </c>
      <c r="L18" s="400"/>
      <c r="M18" s="401"/>
      <c r="N18" s="400"/>
      <c r="O18" s="401"/>
      <c r="P18" s="400"/>
      <c r="Q18" s="401"/>
      <c r="R18" s="400"/>
      <c r="S18" s="401"/>
      <c r="T18" s="400"/>
      <c r="U18" s="401"/>
      <c r="V18" s="400"/>
      <c r="W18" s="401"/>
      <c r="X18" s="400"/>
      <c r="Y18" s="401"/>
      <c r="Z18" s="400"/>
      <c r="AA18" s="401"/>
      <c r="AB18" s="400"/>
      <c r="AC18" s="401"/>
      <c r="AD18" s="400"/>
      <c r="AE18" s="401"/>
      <c r="AF18" s="400"/>
      <c r="AG18" s="401"/>
      <c r="AH18" s="400"/>
      <c r="AI18" s="401"/>
      <c r="AJ18" s="400"/>
      <c r="AK18" s="401"/>
      <c r="AL18" s="400"/>
      <c r="AM18" s="401"/>
      <c r="AN18" s="400"/>
      <c r="AO18" s="401"/>
      <c r="AP18" s="400"/>
      <c r="AQ18" s="401"/>
      <c r="AR18" s="400"/>
      <c r="AS18" s="401"/>
      <c r="AT18" s="400"/>
      <c r="AU18" s="401"/>
      <c r="AV18" s="400"/>
      <c r="AW18" s="401"/>
      <c r="AX18" s="400"/>
      <c r="AY18" s="401"/>
      <c r="AZ18" s="400"/>
      <c r="BA18" s="401"/>
      <c r="BB18" s="400"/>
      <c r="BC18" s="401"/>
      <c r="BD18" s="400"/>
      <c r="BE18" s="401"/>
      <c r="BF18" s="400"/>
      <c r="BG18" s="401"/>
      <c r="BH18" s="400"/>
      <c r="BI18" s="401"/>
      <c r="BJ18" s="400"/>
      <c r="BK18" s="401"/>
      <c r="BL18" s="400"/>
      <c r="BM18" s="401"/>
      <c r="BN18" s="400"/>
      <c r="BO18" s="401"/>
      <c r="BP18" s="400"/>
      <c r="BQ18" s="401"/>
      <c r="BR18" s="400"/>
      <c r="BS18" s="401"/>
      <c r="BT18" s="400"/>
      <c r="BU18" s="401"/>
      <c r="BV18" s="337">
        <f t="shared" si="7"/>
        <v>0</v>
      </c>
      <c r="BW18" s="337">
        <f t="shared" si="8"/>
        <v>0</v>
      </c>
    </row>
    <row r="19" spans="1:75" s="64" customFormat="1" ht="21.95" customHeight="1" x14ac:dyDescent="0.2">
      <c r="A19" s="385" t="s">
        <v>3198</v>
      </c>
      <c r="B19" s="386" t="s">
        <v>3199</v>
      </c>
      <c r="C19" s="392" t="s">
        <v>3186</v>
      </c>
      <c r="D19" s="387" t="s">
        <v>3200</v>
      </c>
      <c r="E19" s="388" t="s">
        <v>3201</v>
      </c>
      <c r="F19" s="389" t="s">
        <v>3182</v>
      </c>
      <c r="G19" s="389" t="s">
        <v>3183</v>
      </c>
      <c r="H19" s="390" t="s">
        <v>338</v>
      </c>
      <c r="I19" s="391" t="s">
        <v>338</v>
      </c>
      <c r="J19" s="353" t="s">
        <v>3184</v>
      </c>
      <c r="K19" s="356" t="s">
        <v>3189</v>
      </c>
      <c r="L19" s="400"/>
      <c r="M19" s="401"/>
      <c r="N19" s="400"/>
      <c r="O19" s="401"/>
      <c r="P19" s="400"/>
      <c r="Q19" s="401"/>
      <c r="R19" s="400"/>
      <c r="S19" s="401"/>
      <c r="T19" s="400"/>
      <c r="U19" s="401"/>
      <c r="V19" s="400"/>
      <c r="W19" s="401"/>
      <c r="X19" s="400"/>
      <c r="Y19" s="401"/>
      <c r="Z19" s="400"/>
      <c r="AA19" s="401"/>
      <c r="AB19" s="400"/>
      <c r="AC19" s="401"/>
      <c r="AD19" s="400"/>
      <c r="AE19" s="401"/>
      <c r="AF19" s="400"/>
      <c r="AG19" s="401"/>
      <c r="AH19" s="400"/>
      <c r="AI19" s="401"/>
      <c r="AJ19" s="400"/>
      <c r="AK19" s="401"/>
      <c r="AL19" s="400"/>
      <c r="AM19" s="401"/>
      <c r="AN19" s="400"/>
      <c r="AO19" s="401"/>
      <c r="AP19" s="400"/>
      <c r="AQ19" s="401"/>
      <c r="AR19" s="400"/>
      <c r="AS19" s="401"/>
      <c r="AT19" s="400"/>
      <c r="AU19" s="401"/>
      <c r="AV19" s="400"/>
      <c r="AW19" s="401"/>
      <c r="AX19" s="400"/>
      <c r="AY19" s="401"/>
      <c r="AZ19" s="400"/>
      <c r="BA19" s="401"/>
      <c r="BB19" s="400"/>
      <c r="BC19" s="401"/>
      <c r="BD19" s="400"/>
      <c r="BE19" s="401"/>
      <c r="BF19" s="400"/>
      <c r="BG19" s="401"/>
      <c r="BH19" s="400"/>
      <c r="BI19" s="401"/>
      <c r="BJ19" s="400"/>
      <c r="BK19" s="401"/>
      <c r="BL19" s="400"/>
      <c r="BM19" s="401"/>
      <c r="BN19" s="400"/>
      <c r="BO19" s="401"/>
      <c r="BP19" s="400"/>
      <c r="BQ19" s="401"/>
      <c r="BR19" s="400"/>
      <c r="BS19" s="401"/>
      <c r="BT19" s="400"/>
      <c r="BU19" s="401"/>
      <c r="BV19" s="337">
        <f t="shared" si="7"/>
        <v>0</v>
      </c>
      <c r="BW19" s="337">
        <f t="shared" si="8"/>
        <v>0</v>
      </c>
    </row>
    <row r="20" spans="1:75" s="64" customFormat="1" ht="21.95" customHeight="1" thickBot="1" x14ac:dyDescent="0.25">
      <c r="A20" s="898" t="s">
        <v>3198</v>
      </c>
      <c r="B20" s="393" t="s">
        <v>3199</v>
      </c>
      <c r="C20" s="394" t="s">
        <v>3186</v>
      </c>
      <c r="D20" s="395" t="s">
        <v>3200</v>
      </c>
      <c r="E20" s="411" t="s">
        <v>3201</v>
      </c>
      <c r="F20" s="396" t="s">
        <v>3182</v>
      </c>
      <c r="G20" s="396" t="s">
        <v>3183</v>
      </c>
      <c r="H20" s="397" t="s">
        <v>338</v>
      </c>
      <c r="I20" s="899" t="s">
        <v>338</v>
      </c>
      <c r="J20" s="353" t="s">
        <v>3184</v>
      </c>
      <c r="K20" s="357" t="s">
        <v>60</v>
      </c>
      <c r="L20" s="402"/>
      <c r="M20" s="403"/>
      <c r="N20" s="402"/>
      <c r="O20" s="403"/>
      <c r="P20" s="402"/>
      <c r="Q20" s="403"/>
      <c r="R20" s="402"/>
      <c r="S20" s="403"/>
      <c r="T20" s="402"/>
      <c r="U20" s="403"/>
      <c r="V20" s="402"/>
      <c r="W20" s="403"/>
      <c r="X20" s="402"/>
      <c r="Y20" s="403"/>
      <c r="Z20" s="402"/>
      <c r="AA20" s="403"/>
      <c r="AB20" s="402"/>
      <c r="AC20" s="403"/>
      <c r="AD20" s="402"/>
      <c r="AE20" s="403"/>
      <c r="AF20" s="402"/>
      <c r="AG20" s="403"/>
      <c r="AH20" s="402"/>
      <c r="AI20" s="403"/>
      <c r="AJ20" s="402"/>
      <c r="AK20" s="403"/>
      <c r="AL20" s="402"/>
      <c r="AM20" s="403"/>
      <c r="AN20" s="402"/>
      <c r="AO20" s="403"/>
      <c r="AP20" s="402"/>
      <c r="AQ20" s="403"/>
      <c r="AR20" s="402"/>
      <c r="AS20" s="403"/>
      <c r="AT20" s="402"/>
      <c r="AU20" s="403"/>
      <c r="AV20" s="402"/>
      <c r="AW20" s="403"/>
      <c r="AX20" s="402"/>
      <c r="AY20" s="403"/>
      <c r="AZ20" s="402"/>
      <c r="BA20" s="403"/>
      <c r="BB20" s="402"/>
      <c r="BC20" s="403"/>
      <c r="BD20" s="402"/>
      <c r="BE20" s="403"/>
      <c r="BF20" s="402"/>
      <c r="BG20" s="403"/>
      <c r="BH20" s="402"/>
      <c r="BI20" s="403"/>
      <c r="BJ20" s="402"/>
      <c r="BK20" s="403"/>
      <c r="BL20" s="402"/>
      <c r="BM20" s="403"/>
      <c r="BN20" s="402"/>
      <c r="BO20" s="403"/>
      <c r="BP20" s="402"/>
      <c r="BQ20" s="403"/>
      <c r="BR20" s="402"/>
      <c r="BS20" s="403"/>
      <c r="BT20" s="402"/>
      <c r="BU20" s="403"/>
      <c r="BV20" s="337">
        <f t="shared" si="7"/>
        <v>0</v>
      </c>
      <c r="BW20" s="337">
        <f t="shared" si="8"/>
        <v>0</v>
      </c>
    </row>
    <row r="21" spans="1:75" s="64" customFormat="1" ht="21.95" customHeight="1" x14ac:dyDescent="0.25">
      <c r="A21" s="425" t="s">
        <v>3202</v>
      </c>
      <c r="B21" s="526" t="s">
        <v>3203</v>
      </c>
      <c r="C21" s="527">
        <v>1</v>
      </c>
      <c r="D21" s="528" t="s">
        <v>3204</v>
      </c>
      <c r="E21" s="426" t="s">
        <v>3205</v>
      </c>
      <c r="F21" s="529" t="s">
        <v>3182</v>
      </c>
      <c r="G21" s="529" t="s">
        <v>3183</v>
      </c>
      <c r="H21" s="530" t="s">
        <v>339</v>
      </c>
      <c r="I21" s="384" t="s">
        <v>339</v>
      </c>
      <c r="J21" s="353" t="s">
        <v>3184</v>
      </c>
      <c r="K21" s="354" t="s">
        <v>3185</v>
      </c>
      <c r="L21" s="402"/>
      <c r="M21" s="403"/>
      <c r="N21" s="402"/>
      <c r="O21" s="403"/>
      <c r="P21" s="402"/>
      <c r="Q21" s="403"/>
      <c r="R21" s="402"/>
      <c r="S21" s="403"/>
      <c r="T21" s="402"/>
      <c r="U21" s="403"/>
      <c r="V21" s="402"/>
      <c r="W21" s="403"/>
      <c r="X21" s="402"/>
      <c r="Y21" s="403"/>
      <c r="Z21" s="402"/>
      <c r="AA21" s="403"/>
      <c r="AB21" s="402"/>
      <c r="AC21" s="403"/>
      <c r="AD21" s="402"/>
      <c r="AE21" s="403"/>
      <c r="AF21" s="402"/>
      <c r="AG21" s="403"/>
      <c r="AH21" s="402"/>
      <c r="AI21" s="403"/>
      <c r="AJ21" s="402"/>
      <c r="AK21" s="403"/>
      <c r="AL21" s="402"/>
      <c r="AM21" s="403"/>
      <c r="AN21" s="402"/>
      <c r="AO21" s="403"/>
      <c r="AP21" s="402"/>
      <c r="AQ21" s="403"/>
      <c r="AR21" s="402"/>
      <c r="AS21" s="403"/>
      <c r="AT21" s="402"/>
      <c r="AU21" s="403"/>
      <c r="AV21" s="402"/>
      <c r="AW21" s="403"/>
      <c r="AX21" s="402"/>
      <c r="AY21" s="403"/>
      <c r="AZ21" s="402"/>
      <c r="BA21" s="403"/>
      <c r="BB21" s="402"/>
      <c r="BC21" s="403"/>
      <c r="BD21" s="402"/>
      <c r="BE21" s="403"/>
      <c r="BF21" s="402"/>
      <c r="BG21" s="403"/>
      <c r="BH21" s="402"/>
      <c r="BI21" s="403"/>
      <c r="BJ21" s="402"/>
      <c r="BK21" s="403"/>
      <c r="BL21" s="402"/>
      <c r="BM21" s="403"/>
      <c r="BN21" s="402"/>
      <c r="BO21" s="403"/>
      <c r="BP21" s="402"/>
      <c r="BQ21" s="403"/>
      <c r="BR21" s="402"/>
      <c r="BS21" s="403"/>
      <c r="BT21" s="402"/>
      <c r="BU21" s="403"/>
      <c r="BV21" s="337">
        <f>L21+N21+P21+R21+T21+V21+X21+Z21+AB21+AD21+AF21+AH21+AJ21+AL21+AN21+AP21+AR21+AT21+AV21+AX21+AZ21+BB21+BD21+BF21+BH21+BJ21+BL21+BN21+BP21+BR21+BT21</f>
        <v>0</v>
      </c>
      <c r="BW21" s="337">
        <f>M21+O21+Q21+S21+U21+W21+Y21+AA21+AC21+AE21+AG21+AI21+AK21+AM21+AO21+AQ21+AS21+AU21+AW21+AY21+BA21+BC21+BE21+BG21+BI21+BK21+BM21+BO21+BQ21+BS21+BU21</f>
        <v>0</v>
      </c>
    </row>
    <row r="22" spans="1:75" s="64" customFormat="1" ht="21.95" customHeight="1" x14ac:dyDescent="0.2">
      <c r="A22" s="385" t="s">
        <v>3202</v>
      </c>
      <c r="B22" s="386" t="s">
        <v>3203</v>
      </c>
      <c r="C22" s="352" t="s">
        <v>3186</v>
      </c>
      <c r="D22" s="387" t="s">
        <v>3204</v>
      </c>
      <c r="E22" s="388" t="s">
        <v>3205</v>
      </c>
      <c r="F22" s="389" t="s">
        <v>3182</v>
      </c>
      <c r="G22" s="389" t="s">
        <v>3183</v>
      </c>
      <c r="H22" s="390" t="s">
        <v>339</v>
      </c>
      <c r="I22" s="391" t="s">
        <v>339</v>
      </c>
      <c r="J22" s="353" t="s">
        <v>3184</v>
      </c>
      <c r="K22" s="353" t="s">
        <v>3187</v>
      </c>
      <c r="L22" s="400"/>
      <c r="M22" s="401"/>
      <c r="N22" s="400"/>
      <c r="O22" s="401"/>
      <c r="P22" s="400"/>
      <c r="Q22" s="401"/>
      <c r="R22" s="400"/>
      <c r="S22" s="401"/>
      <c r="T22" s="400"/>
      <c r="U22" s="401"/>
      <c r="V22" s="400"/>
      <c r="W22" s="401"/>
      <c r="X22" s="400"/>
      <c r="Y22" s="401"/>
      <c r="Z22" s="400"/>
      <c r="AA22" s="401"/>
      <c r="AB22" s="400"/>
      <c r="AC22" s="401"/>
      <c r="AD22" s="400"/>
      <c r="AE22" s="401"/>
      <c r="AF22" s="400"/>
      <c r="AG22" s="401"/>
      <c r="AH22" s="400"/>
      <c r="AI22" s="401"/>
      <c r="AJ22" s="400"/>
      <c r="AK22" s="401"/>
      <c r="AL22" s="400"/>
      <c r="AM22" s="401"/>
      <c r="AN22" s="400"/>
      <c r="AO22" s="401"/>
      <c r="AP22" s="400"/>
      <c r="AQ22" s="401"/>
      <c r="AR22" s="400"/>
      <c r="AS22" s="401"/>
      <c r="AT22" s="400"/>
      <c r="AU22" s="401"/>
      <c r="AV22" s="400"/>
      <c r="AW22" s="401"/>
      <c r="AX22" s="400"/>
      <c r="AY22" s="401"/>
      <c r="AZ22" s="400"/>
      <c r="BA22" s="401"/>
      <c r="BB22" s="400"/>
      <c r="BC22" s="401"/>
      <c r="BD22" s="400"/>
      <c r="BE22" s="401"/>
      <c r="BF22" s="400"/>
      <c r="BG22" s="401"/>
      <c r="BH22" s="400"/>
      <c r="BI22" s="401"/>
      <c r="BJ22" s="400"/>
      <c r="BK22" s="401"/>
      <c r="BL22" s="400"/>
      <c r="BM22" s="401"/>
      <c r="BN22" s="400"/>
      <c r="BO22" s="401"/>
      <c r="BP22" s="400"/>
      <c r="BQ22" s="401"/>
      <c r="BR22" s="400"/>
      <c r="BS22" s="401"/>
      <c r="BT22" s="400"/>
      <c r="BU22" s="401"/>
      <c r="BV22" s="337">
        <f t="shared" ref="BV22:BV25" si="9">L22+N22+P22+R22+T22+V22+X22+Z22+AB22+AD22+AF22+AH22+AJ22+AL22+AN22+AP22+AR22+AT22+AV22+AX22+AZ22+BB22+BD22+BF22+BH22+BJ22+BL22+BN22+BP22+BR22+BT22</f>
        <v>0</v>
      </c>
      <c r="BW22" s="337">
        <f t="shared" ref="BW22:BW25" si="10">M22+O22+Q22+S22+U22+W22+Y22+AA22+AC22+AE22+AG22+AI22+AK22+AM22+AO22+AQ22+AS22+AU22+AW22+AY22+BA22+BC22+BE22+BG22+BI22+BK22+BM22+BO22+BQ22+BS22+BU22</f>
        <v>0</v>
      </c>
    </row>
    <row r="23" spans="1:75" s="64" customFormat="1" ht="21.95" customHeight="1" x14ac:dyDescent="0.2">
      <c r="A23" s="385" t="s">
        <v>3202</v>
      </c>
      <c r="B23" s="386" t="s">
        <v>3203</v>
      </c>
      <c r="C23" s="392" t="s">
        <v>3186</v>
      </c>
      <c r="D23" s="387" t="s">
        <v>3204</v>
      </c>
      <c r="E23" s="388" t="s">
        <v>3205</v>
      </c>
      <c r="F23" s="389" t="s">
        <v>3182</v>
      </c>
      <c r="G23" s="389" t="s">
        <v>3183</v>
      </c>
      <c r="H23" s="390" t="s">
        <v>339</v>
      </c>
      <c r="I23" s="391" t="s">
        <v>339</v>
      </c>
      <c r="J23" s="353" t="s">
        <v>3184</v>
      </c>
      <c r="K23" s="355" t="s">
        <v>3188</v>
      </c>
      <c r="L23" s="400"/>
      <c r="M23" s="401"/>
      <c r="N23" s="400"/>
      <c r="O23" s="401"/>
      <c r="P23" s="400"/>
      <c r="Q23" s="401"/>
      <c r="R23" s="400"/>
      <c r="S23" s="401"/>
      <c r="T23" s="400"/>
      <c r="U23" s="401"/>
      <c r="V23" s="400"/>
      <c r="W23" s="401"/>
      <c r="X23" s="400"/>
      <c r="Y23" s="401"/>
      <c r="Z23" s="400"/>
      <c r="AA23" s="401"/>
      <c r="AB23" s="400"/>
      <c r="AC23" s="401"/>
      <c r="AD23" s="400"/>
      <c r="AE23" s="401"/>
      <c r="AF23" s="400"/>
      <c r="AG23" s="401"/>
      <c r="AH23" s="400"/>
      <c r="AI23" s="401"/>
      <c r="AJ23" s="400"/>
      <c r="AK23" s="401"/>
      <c r="AL23" s="400"/>
      <c r="AM23" s="401"/>
      <c r="AN23" s="400"/>
      <c r="AO23" s="401"/>
      <c r="AP23" s="400"/>
      <c r="AQ23" s="401"/>
      <c r="AR23" s="400"/>
      <c r="AS23" s="401"/>
      <c r="AT23" s="400"/>
      <c r="AU23" s="401"/>
      <c r="AV23" s="400"/>
      <c r="AW23" s="401"/>
      <c r="AX23" s="400"/>
      <c r="AY23" s="401"/>
      <c r="AZ23" s="400"/>
      <c r="BA23" s="401"/>
      <c r="BB23" s="400"/>
      <c r="BC23" s="401"/>
      <c r="BD23" s="400"/>
      <c r="BE23" s="401"/>
      <c r="BF23" s="400"/>
      <c r="BG23" s="401"/>
      <c r="BH23" s="400"/>
      <c r="BI23" s="401"/>
      <c r="BJ23" s="400"/>
      <c r="BK23" s="401"/>
      <c r="BL23" s="400"/>
      <c r="BM23" s="401"/>
      <c r="BN23" s="400"/>
      <c r="BO23" s="401"/>
      <c r="BP23" s="400"/>
      <c r="BQ23" s="401"/>
      <c r="BR23" s="400"/>
      <c r="BS23" s="401"/>
      <c r="BT23" s="400"/>
      <c r="BU23" s="401"/>
      <c r="BV23" s="337">
        <f t="shared" si="9"/>
        <v>0</v>
      </c>
      <c r="BW23" s="337">
        <f t="shared" si="10"/>
        <v>0</v>
      </c>
    </row>
    <row r="24" spans="1:75" s="64" customFormat="1" ht="21.95" customHeight="1" x14ac:dyDescent="0.2">
      <c r="A24" s="385" t="s">
        <v>3202</v>
      </c>
      <c r="B24" s="386" t="s">
        <v>3203</v>
      </c>
      <c r="C24" s="392" t="s">
        <v>3186</v>
      </c>
      <c r="D24" s="387" t="s">
        <v>3204</v>
      </c>
      <c r="E24" s="388" t="s">
        <v>3205</v>
      </c>
      <c r="F24" s="389" t="s">
        <v>3182</v>
      </c>
      <c r="G24" s="389" t="s">
        <v>3183</v>
      </c>
      <c r="H24" s="390" t="s">
        <v>339</v>
      </c>
      <c r="I24" s="391" t="s">
        <v>339</v>
      </c>
      <c r="J24" s="353" t="s">
        <v>3184</v>
      </c>
      <c r="K24" s="356" t="s">
        <v>3189</v>
      </c>
      <c r="L24" s="400"/>
      <c r="M24" s="401"/>
      <c r="N24" s="400"/>
      <c r="O24" s="401"/>
      <c r="P24" s="400"/>
      <c r="Q24" s="401"/>
      <c r="R24" s="400"/>
      <c r="S24" s="401"/>
      <c r="T24" s="400"/>
      <c r="U24" s="401"/>
      <c r="V24" s="400"/>
      <c r="W24" s="401"/>
      <c r="X24" s="400"/>
      <c r="Y24" s="401"/>
      <c r="Z24" s="400"/>
      <c r="AA24" s="401"/>
      <c r="AB24" s="400"/>
      <c r="AC24" s="401"/>
      <c r="AD24" s="400"/>
      <c r="AE24" s="401"/>
      <c r="AF24" s="400"/>
      <c r="AG24" s="401"/>
      <c r="AH24" s="400"/>
      <c r="AI24" s="401"/>
      <c r="AJ24" s="400"/>
      <c r="AK24" s="401"/>
      <c r="AL24" s="400"/>
      <c r="AM24" s="401"/>
      <c r="AN24" s="400"/>
      <c r="AO24" s="401"/>
      <c r="AP24" s="400"/>
      <c r="AQ24" s="401"/>
      <c r="AR24" s="400"/>
      <c r="AS24" s="401"/>
      <c r="AT24" s="400"/>
      <c r="AU24" s="401"/>
      <c r="AV24" s="400"/>
      <c r="AW24" s="401"/>
      <c r="AX24" s="400"/>
      <c r="AY24" s="401"/>
      <c r="AZ24" s="400"/>
      <c r="BA24" s="401"/>
      <c r="BB24" s="400"/>
      <c r="BC24" s="401"/>
      <c r="BD24" s="400"/>
      <c r="BE24" s="401"/>
      <c r="BF24" s="400"/>
      <c r="BG24" s="401"/>
      <c r="BH24" s="400"/>
      <c r="BI24" s="401"/>
      <c r="BJ24" s="400"/>
      <c r="BK24" s="401"/>
      <c r="BL24" s="400"/>
      <c r="BM24" s="401"/>
      <c r="BN24" s="400"/>
      <c r="BO24" s="401"/>
      <c r="BP24" s="400"/>
      <c r="BQ24" s="401"/>
      <c r="BR24" s="400"/>
      <c r="BS24" s="401"/>
      <c r="BT24" s="400"/>
      <c r="BU24" s="401"/>
      <c r="BV24" s="337">
        <f t="shared" si="9"/>
        <v>0</v>
      </c>
      <c r="BW24" s="337">
        <f t="shared" si="10"/>
        <v>0</v>
      </c>
    </row>
    <row r="25" spans="1:75" s="64" customFormat="1" ht="21.95" customHeight="1" thickBot="1" x14ac:dyDescent="0.25">
      <c r="A25" s="898" t="s">
        <v>3202</v>
      </c>
      <c r="B25" s="393" t="s">
        <v>3203</v>
      </c>
      <c r="C25" s="394" t="s">
        <v>3186</v>
      </c>
      <c r="D25" s="395" t="s">
        <v>3204</v>
      </c>
      <c r="E25" s="411" t="s">
        <v>3205</v>
      </c>
      <c r="F25" s="396" t="s">
        <v>3182</v>
      </c>
      <c r="G25" s="396" t="s">
        <v>3183</v>
      </c>
      <c r="H25" s="397" t="s">
        <v>339</v>
      </c>
      <c r="I25" s="899" t="s">
        <v>339</v>
      </c>
      <c r="J25" s="353" t="s">
        <v>3184</v>
      </c>
      <c r="K25" s="357" t="s">
        <v>60</v>
      </c>
      <c r="L25" s="402"/>
      <c r="M25" s="403"/>
      <c r="N25" s="402"/>
      <c r="O25" s="403"/>
      <c r="P25" s="402"/>
      <c r="Q25" s="403"/>
      <c r="R25" s="402"/>
      <c r="S25" s="403"/>
      <c r="T25" s="402"/>
      <c r="U25" s="403"/>
      <c r="V25" s="402"/>
      <c r="W25" s="403"/>
      <c r="X25" s="402"/>
      <c r="Y25" s="403"/>
      <c r="Z25" s="402"/>
      <c r="AA25" s="403"/>
      <c r="AB25" s="402"/>
      <c r="AC25" s="403"/>
      <c r="AD25" s="402"/>
      <c r="AE25" s="403"/>
      <c r="AF25" s="402"/>
      <c r="AG25" s="403"/>
      <c r="AH25" s="402"/>
      <c r="AI25" s="403"/>
      <c r="AJ25" s="402"/>
      <c r="AK25" s="403"/>
      <c r="AL25" s="402"/>
      <c r="AM25" s="403"/>
      <c r="AN25" s="402"/>
      <c r="AO25" s="403"/>
      <c r="AP25" s="402"/>
      <c r="AQ25" s="403"/>
      <c r="AR25" s="402"/>
      <c r="AS25" s="403"/>
      <c r="AT25" s="402"/>
      <c r="AU25" s="403"/>
      <c r="AV25" s="402"/>
      <c r="AW25" s="403"/>
      <c r="AX25" s="402"/>
      <c r="AY25" s="403"/>
      <c r="AZ25" s="402"/>
      <c r="BA25" s="403"/>
      <c r="BB25" s="402"/>
      <c r="BC25" s="403"/>
      <c r="BD25" s="402"/>
      <c r="BE25" s="403"/>
      <c r="BF25" s="402"/>
      <c r="BG25" s="403"/>
      <c r="BH25" s="402"/>
      <c r="BI25" s="403"/>
      <c r="BJ25" s="402"/>
      <c r="BK25" s="403"/>
      <c r="BL25" s="402"/>
      <c r="BM25" s="403"/>
      <c r="BN25" s="402"/>
      <c r="BO25" s="403"/>
      <c r="BP25" s="402"/>
      <c r="BQ25" s="403"/>
      <c r="BR25" s="402"/>
      <c r="BS25" s="403"/>
      <c r="BT25" s="402"/>
      <c r="BU25" s="403"/>
      <c r="BV25" s="337">
        <f t="shared" si="9"/>
        <v>0</v>
      </c>
      <c r="BW25" s="337">
        <f t="shared" si="10"/>
        <v>0</v>
      </c>
    </row>
    <row r="26" spans="1:75" s="64" customFormat="1" ht="21.95" customHeight="1" x14ac:dyDescent="0.25">
      <c r="A26" s="425" t="s">
        <v>3206</v>
      </c>
      <c r="B26" s="526" t="s">
        <v>3207</v>
      </c>
      <c r="C26" s="527">
        <v>1</v>
      </c>
      <c r="D26" s="528" t="s">
        <v>3208</v>
      </c>
      <c r="E26" s="426" t="s">
        <v>3209</v>
      </c>
      <c r="F26" s="529" t="s">
        <v>3182</v>
      </c>
      <c r="G26" s="529" t="s">
        <v>3183</v>
      </c>
      <c r="H26" s="530" t="s">
        <v>341</v>
      </c>
      <c r="I26" s="384" t="s">
        <v>341</v>
      </c>
      <c r="J26" s="353" t="s">
        <v>3184</v>
      </c>
      <c r="K26" s="354" t="s">
        <v>3185</v>
      </c>
      <c r="L26" s="402"/>
      <c r="M26" s="403"/>
      <c r="N26" s="402"/>
      <c r="O26" s="403"/>
      <c r="P26" s="402"/>
      <c r="Q26" s="403"/>
      <c r="R26" s="402"/>
      <c r="S26" s="403"/>
      <c r="T26" s="402"/>
      <c r="U26" s="403"/>
      <c r="V26" s="402"/>
      <c r="W26" s="403"/>
      <c r="X26" s="402"/>
      <c r="Y26" s="403"/>
      <c r="Z26" s="402"/>
      <c r="AA26" s="403"/>
      <c r="AB26" s="402"/>
      <c r="AC26" s="403"/>
      <c r="AD26" s="402"/>
      <c r="AE26" s="403"/>
      <c r="AF26" s="402"/>
      <c r="AG26" s="403"/>
      <c r="AH26" s="402"/>
      <c r="AI26" s="403"/>
      <c r="AJ26" s="402"/>
      <c r="AK26" s="403"/>
      <c r="AL26" s="402"/>
      <c r="AM26" s="403"/>
      <c r="AN26" s="402"/>
      <c r="AO26" s="403"/>
      <c r="AP26" s="402"/>
      <c r="AQ26" s="403"/>
      <c r="AR26" s="402"/>
      <c r="AS26" s="403"/>
      <c r="AT26" s="402"/>
      <c r="AU26" s="403"/>
      <c r="AV26" s="402"/>
      <c r="AW26" s="403"/>
      <c r="AX26" s="402"/>
      <c r="AY26" s="403"/>
      <c r="AZ26" s="402"/>
      <c r="BA26" s="403"/>
      <c r="BB26" s="402"/>
      <c r="BC26" s="403"/>
      <c r="BD26" s="402"/>
      <c r="BE26" s="403"/>
      <c r="BF26" s="402"/>
      <c r="BG26" s="403"/>
      <c r="BH26" s="402"/>
      <c r="BI26" s="403"/>
      <c r="BJ26" s="402"/>
      <c r="BK26" s="403"/>
      <c r="BL26" s="402"/>
      <c r="BM26" s="403"/>
      <c r="BN26" s="402"/>
      <c r="BO26" s="403"/>
      <c r="BP26" s="402"/>
      <c r="BQ26" s="403"/>
      <c r="BR26" s="402"/>
      <c r="BS26" s="403"/>
      <c r="BT26" s="402"/>
      <c r="BU26" s="403"/>
      <c r="BV26" s="337">
        <f>L26+N26+P26+R26+T26+V26+X26+Z26+AB26+AD26+AF26+AH26+AJ26+AL26+AN26+AP26+AR26+AT26+AV26+AX26+AZ26+BB26+BD26+BF26+BH26+BJ26+BL26+BN26+BP26+BR26+BT26</f>
        <v>0</v>
      </c>
      <c r="BW26" s="337">
        <f>M26+O26+Q26+S26+U26+W26+Y26+AA26+AC26+AE26+AG26+AI26+AK26+AM26+AO26+AQ26+AS26+AU26+AW26+AY26+BA26+BC26+BE26+BG26+BI26+BK26+BM26+BO26+BQ26+BS26+BU26</f>
        <v>0</v>
      </c>
    </row>
    <row r="27" spans="1:75" s="64" customFormat="1" ht="21.95" customHeight="1" x14ac:dyDescent="0.2">
      <c r="A27" s="385" t="s">
        <v>3206</v>
      </c>
      <c r="B27" s="386" t="s">
        <v>3207</v>
      </c>
      <c r="C27" s="352" t="s">
        <v>3186</v>
      </c>
      <c r="D27" s="387" t="s">
        <v>3208</v>
      </c>
      <c r="E27" s="388" t="s">
        <v>3209</v>
      </c>
      <c r="F27" s="389" t="s">
        <v>3182</v>
      </c>
      <c r="G27" s="389" t="s">
        <v>3183</v>
      </c>
      <c r="H27" s="390" t="s">
        <v>341</v>
      </c>
      <c r="I27" s="391" t="s">
        <v>341</v>
      </c>
      <c r="J27" s="353" t="s">
        <v>3184</v>
      </c>
      <c r="K27" s="353" t="s">
        <v>3187</v>
      </c>
      <c r="L27" s="400"/>
      <c r="M27" s="401"/>
      <c r="N27" s="400"/>
      <c r="O27" s="401"/>
      <c r="P27" s="400"/>
      <c r="Q27" s="401"/>
      <c r="R27" s="400"/>
      <c r="S27" s="401"/>
      <c r="T27" s="400"/>
      <c r="U27" s="401"/>
      <c r="V27" s="400"/>
      <c r="W27" s="401"/>
      <c r="X27" s="400"/>
      <c r="Y27" s="401"/>
      <c r="Z27" s="400"/>
      <c r="AA27" s="401"/>
      <c r="AB27" s="400"/>
      <c r="AC27" s="401"/>
      <c r="AD27" s="400"/>
      <c r="AE27" s="401"/>
      <c r="AF27" s="400"/>
      <c r="AG27" s="401"/>
      <c r="AH27" s="400"/>
      <c r="AI27" s="401"/>
      <c r="AJ27" s="400"/>
      <c r="AK27" s="401"/>
      <c r="AL27" s="400"/>
      <c r="AM27" s="401"/>
      <c r="AN27" s="400"/>
      <c r="AO27" s="401"/>
      <c r="AP27" s="400"/>
      <c r="AQ27" s="401"/>
      <c r="AR27" s="400"/>
      <c r="AS27" s="401"/>
      <c r="AT27" s="400"/>
      <c r="AU27" s="401"/>
      <c r="AV27" s="400"/>
      <c r="AW27" s="401"/>
      <c r="AX27" s="400"/>
      <c r="AY27" s="401"/>
      <c r="AZ27" s="400"/>
      <c r="BA27" s="401"/>
      <c r="BB27" s="400"/>
      <c r="BC27" s="401"/>
      <c r="BD27" s="400"/>
      <c r="BE27" s="401"/>
      <c r="BF27" s="400"/>
      <c r="BG27" s="401"/>
      <c r="BH27" s="400"/>
      <c r="BI27" s="401"/>
      <c r="BJ27" s="400"/>
      <c r="BK27" s="401"/>
      <c r="BL27" s="400"/>
      <c r="BM27" s="401"/>
      <c r="BN27" s="400"/>
      <c r="BO27" s="401"/>
      <c r="BP27" s="400"/>
      <c r="BQ27" s="401"/>
      <c r="BR27" s="400"/>
      <c r="BS27" s="401"/>
      <c r="BT27" s="400"/>
      <c r="BU27" s="401"/>
      <c r="BV27" s="337">
        <f t="shared" ref="BV27:BV30" si="11">L27+N27+P27+R27+T27+V27+X27+Z27+AB27+AD27+AF27+AH27+AJ27+AL27+AN27+AP27+AR27+AT27+AV27+AX27+AZ27+BB27+BD27+BF27+BH27+BJ27+BL27+BN27+BP27+BR27+BT27</f>
        <v>0</v>
      </c>
      <c r="BW27" s="337">
        <f t="shared" ref="BW27:BW30" si="12">M27+O27+Q27+S27+U27+W27+Y27+AA27+AC27+AE27+AG27+AI27+AK27+AM27+AO27+AQ27+AS27+AU27+AW27+AY27+BA27+BC27+BE27+BG27+BI27+BK27+BM27+BO27+BQ27+BS27+BU27</f>
        <v>0</v>
      </c>
    </row>
    <row r="28" spans="1:75" s="64" customFormat="1" ht="21.95" customHeight="1" x14ac:dyDescent="0.2">
      <c r="A28" s="385" t="s">
        <v>3206</v>
      </c>
      <c r="B28" s="386" t="s">
        <v>3207</v>
      </c>
      <c r="C28" s="392" t="s">
        <v>3186</v>
      </c>
      <c r="D28" s="387" t="s">
        <v>3208</v>
      </c>
      <c r="E28" s="388" t="s">
        <v>3209</v>
      </c>
      <c r="F28" s="389" t="s">
        <v>3182</v>
      </c>
      <c r="G28" s="389" t="s">
        <v>3183</v>
      </c>
      <c r="H28" s="390" t="s">
        <v>341</v>
      </c>
      <c r="I28" s="391" t="s">
        <v>341</v>
      </c>
      <c r="J28" s="353" t="s">
        <v>3184</v>
      </c>
      <c r="K28" s="355" t="s">
        <v>3188</v>
      </c>
      <c r="L28" s="400"/>
      <c r="M28" s="401"/>
      <c r="N28" s="400"/>
      <c r="O28" s="401"/>
      <c r="P28" s="400"/>
      <c r="Q28" s="401"/>
      <c r="R28" s="400"/>
      <c r="S28" s="401"/>
      <c r="T28" s="400"/>
      <c r="U28" s="401"/>
      <c r="V28" s="400"/>
      <c r="W28" s="401"/>
      <c r="X28" s="400"/>
      <c r="Y28" s="401"/>
      <c r="Z28" s="400"/>
      <c r="AA28" s="401"/>
      <c r="AB28" s="400"/>
      <c r="AC28" s="401"/>
      <c r="AD28" s="400"/>
      <c r="AE28" s="401"/>
      <c r="AF28" s="400"/>
      <c r="AG28" s="401"/>
      <c r="AH28" s="400"/>
      <c r="AI28" s="401"/>
      <c r="AJ28" s="400"/>
      <c r="AK28" s="401"/>
      <c r="AL28" s="400"/>
      <c r="AM28" s="401"/>
      <c r="AN28" s="400"/>
      <c r="AO28" s="401"/>
      <c r="AP28" s="400"/>
      <c r="AQ28" s="401"/>
      <c r="AR28" s="400"/>
      <c r="AS28" s="401"/>
      <c r="AT28" s="400"/>
      <c r="AU28" s="401"/>
      <c r="AV28" s="400"/>
      <c r="AW28" s="401"/>
      <c r="AX28" s="400"/>
      <c r="AY28" s="401"/>
      <c r="AZ28" s="400"/>
      <c r="BA28" s="401"/>
      <c r="BB28" s="400"/>
      <c r="BC28" s="401"/>
      <c r="BD28" s="400"/>
      <c r="BE28" s="401"/>
      <c r="BF28" s="400"/>
      <c r="BG28" s="401"/>
      <c r="BH28" s="400"/>
      <c r="BI28" s="401"/>
      <c r="BJ28" s="400"/>
      <c r="BK28" s="401"/>
      <c r="BL28" s="400"/>
      <c r="BM28" s="401"/>
      <c r="BN28" s="400"/>
      <c r="BO28" s="401"/>
      <c r="BP28" s="400"/>
      <c r="BQ28" s="401"/>
      <c r="BR28" s="400"/>
      <c r="BS28" s="401"/>
      <c r="BT28" s="400"/>
      <c r="BU28" s="401"/>
      <c r="BV28" s="337">
        <f t="shared" si="11"/>
        <v>0</v>
      </c>
      <c r="BW28" s="337">
        <f t="shared" si="12"/>
        <v>0</v>
      </c>
    </row>
    <row r="29" spans="1:75" s="64" customFormat="1" ht="21.95" customHeight="1" x14ac:dyDescent="0.2">
      <c r="A29" s="385" t="s">
        <v>3206</v>
      </c>
      <c r="B29" s="386" t="s">
        <v>3207</v>
      </c>
      <c r="C29" s="392" t="s">
        <v>3186</v>
      </c>
      <c r="D29" s="387" t="s">
        <v>3208</v>
      </c>
      <c r="E29" s="388" t="s">
        <v>3209</v>
      </c>
      <c r="F29" s="389" t="s">
        <v>3182</v>
      </c>
      <c r="G29" s="389" t="s">
        <v>3183</v>
      </c>
      <c r="H29" s="390" t="s">
        <v>341</v>
      </c>
      <c r="I29" s="391" t="s">
        <v>341</v>
      </c>
      <c r="J29" s="353" t="s">
        <v>3184</v>
      </c>
      <c r="K29" s="356" t="s">
        <v>3189</v>
      </c>
      <c r="L29" s="400"/>
      <c r="M29" s="401"/>
      <c r="N29" s="400"/>
      <c r="O29" s="401"/>
      <c r="P29" s="400"/>
      <c r="Q29" s="401"/>
      <c r="R29" s="400"/>
      <c r="S29" s="401"/>
      <c r="T29" s="400"/>
      <c r="U29" s="401"/>
      <c r="V29" s="400"/>
      <c r="W29" s="401"/>
      <c r="X29" s="400"/>
      <c r="Y29" s="401"/>
      <c r="Z29" s="400"/>
      <c r="AA29" s="401"/>
      <c r="AB29" s="400"/>
      <c r="AC29" s="401"/>
      <c r="AD29" s="400"/>
      <c r="AE29" s="401"/>
      <c r="AF29" s="400"/>
      <c r="AG29" s="401"/>
      <c r="AH29" s="400"/>
      <c r="AI29" s="401"/>
      <c r="AJ29" s="400"/>
      <c r="AK29" s="401"/>
      <c r="AL29" s="400"/>
      <c r="AM29" s="401"/>
      <c r="AN29" s="400"/>
      <c r="AO29" s="401"/>
      <c r="AP29" s="400"/>
      <c r="AQ29" s="401"/>
      <c r="AR29" s="400"/>
      <c r="AS29" s="401"/>
      <c r="AT29" s="400"/>
      <c r="AU29" s="401"/>
      <c r="AV29" s="400"/>
      <c r="AW29" s="401"/>
      <c r="AX29" s="400"/>
      <c r="AY29" s="401"/>
      <c r="AZ29" s="400"/>
      <c r="BA29" s="401"/>
      <c r="BB29" s="400"/>
      <c r="BC29" s="401"/>
      <c r="BD29" s="400"/>
      <c r="BE29" s="401"/>
      <c r="BF29" s="400"/>
      <c r="BG29" s="401"/>
      <c r="BH29" s="400"/>
      <c r="BI29" s="401"/>
      <c r="BJ29" s="400"/>
      <c r="BK29" s="401"/>
      <c r="BL29" s="400"/>
      <c r="BM29" s="401"/>
      <c r="BN29" s="400"/>
      <c r="BO29" s="401"/>
      <c r="BP29" s="400"/>
      <c r="BQ29" s="401"/>
      <c r="BR29" s="400"/>
      <c r="BS29" s="401"/>
      <c r="BT29" s="400"/>
      <c r="BU29" s="401"/>
      <c r="BV29" s="337">
        <f t="shared" si="11"/>
        <v>0</v>
      </c>
      <c r="BW29" s="337">
        <f t="shared" si="12"/>
        <v>0</v>
      </c>
    </row>
    <row r="30" spans="1:75" s="64" customFormat="1" ht="21.95" customHeight="1" thickBot="1" x14ac:dyDescent="0.25">
      <c r="A30" s="898" t="s">
        <v>3206</v>
      </c>
      <c r="B30" s="393" t="s">
        <v>3207</v>
      </c>
      <c r="C30" s="394" t="s">
        <v>3186</v>
      </c>
      <c r="D30" s="395" t="s">
        <v>3208</v>
      </c>
      <c r="E30" s="411" t="s">
        <v>3209</v>
      </c>
      <c r="F30" s="396" t="s">
        <v>3182</v>
      </c>
      <c r="G30" s="396" t="s">
        <v>3183</v>
      </c>
      <c r="H30" s="397" t="s">
        <v>341</v>
      </c>
      <c r="I30" s="899" t="s">
        <v>341</v>
      </c>
      <c r="J30" s="353" t="s">
        <v>3184</v>
      </c>
      <c r="K30" s="357" t="s">
        <v>60</v>
      </c>
      <c r="L30" s="402"/>
      <c r="M30" s="403"/>
      <c r="N30" s="402"/>
      <c r="O30" s="403"/>
      <c r="P30" s="402"/>
      <c r="Q30" s="403"/>
      <c r="R30" s="402"/>
      <c r="S30" s="403"/>
      <c r="T30" s="402"/>
      <c r="U30" s="403"/>
      <c r="V30" s="402"/>
      <c r="W30" s="403"/>
      <c r="X30" s="402"/>
      <c r="Y30" s="403"/>
      <c r="Z30" s="402"/>
      <c r="AA30" s="403"/>
      <c r="AB30" s="402"/>
      <c r="AC30" s="403"/>
      <c r="AD30" s="402"/>
      <c r="AE30" s="403"/>
      <c r="AF30" s="402"/>
      <c r="AG30" s="403"/>
      <c r="AH30" s="402"/>
      <c r="AI30" s="403"/>
      <c r="AJ30" s="402"/>
      <c r="AK30" s="403"/>
      <c r="AL30" s="402"/>
      <c r="AM30" s="403"/>
      <c r="AN30" s="402"/>
      <c r="AO30" s="403"/>
      <c r="AP30" s="402"/>
      <c r="AQ30" s="403"/>
      <c r="AR30" s="402"/>
      <c r="AS30" s="403"/>
      <c r="AT30" s="402"/>
      <c r="AU30" s="403"/>
      <c r="AV30" s="402"/>
      <c r="AW30" s="403"/>
      <c r="AX30" s="402"/>
      <c r="AY30" s="403"/>
      <c r="AZ30" s="402"/>
      <c r="BA30" s="403"/>
      <c r="BB30" s="402"/>
      <c r="BC30" s="403"/>
      <c r="BD30" s="402"/>
      <c r="BE30" s="403"/>
      <c r="BF30" s="402"/>
      <c r="BG30" s="403"/>
      <c r="BH30" s="402"/>
      <c r="BI30" s="403"/>
      <c r="BJ30" s="402"/>
      <c r="BK30" s="403"/>
      <c r="BL30" s="402"/>
      <c r="BM30" s="403"/>
      <c r="BN30" s="402"/>
      <c r="BO30" s="403"/>
      <c r="BP30" s="402"/>
      <c r="BQ30" s="403"/>
      <c r="BR30" s="402"/>
      <c r="BS30" s="403"/>
      <c r="BT30" s="402"/>
      <c r="BU30" s="403"/>
      <c r="BV30" s="337">
        <f t="shared" si="11"/>
        <v>0</v>
      </c>
      <c r="BW30" s="337">
        <f t="shared" si="12"/>
        <v>0</v>
      </c>
    </row>
    <row r="31" spans="1:75" s="64" customFormat="1" ht="21.95" customHeight="1" x14ac:dyDescent="0.25">
      <c r="A31" s="425" t="s">
        <v>3210</v>
      </c>
      <c r="B31" s="526" t="s">
        <v>3211</v>
      </c>
      <c r="C31" s="527">
        <v>1</v>
      </c>
      <c r="D31" s="528" t="s">
        <v>3212</v>
      </c>
      <c r="E31" s="426" t="s">
        <v>3213</v>
      </c>
      <c r="F31" s="529" t="s">
        <v>3182</v>
      </c>
      <c r="G31" s="529" t="s">
        <v>3183</v>
      </c>
      <c r="H31" s="530" t="s">
        <v>342</v>
      </c>
      <c r="I31" s="384" t="s">
        <v>342</v>
      </c>
      <c r="J31" s="353" t="s">
        <v>3184</v>
      </c>
      <c r="K31" s="354" t="s">
        <v>3185</v>
      </c>
      <c r="L31" s="402"/>
      <c r="M31" s="403"/>
      <c r="N31" s="402"/>
      <c r="O31" s="403"/>
      <c r="P31" s="402"/>
      <c r="Q31" s="403"/>
      <c r="R31" s="402"/>
      <c r="S31" s="403"/>
      <c r="T31" s="402"/>
      <c r="U31" s="403"/>
      <c r="V31" s="402"/>
      <c r="W31" s="403"/>
      <c r="X31" s="402"/>
      <c r="Y31" s="403"/>
      <c r="Z31" s="402"/>
      <c r="AA31" s="403"/>
      <c r="AB31" s="402"/>
      <c r="AC31" s="403"/>
      <c r="AD31" s="402"/>
      <c r="AE31" s="403"/>
      <c r="AF31" s="402"/>
      <c r="AG31" s="403"/>
      <c r="AH31" s="402"/>
      <c r="AI31" s="403"/>
      <c r="AJ31" s="402"/>
      <c r="AK31" s="403"/>
      <c r="AL31" s="402"/>
      <c r="AM31" s="403"/>
      <c r="AN31" s="402"/>
      <c r="AO31" s="403"/>
      <c r="AP31" s="402"/>
      <c r="AQ31" s="403"/>
      <c r="AR31" s="402"/>
      <c r="AS31" s="403"/>
      <c r="AT31" s="402"/>
      <c r="AU31" s="403"/>
      <c r="AV31" s="402"/>
      <c r="AW31" s="403"/>
      <c r="AX31" s="402"/>
      <c r="AY31" s="403"/>
      <c r="AZ31" s="402"/>
      <c r="BA31" s="403"/>
      <c r="BB31" s="402"/>
      <c r="BC31" s="403"/>
      <c r="BD31" s="402"/>
      <c r="BE31" s="403"/>
      <c r="BF31" s="402"/>
      <c r="BG31" s="403"/>
      <c r="BH31" s="402"/>
      <c r="BI31" s="403"/>
      <c r="BJ31" s="402"/>
      <c r="BK31" s="403"/>
      <c r="BL31" s="402"/>
      <c r="BM31" s="403"/>
      <c r="BN31" s="402"/>
      <c r="BO31" s="403"/>
      <c r="BP31" s="402"/>
      <c r="BQ31" s="403"/>
      <c r="BR31" s="402"/>
      <c r="BS31" s="403"/>
      <c r="BT31" s="402"/>
      <c r="BU31" s="403"/>
      <c r="BV31" s="337">
        <f>L31+N31+P31+R31+T31+V31+X31+Z31+AB31+AD31+AF31+AH31+AJ31+AL31+AN31+AP31+AR31+AT31+AV31+AX31+AZ31+BB31+BD31+BF31+BH31+BJ31+BL31+BN31+BP31+BR31+BT31</f>
        <v>0</v>
      </c>
      <c r="BW31" s="337">
        <f>M31+O31+Q31+S31+U31+W31+Y31+AA31+AC31+AE31+AG31+AI31+AK31+AM31+AO31+AQ31+AS31+AU31+AW31+AY31+BA31+BC31+BE31+BG31+BI31+BK31+BM31+BO31+BQ31+BS31+BU31</f>
        <v>0</v>
      </c>
    </row>
    <row r="32" spans="1:75" s="64" customFormat="1" ht="21.95" customHeight="1" x14ac:dyDescent="0.2">
      <c r="A32" s="385" t="s">
        <v>3210</v>
      </c>
      <c r="B32" s="386" t="s">
        <v>3211</v>
      </c>
      <c r="C32" s="352" t="s">
        <v>3186</v>
      </c>
      <c r="D32" s="387" t="s">
        <v>3212</v>
      </c>
      <c r="E32" s="388" t="s">
        <v>3213</v>
      </c>
      <c r="F32" s="389" t="s">
        <v>3182</v>
      </c>
      <c r="G32" s="389" t="s">
        <v>3183</v>
      </c>
      <c r="H32" s="390" t="s">
        <v>342</v>
      </c>
      <c r="I32" s="391" t="s">
        <v>342</v>
      </c>
      <c r="J32" s="353" t="s">
        <v>3184</v>
      </c>
      <c r="K32" s="353" t="s">
        <v>3187</v>
      </c>
      <c r="L32" s="400">
        <v>6</v>
      </c>
      <c r="M32" s="401"/>
      <c r="N32" s="400">
        <v>8</v>
      </c>
      <c r="O32" s="401"/>
      <c r="P32" s="400">
        <v>3</v>
      </c>
      <c r="Q32" s="401"/>
      <c r="R32" s="400"/>
      <c r="S32" s="401"/>
      <c r="T32" s="400"/>
      <c r="U32" s="401"/>
      <c r="V32" s="400">
        <v>9</v>
      </c>
      <c r="W32" s="401"/>
      <c r="X32" s="400">
        <v>8</v>
      </c>
      <c r="Y32" s="401"/>
      <c r="Z32" s="400">
        <v>6</v>
      </c>
      <c r="AA32" s="401"/>
      <c r="AB32" s="400">
        <v>8</v>
      </c>
      <c r="AC32" s="401"/>
      <c r="AD32" s="400">
        <v>3</v>
      </c>
      <c r="AE32" s="401"/>
      <c r="AF32" s="400"/>
      <c r="AG32" s="401"/>
      <c r="AH32" s="400"/>
      <c r="AI32" s="401"/>
      <c r="AJ32" s="400">
        <v>8</v>
      </c>
      <c r="AK32" s="401"/>
      <c r="AL32" s="400">
        <v>8</v>
      </c>
      <c r="AM32" s="401"/>
      <c r="AN32" s="400">
        <v>6</v>
      </c>
      <c r="AO32" s="401"/>
      <c r="AP32" s="400">
        <v>8</v>
      </c>
      <c r="AQ32" s="401"/>
      <c r="AR32" s="400">
        <v>3</v>
      </c>
      <c r="AS32" s="401"/>
      <c r="AT32" s="400"/>
      <c r="AU32" s="401"/>
      <c r="AV32" s="400"/>
      <c r="AW32" s="401"/>
      <c r="AX32" s="400">
        <v>8</v>
      </c>
      <c r="AY32" s="401"/>
      <c r="AZ32" s="400">
        <v>8</v>
      </c>
      <c r="BA32" s="401"/>
      <c r="BB32" s="400">
        <v>6</v>
      </c>
      <c r="BC32" s="401"/>
      <c r="BD32" s="400">
        <v>8</v>
      </c>
      <c r="BE32" s="401"/>
      <c r="BF32" s="400">
        <v>3</v>
      </c>
      <c r="BG32" s="401"/>
      <c r="BH32" s="400"/>
      <c r="BI32" s="401"/>
      <c r="BJ32" s="400"/>
      <c r="BK32" s="401"/>
      <c r="BL32" s="400">
        <v>8</v>
      </c>
      <c r="BM32" s="401"/>
      <c r="BN32" s="400">
        <v>8</v>
      </c>
      <c r="BO32" s="401"/>
      <c r="BP32" s="400">
        <v>6</v>
      </c>
      <c r="BQ32" s="401"/>
      <c r="BR32" s="400">
        <v>8</v>
      </c>
      <c r="BS32" s="401"/>
      <c r="BT32" s="400"/>
      <c r="BU32" s="401"/>
      <c r="BV32" s="337">
        <f t="shared" ref="BV32:BV35" si="13">L32+N32+P32+R32+T32+V32+X32+Z32+AB32+AD32+AF32+AH32+AJ32+AL32+AN32+AP32+AR32+AT32+AV32+AX32+AZ32+BB32+BD32+BF32+BH32+BJ32+BL32+BN32+BP32+BR32+BT32</f>
        <v>147</v>
      </c>
      <c r="BW32" s="337">
        <f t="shared" ref="BW32:BW35" si="14">M32+O32+Q32+S32+U32+W32+Y32+AA32+AC32+AE32+AG32+AI32+AK32+AM32+AO32+AQ32+AS32+AU32+AW32+AY32+BA32+BC32+BE32+BG32+BI32+BK32+BM32+BO32+BQ32+BS32+BU32</f>
        <v>0</v>
      </c>
    </row>
    <row r="33" spans="1:75" s="64" customFormat="1" ht="21.95" customHeight="1" x14ac:dyDescent="0.2">
      <c r="A33" s="385" t="s">
        <v>3210</v>
      </c>
      <c r="B33" s="386" t="s">
        <v>3211</v>
      </c>
      <c r="C33" s="392" t="s">
        <v>3186</v>
      </c>
      <c r="D33" s="387" t="s">
        <v>3212</v>
      </c>
      <c r="E33" s="388" t="s">
        <v>3213</v>
      </c>
      <c r="F33" s="389" t="s">
        <v>3182</v>
      </c>
      <c r="G33" s="389" t="s">
        <v>3183</v>
      </c>
      <c r="H33" s="390" t="s">
        <v>342</v>
      </c>
      <c r="I33" s="391" t="s">
        <v>342</v>
      </c>
      <c r="J33" s="353" t="s">
        <v>3184</v>
      </c>
      <c r="K33" s="355" t="s">
        <v>3188</v>
      </c>
      <c r="L33" s="400"/>
      <c r="M33" s="401"/>
      <c r="N33" s="400"/>
      <c r="O33" s="401"/>
      <c r="P33" s="400"/>
      <c r="Q33" s="401"/>
      <c r="R33" s="400"/>
      <c r="S33" s="401"/>
      <c r="T33" s="400"/>
      <c r="U33" s="401"/>
      <c r="V33" s="400"/>
      <c r="W33" s="401"/>
      <c r="X33" s="400"/>
      <c r="Y33" s="401"/>
      <c r="Z33" s="400"/>
      <c r="AA33" s="401"/>
      <c r="AB33" s="400"/>
      <c r="AC33" s="401"/>
      <c r="AD33" s="400"/>
      <c r="AE33" s="401"/>
      <c r="AF33" s="400"/>
      <c r="AG33" s="401"/>
      <c r="AH33" s="400"/>
      <c r="AI33" s="401"/>
      <c r="AJ33" s="400"/>
      <c r="AK33" s="401"/>
      <c r="AL33" s="400"/>
      <c r="AM33" s="401"/>
      <c r="AN33" s="400"/>
      <c r="AO33" s="401"/>
      <c r="AP33" s="400"/>
      <c r="AQ33" s="401"/>
      <c r="AR33" s="400"/>
      <c r="AS33" s="401"/>
      <c r="AT33" s="400"/>
      <c r="AU33" s="401"/>
      <c r="AV33" s="400"/>
      <c r="AW33" s="401"/>
      <c r="AX33" s="400"/>
      <c r="AY33" s="401"/>
      <c r="AZ33" s="400"/>
      <c r="BA33" s="401"/>
      <c r="BB33" s="400"/>
      <c r="BC33" s="401"/>
      <c r="BD33" s="400"/>
      <c r="BE33" s="401"/>
      <c r="BF33" s="400"/>
      <c r="BG33" s="401"/>
      <c r="BH33" s="400"/>
      <c r="BI33" s="401"/>
      <c r="BJ33" s="400"/>
      <c r="BK33" s="401"/>
      <c r="BL33" s="400"/>
      <c r="BM33" s="401"/>
      <c r="BN33" s="400"/>
      <c r="BO33" s="401"/>
      <c r="BP33" s="400"/>
      <c r="BQ33" s="401"/>
      <c r="BR33" s="400"/>
      <c r="BS33" s="401"/>
      <c r="BT33" s="400"/>
      <c r="BU33" s="401"/>
      <c r="BV33" s="337">
        <f t="shared" si="13"/>
        <v>0</v>
      </c>
      <c r="BW33" s="337">
        <f t="shared" si="14"/>
        <v>0</v>
      </c>
    </row>
    <row r="34" spans="1:75" s="64" customFormat="1" ht="21.95" customHeight="1" x14ac:dyDescent="0.2">
      <c r="A34" s="385" t="s">
        <v>3210</v>
      </c>
      <c r="B34" s="386" t="s">
        <v>3211</v>
      </c>
      <c r="C34" s="392" t="s">
        <v>3186</v>
      </c>
      <c r="D34" s="387" t="s">
        <v>3212</v>
      </c>
      <c r="E34" s="388" t="s">
        <v>3213</v>
      </c>
      <c r="F34" s="389" t="s">
        <v>3182</v>
      </c>
      <c r="G34" s="389" t="s">
        <v>3183</v>
      </c>
      <c r="H34" s="390" t="s">
        <v>342</v>
      </c>
      <c r="I34" s="391" t="s">
        <v>342</v>
      </c>
      <c r="J34" s="353" t="s">
        <v>3184</v>
      </c>
      <c r="K34" s="356" t="s">
        <v>3189</v>
      </c>
      <c r="L34" s="400"/>
      <c r="M34" s="401"/>
      <c r="N34" s="400"/>
      <c r="O34" s="401"/>
      <c r="P34" s="400"/>
      <c r="Q34" s="401"/>
      <c r="R34" s="400"/>
      <c r="S34" s="401"/>
      <c r="T34" s="400"/>
      <c r="U34" s="401"/>
      <c r="V34" s="400"/>
      <c r="W34" s="401"/>
      <c r="X34" s="400"/>
      <c r="Y34" s="401"/>
      <c r="Z34" s="400"/>
      <c r="AA34" s="401"/>
      <c r="AB34" s="400"/>
      <c r="AC34" s="401"/>
      <c r="AD34" s="400"/>
      <c r="AE34" s="401"/>
      <c r="AF34" s="400"/>
      <c r="AG34" s="401"/>
      <c r="AH34" s="400"/>
      <c r="AI34" s="401"/>
      <c r="AJ34" s="400"/>
      <c r="AK34" s="401"/>
      <c r="AL34" s="400"/>
      <c r="AM34" s="401"/>
      <c r="AN34" s="400"/>
      <c r="AO34" s="401"/>
      <c r="AP34" s="400"/>
      <c r="AQ34" s="401"/>
      <c r="AR34" s="400"/>
      <c r="AS34" s="401"/>
      <c r="AT34" s="400"/>
      <c r="AU34" s="401"/>
      <c r="AV34" s="400"/>
      <c r="AW34" s="401"/>
      <c r="AX34" s="400"/>
      <c r="AY34" s="401"/>
      <c r="AZ34" s="400"/>
      <c r="BA34" s="401"/>
      <c r="BB34" s="400"/>
      <c r="BC34" s="401"/>
      <c r="BD34" s="400"/>
      <c r="BE34" s="401"/>
      <c r="BF34" s="400"/>
      <c r="BG34" s="401"/>
      <c r="BH34" s="400"/>
      <c r="BI34" s="401"/>
      <c r="BJ34" s="400"/>
      <c r="BK34" s="401"/>
      <c r="BL34" s="400"/>
      <c r="BM34" s="401"/>
      <c r="BN34" s="400"/>
      <c r="BO34" s="401"/>
      <c r="BP34" s="400"/>
      <c r="BQ34" s="401"/>
      <c r="BR34" s="400"/>
      <c r="BS34" s="401"/>
      <c r="BT34" s="400"/>
      <c r="BU34" s="401"/>
      <c r="BV34" s="337">
        <f t="shared" si="13"/>
        <v>0</v>
      </c>
      <c r="BW34" s="337">
        <f t="shared" si="14"/>
        <v>0</v>
      </c>
    </row>
    <row r="35" spans="1:75" s="64" customFormat="1" ht="21.95" customHeight="1" thickBot="1" x14ac:dyDescent="0.25">
      <c r="A35" s="898" t="s">
        <v>3210</v>
      </c>
      <c r="B35" s="393" t="s">
        <v>3211</v>
      </c>
      <c r="C35" s="394" t="s">
        <v>3186</v>
      </c>
      <c r="D35" s="395" t="s">
        <v>3212</v>
      </c>
      <c r="E35" s="411" t="s">
        <v>3213</v>
      </c>
      <c r="F35" s="396" t="s">
        <v>3182</v>
      </c>
      <c r="G35" s="396" t="s">
        <v>3183</v>
      </c>
      <c r="H35" s="397" t="s">
        <v>342</v>
      </c>
      <c r="I35" s="899" t="s">
        <v>342</v>
      </c>
      <c r="J35" s="353" t="s">
        <v>3184</v>
      </c>
      <c r="K35" s="357" t="s">
        <v>60</v>
      </c>
      <c r="L35" s="402"/>
      <c r="M35" s="403"/>
      <c r="N35" s="402"/>
      <c r="O35" s="403"/>
      <c r="P35" s="402"/>
      <c r="Q35" s="403"/>
      <c r="R35" s="402"/>
      <c r="S35" s="403"/>
      <c r="T35" s="402"/>
      <c r="U35" s="403"/>
      <c r="V35" s="402"/>
      <c r="W35" s="403"/>
      <c r="X35" s="402"/>
      <c r="Y35" s="403"/>
      <c r="Z35" s="402"/>
      <c r="AA35" s="403"/>
      <c r="AB35" s="402"/>
      <c r="AC35" s="403"/>
      <c r="AD35" s="402"/>
      <c r="AE35" s="403"/>
      <c r="AF35" s="402"/>
      <c r="AG35" s="403"/>
      <c r="AH35" s="402"/>
      <c r="AI35" s="403"/>
      <c r="AJ35" s="402"/>
      <c r="AK35" s="403"/>
      <c r="AL35" s="402"/>
      <c r="AM35" s="403"/>
      <c r="AN35" s="402"/>
      <c r="AO35" s="403"/>
      <c r="AP35" s="402"/>
      <c r="AQ35" s="403"/>
      <c r="AR35" s="402"/>
      <c r="AS35" s="403"/>
      <c r="AT35" s="402"/>
      <c r="AU35" s="403"/>
      <c r="AV35" s="402"/>
      <c r="AW35" s="403"/>
      <c r="AX35" s="402"/>
      <c r="AY35" s="403"/>
      <c r="AZ35" s="402"/>
      <c r="BA35" s="403"/>
      <c r="BB35" s="402"/>
      <c r="BC35" s="403"/>
      <c r="BD35" s="402"/>
      <c r="BE35" s="403"/>
      <c r="BF35" s="402"/>
      <c r="BG35" s="403"/>
      <c r="BH35" s="402"/>
      <c r="BI35" s="403"/>
      <c r="BJ35" s="402"/>
      <c r="BK35" s="403"/>
      <c r="BL35" s="402"/>
      <c r="BM35" s="403"/>
      <c r="BN35" s="402"/>
      <c r="BO35" s="403"/>
      <c r="BP35" s="402"/>
      <c r="BQ35" s="403"/>
      <c r="BR35" s="402"/>
      <c r="BS35" s="403"/>
      <c r="BT35" s="402"/>
      <c r="BU35" s="403"/>
      <c r="BV35" s="337">
        <f t="shared" si="13"/>
        <v>0</v>
      </c>
      <c r="BW35" s="337">
        <f t="shared" si="14"/>
        <v>0</v>
      </c>
    </row>
    <row r="36" spans="1:75" s="64" customFormat="1" ht="21.95" customHeight="1" x14ac:dyDescent="0.25">
      <c r="A36" s="425" t="s">
        <v>3214</v>
      </c>
      <c r="B36" s="526" t="s">
        <v>3215</v>
      </c>
      <c r="C36" s="527">
        <v>1</v>
      </c>
      <c r="D36" s="528" t="s">
        <v>3216</v>
      </c>
      <c r="E36" s="426" t="s">
        <v>3217</v>
      </c>
      <c r="F36" s="529" t="s">
        <v>3182</v>
      </c>
      <c r="G36" s="529" t="s">
        <v>3183</v>
      </c>
      <c r="H36" s="530" t="s">
        <v>343</v>
      </c>
      <c r="I36" s="384" t="s">
        <v>343</v>
      </c>
      <c r="J36" s="353" t="s">
        <v>3184</v>
      </c>
      <c r="K36" s="354" t="s">
        <v>3185</v>
      </c>
      <c r="L36" s="402"/>
      <c r="M36" s="403"/>
      <c r="N36" s="402"/>
      <c r="O36" s="403"/>
      <c r="P36" s="402"/>
      <c r="Q36" s="403"/>
      <c r="R36" s="402"/>
      <c r="S36" s="403"/>
      <c r="T36" s="402"/>
      <c r="U36" s="403"/>
      <c r="V36" s="402"/>
      <c r="W36" s="403"/>
      <c r="X36" s="402"/>
      <c r="Y36" s="403"/>
      <c r="Z36" s="402"/>
      <c r="AA36" s="403"/>
      <c r="AB36" s="402"/>
      <c r="AC36" s="403"/>
      <c r="AD36" s="402"/>
      <c r="AE36" s="403"/>
      <c r="AF36" s="402"/>
      <c r="AG36" s="403"/>
      <c r="AH36" s="402"/>
      <c r="AI36" s="403"/>
      <c r="AJ36" s="402"/>
      <c r="AK36" s="403"/>
      <c r="AL36" s="402"/>
      <c r="AM36" s="403"/>
      <c r="AN36" s="402"/>
      <c r="AO36" s="403"/>
      <c r="AP36" s="402"/>
      <c r="AQ36" s="403"/>
      <c r="AR36" s="402"/>
      <c r="AS36" s="403"/>
      <c r="AT36" s="402"/>
      <c r="AU36" s="403"/>
      <c r="AV36" s="402"/>
      <c r="AW36" s="403"/>
      <c r="AX36" s="402"/>
      <c r="AY36" s="403"/>
      <c r="AZ36" s="402"/>
      <c r="BA36" s="403"/>
      <c r="BB36" s="402"/>
      <c r="BC36" s="403"/>
      <c r="BD36" s="402"/>
      <c r="BE36" s="403"/>
      <c r="BF36" s="402"/>
      <c r="BG36" s="403"/>
      <c r="BH36" s="402"/>
      <c r="BI36" s="403"/>
      <c r="BJ36" s="402"/>
      <c r="BK36" s="403"/>
      <c r="BL36" s="402"/>
      <c r="BM36" s="403"/>
      <c r="BN36" s="402"/>
      <c r="BO36" s="403"/>
      <c r="BP36" s="402"/>
      <c r="BQ36" s="403"/>
      <c r="BR36" s="402"/>
      <c r="BS36" s="403"/>
      <c r="BT36" s="402"/>
      <c r="BU36" s="403"/>
      <c r="BV36" s="337">
        <f>L36+N36+P36+R36+T36+V36+X36+Z36+AB36+AD36+AF36+AH36+AJ36+AL36+AN36+AP36+AR36+AT36+AV36+AX36+AZ36+BB36+BD36+BF36+BH36+BJ36+BL36+BN36+BP36+BR36+BT36</f>
        <v>0</v>
      </c>
      <c r="BW36" s="337">
        <f>M36+O36+Q36+S36+U36+W36+Y36+AA36+AC36+AE36+AG36+AI36+AK36+AM36+AO36+AQ36+AS36+AU36+AW36+AY36+BA36+BC36+BE36+BG36+BI36+BK36+BM36+BO36+BQ36+BS36+BU36</f>
        <v>0</v>
      </c>
    </row>
    <row r="37" spans="1:75" s="64" customFormat="1" ht="21.95" customHeight="1" x14ac:dyDescent="0.2">
      <c r="A37" s="385" t="s">
        <v>3214</v>
      </c>
      <c r="B37" s="386" t="s">
        <v>3215</v>
      </c>
      <c r="C37" s="352" t="s">
        <v>3186</v>
      </c>
      <c r="D37" s="387" t="s">
        <v>3216</v>
      </c>
      <c r="E37" s="388" t="s">
        <v>3217</v>
      </c>
      <c r="F37" s="389" t="s">
        <v>3182</v>
      </c>
      <c r="G37" s="389" t="s">
        <v>3183</v>
      </c>
      <c r="H37" s="390" t="s">
        <v>343</v>
      </c>
      <c r="I37" s="391" t="s">
        <v>343</v>
      </c>
      <c r="J37" s="353" t="s">
        <v>3184</v>
      </c>
      <c r="K37" s="353" t="s">
        <v>3187</v>
      </c>
      <c r="L37" s="400"/>
      <c r="M37" s="401"/>
      <c r="N37" s="400"/>
      <c r="O37" s="401"/>
      <c r="P37" s="400"/>
      <c r="Q37" s="401"/>
      <c r="R37" s="400"/>
      <c r="S37" s="401"/>
      <c r="T37" s="400"/>
      <c r="U37" s="401"/>
      <c r="V37" s="400"/>
      <c r="W37" s="401"/>
      <c r="X37" s="400"/>
      <c r="Y37" s="401"/>
      <c r="Z37" s="400"/>
      <c r="AA37" s="401"/>
      <c r="AB37" s="400"/>
      <c r="AC37" s="401"/>
      <c r="AD37" s="400"/>
      <c r="AE37" s="401"/>
      <c r="AF37" s="400"/>
      <c r="AG37" s="401"/>
      <c r="AH37" s="400"/>
      <c r="AI37" s="401"/>
      <c r="AJ37" s="400"/>
      <c r="AK37" s="401"/>
      <c r="AL37" s="400"/>
      <c r="AM37" s="401"/>
      <c r="AN37" s="400"/>
      <c r="AO37" s="401"/>
      <c r="AP37" s="400"/>
      <c r="AQ37" s="401"/>
      <c r="AR37" s="400"/>
      <c r="AS37" s="401"/>
      <c r="AT37" s="400"/>
      <c r="AU37" s="401"/>
      <c r="AV37" s="400"/>
      <c r="AW37" s="401"/>
      <c r="AX37" s="400"/>
      <c r="AY37" s="401"/>
      <c r="AZ37" s="400"/>
      <c r="BA37" s="401"/>
      <c r="BB37" s="400"/>
      <c r="BC37" s="401"/>
      <c r="BD37" s="400"/>
      <c r="BE37" s="401"/>
      <c r="BF37" s="400"/>
      <c r="BG37" s="401"/>
      <c r="BH37" s="400"/>
      <c r="BI37" s="401"/>
      <c r="BJ37" s="400"/>
      <c r="BK37" s="401"/>
      <c r="BL37" s="400"/>
      <c r="BM37" s="401"/>
      <c r="BN37" s="400"/>
      <c r="BO37" s="401"/>
      <c r="BP37" s="400"/>
      <c r="BQ37" s="401"/>
      <c r="BR37" s="400"/>
      <c r="BS37" s="401"/>
      <c r="BT37" s="400"/>
      <c r="BU37" s="401"/>
      <c r="BV37" s="337">
        <f t="shared" ref="BV37:BV40" si="15">L37+N37+P37+R37+T37+V37+X37+Z37+AB37+AD37+AF37+AH37+AJ37+AL37+AN37+AP37+AR37+AT37+AV37+AX37+AZ37+BB37+BD37+BF37+BH37+BJ37+BL37+BN37+BP37+BR37+BT37</f>
        <v>0</v>
      </c>
      <c r="BW37" s="337">
        <f t="shared" ref="BW37:BW40" si="16">M37+O37+Q37+S37+U37+W37+Y37+AA37+AC37+AE37+AG37+AI37+AK37+AM37+AO37+AQ37+AS37+AU37+AW37+AY37+BA37+BC37+BE37+BG37+BI37+BK37+BM37+BO37+BQ37+BS37+BU37</f>
        <v>0</v>
      </c>
    </row>
    <row r="38" spans="1:75" s="64" customFormat="1" ht="21.95" customHeight="1" x14ac:dyDescent="0.2">
      <c r="A38" s="385" t="s">
        <v>3214</v>
      </c>
      <c r="B38" s="386" t="s">
        <v>3215</v>
      </c>
      <c r="C38" s="392" t="s">
        <v>3186</v>
      </c>
      <c r="D38" s="387" t="s">
        <v>3216</v>
      </c>
      <c r="E38" s="388" t="s">
        <v>3217</v>
      </c>
      <c r="F38" s="389" t="s">
        <v>3182</v>
      </c>
      <c r="G38" s="389" t="s">
        <v>3183</v>
      </c>
      <c r="H38" s="390" t="s">
        <v>343</v>
      </c>
      <c r="I38" s="391" t="s">
        <v>343</v>
      </c>
      <c r="J38" s="353" t="s">
        <v>3184</v>
      </c>
      <c r="K38" s="355" t="s">
        <v>3188</v>
      </c>
      <c r="L38" s="400"/>
      <c r="M38" s="401"/>
      <c r="N38" s="400"/>
      <c r="O38" s="401"/>
      <c r="P38" s="400"/>
      <c r="Q38" s="401"/>
      <c r="R38" s="400"/>
      <c r="S38" s="401"/>
      <c r="T38" s="400"/>
      <c r="U38" s="401"/>
      <c r="V38" s="400"/>
      <c r="W38" s="401"/>
      <c r="X38" s="400"/>
      <c r="Y38" s="401"/>
      <c r="Z38" s="400"/>
      <c r="AA38" s="401"/>
      <c r="AB38" s="400"/>
      <c r="AC38" s="401"/>
      <c r="AD38" s="400"/>
      <c r="AE38" s="401"/>
      <c r="AF38" s="400"/>
      <c r="AG38" s="401"/>
      <c r="AH38" s="400"/>
      <c r="AI38" s="401"/>
      <c r="AJ38" s="400"/>
      <c r="AK38" s="401"/>
      <c r="AL38" s="400"/>
      <c r="AM38" s="401"/>
      <c r="AN38" s="400"/>
      <c r="AO38" s="401"/>
      <c r="AP38" s="400"/>
      <c r="AQ38" s="401"/>
      <c r="AR38" s="400"/>
      <c r="AS38" s="401"/>
      <c r="AT38" s="400"/>
      <c r="AU38" s="401"/>
      <c r="AV38" s="400"/>
      <c r="AW38" s="401"/>
      <c r="AX38" s="400"/>
      <c r="AY38" s="401"/>
      <c r="AZ38" s="400"/>
      <c r="BA38" s="401"/>
      <c r="BB38" s="400"/>
      <c r="BC38" s="401"/>
      <c r="BD38" s="400"/>
      <c r="BE38" s="401"/>
      <c r="BF38" s="400"/>
      <c r="BG38" s="401"/>
      <c r="BH38" s="400"/>
      <c r="BI38" s="401"/>
      <c r="BJ38" s="400"/>
      <c r="BK38" s="401"/>
      <c r="BL38" s="400"/>
      <c r="BM38" s="401"/>
      <c r="BN38" s="400"/>
      <c r="BO38" s="401"/>
      <c r="BP38" s="400"/>
      <c r="BQ38" s="401"/>
      <c r="BR38" s="400"/>
      <c r="BS38" s="401"/>
      <c r="BT38" s="400"/>
      <c r="BU38" s="401"/>
      <c r="BV38" s="337">
        <f t="shared" si="15"/>
        <v>0</v>
      </c>
      <c r="BW38" s="337">
        <f t="shared" si="16"/>
        <v>0</v>
      </c>
    </row>
    <row r="39" spans="1:75" s="64" customFormat="1" ht="21.95" customHeight="1" x14ac:dyDescent="0.2">
      <c r="A39" s="385" t="s">
        <v>3214</v>
      </c>
      <c r="B39" s="386" t="s">
        <v>3215</v>
      </c>
      <c r="C39" s="392" t="s">
        <v>3186</v>
      </c>
      <c r="D39" s="387" t="s">
        <v>3216</v>
      </c>
      <c r="E39" s="388" t="s">
        <v>3217</v>
      </c>
      <c r="F39" s="389" t="s">
        <v>3182</v>
      </c>
      <c r="G39" s="389" t="s">
        <v>3183</v>
      </c>
      <c r="H39" s="390" t="s">
        <v>343</v>
      </c>
      <c r="I39" s="391" t="s">
        <v>343</v>
      </c>
      <c r="J39" s="353" t="s">
        <v>3184</v>
      </c>
      <c r="K39" s="356" t="s">
        <v>3189</v>
      </c>
      <c r="L39" s="400"/>
      <c r="M39" s="401"/>
      <c r="N39" s="400"/>
      <c r="O39" s="401"/>
      <c r="P39" s="400"/>
      <c r="Q39" s="401"/>
      <c r="R39" s="400"/>
      <c r="S39" s="401"/>
      <c r="T39" s="400"/>
      <c r="U39" s="401"/>
      <c r="V39" s="400"/>
      <c r="W39" s="401"/>
      <c r="X39" s="400"/>
      <c r="Y39" s="401"/>
      <c r="Z39" s="400"/>
      <c r="AA39" s="401"/>
      <c r="AB39" s="400"/>
      <c r="AC39" s="401"/>
      <c r="AD39" s="400"/>
      <c r="AE39" s="401"/>
      <c r="AF39" s="400"/>
      <c r="AG39" s="401"/>
      <c r="AH39" s="400"/>
      <c r="AI39" s="401"/>
      <c r="AJ39" s="400"/>
      <c r="AK39" s="401"/>
      <c r="AL39" s="400"/>
      <c r="AM39" s="401"/>
      <c r="AN39" s="400"/>
      <c r="AO39" s="401"/>
      <c r="AP39" s="400"/>
      <c r="AQ39" s="401"/>
      <c r="AR39" s="400"/>
      <c r="AS39" s="401"/>
      <c r="AT39" s="400"/>
      <c r="AU39" s="401"/>
      <c r="AV39" s="400"/>
      <c r="AW39" s="401"/>
      <c r="AX39" s="400"/>
      <c r="AY39" s="401"/>
      <c r="AZ39" s="400"/>
      <c r="BA39" s="401"/>
      <c r="BB39" s="400"/>
      <c r="BC39" s="401"/>
      <c r="BD39" s="400"/>
      <c r="BE39" s="401"/>
      <c r="BF39" s="400"/>
      <c r="BG39" s="401"/>
      <c r="BH39" s="400"/>
      <c r="BI39" s="401"/>
      <c r="BJ39" s="400"/>
      <c r="BK39" s="401"/>
      <c r="BL39" s="400"/>
      <c r="BM39" s="401"/>
      <c r="BN39" s="400"/>
      <c r="BO39" s="401"/>
      <c r="BP39" s="400"/>
      <c r="BQ39" s="401"/>
      <c r="BR39" s="400"/>
      <c r="BS39" s="401"/>
      <c r="BT39" s="400"/>
      <c r="BU39" s="401"/>
      <c r="BV39" s="337">
        <f t="shared" si="15"/>
        <v>0</v>
      </c>
      <c r="BW39" s="337">
        <f t="shared" si="16"/>
        <v>0</v>
      </c>
    </row>
    <row r="40" spans="1:75" s="64" customFormat="1" ht="21.95" customHeight="1" thickBot="1" x14ac:dyDescent="0.25">
      <c r="A40" s="898" t="s">
        <v>3214</v>
      </c>
      <c r="B40" s="393" t="s">
        <v>3215</v>
      </c>
      <c r="C40" s="394" t="s">
        <v>3186</v>
      </c>
      <c r="D40" s="395" t="s">
        <v>3216</v>
      </c>
      <c r="E40" s="411" t="s">
        <v>3217</v>
      </c>
      <c r="F40" s="396" t="s">
        <v>3182</v>
      </c>
      <c r="G40" s="396" t="s">
        <v>3183</v>
      </c>
      <c r="H40" s="397" t="s">
        <v>343</v>
      </c>
      <c r="I40" s="899" t="s">
        <v>343</v>
      </c>
      <c r="J40" s="353" t="s">
        <v>3184</v>
      </c>
      <c r="K40" s="357" t="s">
        <v>60</v>
      </c>
      <c r="L40" s="402"/>
      <c r="M40" s="403"/>
      <c r="N40" s="402"/>
      <c r="O40" s="403"/>
      <c r="P40" s="402"/>
      <c r="Q40" s="403"/>
      <c r="R40" s="402"/>
      <c r="S40" s="403"/>
      <c r="T40" s="402"/>
      <c r="U40" s="403"/>
      <c r="V40" s="402"/>
      <c r="W40" s="403"/>
      <c r="X40" s="402"/>
      <c r="Y40" s="403"/>
      <c r="Z40" s="402"/>
      <c r="AA40" s="403"/>
      <c r="AB40" s="402"/>
      <c r="AC40" s="403"/>
      <c r="AD40" s="402"/>
      <c r="AE40" s="403"/>
      <c r="AF40" s="402"/>
      <c r="AG40" s="403"/>
      <c r="AH40" s="402"/>
      <c r="AI40" s="403"/>
      <c r="AJ40" s="402"/>
      <c r="AK40" s="403"/>
      <c r="AL40" s="402"/>
      <c r="AM40" s="403"/>
      <c r="AN40" s="402"/>
      <c r="AO40" s="403"/>
      <c r="AP40" s="402"/>
      <c r="AQ40" s="403"/>
      <c r="AR40" s="402"/>
      <c r="AS40" s="403"/>
      <c r="AT40" s="402"/>
      <c r="AU40" s="403"/>
      <c r="AV40" s="402"/>
      <c r="AW40" s="403"/>
      <c r="AX40" s="402"/>
      <c r="AY40" s="403"/>
      <c r="AZ40" s="402"/>
      <c r="BA40" s="403"/>
      <c r="BB40" s="402"/>
      <c r="BC40" s="403"/>
      <c r="BD40" s="402"/>
      <c r="BE40" s="403"/>
      <c r="BF40" s="402"/>
      <c r="BG40" s="403"/>
      <c r="BH40" s="402"/>
      <c r="BI40" s="403"/>
      <c r="BJ40" s="402"/>
      <c r="BK40" s="403"/>
      <c r="BL40" s="402"/>
      <c r="BM40" s="403"/>
      <c r="BN40" s="402"/>
      <c r="BO40" s="403"/>
      <c r="BP40" s="402"/>
      <c r="BQ40" s="403"/>
      <c r="BR40" s="402"/>
      <c r="BS40" s="403"/>
      <c r="BT40" s="402"/>
      <c r="BU40" s="403"/>
      <c r="BV40" s="337">
        <f t="shared" si="15"/>
        <v>0</v>
      </c>
      <c r="BW40" s="337">
        <f t="shared" si="16"/>
        <v>0</v>
      </c>
    </row>
    <row r="41" spans="1:75" s="64" customFormat="1" ht="21.95" customHeight="1" x14ac:dyDescent="0.25">
      <c r="A41" s="425" t="s">
        <v>3218</v>
      </c>
      <c r="B41" s="526" t="s">
        <v>3219</v>
      </c>
      <c r="C41" s="527">
        <v>1</v>
      </c>
      <c r="D41" s="528" t="s">
        <v>3220</v>
      </c>
      <c r="E41" s="426" t="s">
        <v>3221</v>
      </c>
      <c r="F41" s="529" t="s">
        <v>3182</v>
      </c>
      <c r="G41" s="529" t="s">
        <v>3183</v>
      </c>
      <c r="H41" s="530" t="s">
        <v>344</v>
      </c>
      <c r="I41" s="384" t="s">
        <v>344</v>
      </c>
      <c r="J41" s="353" t="s">
        <v>3184</v>
      </c>
      <c r="K41" s="354" t="s">
        <v>3185</v>
      </c>
      <c r="L41" s="402"/>
      <c r="M41" s="403"/>
      <c r="N41" s="402"/>
      <c r="O41" s="403"/>
      <c r="P41" s="402"/>
      <c r="Q41" s="403"/>
      <c r="R41" s="402"/>
      <c r="S41" s="403"/>
      <c r="T41" s="402"/>
      <c r="U41" s="403"/>
      <c r="V41" s="402"/>
      <c r="W41" s="403"/>
      <c r="X41" s="402"/>
      <c r="Y41" s="403"/>
      <c r="Z41" s="402"/>
      <c r="AA41" s="403"/>
      <c r="AB41" s="402"/>
      <c r="AC41" s="403"/>
      <c r="AD41" s="402"/>
      <c r="AE41" s="403"/>
      <c r="AF41" s="402"/>
      <c r="AG41" s="403"/>
      <c r="AH41" s="402"/>
      <c r="AI41" s="403"/>
      <c r="AJ41" s="402"/>
      <c r="AK41" s="403"/>
      <c r="AL41" s="402"/>
      <c r="AM41" s="403"/>
      <c r="AN41" s="402"/>
      <c r="AO41" s="403"/>
      <c r="AP41" s="402"/>
      <c r="AQ41" s="403"/>
      <c r="AR41" s="402"/>
      <c r="AS41" s="403"/>
      <c r="AT41" s="402"/>
      <c r="AU41" s="403"/>
      <c r="AV41" s="402"/>
      <c r="AW41" s="403"/>
      <c r="AX41" s="402"/>
      <c r="AY41" s="403"/>
      <c r="AZ41" s="402"/>
      <c r="BA41" s="403"/>
      <c r="BB41" s="402"/>
      <c r="BC41" s="403"/>
      <c r="BD41" s="402"/>
      <c r="BE41" s="403"/>
      <c r="BF41" s="402"/>
      <c r="BG41" s="403"/>
      <c r="BH41" s="402"/>
      <c r="BI41" s="403"/>
      <c r="BJ41" s="402"/>
      <c r="BK41" s="403"/>
      <c r="BL41" s="402"/>
      <c r="BM41" s="403"/>
      <c r="BN41" s="402"/>
      <c r="BO41" s="403"/>
      <c r="BP41" s="402"/>
      <c r="BQ41" s="403"/>
      <c r="BR41" s="402"/>
      <c r="BS41" s="403"/>
      <c r="BT41" s="402"/>
      <c r="BU41" s="403"/>
      <c r="BV41" s="337">
        <f>L41+N41+P41+R41+T41+V41+X41+Z41+AB41+AD41+AF41+AH41+AJ41+AL41+AN41+AP41+AR41+AT41+AV41+AX41+AZ41+BB41+BD41+BF41+BH41+BJ41+BL41+BN41+BP41+BR41+BT41</f>
        <v>0</v>
      </c>
      <c r="BW41" s="337">
        <f>M41+O41+Q41+S41+U41+W41+Y41+AA41+AC41+AE41+AG41+AI41+AK41+AM41+AO41+AQ41+AS41+AU41+AW41+AY41+BA41+BC41+BE41+BG41+BI41+BK41+BM41+BO41+BQ41+BS41+BU41</f>
        <v>0</v>
      </c>
    </row>
    <row r="42" spans="1:75" s="64" customFormat="1" ht="21.95" customHeight="1" x14ac:dyDescent="0.2">
      <c r="A42" s="385" t="s">
        <v>3218</v>
      </c>
      <c r="B42" s="386" t="s">
        <v>3219</v>
      </c>
      <c r="C42" s="352" t="s">
        <v>3186</v>
      </c>
      <c r="D42" s="387" t="s">
        <v>3220</v>
      </c>
      <c r="E42" s="388" t="s">
        <v>3221</v>
      </c>
      <c r="F42" s="389" t="s">
        <v>3182</v>
      </c>
      <c r="G42" s="389" t="s">
        <v>3183</v>
      </c>
      <c r="H42" s="390" t="s">
        <v>344</v>
      </c>
      <c r="I42" s="391" t="s">
        <v>344</v>
      </c>
      <c r="J42" s="353" t="s">
        <v>3184</v>
      </c>
      <c r="K42" s="353" t="s">
        <v>3187</v>
      </c>
      <c r="L42" s="400"/>
      <c r="M42" s="401"/>
      <c r="N42" s="400"/>
      <c r="O42" s="401"/>
      <c r="P42" s="400"/>
      <c r="Q42" s="401"/>
      <c r="R42" s="400"/>
      <c r="S42" s="401"/>
      <c r="T42" s="400"/>
      <c r="U42" s="401"/>
      <c r="V42" s="400"/>
      <c r="W42" s="401"/>
      <c r="X42" s="400"/>
      <c r="Y42" s="401"/>
      <c r="Z42" s="400"/>
      <c r="AA42" s="401"/>
      <c r="AB42" s="400"/>
      <c r="AC42" s="401"/>
      <c r="AD42" s="400"/>
      <c r="AE42" s="401"/>
      <c r="AF42" s="400"/>
      <c r="AG42" s="401"/>
      <c r="AH42" s="400"/>
      <c r="AI42" s="401"/>
      <c r="AJ42" s="400"/>
      <c r="AK42" s="401"/>
      <c r="AL42" s="400"/>
      <c r="AM42" s="401"/>
      <c r="AN42" s="400"/>
      <c r="AO42" s="401"/>
      <c r="AP42" s="400"/>
      <c r="AQ42" s="401"/>
      <c r="AR42" s="400"/>
      <c r="AS42" s="401"/>
      <c r="AT42" s="400"/>
      <c r="AU42" s="401"/>
      <c r="AV42" s="400"/>
      <c r="AW42" s="401"/>
      <c r="AX42" s="400"/>
      <c r="AY42" s="401"/>
      <c r="AZ42" s="400"/>
      <c r="BA42" s="401"/>
      <c r="BB42" s="400"/>
      <c r="BC42" s="401"/>
      <c r="BD42" s="400"/>
      <c r="BE42" s="401"/>
      <c r="BF42" s="400"/>
      <c r="BG42" s="401"/>
      <c r="BH42" s="400"/>
      <c r="BI42" s="401"/>
      <c r="BJ42" s="400"/>
      <c r="BK42" s="401"/>
      <c r="BL42" s="400"/>
      <c r="BM42" s="401"/>
      <c r="BN42" s="400"/>
      <c r="BO42" s="401"/>
      <c r="BP42" s="400"/>
      <c r="BQ42" s="401"/>
      <c r="BR42" s="400"/>
      <c r="BS42" s="401"/>
      <c r="BT42" s="400"/>
      <c r="BU42" s="401"/>
      <c r="BV42" s="337">
        <f t="shared" ref="BV42:BV45" si="17">L42+N42+P42+R42+T42+V42+X42+Z42+AB42+AD42+AF42+AH42+AJ42+AL42+AN42+AP42+AR42+AT42+AV42+AX42+AZ42+BB42+BD42+BF42+BH42+BJ42+BL42+BN42+BP42+BR42+BT42</f>
        <v>0</v>
      </c>
      <c r="BW42" s="337">
        <f t="shared" ref="BW42:BW45" si="18">M42+O42+Q42+S42+U42+W42+Y42+AA42+AC42+AE42+AG42+AI42+AK42+AM42+AO42+AQ42+AS42+AU42+AW42+AY42+BA42+BC42+BE42+BG42+BI42+BK42+BM42+BO42+BQ42+BS42+BU42</f>
        <v>0</v>
      </c>
    </row>
    <row r="43" spans="1:75" s="64" customFormat="1" ht="21.95" customHeight="1" x14ac:dyDescent="0.2">
      <c r="A43" s="385" t="s">
        <v>3218</v>
      </c>
      <c r="B43" s="386" t="s">
        <v>3219</v>
      </c>
      <c r="C43" s="392" t="s">
        <v>3186</v>
      </c>
      <c r="D43" s="387" t="s">
        <v>3220</v>
      </c>
      <c r="E43" s="388" t="s">
        <v>3221</v>
      </c>
      <c r="F43" s="389" t="s">
        <v>3182</v>
      </c>
      <c r="G43" s="389" t="s">
        <v>3183</v>
      </c>
      <c r="H43" s="390" t="s">
        <v>344</v>
      </c>
      <c r="I43" s="391" t="s">
        <v>344</v>
      </c>
      <c r="J43" s="353" t="s">
        <v>3184</v>
      </c>
      <c r="K43" s="355" t="s">
        <v>3188</v>
      </c>
      <c r="L43" s="400"/>
      <c r="M43" s="401"/>
      <c r="N43" s="400"/>
      <c r="O43" s="401"/>
      <c r="P43" s="400"/>
      <c r="Q43" s="401"/>
      <c r="R43" s="400"/>
      <c r="S43" s="401"/>
      <c r="T43" s="400"/>
      <c r="U43" s="401"/>
      <c r="V43" s="400"/>
      <c r="W43" s="401"/>
      <c r="X43" s="400"/>
      <c r="Y43" s="401"/>
      <c r="Z43" s="400"/>
      <c r="AA43" s="401"/>
      <c r="AB43" s="400"/>
      <c r="AC43" s="401"/>
      <c r="AD43" s="400"/>
      <c r="AE43" s="401"/>
      <c r="AF43" s="400"/>
      <c r="AG43" s="401"/>
      <c r="AH43" s="400"/>
      <c r="AI43" s="401"/>
      <c r="AJ43" s="400"/>
      <c r="AK43" s="401"/>
      <c r="AL43" s="400"/>
      <c r="AM43" s="401"/>
      <c r="AN43" s="400"/>
      <c r="AO43" s="401"/>
      <c r="AP43" s="400"/>
      <c r="AQ43" s="401"/>
      <c r="AR43" s="400"/>
      <c r="AS43" s="401"/>
      <c r="AT43" s="400"/>
      <c r="AU43" s="401"/>
      <c r="AV43" s="400"/>
      <c r="AW43" s="401"/>
      <c r="AX43" s="400"/>
      <c r="AY43" s="401"/>
      <c r="AZ43" s="400"/>
      <c r="BA43" s="401"/>
      <c r="BB43" s="400"/>
      <c r="BC43" s="401"/>
      <c r="BD43" s="400"/>
      <c r="BE43" s="401"/>
      <c r="BF43" s="400"/>
      <c r="BG43" s="401"/>
      <c r="BH43" s="400"/>
      <c r="BI43" s="401"/>
      <c r="BJ43" s="400"/>
      <c r="BK43" s="401"/>
      <c r="BL43" s="400"/>
      <c r="BM43" s="401"/>
      <c r="BN43" s="400"/>
      <c r="BO43" s="401"/>
      <c r="BP43" s="400"/>
      <c r="BQ43" s="401"/>
      <c r="BR43" s="400"/>
      <c r="BS43" s="401"/>
      <c r="BT43" s="400"/>
      <c r="BU43" s="401"/>
      <c r="BV43" s="337">
        <f t="shared" si="17"/>
        <v>0</v>
      </c>
      <c r="BW43" s="337">
        <f t="shared" si="18"/>
        <v>0</v>
      </c>
    </row>
    <row r="44" spans="1:75" s="64" customFormat="1" ht="21.95" customHeight="1" x14ac:dyDescent="0.2">
      <c r="A44" s="385" t="s">
        <v>3218</v>
      </c>
      <c r="B44" s="386" t="s">
        <v>3219</v>
      </c>
      <c r="C44" s="392" t="s">
        <v>3186</v>
      </c>
      <c r="D44" s="387" t="s">
        <v>3220</v>
      </c>
      <c r="E44" s="388" t="s">
        <v>3221</v>
      </c>
      <c r="F44" s="389" t="s">
        <v>3182</v>
      </c>
      <c r="G44" s="389" t="s">
        <v>3183</v>
      </c>
      <c r="H44" s="390" t="s">
        <v>344</v>
      </c>
      <c r="I44" s="391" t="s">
        <v>344</v>
      </c>
      <c r="J44" s="353" t="s">
        <v>3184</v>
      </c>
      <c r="K44" s="356" t="s">
        <v>3189</v>
      </c>
      <c r="L44" s="400"/>
      <c r="M44" s="401"/>
      <c r="N44" s="400"/>
      <c r="O44" s="401"/>
      <c r="P44" s="400"/>
      <c r="Q44" s="401"/>
      <c r="R44" s="400"/>
      <c r="S44" s="401"/>
      <c r="T44" s="400"/>
      <c r="U44" s="401"/>
      <c r="V44" s="400"/>
      <c r="W44" s="401"/>
      <c r="X44" s="400"/>
      <c r="Y44" s="401"/>
      <c r="Z44" s="400"/>
      <c r="AA44" s="401"/>
      <c r="AB44" s="400"/>
      <c r="AC44" s="401"/>
      <c r="AD44" s="400"/>
      <c r="AE44" s="401"/>
      <c r="AF44" s="400"/>
      <c r="AG44" s="401"/>
      <c r="AH44" s="400"/>
      <c r="AI44" s="401"/>
      <c r="AJ44" s="400"/>
      <c r="AK44" s="401"/>
      <c r="AL44" s="400"/>
      <c r="AM44" s="401"/>
      <c r="AN44" s="400"/>
      <c r="AO44" s="401"/>
      <c r="AP44" s="400"/>
      <c r="AQ44" s="401"/>
      <c r="AR44" s="400"/>
      <c r="AS44" s="401"/>
      <c r="AT44" s="400"/>
      <c r="AU44" s="401"/>
      <c r="AV44" s="400"/>
      <c r="AW44" s="401"/>
      <c r="AX44" s="400"/>
      <c r="AY44" s="401"/>
      <c r="AZ44" s="400"/>
      <c r="BA44" s="401"/>
      <c r="BB44" s="400"/>
      <c r="BC44" s="401"/>
      <c r="BD44" s="400"/>
      <c r="BE44" s="401"/>
      <c r="BF44" s="400"/>
      <c r="BG44" s="401"/>
      <c r="BH44" s="400"/>
      <c r="BI44" s="401"/>
      <c r="BJ44" s="400"/>
      <c r="BK44" s="401"/>
      <c r="BL44" s="400"/>
      <c r="BM44" s="401"/>
      <c r="BN44" s="400"/>
      <c r="BO44" s="401"/>
      <c r="BP44" s="400"/>
      <c r="BQ44" s="401"/>
      <c r="BR44" s="400"/>
      <c r="BS44" s="401"/>
      <c r="BT44" s="400"/>
      <c r="BU44" s="401"/>
      <c r="BV44" s="337">
        <f t="shared" si="17"/>
        <v>0</v>
      </c>
      <c r="BW44" s="337">
        <f t="shared" si="18"/>
        <v>0</v>
      </c>
    </row>
    <row r="45" spans="1:75" s="64" customFormat="1" ht="21.95" customHeight="1" thickBot="1" x14ac:dyDescent="0.25">
      <c r="A45" s="898" t="s">
        <v>3218</v>
      </c>
      <c r="B45" s="393" t="s">
        <v>3219</v>
      </c>
      <c r="C45" s="394" t="s">
        <v>3186</v>
      </c>
      <c r="D45" s="395" t="s">
        <v>3220</v>
      </c>
      <c r="E45" s="411" t="s">
        <v>3221</v>
      </c>
      <c r="F45" s="396" t="s">
        <v>3182</v>
      </c>
      <c r="G45" s="396" t="s">
        <v>3183</v>
      </c>
      <c r="H45" s="397" t="s">
        <v>344</v>
      </c>
      <c r="I45" s="899" t="s">
        <v>344</v>
      </c>
      <c r="J45" s="353" t="s">
        <v>3184</v>
      </c>
      <c r="K45" s="357" t="s">
        <v>60</v>
      </c>
      <c r="L45" s="402"/>
      <c r="M45" s="403"/>
      <c r="N45" s="402"/>
      <c r="O45" s="403"/>
      <c r="P45" s="402"/>
      <c r="Q45" s="403"/>
      <c r="R45" s="402"/>
      <c r="S45" s="403"/>
      <c r="T45" s="402"/>
      <c r="U45" s="403"/>
      <c r="V45" s="402"/>
      <c r="W45" s="403"/>
      <c r="X45" s="402"/>
      <c r="Y45" s="403"/>
      <c r="Z45" s="402"/>
      <c r="AA45" s="403"/>
      <c r="AB45" s="402"/>
      <c r="AC45" s="403"/>
      <c r="AD45" s="402"/>
      <c r="AE45" s="403"/>
      <c r="AF45" s="402"/>
      <c r="AG45" s="403"/>
      <c r="AH45" s="402"/>
      <c r="AI45" s="403"/>
      <c r="AJ45" s="402"/>
      <c r="AK45" s="403"/>
      <c r="AL45" s="402"/>
      <c r="AM45" s="403"/>
      <c r="AN45" s="402"/>
      <c r="AO45" s="403"/>
      <c r="AP45" s="402"/>
      <c r="AQ45" s="403"/>
      <c r="AR45" s="402"/>
      <c r="AS45" s="403"/>
      <c r="AT45" s="402"/>
      <c r="AU45" s="403"/>
      <c r="AV45" s="402"/>
      <c r="AW45" s="403"/>
      <c r="AX45" s="402"/>
      <c r="AY45" s="403"/>
      <c r="AZ45" s="402"/>
      <c r="BA45" s="403"/>
      <c r="BB45" s="402"/>
      <c r="BC45" s="403"/>
      <c r="BD45" s="402"/>
      <c r="BE45" s="403"/>
      <c r="BF45" s="402"/>
      <c r="BG45" s="403"/>
      <c r="BH45" s="402"/>
      <c r="BI45" s="403"/>
      <c r="BJ45" s="402"/>
      <c r="BK45" s="403"/>
      <c r="BL45" s="402"/>
      <c r="BM45" s="403"/>
      <c r="BN45" s="402"/>
      <c r="BO45" s="403"/>
      <c r="BP45" s="402"/>
      <c r="BQ45" s="403"/>
      <c r="BR45" s="402"/>
      <c r="BS45" s="403"/>
      <c r="BT45" s="402"/>
      <c r="BU45" s="403"/>
      <c r="BV45" s="337">
        <f t="shared" si="17"/>
        <v>0</v>
      </c>
      <c r="BW45" s="337">
        <f t="shared" si="18"/>
        <v>0</v>
      </c>
    </row>
    <row r="46" spans="1:75" s="64" customFormat="1" ht="21.95" customHeight="1" x14ac:dyDescent="0.25">
      <c r="A46" s="425" t="s">
        <v>3222</v>
      </c>
      <c r="B46" s="526" t="s">
        <v>3223</v>
      </c>
      <c r="C46" s="527">
        <v>1</v>
      </c>
      <c r="D46" s="528" t="s">
        <v>3224</v>
      </c>
      <c r="E46" s="426" t="s">
        <v>3225</v>
      </c>
      <c r="F46" s="529" t="s">
        <v>3182</v>
      </c>
      <c r="G46" s="529" t="s">
        <v>3183</v>
      </c>
      <c r="H46" s="530" t="s">
        <v>345</v>
      </c>
      <c r="I46" s="384" t="s">
        <v>345</v>
      </c>
      <c r="J46" s="353" t="s">
        <v>3184</v>
      </c>
      <c r="K46" s="354" t="s">
        <v>3185</v>
      </c>
      <c r="L46" s="402"/>
      <c r="M46" s="403"/>
      <c r="N46" s="402"/>
      <c r="O46" s="403"/>
      <c r="P46" s="402"/>
      <c r="Q46" s="403"/>
      <c r="R46" s="402"/>
      <c r="S46" s="403"/>
      <c r="T46" s="402"/>
      <c r="U46" s="403"/>
      <c r="V46" s="402"/>
      <c r="W46" s="403"/>
      <c r="X46" s="402"/>
      <c r="Y46" s="403"/>
      <c r="Z46" s="402"/>
      <c r="AA46" s="403"/>
      <c r="AB46" s="402"/>
      <c r="AC46" s="403"/>
      <c r="AD46" s="402"/>
      <c r="AE46" s="403"/>
      <c r="AF46" s="402"/>
      <c r="AG46" s="403"/>
      <c r="AH46" s="402"/>
      <c r="AI46" s="403"/>
      <c r="AJ46" s="402"/>
      <c r="AK46" s="403"/>
      <c r="AL46" s="402"/>
      <c r="AM46" s="403"/>
      <c r="AN46" s="402"/>
      <c r="AO46" s="403"/>
      <c r="AP46" s="402"/>
      <c r="AQ46" s="403"/>
      <c r="AR46" s="402"/>
      <c r="AS46" s="403"/>
      <c r="AT46" s="402"/>
      <c r="AU46" s="403"/>
      <c r="AV46" s="402"/>
      <c r="AW46" s="403"/>
      <c r="AX46" s="402"/>
      <c r="AY46" s="403"/>
      <c r="AZ46" s="402"/>
      <c r="BA46" s="403"/>
      <c r="BB46" s="402"/>
      <c r="BC46" s="403"/>
      <c r="BD46" s="402"/>
      <c r="BE46" s="403"/>
      <c r="BF46" s="402"/>
      <c r="BG46" s="403"/>
      <c r="BH46" s="402"/>
      <c r="BI46" s="403"/>
      <c r="BJ46" s="402"/>
      <c r="BK46" s="403"/>
      <c r="BL46" s="402"/>
      <c r="BM46" s="403"/>
      <c r="BN46" s="402"/>
      <c r="BO46" s="403"/>
      <c r="BP46" s="402"/>
      <c r="BQ46" s="403"/>
      <c r="BR46" s="402"/>
      <c r="BS46" s="403"/>
      <c r="BT46" s="402"/>
      <c r="BU46" s="403"/>
      <c r="BV46" s="337">
        <f>L46+N46+P46+R46+T46+V46+X46+Z46+AB46+AD46+AF46+AH46+AJ46+AL46+AN46+AP46+AR46+AT46+AV46+AX46+AZ46+BB46+BD46+BF46+BH46+BJ46+BL46+BN46+BP46+BR46+BT46</f>
        <v>0</v>
      </c>
      <c r="BW46" s="337">
        <f>M46+O46+Q46+S46+U46+W46+Y46+AA46+AC46+AE46+AG46+AI46+AK46+AM46+AO46+AQ46+AS46+AU46+AW46+AY46+BA46+BC46+BE46+BG46+BI46+BK46+BM46+BO46+BQ46+BS46+BU46</f>
        <v>0</v>
      </c>
    </row>
    <row r="47" spans="1:75" s="64" customFormat="1" ht="21.95" customHeight="1" x14ac:dyDescent="0.2">
      <c r="A47" s="385" t="s">
        <v>3222</v>
      </c>
      <c r="B47" s="386" t="s">
        <v>3223</v>
      </c>
      <c r="C47" s="352" t="s">
        <v>3186</v>
      </c>
      <c r="D47" s="387" t="s">
        <v>3224</v>
      </c>
      <c r="E47" s="388" t="s">
        <v>3225</v>
      </c>
      <c r="F47" s="389" t="s">
        <v>3182</v>
      </c>
      <c r="G47" s="389" t="s">
        <v>3183</v>
      </c>
      <c r="H47" s="390" t="s">
        <v>345</v>
      </c>
      <c r="I47" s="391" t="s">
        <v>345</v>
      </c>
      <c r="J47" s="353" t="s">
        <v>3184</v>
      </c>
      <c r="K47" s="353" t="s">
        <v>3187</v>
      </c>
      <c r="L47" s="400"/>
      <c r="M47" s="401"/>
      <c r="N47" s="400"/>
      <c r="O47" s="401"/>
      <c r="P47" s="400"/>
      <c r="Q47" s="401"/>
      <c r="R47" s="400"/>
      <c r="S47" s="401"/>
      <c r="T47" s="400"/>
      <c r="U47" s="401"/>
      <c r="V47" s="400"/>
      <c r="W47" s="401"/>
      <c r="X47" s="400"/>
      <c r="Y47" s="401"/>
      <c r="Z47" s="400"/>
      <c r="AA47" s="401"/>
      <c r="AB47" s="400"/>
      <c r="AC47" s="401"/>
      <c r="AD47" s="400"/>
      <c r="AE47" s="401"/>
      <c r="AF47" s="400"/>
      <c r="AG47" s="401"/>
      <c r="AH47" s="400"/>
      <c r="AI47" s="401"/>
      <c r="AJ47" s="400"/>
      <c r="AK47" s="401"/>
      <c r="AL47" s="400"/>
      <c r="AM47" s="401"/>
      <c r="AN47" s="400"/>
      <c r="AO47" s="401"/>
      <c r="AP47" s="400"/>
      <c r="AQ47" s="401"/>
      <c r="AR47" s="400">
        <v>1</v>
      </c>
      <c r="AS47" s="401"/>
      <c r="AT47" s="400"/>
      <c r="AU47" s="401"/>
      <c r="AV47" s="400"/>
      <c r="AW47" s="401"/>
      <c r="AX47" s="400">
        <v>2</v>
      </c>
      <c r="AY47" s="401"/>
      <c r="AZ47" s="400"/>
      <c r="BA47" s="401"/>
      <c r="BB47" s="400">
        <v>4</v>
      </c>
      <c r="BC47" s="401"/>
      <c r="BD47" s="400">
        <v>5</v>
      </c>
      <c r="BE47" s="401"/>
      <c r="BF47" s="400">
        <v>2</v>
      </c>
      <c r="BG47" s="401"/>
      <c r="BH47" s="400"/>
      <c r="BI47" s="401"/>
      <c r="BJ47" s="400"/>
      <c r="BK47" s="401"/>
      <c r="BL47" s="400">
        <v>3</v>
      </c>
      <c r="BM47" s="401"/>
      <c r="BN47" s="400">
        <v>2</v>
      </c>
      <c r="BO47" s="401"/>
      <c r="BP47" s="400">
        <v>4</v>
      </c>
      <c r="BQ47" s="401"/>
      <c r="BR47" s="400">
        <v>5</v>
      </c>
      <c r="BS47" s="401"/>
      <c r="BT47" s="400"/>
      <c r="BU47" s="401"/>
      <c r="BV47" s="337">
        <f t="shared" ref="BV47:BV50" si="19">L47+N47+P47+R47+T47+V47+X47+Z47+AB47+AD47+AF47+AH47+AJ47+AL47+AN47+AP47+AR47+AT47+AV47+AX47+AZ47+BB47+BD47+BF47+BH47+BJ47+BL47+BN47+BP47+BR47+BT47</f>
        <v>28</v>
      </c>
      <c r="BW47" s="337">
        <f t="shared" ref="BW47:BW50" si="20">M47+O47+Q47+S47+U47+W47+Y47+AA47+AC47+AE47+AG47+AI47+AK47+AM47+AO47+AQ47+AS47+AU47+AW47+AY47+BA47+BC47+BE47+BG47+BI47+BK47+BM47+BO47+BQ47+BS47+BU47</f>
        <v>0</v>
      </c>
    </row>
    <row r="48" spans="1:75" s="64" customFormat="1" ht="21.95" customHeight="1" x14ac:dyDescent="0.2">
      <c r="A48" s="385" t="s">
        <v>3222</v>
      </c>
      <c r="B48" s="386" t="s">
        <v>3223</v>
      </c>
      <c r="C48" s="392" t="s">
        <v>3186</v>
      </c>
      <c r="D48" s="387" t="s">
        <v>3224</v>
      </c>
      <c r="E48" s="388" t="s">
        <v>3225</v>
      </c>
      <c r="F48" s="389" t="s">
        <v>3182</v>
      </c>
      <c r="G48" s="389" t="s">
        <v>3183</v>
      </c>
      <c r="H48" s="390" t="s">
        <v>345</v>
      </c>
      <c r="I48" s="391" t="s">
        <v>345</v>
      </c>
      <c r="J48" s="353" t="s">
        <v>3184</v>
      </c>
      <c r="K48" s="355" t="s">
        <v>3188</v>
      </c>
      <c r="L48" s="400"/>
      <c r="M48" s="401"/>
      <c r="N48" s="400"/>
      <c r="O48" s="401"/>
      <c r="P48" s="400"/>
      <c r="Q48" s="401"/>
      <c r="R48" s="400"/>
      <c r="S48" s="401"/>
      <c r="T48" s="400"/>
      <c r="U48" s="401"/>
      <c r="V48" s="400"/>
      <c r="W48" s="401"/>
      <c r="X48" s="400"/>
      <c r="Y48" s="401"/>
      <c r="Z48" s="400"/>
      <c r="AA48" s="401"/>
      <c r="AB48" s="400"/>
      <c r="AC48" s="401"/>
      <c r="AD48" s="400"/>
      <c r="AE48" s="401"/>
      <c r="AF48" s="400"/>
      <c r="AG48" s="401"/>
      <c r="AH48" s="400"/>
      <c r="AI48" s="401"/>
      <c r="AJ48" s="400"/>
      <c r="AK48" s="401"/>
      <c r="AL48" s="400"/>
      <c r="AM48" s="401"/>
      <c r="AN48" s="400"/>
      <c r="AO48" s="401"/>
      <c r="AP48" s="400"/>
      <c r="AQ48" s="401"/>
      <c r="AR48" s="400"/>
      <c r="AS48" s="401"/>
      <c r="AT48" s="400"/>
      <c r="AU48" s="401"/>
      <c r="AV48" s="400"/>
      <c r="AW48" s="401"/>
      <c r="AX48" s="400"/>
      <c r="AY48" s="401"/>
      <c r="AZ48" s="400"/>
      <c r="BA48" s="401"/>
      <c r="BB48" s="400"/>
      <c r="BC48" s="401"/>
      <c r="BD48" s="400"/>
      <c r="BE48" s="401"/>
      <c r="BF48" s="400"/>
      <c r="BG48" s="401"/>
      <c r="BH48" s="400"/>
      <c r="BI48" s="401"/>
      <c r="BJ48" s="400"/>
      <c r="BK48" s="401"/>
      <c r="BL48" s="400"/>
      <c r="BM48" s="401"/>
      <c r="BN48" s="400"/>
      <c r="BO48" s="401"/>
      <c r="BP48" s="400"/>
      <c r="BQ48" s="401"/>
      <c r="BR48" s="400"/>
      <c r="BS48" s="401"/>
      <c r="BT48" s="400"/>
      <c r="BU48" s="401"/>
      <c r="BV48" s="337">
        <f t="shared" si="19"/>
        <v>0</v>
      </c>
      <c r="BW48" s="337">
        <f t="shared" si="20"/>
        <v>0</v>
      </c>
    </row>
    <row r="49" spans="1:75" s="64" customFormat="1" ht="21.95" customHeight="1" x14ac:dyDescent="0.2">
      <c r="A49" s="385" t="s">
        <v>3222</v>
      </c>
      <c r="B49" s="386" t="s">
        <v>3223</v>
      </c>
      <c r="C49" s="392" t="s">
        <v>3186</v>
      </c>
      <c r="D49" s="387" t="s">
        <v>3224</v>
      </c>
      <c r="E49" s="388" t="s">
        <v>3225</v>
      </c>
      <c r="F49" s="389" t="s">
        <v>3182</v>
      </c>
      <c r="G49" s="389" t="s">
        <v>3183</v>
      </c>
      <c r="H49" s="390" t="s">
        <v>345</v>
      </c>
      <c r="I49" s="391" t="s">
        <v>345</v>
      </c>
      <c r="J49" s="353" t="s">
        <v>3184</v>
      </c>
      <c r="K49" s="356" t="s">
        <v>3189</v>
      </c>
      <c r="L49" s="400"/>
      <c r="M49" s="401"/>
      <c r="N49" s="400"/>
      <c r="O49" s="401"/>
      <c r="P49" s="400"/>
      <c r="Q49" s="401"/>
      <c r="R49" s="400"/>
      <c r="S49" s="401"/>
      <c r="T49" s="400"/>
      <c r="U49" s="401"/>
      <c r="V49" s="400"/>
      <c r="W49" s="401"/>
      <c r="X49" s="400"/>
      <c r="Y49" s="401"/>
      <c r="Z49" s="400"/>
      <c r="AA49" s="401"/>
      <c r="AB49" s="400"/>
      <c r="AC49" s="401"/>
      <c r="AD49" s="400"/>
      <c r="AE49" s="401"/>
      <c r="AF49" s="400"/>
      <c r="AG49" s="401"/>
      <c r="AH49" s="400"/>
      <c r="AI49" s="401"/>
      <c r="AJ49" s="400"/>
      <c r="AK49" s="401"/>
      <c r="AL49" s="400"/>
      <c r="AM49" s="401"/>
      <c r="AN49" s="400"/>
      <c r="AO49" s="401"/>
      <c r="AP49" s="400"/>
      <c r="AQ49" s="401"/>
      <c r="AR49" s="400"/>
      <c r="AS49" s="401"/>
      <c r="AT49" s="400"/>
      <c r="AU49" s="401"/>
      <c r="AV49" s="400"/>
      <c r="AW49" s="401"/>
      <c r="AX49" s="400"/>
      <c r="AY49" s="401"/>
      <c r="AZ49" s="400"/>
      <c r="BA49" s="401"/>
      <c r="BB49" s="400"/>
      <c r="BC49" s="401"/>
      <c r="BD49" s="400"/>
      <c r="BE49" s="401"/>
      <c r="BF49" s="400"/>
      <c r="BG49" s="401"/>
      <c r="BH49" s="400"/>
      <c r="BI49" s="401"/>
      <c r="BJ49" s="400"/>
      <c r="BK49" s="401"/>
      <c r="BL49" s="400"/>
      <c r="BM49" s="401"/>
      <c r="BN49" s="400"/>
      <c r="BO49" s="401"/>
      <c r="BP49" s="400"/>
      <c r="BQ49" s="401"/>
      <c r="BR49" s="400"/>
      <c r="BS49" s="401"/>
      <c r="BT49" s="400"/>
      <c r="BU49" s="401"/>
      <c r="BV49" s="337">
        <f t="shared" si="19"/>
        <v>0</v>
      </c>
      <c r="BW49" s="337">
        <f t="shared" si="20"/>
        <v>0</v>
      </c>
    </row>
    <row r="50" spans="1:75" s="64" customFormat="1" ht="21.95" customHeight="1" thickBot="1" x14ac:dyDescent="0.25">
      <c r="A50" s="898" t="s">
        <v>3222</v>
      </c>
      <c r="B50" s="393" t="s">
        <v>3223</v>
      </c>
      <c r="C50" s="394" t="s">
        <v>3186</v>
      </c>
      <c r="D50" s="395" t="s">
        <v>3224</v>
      </c>
      <c r="E50" s="411" t="s">
        <v>3225</v>
      </c>
      <c r="F50" s="396" t="s">
        <v>3182</v>
      </c>
      <c r="G50" s="396" t="s">
        <v>3183</v>
      </c>
      <c r="H50" s="397" t="s">
        <v>345</v>
      </c>
      <c r="I50" s="899" t="s">
        <v>345</v>
      </c>
      <c r="J50" s="353" t="s">
        <v>3184</v>
      </c>
      <c r="K50" s="357" t="s">
        <v>60</v>
      </c>
      <c r="L50" s="402"/>
      <c r="M50" s="403"/>
      <c r="N50" s="402"/>
      <c r="O50" s="403"/>
      <c r="P50" s="402"/>
      <c r="Q50" s="403"/>
      <c r="R50" s="402"/>
      <c r="S50" s="403"/>
      <c r="T50" s="402"/>
      <c r="U50" s="403"/>
      <c r="V50" s="402"/>
      <c r="W50" s="403"/>
      <c r="X50" s="402"/>
      <c r="Y50" s="403"/>
      <c r="Z50" s="402"/>
      <c r="AA50" s="403"/>
      <c r="AB50" s="402"/>
      <c r="AC50" s="403"/>
      <c r="AD50" s="402"/>
      <c r="AE50" s="403"/>
      <c r="AF50" s="402"/>
      <c r="AG50" s="403"/>
      <c r="AH50" s="402"/>
      <c r="AI50" s="403"/>
      <c r="AJ50" s="402"/>
      <c r="AK50" s="403"/>
      <c r="AL50" s="402"/>
      <c r="AM50" s="403"/>
      <c r="AN50" s="402"/>
      <c r="AO50" s="403"/>
      <c r="AP50" s="402"/>
      <c r="AQ50" s="403"/>
      <c r="AR50" s="402"/>
      <c r="AS50" s="403"/>
      <c r="AT50" s="402"/>
      <c r="AU50" s="403"/>
      <c r="AV50" s="402"/>
      <c r="AW50" s="403"/>
      <c r="AX50" s="402"/>
      <c r="AY50" s="403"/>
      <c r="AZ50" s="402"/>
      <c r="BA50" s="403"/>
      <c r="BB50" s="402"/>
      <c r="BC50" s="403"/>
      <c r="BD50" s="402"/>
      <c r="BE50" s="403"/>
      <c r="BF50" s="402"/>
      <c r="BG50" s="403"/>
      <c r="BH50" s="402"/>
      <c r="BI50" s="403"/>
      <c r="BJ50" s="402"/>
      <c r="BK50" s="403"/>
      <c r="BL50" s="402"/>
      <c r="BM50" s="403"/>
      <c r="BN50" s="402"/>
      <c r="BO50" s="403"/>
      <c r="BP50" s="402"/>
      <c r="BQ50" s="403"/>
      <c r="BR50" s="402"/>
      <c r="BS50" s="403"/>
      <c r="BT50" s="402"/>
      <c r="BU50" s="403"/>
      <c r="BV50" s="337">
        <f t="shared" si="19"/>
        <v>0</v>
      </c>
      <c r="BW50" s="337">
        <f t="shared" si="20"/>
        <v>0</v>
      </c>
    </row>
    <row r="51" spans="1:75" s="64" customFormat="1" ht="21.95" customHeight="1" x14ac:dyDescent="0.25">
      <c r="A51" s="425" t="s">
        <v>3226</v>
      </c>
      <c r="B51" s="526" t="s">
        <v>3227</v>
      </c>
      <c r="C51" s="527">
        <v>1</v>
      </c>
      <c r="D51" s="528" t="s">
        <v>3228</v>
      </c>
      <c r="E51" s="426" t="s">
        <v>3229</v>
      </c>
      <c r="F51" s="529" t="s">
        <v>3182</v>
      </c>
      <c r="G51" s="529" t="s">
        <v>3183</v>
      </c>
      <c r="H51" s="530" t="s">
        <v>346</v>
      </c>
      <c r="I51" s="384" t="s">
        <v>346</v>
      </c>
      <c r="J51" s="353" t="s">
        <v>3184</v>
      </c>
      <c r="K51" s="354" t="s">
        <v>3185</v>
      </c>
      <c r="L51" s="402"/>
      <c r="M51" s="403"/>
      <c r="N51" s="402"/>
      <c r="O51" s="403"/>
      <c r="P51" s="402"/>
      <c r="Q51" s="403"/>
      <c r="R51" s="402"/>
      <c r="S51" s="403"/>
      <c r="T51" s="402"/>
      <c r="U51" s="403"/>
      <c r="V51" s="402"/>
      <c r="W51" s="403"/>
      <c r="X51" s="402"/>
      <c r="Y51" s="403"/>
      <c r="Z51" s="402"/>
      <c r="AA51" s="403"/>
      <c r="AB51" s="402"/>
      <c r="AC51" s="403"/>
      <c r="AD51" s="402"/>
      <c r="AE51" s="403"/>
      <c r="AF51" s="402"/>
      <c r="AG51" s="403"/>
      <c r="AH51" s="402"/>
      <c r="AI51" s="403"/>
      <c r="AJ51" s="402"/>
      <c r="AK51" s="403"/>
      <c r="AL51" s="402"/>
      <c r="AM51" s="403"/>
      <c r="AN51" s="402"/>
      <c r="AO51" s="403"/>
      <c r="AP51" s="402"/>
      <c r="AQ51" s="403"/>
      <c r="AR51" s="402"/>
      <c r="AS51" s="403"/>
      <c r="AT51" s="402"/>
      <c r="AU51" s="403"/>
      <c r="AV51" s="402"/>
      <c r="AW51" s="403"/>
      <c r="AX51" s="402"/>
      <c r="AY51" s="403"/>
      <c r="AZ51" s="402"/>
      <c r="BA51" s="403"/>
      <c r="BB51" s="402"/>
      <c r="BC51" s="403"/>
      <c r="BD51" s="402"/>
      <c r="BE51" s="403"/>
      <c r="BF51" s="402"/>
      <c r="BG51" s="403"/>
      <c r="BH51" s="402"/>
      <c r="BI51" s="403"/>
      <c r="BJ51" s="402"/>
      <c r="BK51" s="403"/>
      <c r="BL51" s="402"/>
      <c r="BM51" s="403"/>
      <c r="BN51" s="402"/>
      <c r="BO51" s="403"/>
      <c r="BP51" s="402"/>
      <c r="BQ51" s="403"/>
      <c r="BR51" s="402"/>
      <c r="BS51" s="403"/>
      <c r="BT51" s="402"/>
      <c r="BU51" s="403"/>
      <c r="BV51" s="337">
        <f>L51+N51+P51+R51+T51+V51+X51+Z51+AB51+AD51+AF51+AH51+AJ51+AL51+AN51+AP51+AR51+AT51+AV51+AX51+AZ51+BB51+BD51+BF51+BH51+BJ51+BL51+BN51+BP51+BR51+BT51</f>
        <v>0</v>
      </c>
      <c r="BW51" s="337">
        <f>M51+O51+Q51+S51+U51+W51+Y51+AA51+AC51+AE51+AG51+AI51+AK51+AM51+AO51+AQ51+AS51+AU51+AW51+AY51+BA51+BC51+BE51+BG51+BI51+BK51+BM51+BO51+BQ51+BS51+BU51</f>
        <v>0</v>
      </c>
    </row>
    <row r="52" spans="1:75" s="64" customFormat="1" ht="21.95" customHeight="1" x14ac:dyDescent="0.2">
      <c r="A52" s="385" t="s">
        <v>3226</v>
      </c>
      <c r="B52" s="386" t="s">
        <v>3227</v>
      </c>
      <c r="C52" s="352" t="s">
        <v>3186</v>
      </c>
      <c r="D52" s="387" t="s">
        <v>3228</v>
      </c>
      <c r="E52" s="388" t="s">
        <v>3229</v>
      </c>
      <c r="F52" s="389" t="s">
        <v>3182</v>
      </c>
      <c r="G52" s="389" t="s">
        <v>3183</v>
      </c>
      <c r="H52" s="390" t="s">
        <v>346</v>
      </c>
      <c r="I52" s="391" t="s">
        <v>346</v>
      </c>
      <c r="J52" s="353" t="s">
        <v>3184</v>
      </c>
      <c r="K52" s="353" t="s">
        <v>3187</v>
      </c>
      <c r="L52" s="400">
        <v>2</v>
      </c>
      <c r="M52" s="401"/>
      <c r="N52" s="400"/>
      <c r="O52" s="401"/>
      <c r="P52" s="400">
        <v>1</v>
      </c>
      <c r="Q52" s="401"/>
      <c r="R52" s="400"/>
      <c r="S52" s="401"/>
      <c r="T52" s="400"/>
      <c r="U52" s="401"/>
      <c r="V52" s="400">
        <v>1</v>
      </c>
      <c r="W52" s="401"/>
      <c r="X52" s="400">
        <v>2</v>
      </c>
      <c r="Y52" s="401"/>
      <c r="Z52" s="400">
        <v>2</v>
      </c>
      <c r="AA52" s="401"/>
      <c r="AB52" s="400"/>
      <c r="AC52" s="401"/>
      <c r="AD52" s="400">
        <v>1</v>
      </c>
      <c r="AE52" s="401"/>
      <c r="AF52" s="400"/>
      <c r="AG52" s="401"/>
      <c r="AH52" s="400"/>
      <c r="AI52" s="401"/>
      <c r="AJ52" s="400">
        <v>2</v>
      </c>
      <c r="AK52" s="401"/>
      <c r="AL52" s="400">
        <v>3</v>
      </c>
      <c r="AM52" s="401"/>
      <c r="AN52" s="400">
        <v>2</v>
      </c>
      <c r="AO52" s="401"/>
      <c r="AP52" s="400"/>
      <c r="AQ52" s="401"/>
      <c r="AR52" s="400">
        <v>1</v>
      </c>
      <c r="AS52" s="401"/>
      <c r="AT52" s="400"/>
      <c r="AU52" s="401"/>
      <c r="AV52" s="400"/>
      <c r="AW52" s="401"/>
      <c r="AX52" s="400">
        <v>2</v>
      </c>
      <c r="AY52" s="401"/>
      <c r="AZ52" s="400">
        <v>3</v>
      </c>
      <c r="BA52" s="401"/>
      <c r="BB52" s="400">
        <v>2</v>
      </c>
      <c r="BC52" s="401"/>
      <c r="BD52" s="400"/>
      <c r="BE52" s="401"/>
      <c r="BF52" s="400">
        <v>1</v>
      </c>
      <c r="BG52" s="401"/>
      <c r="BH52" s="400"/>
      <c r="BI52" s="401"/>
      <c r="BJ52" s="400"/>
      <c r="BK52" s="401"/>
      <c r="BL52" s="400">
        <v>3</v>
      </c>
      <c r="BM52" s="401"/>
      <c r="BN52" s="400">
        <v>4</v>
      </c>
      <c r="BO52" s="401"/>
      <c r="BP52" s="400">
        <v>4</v>
      </c>
      <c r="BQ52" s="401"/>
      <c r="BR52" s="400">
        <v>3</v>
      </c>
      <c r="BS52" s="401"/>
      <c r="BT52" s="400"/>
      <c r="BU52" s="401"/>
      <c r="BV52" s="337">
        <f t="shared" ref="BV52:BV55" si="21">L52+N52+P52+R52+T52+V52+X52+Z52+AB52+AD52+AF52+AH52+AJ52+AL52+AN52+AP52+AR52+AT52+AV52+AX52+AZ52+BB52+BD52+BF52+BH52+BJ52+BL52+BN52+BP52+BR52+BT52</f>
        <v>39</v>
      </c>
      <c r="BW52" s="337">
        <f t="shared" ref="BW52:BW55" si="22">M52+O52+Q52+S52+U52+W52+Y52+AA52+AC52+AE52+AG52+AI52+AK52+AM52+AO52+AQ52+AS52+AU52+AW52+AY52+BA52+BC52+BE52+BG52+BI52+BK52+BM52+BO52+BQ52+BS52+BU52</f>
        <v>0</v>
      </c>
    </row>
    <row r="53" spans="1:75" s="64" customFormat="1" ht="21.95" customHeight="1" x14ac:dyDescent="0.2">
      <c r="A53" s="385" t="s">
        <v>3226</v>
      </c>
      <c r="B53" s="386" t="s">
        <v>3227</v>
      </c>
      <c r="C53" s="392" t="s">
        <v>3186</v>
      </c>
      <c r="D53" s="387" t="s">
        <v>3228</v>
      </c>
      <c r="E53" s="388" t="s">
        <v>3229</v>
      </c>
      <c r="F53" s="389" t="s">
        <v>3182</v>
      </c>
      <c r="G53" s="389" t="s">
        <v>3183</v>
      </c>
      <c r="H53" s="390" t="s">
        <v>346</v>
      </c>
      <c r="I53" s="391" t="s">
        <v>346</v>
      </c>
      <c r="J53" s="353" t="s">
        <v>3184</v>
      </c>
      <c r="K53" s="355" t="s">
        <v>3188</v>
      </c>
      <c r="L53" s="400"/>
      <c r="M53" s="401"/>
      <c r="N53" s="400"/>
      <c r="O53" s="401"/>
      <c r="P53" s="400"/>
      <c r="Q53" s="401"/>
      <c r="R53" s="400"/>
      <c r="S53" s="401"/>
      <c r="T53" s="400"/>
      <c r="U53" s="401"/>
      <c r="V53" s="400"/>
      <c r="W53" s="401"/>
      <c r="X53" s="400"/>
      <c r="Y53" s="401"/>
      <c r="Z53" s="400"/>
      <c r="AA53" s="401"/>
      <c r="AB53" s="400"/>
      <c r="AC53" s="401"/>
      <c r="AD53" s="400"/>
      <c r="AE53" s="401"/>
      <c r="AF53" s="400"/>
      <c r="AG53" s="401"/>
      <c r="AH53" s="400"/>
      <c r="AI53" s="401"/>
      <c r="AJ53" s="400"/>
      <c r="AK53" s="401"/>
      <c r="AL53" s="400"/>
      <c r="AM53" s="401"/>
      <c r="AN53" s="400"/>
      <c r="AO53" s="401"/>
      <c r="AP53" s="400"/>
      <c r="AQ53" s="401"/>
      <c r="AR53" s="400"/>
      <c r="AS53" s="401"/>
      <c r="AT53" s="400"/>
      <c r="AU53" s="401"/>
      <c r="AV53" s="400"/>
      <c r="AW53" s="401"/>
      <c r="AX53" s="400"/>
      <c r="AY53" s="401"/>
      <c r="AZ53" s="400"/>
      <c r="BA53" s="401"/>
      <c r="BB53" s="400"/>
      <c r="BC53" s="401"/>
      <c r="BD53" s="400"/>
      <c r="BE53" s="401"/>
      <c r="BF53" s="400"/>
      <c r="BG53" s="401"/>
      <c r="BH53" s="400"/>
      <c r="BI53" s="401"/>
      <c r="BJ53" s="400"/>
      <c r="BK53" s="401"/>
      <c r="BL53" s="400"/>
      <c r="BM53" s="401"/>
      <c r="BN53" s="400"/>
      <c r="BO53" s="401"/>
      <c r="BP53" s="400"/>
      <c r="BQ53" s="401"/>
      <c r="BR53" s="400"/>
      <c r="BS53" s="401"/>
      <c r="BT53" s="400"/>
      <c r="BU53" s="401"/>
      <c r="BV53" s="337">
        <f t="shared" si="21"/>
        <v>0</v>
      </c>
      <c r="BW53" s="337">
        <f t="shared" si="22"/>
        <v>0</v>
      </c>
    </row>
    <row r="54" spans="1:75" s="64" customFormat="1" ht="21.95" customHeight="1" x14ac:dyDescent="0.2">
      <c r="A54" s="385" t="s">
        <v>3226</v>
      </c>
      <c r="B54" s="386" t="s">
        <v>3227</v>
      </c>
      <c r="C54" s="392" t="s">
        <v>3186</v>
      </c>
      <c r="D54" s="387" t="s">
        <v>3228</v>
      </c>
      <c r="E54" s="388" t="s">
        <v>3229</v>
      </c>
      <c r="F54" s="389" t="s">
        <v>3182</v>
      </c>
      <c r="G54" s="389" t="s">
        <v>3183</v>
      </c>
      <c r="H54" s="390" t="s">
        <v>346</v>
      </c>
      <c r="I54" s="391" t="s">
        <v>346</v>
      </c>
      <c r="J54" s="353" t="s">
        <v>3184</v>
      </c>
      <c r="K54" s="356" t="s">
        <v>3189</v>
      </c>
      <c r="L54" s="400"/>
      <c r="M54" s="401"/>
      <c r="N54" s="400"/>
      <c r="O54" s="401"/>
      <c r="P54" s="400"/>
      <c r="Q54" s="401"/>
      <c r="R54" s="400"/>
      <c r="S54" s="401"/>
      <c r="T54" s="400"/>
      <c r="U54" s="401"/>
      <c r="V54" s="400"/>
      <c r="W54" s="401"/>
      <c r="X54" s="400"/>
      <c r="Y54" s="401"/>
      <c r="Z54" s="400"/>
      <c r="AA54" s="401"/>
      <c r="AB54" s="400"/>
      <c r="AC54" s="401"/>
      <c r="AD54" s="400"/>
      <c r="AE54" s="401"/>
      <c r="AF54" s="400"/>
      <c r="AG54" s="401"/>
      <c r="AH54" s="400"/>
      <c r="AI54" s="401"/>
      <c r="AJ54" s="400"/>
      <c r="AK54" s="401"/>
      <c r="AL54" s="400"/>
      <c r="AM54" s="401"/>
      <c r="AN54" s="400"/>
      <c r="AO54" s="401"/>
      <c r="AP54" s="400"/>
      <c r="AQ54" s="401"/>
      <c r="AR54" s="400"/>
      <c r="AS54" s="401"/>
      <c r="AT54" s="400"/>
      <c r="AU54" s="401"/>
      <c r="AV54" s="400"/>
      <c r="AW54" s="401"/>
      <c r="AX54" s="400"/>
      <c r="AY54" s="401"/>
      <c r="AZ54" s="400"/>
      <c r="BA54" s="401"/>
      <c r="BB54" s="400"/>
      <c r="BC54" s="401"/>
      <c r="BD54" s="400"/>
      <c r="BE54" s="401"/>
      <c r="BF54" s="400"/>
      <c r="BG54" s="401"/>
      <c r="BH54" s="400"/>
      <c r="BI54" s="401"/>
      <c r="BJ54" s="400"/>
      <c r="BK54" s="401"/>
      <c r="BL54" s="400"/>
      <c r="BM54" s="401"/>
      <c r="BN54" s="400"/>
      <c r="BO54" s="401"/>
      <c r="BP54" s="400"/>
      <c r="BQ54" s="401"/>
      <c r="BR54" s="400"/>
      <c r="BS54" s="401"/>
      <c r="BT54" s="400"/>
      <c r="BU54" s="401"/>
      <c r="BV54" s="337">
        <f t="shared" si="21"/>
        <v>0</v>
      </c>
      <c r="BW54" s="337">
        <f t="shared" si="22"/>
        <v>0</v>
      </c>
    </row>
    <row r="55" spans="1:75" s="64" customFormat="1" ht="21.95" customHeight="1" thickBot="1" x14ac:dyDescent="0.25">
      <c r="A55" s="898" t="s">
        <v>3226</v>
      </c>
      <c r="B55" s="393" t="s">
        <v>3227</v>
      </c>
      <c r="C55" s="394" t="s">
        <v>3186</v>
      </c>
      <c r="D55" s="395" t="s">
        <v>3228</v>
      </c>
      <c r="E55" s="411" t="s">
        <v>3229</v>
      </c>
      <c r="F55" s="396" t="s">
        <v>3182</v>
      </c>
      <c r="G55" s="396" t="s">
        <v>3183</v>
      </c>
      <c r="H55" s="397" t="s">
        <v>346</v>
      </c>
      <c r="I55" s="899" t="s">
        <v>346</v>
      </c>
      <c r="J55" s="353" t="s">
        <v>3184</v>
      </c>
      <c r="K55" s="357" t="s">
        <v>60</v>
      </c>
      <c r="L55" s="402"/>
      <c r="M55" s="403"/>
      <c r="N55" s="402"/>
      <c r="O55" s="403"/>
      <c r="P55" s="402"/>
      <c r="Q55" s="403"/>
      <c r="R55" s="402"/>
      <c r="S55" s="403"/>
      <c r="T55" s="402"/>
      <c r="U55" s="403"/>
      <c r="V55" s="402"/>
      <c r="W55" s="403"/>
      <c r="X55" s="402"/>
      <c r="Y55" s="403"/>
      <c r="Z55" s="402"/>
      <c r="AA55" s="403"/>
      <c r="AB55" s="402"/>
      <c r="AC55" s="403"/>
      <c r="AD55" s="402"/>
      <c r="AE55" s="403"/>
      <c r="AF55" s="402"/>
      <c r="AG55" s="403"/>
      <c r="AH55" s="402"/>
      <c r="AI55" s="403"/>
      <c r="AJ55" s="402"/>
      <c r="AK55" s="403"/>
      <c r="AL55" s="402"/>
      <c r="AM55" s="403"/>
      <c r="AN55" s="402"/>
      <c r="AO55" s="403"/>
      <c r="AP55" s="402"/>
      <c r="AQ55" s="403"/>
      <c r="AR55" s="402"/>
      <c r="AS55" s="403"/>
      <c r="AT55" s="402"/>
      <c r="AU55" s="403"/>
      <c r="AV55" s="402"/>
      <c r="AW55" s="403"/>
      <c r="AX55" s="402"/>
      <c r="AY55" s="403"/>
      <c r="AZ55" s="402"/>
      <c r="BA55" s="403"/>
      <c r="BB55" s="402"/>
      <c r="BC55" s="403"/>
      <c r="BD55" s="402"/>
      <c r="BE55" s="403"/>
      <c r="BF55" s="402"/>
      <c r="BG55" s="403"/>
      <c r="BH55" s="402"/>
      <c r="BI55" s="403"/>
      <c r="BJ55" s="402"/>
      <c r="BK55" s="403"/>
      <c r="BL55" s="402"/>
      <c r="BM55" s="403"/>
      <c r="BN55" s="402"/>
      <c r="BO55" s="403"/>
      <c r="BP55" s="402"/>
      <c r="BQ55" s="403"/>
      <c r="BR55" s="402"/>
      <c r="BS55" s="403"/>
      <c r="BT55" s="402"/>
      <c r="BU55" s="403"/>
      <c r="BV55" s="337">
        <f t="shared" si="21"/>
        <v>0</v>
      </c>
      <c r="BW55" s="337">
        <f t="shared" si="22"/>
        <v>0</v>
      </c>
    </row>
    <row r="56" spans="1:75" s="64" customFormat="1" ht="21.95" customHeight="1" x14ac:dyDescent="0.25">
      <c r="A56" s="425" t="s">
        <v>3230</v>
      </c>
      <c r="B56" s="526" t="s">
        <v>3231</v>
      </c>
      <c r="C56" s="527">
        <v>1</v>
      </c>
      <c r="D56" s="528" t="s">
        <v>3232</v>
      </c>
      <c r="E56" s="426" t="s">
        <v>3233</v>
      </c>
      <c r="F56" s="529" t="s">
        <v>3182</v>
      </c>
      <c r="G56" s="529" t="s">
        <v>3183</v>
      </c>
      <c r="H56" s="530" t="s">
        <v>347</v>
      </c>
      <c r="I56" s="384" t="s">
        <v>347</v>
      </c>
      <c r="J56" s="353" t="s">
        <v>3184</v>
      </c>
      <c r="K56" s="354" t="s">
        <v>3185</v>
      </c>
      <c r="L56" s="402"/>
      <c r="M56" s="403"/>
      <c r="N56" s="402"/>
      <c r="O56" s="403"/>
      <c r="P56" s="402"/>
      <c r="Q56" s="403"/>
      <c r="R56" s="402"/>
      <c r="S56" s="403"/>
      <c r="T56" s="402"/>
      <c r="U56" s="403"/>
      <c r="V56" s="402"/>
      <c r="W56" s="403"/>
      <c r="X56" s="402"/>
      <c r="Y56" s="403"/>
      <c r="Z56" s="402"/>
      <c r="AA56" s="403"/>
      <c r="AB56" s="402"/>
      <c r="AC56" s="403"/>
      <c r="AD56" s="402"/>
      <c r="AE56" s="403"/>
      <c r="AF56" s="402"/>
      <c r="AG56" s="403"/>
      <c r="AH56" s="402"/>
      <c r="AI56" s="403"/>
      <c r="AJ56" s="402"/>
      <c r="AK56" s="403"/>
      <c r="AL56" s="402"/>
      <c r="AM56" s="403"/>
      <c r="AN56" s="402"/>
      <c r="AO56" s="403"/>
      <c r="AP56" s="402"/>
      <c r="AQ56" s="403"/>
      <c r="AR56" s="402"/>
      <c r="AS56" s="403"/>
      <c r="AT56" s="402"/>
      <c r="AU56" s="403"/>
      <c r="AV56" s="402"/>
      <c r="AW56" s="403"/>
      <c r="AX56" s="402"/>
      <c r="AY56" s="403"/>
      <c r="AZ56" s="402"/>
      <c r="BA56" s="403"/>
      <c r="BB56" s="402"/>
      <c r="BC56" s="403"/>
      <c r="BD56" s="402"/>
      <c r="BE56" s="403"/>
      <c r="BF56" s="402"/>
      <c r="BG56" s="403"/>
      <c r="BH56" s="402"/>
      <c r="BI56" s="403"/>
      <c r="BJ56" s="402"/>
      <c r="BK56" s="403"/>
      <c r="BL56" s="402"/>
      <c r="BM56" s="403"/>
      <c r="BN56" s="402"/>
      <c r="BO56" s="403"/>
      <c r="BP56" s="402"/>
      <c r="BQ56" s="403"/>
      <c r="BR56" s="402"/>
      <c r="BS56" s="403"/>
      <c r="BT56" s="402"/>
      <c r="BU56" s="403"/>
      <c r="BV56" s="337">
        <f>L56+N56+P56+R56+T56+V56+X56+Z56+AB56+AD56+AF56+AH56+AJ56+AL56+AN56+AP56+AR56+AT56+AV56+AX56+AZ56+BB56+BD56+BF56+BH56+BJ56+BL56+BN56+BP56+BR56+BT56</f>
        <v>0</v>
      </c>
      <c r="BW56" s="337">
        <f>M56+O56+Q56+S56+U56+W56+Y56+AA56+AC56+AE56+AG56+AI56+AK56+AM56+AO56+AQ56+AS56+AU56+AW56+AY56+BA56+BC56+BE56+BG56+BI56+BK56+BM56+BO56+BQ56+BS56+BU56</f>
        <v>0</v>
      </c>
    </row>
    <row r="57" spans="1:75" s="64" customFormat="1" ht="21.95" customHeight="1" x14ac:dyDescent="0.2">
      <c r="A57" s="385" t="s">
        <v>3230</v>
      </c>
      <c r="B57" s="386" t="s">
        <v>3231</v>
      </c>
      <c r="C57" s="352" t="s">
        <v>3186</v>
      </c>
      <c r="D57" s="387" t="s">
        <v>3232</v>
      </c>
      <c r="E57" s="388" t="s">
        <v>3233</v>
      </c>
      <c r="F57" s="389" t="s">
        <v>3182</v>
      </c>
      <c r="G57" s="389" t="s">
        <v>3183</v>
      </c>
      <c r="H57" s="390" t="s">
        <v>347</v>
      </c>
      <c r="I57" s="391" t="s">
        <v>347</v>
      </c>
      <c r="J57" s="353" t="s">
        <v>3184</v>
      </c>
      <c r="K57" s="353" t="s">
        <v>3187</v>
      </c>
      <c r="L57" s="400">
        <v>5</v>
      </c>
      <c r="M57" s="401"/>
      <c r="N57" s="400">
        <v>5</v>
      </c>
      <c r="O57" s="401"/>
      <c r="P57" s="400">
        <v>2</v>
      </c>
      <c r="Q57" s="401"/>
      <c r="R57" s="400"/>
      <c r="S57" s="401"/>
      <c r="T57" s="400"/>
      <c r="U57" s="401"/>
      <c r="V57" s="400">
        <v>7</v>
      </c>
      <c r="W57" s="401"/>
      <c r="X57" s="400">
        <v>5</v>
      </c>
      <c r="Y57" s="401"/>
      <c r="Z57" s="400">
        <v>5</v>
      </c>
      <c r="AA57" s="401"/>
      <c r="AB57" s="400">
        <v>5</v>
      </c>
      <c r="AC57" s="401"/>
      <c r="AD57" s="400">
        <v>2</v>
      </c>
      <c r="AE57" s="401"/>
      <c r="AF57" s="400"/>
      <c r="AG57" s="401"/>
      <c r="AH57" s="400"/>
      <c r="AI57" s="401"/>
      <c r="AJ57" s="400">
        <v>7</v>
      </c>
      <c r="AK57" s="401"/>
      <c r="AL57" s="400">
        <v>5</v>
      </c>
      <c r="AM57" s="401"/>
      <c r="AN57" s="400">
        <v>5</v>
      </c>
      <c r="AO57" s="401"/>
      <c r="AP57" s="400">
        <v>5</v>
      </c>
      <c r="AQ57" s="401"/>
      <c r="AR57" s="400">
        <v>2</v>
      </c>
      <c r="AS57" s="401"/>
      <c r="AT57" s="400"/>
      <c r="AU57" s="401"/>
      <c r="AV57" s="400"/>
      <c r="AW57" s="401"/>
      <c r="AX57" s="400">
        <v>7</v>
      </c>
      <c r="AY57" s="401"/>
      <c r="AZ57" s="400">
        <v>5</v>
      </c>
      <c r="BA57" s="401"/>
      <c r="BB57" s="400">
        <v>5</v>
      </c>
      <c r="BC57" s="401"/>
      <c r="BD57" s="400">
        <v>5</v>
      </c>
      <c r="BE57" s="401"/>
      <c r="BF57" s="400">
        <v>2</v>
      </c>
      <c r="BG57" s="401"/>
      <c r="BH57" s="400"/>
      <c r="BI57" s="401"/>
      <c r="BJ57" s="400"/>
      <c r="BK57" s="401"/>
      <c r="BL57" s="400">
        <v>7</v>
      </c>
      <c r="BM57" s="401"/>
      <c r="BN57" s="400">
        <v>5</v>
      </c>
      <c r="BO57" s="401"/>
      <c r="BP57" s="400">
        <v>5</v>
      </c>
      <c r="BQ57" s="401"/>
      <c r="BR57" s="400">
        <v>5</v>
      </c>
      <c r="BS57" s="401"/>
      <c r="BT57" s="400"/>
      <c r="BU57" s="401"/>
      <c r="BV57" s="337">
        <f t="shared" ref="BV57:BV60" si="23">L57+N57+P57+R57+T57+V57+X57+Z57+AB57+AD57+AF57+AH57+AJ57+AL57+AN57+AP57+AR57+AT57+AV57+AX57+AZ57+BB57+BD57+BF57+BH57+BJ57+BL57+BN57+BP57+BR57+BT57</f>
        <v>106</v>
      </c>
      <c r="BW57" s="337">
        <f t="shared" ref="BW57:BW60" si="24">M57+O57+Q57+S57+U57+W57+Y57+AA57+AC57+AE57+AG57+AI57+AK57+AM57+AO57+AQ57+AS57+AU57+AW57+AY57+BA57+BC57+BE57+BG57+BI57+BK57+BM57+BO57+BQ57+BS57+BU57</f>
        <v>0</v>
      </c>
    </row>
    <row r="58" spans="1:75" s="64" customFormat="1" ht="21.95" customHeight="1" x14ac:dyDescent="0.2">
      <c r="A58" s="385" t="s">
        <v>3230</v>
      </c>
      <c r="B58" s="386" t="s">
        <v>3231</v>
      </c>
      <c r="C58" s="392" t="s">
        <v>3186</v>
      </c>
      <c r="D58" s="387" t="s">
        <v>3232</v>
      </c>
      <c r="E58" s="388" t="s">
        <v>3233</v>
      </c>
      <c r="F58" s="389" t="s">
        <v>3182</v>
      </c>
      <c r="G58" s="389" t="s">
        <v>3183</v>
      </c>
      <c r="H58" s="390" t="s">
        <v>347</v>
      </c>
      <c r="I58" s="391" t="s">
        <v>347</v>
      </c>
      <c r="J58" s="353" t="s">
        <v>3184</v>
      </c>
      <c r="K58" s="355" t="s">
        <v>3188</v>
      </c>
      <c r="L58" s="400"/>
      <c r="M58" s="401"/>
      <c r="N58" s="400"/>
      <c r="O58" s="401"/>
      <c r="P58" s="400"/>
      <c r="Q58" s="401"/>
      <c r="R58" s="400"/>
      <c r="S58" s="401"/>
      <c r="T58" s="400"/>
      <c r="U58" s="401"/>
      <c r="V58" s="400"/>
      <c r="W58" s="401"/>
      <c r="X58" s="400"/>
      <c r="Y58" s="401"/>
      <c r="Z58" s="400"/>
      <c r="AA58" s="401"/>
      <c r="AB58" s="400"/>
      <c r="AC58" s="401"/>
      <c r="AD58" s="400"/>
      <c r="AE58" s="401"/>
      <c r="AF58" s="400"/>
      <c r="AG58" s="401"/>
      <c r="AH58" s="400"/>
      <c r="AI58" s="401"/>
      <c r="AJ58" s="400"/>
      <c r="AK58" s="401"/>
      <c r="AL58" s="400"/>
      <c r="AM58" s="401"/>
      <c r="AN58" s="400"/>
      <c r="AO58" s="401"/>
      <c r="AP58" s="400"/>
      <c r="AQ58" s="401"/>
      <c r="AR58" s="400"/>
      <c r="AS58" s="401"/>
      <c r="AT58" s="400"/>
      <c r="AU58" s="401"/>
      <c r="AV58" s="400"/>
      <c r="AW58" s="401"/>
      <c r="AX58" s="400"/>
      <c r="AY58" s="401"/>
      <c r="AZ58" s="400"/>
      <c r="BA58" s="401"/>
      <c r="BB58" s="400"/>
      <c r="BC58" s="401"/>
      <c r="BD58" s="400"/>
      <c r="BE58" s="401"/>
      <c r="BF58" s="400"/>
      <c r="BG58" s="401"/>
      <c r="BH58" s="400"/>
      <c r="BI58" s="401"/>
      <c r="BJ58" s="400"/>
      <c r="BK58" s="401"/>
      <c r="BL58" s="400"/>
      <c r="BM58" s="401"/>
      <c r="BN58" s="400"/>
      <c r="BO58" s="401"/>
      <c r="BP58" s="400"/>
      <c r="BQ58" s="401"/>
      <c r="BR58" s="400"/>
      <c r="BS58" s="401"/>
      <c r="BT58" s="400"/>
      <c r="BU58" s="401"/>
      <c r="BV58" s="337">
        <f t="shared" si="23"/>
        <v>0</v>
      </c>
      <c r="BW58" s="337">
        <f t="shared" si="24"/>
        <v>0</v>
      </c>
    </row>
    <row r="59" spans="1:75" s="64" customFormat="1" ht="21.95" customHeight="1" x14ac:dyDescent="0.2">
      <c r="A59" s="385" t="s">
        <v>3230</v>
      </c>
      <c r="B59" s="386" t="s">
        <v>3231</v>
      </c>
      <c r="C59" s="392" t="s">
        <v>3186</v>
      </c>
      <c r="D59" s="387" t="s">
        <v>3232</v>
      </c>
      <c r="E59" s="388" t="s">
        <v>3233</v>
      </c>
      <c r="F59" s="389" t="s">
        <v>3182</v>
      </c>
      <c r="G59" s="389" t="s">
        <v>3183</v>
      </c>
      <c r="H59" s="390" t="s">
        <v>347</v>
      </c>
      <c r="I59" s="391" t="s">
        <v>347</v>
      </c>
      <c r="J59" s="353" t="s">
        <v>3184</v>
      </c>
      <c r="K59" s="356" t="s">
        <v>3189</v>
      </c>
      <c r="L59" s="400"/>
      <c r="M59" s="401"/>
      <c r="N59" s="400"/>
      <c r="O59" s="401"/>
      <c r="P59" s="400"/>
      <c r="Q59" s="401"/>
      <c r="R59" s="400"/>
      <c r="S59" s="401"/>
      <c r="T59" s="400"/>
      <c r="U59" s="401"/>
      <c r="V59" s="400"/>
      <c r="W59" s="401"/>
      <c r="X59" s="400"/>
      <c r="Y59" s="401"/>
      <c r="Z59" s="400"/>
      <c r="AA59" s="401"/>
      <c r="AB59" s="400"/>
      <c r="AC59" s="401"/>
      <c r="AD59" s="400"/>
      <c r="AE59" s="401"/>
      <c r="AF59" s="400"/>
      <c r="AG59" s="401"/>
      <c r="AH59" s="400"/>
      <c r="AI59" s="401"/>
      <c r="AJ59" s="400"/>
      <c r="AK59" s="401"/>
      <c r="AL59" s="400"/>
      <c r="AM59" s="401"/>
      <c r="AN59" s="400"/>
      <c r="AO59" s="401"/>
      <c r="AP59" s="400"/>
      <c r="AQ59" s="401"/>
      <c r="AR59" s="400"/>
      <c r="AS59" s="401"/>
      <c r="AT59" s="400"/>
      <c r="AU59" s="401"/>
      <c r="AV59" s="400"/>
      <c r="AW59" s="401"/>
      <c r="AX59" s="400"/>
      <c r="AY59" s="401"/>
      <c r="AZ59" s="400"/>
      <c r="BA59" s="401"/>
      <c r="BB59" s="400"/>
      <c r="BC59" s="401"/>
      <c r="BD59" s="400"/>
      <c r="BE59" s="401"/>
      <c r="BF59" s="400"/>
      <c r="BG59" s="401"/>
      <c r="BH59" s="400"/>
      <c r="BI59" s="401"/>
      <c r="BJ59" s="400"/>
      <c r="BK59" s="401"/>
      <c r="BL59" s="400"/>
      <c r="BM59" s="401"/>
      <c r="BN59" s="400"/>
      <c r="BO59" s="401"/>
      <c r="BP59" s="400"/>
      <c r="BQ59" s="401"/>
      <c r="BR59" s="400"/>
      <c r="BS59" s="401"/>
      <c r="BT59" s="400"/>
      <c r="BU59" s="401"/>
      <c r="BV59" s="337">
        <f t="shared" si="23"/>
        <v>0</v>
      </c>
      <c r="BW59" s="337">
        <f t="shared" si="24"/>
        <v>0</v>
      </c>
    </row>
    <row r="60" spans="1:75" s="64" customFormat="1" ht="21.95" customHeight="1" thickBot="1" x14ac:dyDescent="0.25">
      <c r="A60" s="898" t="s">
        <v>3230</v>
      </c>
      <c r="B60" s="393" t="s">
        <v>3231</v>
      </c>
      <c r="C60" s="394" t="s">
        <v>3186</v>
      </c>
      <c r="D60" s="395" t="s">
        <v>3232</v>
      </c>
      <c r="E60" s="411" t="s">
        <v>3233</v>
      </c>
      <c r="F60" s="396" t="s">
        <v>3182</v>
      </c>
      <c r="G60" s="396" t="s">
        <v>3183</v>
      </c>
      <c r="H60" s="397" t="s">
        <v>347</v>
      </c>
      <c r="I60" s="899" t="s">
        <v>347</v>
      </c>
      <c r="J60" s="353" t="s">
        <v>3184</v>
      </c>
      <c r="K60" s="357" t="s">
        <v>60</v>
      </c>
      <c r="L60" s="402"/>
      <c r="M60" s="403"/>
      <c r="N60" s="402"/>
      <c r="O60" s="403"/>
      <c r="P60" s="402"/>
      <c r="Q60" s="403"/>
      <c r="R60" s="402"/>
      <c r="S60" s="403"/>
      <c r="T60" s="402"/>
      <c r="U60" s="403"/>
      <c r="V60" s="402"/>
      <c r="W60" s="403"/>
      <c r="X60" s="402"/>
      <c r="Y60" s="403"/>
      <c r="Z60" s="402"/>
      <c r="AA60" s="403"/>
      <c r="AB60" s="402"/>
      <c r="AC60" s="403"/>
      <c r="AD60" s="402"/>
      <c r="AE60" s="403"/>
      <c r="AF60" s="402"/>
      <c r="AG60" s="403"/>
      <c r="AH60" s="402"/>
      <c r="AI60" s="403"/>
      <c r="AJ60" s="402"/>
      <c r="AK60" s="403"/>
      <c r="AL60" s="402"/>
      <c r="AM60" s="403"/>
      <c r="AN60" s="402"/>
      <c r="AO60" s="403"/>
      <c r="AP60" s="402"/>
      <c r="AQ60" s="403"/>
      <c r="AR60" s="402"/>
      <c r="AS60" s="403"/>
      <c r="AT60" s="402"/>
      <c r="AU60" s="403"/>
      <c r="AV60" s="402"/>
      <c r="AW60" s="403"/>
      <c r="AX60" s="402"/>
      <c r="AY60" s="403"/>
      <c r="AZ60" s="402"/>
      <c r="BA60" s="403"/>
      <c r="BB60" s="402"/>
      <c r="BC60" s="403"/>
      <c r="BD60" s="402"/>
      <c r="BE60" s="403"/>
      <c r="BF60" s="402"/>
      <c r="BG60" s="403"/>
      <c r="BH60" s="402"/>
      <c r="BI60" s="403"/>
      <c r="BJ60" s="402"/>
      <c r="BK60" s="403"/>
      <c r="BL60" s="402"/>
      <c r="BM60" s="403"/>
      <c r="BN60" s="402"/>
      <c r="BO60" s="403"/>
      <c r="BP60" s="402"/>
      <c r="BQ60" s="403"/>
      <c r="BR60" s="402"/>
      <c r="BS60" s="403"/>
      <c r="BT60" s="402"/>
      <c r="BU60" s="403"/>
      <c r="BV60" s="337">
        <f t="shared" si="23"/>
        <v>0</v>
      </c>
      <c r="BW60" s="337">
        <f t="shared" si="24"/>
        <v>0</v>
      </c>
    </row>
    <row r="61" spans="1:75" s="64" customFormat="1" ht="21.95" customHeight="1" x14ac:dyDescent="0.25">
      <c r="A61" s="425" t="s">
        <v>3234</v>
      </c>
      <c r="B61" s="526" t="s">
        <v>3235</v>
      </c>
      <c r="C61" s="527">
        <v>1</v>
      </c>
      <c r="D61" s="528" t="s">
        <v>3236</v>
      </c>
      <c r="E61" s="426" t="s">
        <v>3237</v>
      </c>
      <c r="F61" s="529" t="s">
        <v>3182</v>
      </c>
      <c r="G61" s="529" t="s">
        <v>3183</v>
      </c>
      <c r="H61" s="530" t="s">
        <v>348</v>
      </c>
      <c r="I61" s="384" t="s">
        <v>348</v>
      </c>
      <c r="J61" s="353" t="s">
        <v>3184</v>
      </c>
      <c r="K61" s="354" t="s">
        <v>3185</v>
      </c>
      <c r="L61" s="402"/>
      <c r="M61" s="403"/>
      <c r="N61" s="402"/>
      <c r="O61" s="403"/>
      <c r="P61" s="402"/>
      <c r="Q61" s="403"/>
      <c r="R61" s="402"/>
      <c r="S61" s="403"/>
      <c r="T61" s="402"/>
      <c r="U61" s="403"/>
      <c r="V61" s="402"/>
      <c r="W61" s="403"/>
      <c r="X61" s="402"/>
      <c r="Y61" s="403"/>
      <c r="Z61" s="402"/>
      <c r="AA61" s="403"/>
      <c r="AB61" s="402"/>
      <c r="AC61" s="403"/>
      <c r="AD61" s="402"/>
      <c r="AE61" s="403"/>
      <c r="AF61" s="402"/>
      <c r="AG61" s="403"/>
      <c r="AH61" s="402"/>
      <c r="AI61" s="403"/>
      <c r="AJ61" s="402"/>
      <c r="AK61" s="403"/>
      <c r="AL61" s="402"/>
      <c r="AM61" s="403"/>
      <c r="AN61" s="402"/>
      <c r="AO61" s="403"/>
      <c r="AP61" s="402"/>
      <c r="AQ61" s="403"/>
      <c r="AR61" s="402"/>
      <c r="AS61" s="403"/>
      <c r="AT61" s="402"/>
      <c r="AU61" s="403"/>
      <c r="AV61" s="402"/>
      <c r="AW61" s="403"/>
      <c r="AX61" s="402"/>
      <c r="AY61" s="403"/>
      <c r="AZ61" s="402"/>
      <c r="BA61" s="403"/>
      <c r="BB61" s="402"/>
      <c r="BC61" s="403"/>
      <c r="BD61" s="402"/>
      <c r="BE61" s="403"/>
      <c r="BF61" s="402"/>
      <c r="BG61" s="403"/>
      <c r="BH61" s="402"/>
      <c r="BI61" s="403"/>
      <c r="BJ61" s="402"/>
      <c r="BK61" s="403"/>
      <c r="BL61" s="402"/>
      <c r="BM61" s="403"/>
      <c r="BN61" s="402"/>
      <c r="BO61" s="403"/>
      <c r="BP61" s="402"/>
      <c r="BQ61" s="403"/>
      <c r="BR61" s="402"/>
      <c r="BS61" s="403"/>
      <c r="BT61" s="402"/>
      <c r="BU61" s="403"/>
      <c r="BV61" s="337">
        <f>L61+N61+P61+R61+T61+V61+X61+Z61+AB61+AD61+AF61+AH61+AJ61+AL61+AN61+AP61+AR61+AT61+AV61+AX61+AZ61+BB61+BD61+BF61+BH61+BJ61+BL61+BN61+BP61+BR61+BT61</f>
        <v>0</v>
      </c>
      <c r="BW61" s="337">
        <f>M61+O61+Q61+S61+U61+W61+Y61+AA61+AC61+AE61+AG61+AI61+AK61+AM61+AO61+AQ61+AS61+AU61+AW61+AY61+BA61+BC61+BE61+BG61+BI61+BK61+BM61+BO61+BQ61+BS61+BU61</f>
        <v>0</v>
      </c>
    </row>
    <row r="62" spans="1:75" s="64" customFormat="1" ht="21.95" customHeight="1" x14ac:dyDescent="0.2">
      <c r="A62" s="385" t="s">
        <v>3234</v>
      </c>
      <c r="B62" s="386" t="s">
        <v>3235</v>
      </c>
      <c r="C62" s="352" t="s">
        <v>3186</v>
      </c>
      <c r="D62" s="387" t="s">
        <v>3236</v>
      </c>
      <c r="E62" s="388" t="s">
        <v>3237</v>
      </c>
      <c r="F62" s="389" t="s">
        <v>3182</v>
      </c>
      <c r="G62" s="389" t="s">
        <v>3183</v>
      </c>
      <c r="H62" s="390" t="s">
        <v>348</v>
      </c>
      <c r="I62" s="391" t="s">
        <v>348</v>
      </c>
      <c r="J62" s="353" t="s">
        <v>3184</v>
      </c>
      <c r="K62" s="353" t="s">
        <v>3187</v>
      </c>
      <c r="L62" s="400"/>
      <c r="M62" s="401"/>
      <c r="N62" s="400"/>
      <c r="O62" s="401"/>
      <c r="P62" s="400"/>
      <c r="Q62" s="401"/>
      <c r="R62" s="400"/>
      <c r="S62" s="401"/>
      <c r="T62" s="400"/>
      <c r="U62" s="401"/>
      <c r="V62" s="400"/>
      <c r="W62" s="401"/>
      <c r="X62" s="400"/>
      <c r="Y62" s="401"/>
      <c r="Z62" s="400"/>
      <c r="AA62" s="401"/>
      <c r="AB62" s="400"/>
      <c r="AC62" s="401"/>
      <c r="AD62" s="400"/>
      <c r="AE62" s="401"/>
      <c r="AF62" s="400"/>
      <c r="AG62" s="401"/>
      <c r="AH62" s="400"/>
      <c r="AI62" s="401"/>
      <c r="AJ62" s="400"/>
      <c r="AK62" s="401"/>
      <c r="AL62" s="400"/>
      <c r="AM62" s="401"/>
      <c r="AN62" s="400"/>
      <c r="AO62" s="401"/>
      <c r="AP62" s="400"/>
      <c r="AQ62" s="401"/>
      <c r="AR62" s="400"/>
      <c r="AS62" s="401"/>
      <c r="AT62" s="400"/>
      <c r="AU62" s="401"/>
      <c r="AV62" s="400"/>
      <c r="AW62" s="401"/>
      <c r="AX62" s="400"/>
      <c r="AY62" s="401"/>
      <c r="AZ62" s="400"/>
      <c r="BA62" s="401"/>
      <c r="BB62" s="400"/>
      <c r="BC62" s="401"/>
      <c r="BD62" s="400"/>
      <c r="BE62" s="401"/>
      <c r="BF62" s="400"/>
      <c r="BG62" s="401"/>
      <c r="BH62" s="400"/>
      <c r="BI62" s="401"/>
      <c r="BJ62" s="400"/>
      <c r="BK62" s="401"/>
      <c r="BL62" s="400"/>
      <c r="BM62" s="401"/>
      <c r="BN62" s="400"/>
      <c r="BO62" s="401"/>
      <c r="BP62" s="400"/>
      <c r="BQ62" s="401"/>
      <c r="BR62" s="400"/>
      <c r="BS62" s="401"/>
      <c r="BT62" s="400"/>
      <c r="BU62" s="401"/>
      <c r="BV62" s="337">
        <f t="shared" ref="BV62:BV65" si="25">L62+N62+P62+R62+T62+V62+X62+Z62+AB62+AD62+AF62+AH62+AJ62+AL62+AN62+AP62+AR62+AT62+AV62+AX62+AZ62+BB62+BD62+BF62+BH62+BJ62+BL62+BN62+BP62+BR62+BT62</f>
        <v>0</v>
      </c>
      <c r="BW62" s="337">
        <f t="shared" ref="BW62:BW65" si="26">M62+O62+Q62+S62+U62+W62+Y62+AA62+AC62+AE62+AG62+AI62+AK62+AM62+AO62+AQ62+AS62+AU62+AW62+AY62+BA62+BC62+BE62+BG62+BI62+BK62+BM62+BO62+BQ62+BS62+BU62</f>
        <v>0</v>
      </c>
    </row>
    <row r="63" spans="1:75" s="64" customFormat="1" ht="21.95" customHeight="1" x14ac:dyDescent="0.2">
      <c r="A63" s="385" t="s">
        <v>3234</v>
      </c>
      <c r="B63" s="386" t="s">
        <v>3235</v>
      </c>
      <c r="C63" s="392" t="s">
        <v>3186</v>
      </c>
      <c r="D63" s="387" t="s">
        <v>3236</v>
      </c>
      <c r="E63" s="388" t="s">
        <v>3237</v>
      </c>
      <c r="F63" s="389" t="s">
        <v>3182</v>
      </c>
      <c r="G63" s="389" t="s">
        <v>3183</v>
      </c>
      <c r="H63" s="390" t="s">
        <v>348</v>
      </c>
      <c r="I63" s="391" t="s">
        <v>348</v>
      </c>
      <c r="J63" s="353" t="s">
        <v>3184</v>
      </c>
      <c r="K63" s="355" t="s">
        <v>3188</v>
      </c>
      <c r="L63" s="400"/>
      <c r="M63" s="401"/>
      <c r="N63" s="400"/>
      <c r="O63" s="401"/>
      <c r="P63" s="400"/>
      <c r="Q63" s="401"/>
      <c r="R63" s="400"/>
      <c r="S63" s="401"/>
      <c r="T63" s="400"/>
      <c r="U63" s="401"/>
      <c r="V63" s="400"/>
      <c r="W63" s="401"/>
      <c r="X63" s="400"/>
      <c r="Y63" s="401"/>
      <c r="Z63" s="400"/>
      <c r="AA63" s="401"/>
      <c r="AB63" s="400"/>
      <c r="AC63" s="401"/>
      <c r="AD63" s="400"/>
      <c r="AE63" s="401"/>
      <c r="AF63" s="400"/>
      <c r="AG63" s="401"/>
      <c r="AH63" s="400"/>
      <c r="AI63" s="401"/>
      <c r="AJ63" s="400"/>
      <c r="AK63" s="401"/>
      <c r="AL63" s="400"/>
      <c r="AM63" s="401"/>
      <c r="AN63" s="400"/>
      <c r="AO63" s="401"/>
      <c r="AP63" s="400"/>
      <c r="AQ63" s="401"/>
      <c r="AR63" s="400"/>
      <c r="AS63" s="401"/>
      <c r="AT63" s="400"/>
      <c r="AU63" s="401"/>
      <c r="AV63" s="400"/>
      <c r="AW63" s="401"/>
      <c r="AX63" s="400"/>
      <c r="AY63" s="401"/>
      <c r="AZ63" s="400"/>
      <c r="BA63" s="401"/>
      <c r="BB63" s="400"/>
      <c r="BC63" s="401"/>
      <c r="BD63" s="400"/>
      <c r="BE63" s="401"/>
      <c r="BF63" s="400"/>
      <c r="BG63" s="401"/>
      <c r="BH63" s="400"/>
      <c r="BI63" s="401"/>
      <c r="BJ63" s="400"/>
      <c r="BK63" s="401"/>
      <c r="BL63" s="400"/>
      <c r="BM63" s="401"/>
      <c r="BN63" s="400"/>
      <c r="BO63" s="401"/>
      <c r="BP63" s="400"/>
      <c r="BQ63" s="401"/>
      <c r="BR63" s="400"/>
      <c r="BS63" s="401"/>
      <c r="BT63" s="400"/>
      <c r="BU63" s="401"/>
      <c r="BV63" s="337">
        <f t="shared" si="25"/>
        <v>0</v>
      </c>
      <c r="BW63" s="337">
        <f t="shared" si="26"/>
        <v>0</v>
      </c>
    </row>
    <row r="64" spans="1:75" s="64" customFormat="1" ht="21.95" customHeight="1" x14ac:dyDescent="0.2">
      <c r="A64" s="385" t="s">
        <v>3234</v>
      </c>
      <c r="B64" s="386" t="s">
        <v>3235</v>
      </c>
      <c r="C64" s="392" t="s">
        <v>3186</v>
      </c>
      <c r="D64" s="387" t="s">
        <v>3236</v>
      </c>
      <c r="E64" s="388" t="s">
        <v>3237</v>
      </c>
      <c r="F64" s="389" t="s">
        <v>3182</v>
      </c>
      <c r="G64" s="389" t="s">
        <v>3183</v>
      </c>
      <c r="H64" s="390" t="s">
        <v>348</v>
      </c>
      <c r="I64" s="391" t="s">
        <v>348</v>
      </c>
      <c r="J64" s="353" t="s">
        <v>3184</v>
      </c>
      <c r="K64" s="356" t="s">
        <v>3189</v>
      </c>
      <c r="L64" s="400"/>
      <c r="M64" s="401"/>
      <c r="N64" s="400"/>
      <c r="O64" s="401"/>
      <c r="P64" s="400"/>
      <c r="Q64" s="401"/>
      <c r="R64" s="400"/>
      <c r="S64" s="401"/>
      <c r="T64" s="400"/>
      <c r="U64" s="401"/>
      <c r="V64" s="400"/>
      <c r="W64" s="401"/>
      <c r="X64" s="400"/>
      <c r="Y64" s="401"/>
      <c r="Z64" s="400"/>
      <c r="AA64" s="401"/>
      <c r="AB64" s="400"/>
      <c r="AC64" s="401"/>
      <c r="AD64" s="400"/>
      <c r="AE64" s="401"/>
      <c r="AF64" s="400"/>
      <c r="AG64" s="401"/>
      <c r="AH64" s="400"/>
      <c r="AI64" s="401"/>
      <c r="AJ64" s="400"/>
      <c r="AK64" s="401"/>
      <c r="AL64" s="400"/>
      <c r="AM64" s="401"/>
      <c r="AN64" s="400"/>
      <c r="AO64" s="401"/>
      <c r="AP64" s="400"/>
      <c r="AQ64" s="401"/>
      <c r="AR64" s="400"/>
      <c r="AS64" s="401"/>
      <c r="AT64" s="400"/>
      <c r="AU64" s="401"/>
      <c r="AV64" s="400"/>
      <c r="AW64" s="401"/>
      <c r="AX64" s="400"/>
      <c r="AY64" s="401"/>
      <c r="AZ64" s="400"/>
      <c r="BA64" s="401"/>
      <c r="BB64" s="400"/>
      <c r="BC64" s="401"/>
      <c r="BD64" s="400"/>
      <c r="BE64" s="401"/>
      <c r="BF64" s="400"/>
      <c r="BG64" s="401"/>
      <c r="BH64" s="400"/>
      <c r="BI64" s="401"/>
      <c r="BJ64" s="400"/>
      <c r="BK64" s="401"/>
      <c r="BL64" s="400"/>
      <c r="BM64" s="401"/>
      <c r="BN64" s="400"/>
      <c r="BO64" s="401"/>
      <c r="BP64" s="400"/>
      <c r="BQ64" s="401"/>
      <c r="BR64" s="400"/>
      <c r="BS64" s="401"/>
      <c r="BT64" s="400"/>
      <c r="BU64" s="401"/>
      <c r="BV64" s="337">
        <f t="shared" si="25"/>
        <v>0</v>
      </c>
      <c r="BW64" s="337">
        <f t="shared" si="26"/>
        <v>0</v>
      </c>
    </row>
    <row r="65" spans="1:75" s="64" customFormat="1" ht="21.95" customHeight="1" thickBot="1" x14ac:dyDescent="0.25">
      <c r="A65" s="898" t="s">
        <v>3234</v>
      </c>
      <c r="B65" s="393" t="s">
        <v>3235</v>
      </c>
      <c r="C65" s="394" t="s">
        <v>3186</v>
      </c>
      <c r="D65" s="395" t="s">
        <v>3236</v>
      </c>
      <c r="E65" s="411" t="s">
        <v>3237</v>
      </c>
      <c r="F65" s="396" t="s">
        <v>3182</v>
      </c>
      <c r="G65" s="396" t="s">
        <v>3183</v>
      </c>
      <c r="H65" s="397" t="s">
        <v>348</v>
      </c>
      <c r="I65" s="899" t="s">
        <v>348</v>
      </c>
      <c r="J65" s="353" t="s">
        <v>3184</v>
      </c>
      <c r="K65" s="357" t="s">
        <v>60</v>
      </c>
      <c r="L65" s="402"/>
      <c r="M65" s="403"/>
      <c r="N65" s="402"/>
      <c r="O65" s="403"/>
      <c r="P65" s="402"/>
      <c r="Q65" s="403"/>
      <c r="R65" s="402"/>
      <c r="S65" s="403"/>
      <c r="T65" s="402"/>
      <c r="U65" s="403"/>
      <c r="V65" s="402"/>
      <c r="W65" s="403"/>
      <c r="X65" s="402"/>
      <c r="Y65" s="403"/>
      <c r="Z65" s="402"/>
      <c r="AA65" s="403"/>
      <c r="AB65" s="402"/>
      <c r="AC65" s="403"/>
      <c r="AD65" s="402"/>
      <c r="AE65" s="403"/>
      <c r="AF65" s="402"/>
      <c r="AG65" s="403"/>
      <c r="AH65" s="402"/>
      <c r="AI65" s="403"/>
      <c r="AJ65" s="402"/>
      <c r="AK65" s="403"/>
      <c r="AL65" s="402"/>
      <c r="AM65" s="403"/>
      <c r="AN65" s="402"/>
      <c r="AO65" s="403"/>
      <c r="AP65" s="402"/>
      <c r="AQ65" s="403"/>
      <c r="AR65" s="402"/>
      <c r="AS65" s="403"/>
      <c r="AT65" s="402"/>
      <c r="AU65" s="403"/>
      <c r="AV65" s="402"/>
      <c r="AW65" s="403"/>
      <c r="AX65" s="402"/>
      <c r="AY65" s="403"/>
      <c r="AZ65" s="402"/>
      <c r="BA65" s="403"/>
      <c r="BB65" s="402"/>
      <c r="BC65" s="403"/>
      <c r="BD65" s="402"/>
      <c r="BE65" s="403"/>
      <c r="BF65" s="402"/>
      <c r="BG65" s="403"/>
      <c r="BH65" s="402"/>
      <c r="BI65" s="403"/>
      <c r="BJ65" s="402"/>
      <c r="BK65" s="403"/>
      <c r="BL65" s="402"/>
      <c r="BM65" s="403"/>
      <c r="BN65" s="402"/>
      <c r="BO65" s="403"/>
      <c r="BP65" s="402"/>
      <c r="BQ65" s="403"/>
      <c r="BR65" s="402"/>
      <c r="BS65" s="403"/>
      <c r="BT65" s="402"/>
      <c r="BU65" s="403"/>
      <c r="BV65" s="337">
        <f t="shared" si="25"/>
        <v>0</v>
      </c>
      <c r="BW65" s="337">
        <f t="shared" si="26"/>
        <v>0</v>
      </c>
    </row>
    <row r="66" spans="1:75" s="64" customFormat="1" ht="21.95" customHeight="1" x14ac:dyDescent="0.25">
      <c r="A66" s="425" t="s">
        <v>3238</v>
      </c>
      <c r="B66" s="526" t="s">
        <v>3239</v>
      </c>
      <c r="C66" s="527">
        <v>1</v>
      </c>
      <c r="D66" s="528" t="s">
        <v>3240</v>
      </c>
      <c r="E66" s="426" t="s">
        <v>3241</v>
      </c>
      <c r="F66" s="529" t="s">
        <v>3182</v>
      </c>
      <c r="G66" s="529" t="s">
        <v>3183</v>
      </c>
      <c r="H66" s="530" t="s">
        <v>350</v>
      </c>
      <c r="I66" s="384" t="s">
        <v>350</v>
      </c>
      <c r="J66" s="353" t="s">
        <v>3184</v>
      </c>
      <c r="K66" s="354" t="s">
        <v>3185</v>
      </c>
      <c r="L66" s="402"/>
      <c r="M66" s="403"/>
      <c r="N66" s="402"/>
      <c r="O66" s="403"/>
      <c r="P66" s="402"/>
      <c r="Q66" s="403"/>
      <c r="R66" s="402"/>
      <c r="S66" s="403"/>
      <c r="T66" s="402"/>
      <c r="U66" s="403"/>
      <c r="V66" s="402"/>
      <c r="W66" s="403"/>
      <c r="X66" s="402"/>
      <c r="Y66" s="403"/>
      <c r="Z66" s="402"/>
      <c r="AA66" s="403"/>
      <c r="AB66" s="402"/>
      <c r="AC66" s="403"/>
      <c r="AD66" s="402"/>
      <c r="AE66" s="403"/>
      <c r="AF66" s="402"/>
      <c r="AG66" s="403"/>
      <c r="AH66" s="402"/>
      <c r="AI66" s="403"/>
      <c r="AJ66" s="402"/>
      <c r="AK66" s="403"/>
      <c r="AL66" s="402"/>
      <c r="AM66" s="403"/>
      <c r="AN66" s="402"/>
      <c r="AO66" s="403"/>
      <c r="AP66" s="402"/>
      <c r="AQ66" s="403"/>
      <c r="AR66" s="402"/>
      <c r="AS66" s="403"/>
      <c r="AT66" s="402"/>
      <c r="AU66" s="403"/>
      <c r="AV66" s="402"/>
      <c r="AW66" s="403"/>
      <c r="AX66" s="402"/>
      <c r="AY66" s="403"/>
      <c r="AZ66" s="402"/>
      <c r="BA66" s="403"/>
      <c r="BB66" s="402"/>
      <c r="BC66" s="403"/>
      <c r="BD66" s="402"/>
      <c r="BE66" s="403"/>
      <c r="BF66" s="402"/>
      <c r="BG66" s="403"/>
      <c r="BH66" s="402"/>
      <c r="BI66" s="403"/>
      <c r="BJ66" s="402"/>
      <c r="BK66" s="403"/>
      <c r="BL66" s="402"/>
      <c r="BM66" s="403"/>
      <c r="BN66" s="402"/>
      <c r="BO66" s="403"/>
      <c r="BP66" s="402"/>
      <c r="BQ66" s="403"/>
      <c r="BR66" s="402"/>
      <c r="BS66" s="403"/>
      <c r="BT66" s="402"/>
      <c r="BU66" s="403"/>
      <c r="BV66" s="337">
        <f>L66+N66+P66+R66+T66+V66+X66+Z66+AB66+AD66+AF66+AH66+AJ66+AL66+AN66+AP66+AR66+AT66+AV66+AX66+AZ66+BB66+BD66+BF66+BH66+BJ66+BL66+BN66+BP66+BR66+BT66</f>
        <v>0</v>
      </c>
      <c r="BW66" s="337">
        <f>M66+O66+Q66+S66+U66+W66+Y66+AA66+AC66+AE66+AG66+AI66+AK66+AM66+AO66+AQ66+AS66+AU66+AW66+AY66+BA66+BC66+BE66+BG66+BI66+BK66+BM66+BO66+BQ66+BS66+BU66</f>
        <v>0</v>
      </c>
    </row>
    <row r="67" spans="1:75" s="64" customFormat="1" ht="21.95" customHeight="1" x14ac:dyDescent="0.2">
      <c r="A67" s="385" t="s">
        <v>3238</v>
      </c>
      <c r="B67" s="386" t="s">
        <v>3239</v>
      </c>
      <c r="C67" s="352" t="s">
        <v>3186</v>
      </c>
      <c r="D67" s="387" t="s">
        <v>3240</v>
      </c>
      <c r="E67" s="388" t="s">
        <v>3241</v>
      </c>
      <c r="F67" s="389" t="s">
        <v>3182</v>
      </c>
      <c r="G67" s="389" t="s">
        <v>3183</v>
      </c>
      <c r="H67" s="390" t="s">
        <v>350</v>
      </c>
      <c r="I67" s="391" t="s">
        <v>350</v>
      </c>
      <c r="J67" s="353" t="s">
        <v>3184</v>
      </c>
      <c r="K67" s="353" t="s">
        <v>3187</v>
      </c>
      <c r="L67" s="400">
        <v>1</v>
      </c>
      <c r="M67" s="401"/>
      <c r="N67" s="400">
        <v>1</v>
      </c>
      <c r="O67" s="401"/>
      <c r="P67" s="400"/>
      <c r="Q67" s="401"/>
      <c r="R67" s="400"/>
      <c r="S67" s="401"/>
      <c r="T67" s="400"/>
      <c r="U67" s="401"/>
      <c r="V67" s="400"/>
      <c r="W67" s="401"/>
      <c r="X67" s="400"/>
      <c r="Y67" s="401"/>
      <c r="Z67" s="400">
        <v>1</v>
      </c>
      <c r="AA67" s="401"/>
      <c r="AB67" s="400">
        <v>1</v>
      </c>
      <c r="AC67" s="401"/>
      <c r="AD67" s="400"/>
      <c r="AE67" s="401"/>
      <c r="AF67" s="400"/>
      <c r="AG67" s="401"/>
      <c r="AH67" s="400"/>
      <c r="AI67" s="401"/>
      <c r="AJ67" s="400"/>
      <c r="AK67" s="401"/>
      <c r="AL67" s="400"/>
      <c r="AM67" s="401"/>
      <c r="AN67" s="400">
        <v>1</v>
      </c>
      <c r="AO67" s="401"/>
      <c r="AP67" s="400">
        <v>1</v>
      </c>
      <c r="AQ67" s="401"/>
      <c r="AR67" s="400"/>
      <c r="AS67" s="401"/>
      <c r="AT67" s="400"/>
      <c r="AU67" s="401"/>
      <c r="AV67" s="400"/>
      <c r="AW67" s="401"/>
      <c r="AX67" s="400"/>
      <c r="AY67" s="401"/>
      <c r="AZ67" s="400"/>
      <c r="BA67" s="401"/>
      <c r="BB67" s="400">
        <v>1</v>
      </c>
      <c r="BC67" s="401"/>
      <c r="BD67" s="400">
        <v>1</v>
      </c>
      <c r="BE67" s="401"/>
      <c r="BF67" s="400"/>
      <c r="BG67" s="401"/>
      <c r="BH67" s="400"/>
      <c r="BI67" s="401"/>
      <c r="BJ67" s="400"/>
      <c r="BK67" s="401"/>
      <c r="BL67" s="400"/>
      <c r="BM67" s="401"/>
      <c r="BN67" s="400"/>
      <c r="BO67" s="401"/>
      <c r="BP67" s="400">
        <v>1</v>
      </c>
      <c r="BQ67" s="401"/>
      <c r="BR67" s="400">
        <v>1</v>
      </c>
      <c r="BS67" s="401"/>
      <c r="BT67" s="400"/>
      <c r="BU67" s="401"/>
      <c r="BV67" s="337">
        <f t="shared" ref="BV67:BV70" si="27">L67+N67+P67+R67+T67+V67+X67+Z67+AB67+AD67+AF67+AH67+AJ67+AL67+AN67+AP67+AR67+AT67+AV67+AX67+AZ67+BB67+BD67+BF67+BH67+BJ67+BL67+BN67+BP67+BR67+BT67</f>
        <v>10</v>
      </c>
      <c r="BW67" s="337">
        <f t="shared" ref="BW67:BW70" si="28">M67+O67+Q67+S67+U67+W67+Y67+AA67+AC67+AE67+AG67+AI67+AK67+AM67+AO67+AQ67+AS67+AU67+AW67+AY67+BA67+BC67+BE67+BG67+BI67+BK67+BM67+BO67+BQ67+BS67+BU67</f>
        <v>0</v>
      </c>
    </row>
    <row r="68" spans="1:75" s="64" customFormat="1" ht="21.95" customHeight="1" x14ac:dyDescent="0.2">
      <c r="A68" s="385" t="s">
        <v>3238</v>
      </c>
      <c r="B68" s="386" t="s">
        <v>3239</v>
      </c>
      <c r="C68" s="392" t="s">
        <v>3186</v>
      </c>
      <c r="D68" s="387" t="s">
        <v>3240</v>
      </c>
      <c r="E68" s="388" t="s">
        <v>3241</v>
      </c>
      <c r="F68" s="389" t="s">
        <v>3182</v>
      </c>
      <c r="G68" s="389" t="s">
        <v>3183</v>
      </c>
      <c r="H68" s="390" t="s">
        <v>350</v>
      </c>
      <c r="I68" s="391" t="s">
        <v>350</v>
      </c>
      <c r="J68" s="353" t="s">
        <v>3184</v>
      </c>
      <c r="K68" s="355" t="s">
        <v>3188</v>
      </c>
      <c r="L68" s="400"/>
      <c r="M68" s="401"/>
      <c r="N68" s="400"/>
      <c r="O68" s="401"/>
      <c r="P68" s="400"/>
      <c r="Q68" s="401"/>
      <c r="R68" s="400"/>
      <c r="S68" s="401"/>
      <c r="T68" s="400"/>
      <c r="U68" s="401"/>
      <c r="V68" s="400"/>
      <c r="W68" s="401"/>
      <c r="X68" s="400"/>
      <c r="Y68" s="401"/>
      <c r="Z68" s="400"/>
      <c r="AA68" s="401"/>
      <c r="AB68" s="400"/>
      <c r="AC68" s="401"/>
      <c r="AD68" s="400"/>
      <c r="AE68" s="401"/>
      <c r="AF68" s="400"/>
      <c r="AG68" s="401"/>
      <c r="AH68" s="400"/>
      <c r="AI68" s="401"/>
      <c r="AJ68" s="400"/>
      <c r="AK68" s="401"/>
      <c r="AL68" s="400"/>
      <c r="AM68" s="401"/>
      <c r="AN68" s="400"/>
      <c r="AO68" s="401"/>
      <c r="AP68" s="400"/>
      <c r="AQ68" s="401"/>
      <c r="AR68" s="400"/>
      <c r="AS68" s="401"/>
      <c r="AT68" s="400"/>
      <c r="AU68" s="401"/>
      <c r="AV68" s="400"/>
      <c r="AW68" s="401"/>
      <c r="AX68" s="400"/>
      <c r="AY68" s="401"/>
      <c r="AZ68" s="400"/>
      <c r="BA68" s="401"/>
      <c r="BB68" s="400"/>
      <c r="BC68" s="401"/>
      <c r="BD68" s="400"/>
      <c r="BE68" s="401"/>
      <c r="BF68" s="400"/>
      <c r="BG68" s="401"/>
      <c r="BH68" s="400"/>
      <c r="BI68" s="401"/>
      <c r="BJ68" s="400"/>
      <c r="BK68" s="401"/>
      <c r="BL68" s="400"/>
      <c r="BM68" s="401"/>
      <c r="BN68" s="400"/>
      <c r="BO68" s="401"/>
      <c r="BP68" s="400"/>
      <c r="BQ68" s="401"/>
      <c r="BR68" s="400"/>
      <c r="BS68" s="401"/>
      <c r="BT68" s="400"/>
      <c r="BU68" s="401"/>
      <c r="BV68" s="337">
        <f t="shared" si="27"/>
        <v>0</v>
      </c>
      <c r="BW68" s="337">
        <f t="shared" si="28"/>
        <v>0</v>
      </c>
    </row>
    <row r="69" spans="1:75" s="64" customFormat="1" ht="21.95" customHeight="1" x14ac:dyDescent="0.2">
      <c r="A69" s="385" t="s">
        <v>3238</v>
      </c>
      <c r="B69" s="386" t="s">
        <v>3239</v>
      </c>
      <c r="C69" s="392" t="s">
        <v>3186</v>
      </c>
      <c r="D69" s="387" t="s">
        <v>3240</v>
      </c>
      <c r="E69" s="388" t="s">
        <v>3241</v>
      </c>
      <c r="F69" s="389" t="s">
        <v>3182</v>
      </c>
      <c r="G69" s="389" t="s">
        <v>3183</v>
      </c>
      <c r="H69" s="390" t="s">
        <v>350</v>
      </c>
      <c r="I69" s="391" t="s">
        <v>350</v>
      </c>
      <c r="J69" s="353" t="s">
        <v>3184</v>
      </c>
      <c r="K69" s="356" t="s">
        <v>3189</v>
      </c>
      <c r="L69" s="400"/>
      <c r="M69" s="401"/>
      <c r="N69" s="400"/>
      <c r="O69" s="401"/>
      <c r="P69" s="400"/>
      <c r="Q69" s="401"/>
      <c r="R69" s="400"/>
      <c r="S69" s="401"/>
      <c r="T69" s="400"/>
      <c r="U69" s="401"/>
      <c r="V69" s="400"/>
      <c r="W69" s="401"/>
      <c r="X69" s="400"/>
      <c r="Y69" s="401"/>
      <c r="Z69" s="400"/>
      <c r="AA69" s="401"/>
      <c r="AB69" s="400"/>
      <c r="AC69" s="401"/>
      <c r="AD69" s="400"/>
      <c r="AE69" s="401"/>
      <c r="AF69" s="400"/>
      <c r="AG69" s="401"/>
      <c r="AH69" s="400"/>
      <c r="AI69" s="401"/>
      <c r="AJ69" s="400"/>
      <c r="AK69" s="401"/>
      <c r="AL69" s="400"/>
      <c r="AM69" s="401"/>
      <c r="AN69" s="400"/>
      <c r="AO69" s="401"/>
      <c r="AP69" s="400"/>
      <c r="AQ69" s="401"/>
      <c r="AR69" s="400"/>
      <c r="AS69" s="401"/>
      <c r="AT69" s="400"/>
      <c r="AU69" s="401"/>
      <c r="AV69" s="400"/>
      <c r="AW69" s="401"/>
      <c r="AX69" s="400"/>
      <c r="AY69" s="401"/>
      <c r="AZ69" s="400"/>
      <c r="BA69" s="401"/>
      <c r="BB69" s="400"/>
      <c r="BC69" s="401"/>
      <c r="BD69" s="400"/>
      <c r="BE69" s="401"/>
      <c r="BF69" s="400"/>
      <c r="BG69" s="401"/>
      <c r="BH69" s="400"/>
      <c r="BI69" s="401"/>
      <c r="BJ69" s="400"/>
      <c r="BK69" s="401"/>
      <c r="BL69" s="400"/>
      <c r="BM69" s="401"/>
      <c r="BN69" s="400"/>
      <c r="BO69" s="401"/>
      <c r="BP69" s="400"/>
      <c r="BQ69" s="401"/>
      <c r="BR69" s="400"/>
      <c r="BS69" s="401"/>
      <c r="BT69" s="400"/>
      <c r="BU69" s="401"/>
      <c r="BV69" s="337">
        <f t="shared" si="27"/>
        <v>0</v>
      </c>
      <c r="BW69" s="337">
        <f t="shared" si="28"/>
        <v>0</v>
      </c>
    </row>
    <row r="70" spans="1:75" s="64" customFormat="1" ht="21.95" customHeight="1" thickBot="1" x14ac:dyDescent="0.25">
      <c r="A70" s="898" t="s">
        <v>3238</v>
      </c>
      <c r="B70" s="393" t="s">
        <v>3239</v>
      </c>
      <c r="C70" s="394" t="s">
        <v>3186</v>
      </c>
      <c r="D70" s="395" t="s">
        <v>3240</v>
      </c>
      <c r="E70" s="411" t="s">
        <v>3241</v>
      </c>
      <c r="F70" s="396" t="s">
        <v>3182</v>
      </c>
      <c r="G70" s="396" t="s">
        <v>3183</v>
      </c>
      <c r="H70" s="397" t="s">
        <v>350</v>
      </c>
      <c r="I70" s="899" t="s">
        <v>350</v>
      </c>
      <c r="J70" s="353" t="s">
        <v>3184</v>
      </c>
      <c r="K70" s="357" t="s">
        <v>60</v>
      </c>
      <c r="L70" s="402"/>
      <c r="M70" s="403"/>
      <c r="N70" s="402"/>
      <c r="O70" s="403"/>
      <c r="P70" s="402"/>
      <c r="Q70" s="403"/>
      <c r="R70" s="402"/>
      <c r="S70" s="403"/>
      <c r="T70" s="402"/>
      <c r="U70" s="403"/>
      <c r="V70" s="402"/>
      <c r="W70" s="403"/>
      <c r="X70" s="402"/>
      <c r="Y70" s="403"/>
      <c r="Z70" s="402"/>
      <c r="AA70" s="403"/>
      <c r="AB70" s="402"/>
      <c r="AC70" s="403"/>
      <c r="AD70" s="402"/>
      <c r="AE70" s="403"/>
      <c r="AF70" s="402"/>
      <c r="AG70" s="403"/>
      <c r="AH70" s="402"/>
      <c r="AI70" s="403"/>
      <c r="AJ70" s="402"/>
      <c r="AK70" s="403"/>
      <c r="AL70" s="402"/>
      <c r="AM70" s="403"/>
      <c r="AN70" s="402"/>
      <c r="AO70" s="403"/>
      <c r="AP70" s="402"/>
      <c r="AQ70" s="403"/>
      <c r="AR70" s="402"/>
      <c r="AS70" s="403"/>
      <c r="AT70" s="402"/>
      <c r="AU70" s="403"/>
      <c r="AV70" s="402"/>
      <c r="AW70" s="403"/>
      <c r="AX70" s="402"/>
      <c r="AY70" s="403"/>
      <c r="AZ70" s="402"/>
      <c r="BA70" s="403"/>
      <c r="BB70" s="402"/>
      <c r="BC70" s="403"/>
      <c r="BD70" s="402"/>
      <c r="BE70" s="403"/>
      <c r="BF70" s="402"/>
      <c r="BG70" s="403"/>
      <c r="BH70" s="402"/>
      <c r="BI70" s="403"/>
      <c r="BJ70" s="402"/>
      <c r="BK70" s="403"/>
      <c r="BL70" s="402"/>
      <c r="BM70" s="403"/>
      <c r="BN70" s="402"/>
      <c r="BO70" s="403"/>
      <c r="BP70" s="402"/>
      <c r="BQ70" s="403"/>
      <c r="BR70" s="402"/>
      <c r="BS70" s="403"/>
      <c r="BT70" s="402"/>
      <c r="BU70" s="403"/>
      <c r="BV70" s="337">
        <f t="shared" si="27"/>
        <v>0</v>
      </c>
      <c r="BW70" s="337">
        <f t="shared" si="28"/>
        <v>0</v>
      </c>
    </row>
    <row r="71" spans="1:75" s="64" customFormat="1" ht="21.95" customHeight="1" x14ac:dyDescent="0.25">
      <c r="A71" s="425" t="s">
        <v>3242</v>
      </c>
      <c r="B71" s="526" t="s">
        <v>3243</v>
      </c>
      <c r="C71" s="527">
        <v>1</v>
      </c>
      <c r="D71" s="528" t="s">
        <v>3244</v>
      </c>
      <c r="E71" s="426" t="s">
        <v>3245</v>
      </c>
      <c r="F71" s="529" t="s">
        <v>3182</v>
      </c>
      <c r="G71" s="529" t="s">
        <v>3183</v>
      </c>
      <c r="H71" s="530" t="s">
        <v>351</v>
      </c>
      <c r="I71" s="384" t="s">
        <v>351</v>
      </c>
      <c r="J71" s="353" t="s">
        <v>3184</v>
      </c>
      <c r="K71" s="354" t="s">
        <v>3185</v>
      </c>
      <c r="L71" s="402"/>
      <c r="M71" s="403"/>
      <c r="N71" s="402"/>
      <c r="O71" s="403"/>
      <c r="P71" s="402"/>
      <c r="Q71" s="403"/>
      <c r="R71" s="402"/>
      <c r="S71" s="403"/>
      <c r="T71" s="402"/>
      <c r="U71" s="403"/>
      <c r="V71" s="402"/>
      <c r="W71" s="403"/>
      <c r="X71" s="402"/>
      <c r="Y71" s="403"/>
      <c r="Z71" s="402"/>
      <c r="AA71" s="403"/>
      <c r="AB71" s="402"/>
      <c r="AC71" s="403"/>
      <c r="AD71" s="402"/>
      <c r="AE71" s="403"/>
      <c r="AF71" s="402"/>
      <c r="AG71" s="403"/>
      <c r="AH71" s="402"/>
      <c r="AI71" s="403"/>
      <c r="AJ71" s="402"/>
      <c r="AK71" s="403"/>
      <c r="AL71" s="402"/>
      <c r="AM71" s="403"/>
      <c r="AN71" s="402"/>
      <c r="AO71" s="403"/>
      <c r="AP71" s="402"/>
      <c r="AQ71" s="403"/>
      <c r="AR71" s="402"/>
      <c r="AS71" s="403"/>
      <c r="AT71" s="402"/>
      <c r="AU71" s="403"/>
      <c r="AV71" s="402"/>
      <c r="AW71" s="403"/>
      <c r="AX71" s="402"/>
      <c r="AY71" s="403"/>
      <c r="AZ71" s="402"/>
      <c r="BA71" s="403"/>
      <c r="BB71" s="402"/>
      <c r="BC71" s="403"/>
      <c r="BD71" s="402"/>
      <c r="BE71" s="403"/>
      <c r="BF71" s="402"/>
      <c r="BG71" s="403"/>
      <c r="BH71" s="402"/>
      <c r="BI71" s="403"/>
      <c r="BJ71" s="402"/>
      <c r="BK71" s="403"/>
      <c r="BL71" s="402"/>
      <c r="BM71" s="403"/>
      <c r="BN71" s="402"/>
      <c r="BO71" s="403"/>
      <c r="BP71" s="402"/>
      <c r="BQ71" s="403"/>
      <c r="BR71" s="402"/>
      <c r="BS71" s="403"/>
      <c r="BT71" s="402"/>
      <c r="BU71" s="403"/>
      <c r="BV71" s="337">
        <f>L71+N71+P71+R71+T71+V71+X71+Z71+AB71+AD71+AF71+AH71+AJ71+AL71+AN71+AP71+AR71+AT71+AV71+AX71+AZ71+BB71+BD71+BF71+BH71+BJ71+BL71+BN71+BP71+BR71+BT71</f>
        <v>0</v>
      </c>
      <c r="BW71" s="337">
        <f>M71+O71+Q71+S71+U71+W71+Y71+AA71+AC71+AE71+AG71+AI71+AK71+AM71+AO71+AQ71+AS71+AU71+AW71+AY71+BA71+BC71+BE71+BG71+BI71+BK71+BM71+BO71+BQ71+BS71+BU71</f>
        <v>0</v>
      </c>
    </row>
    <row r="72" spans="1:75" s="64" customFormat="1" ht="21.95" customHeight="1" x14ac:dyDescent="0.2">
      <c r="A72" s="385" t="s">
        <v>3242</v>
      </c>
      <c r="B72" s="386" t="s">
        <v>3243</v>
      </c>
      <c r="C72" s="352" t="s">
        <v>3186</v>
      </c>
      <c r="D72" s="387" t="s">
        <v>3244</v>
      </c>
      <c r="E72" s="388" t="s">
        <v>3245</v>
      </c>
      <c r="F72" s="389" t="s">
        <v>3182</v>
      </c>
      <c r="G72" s="389" t="s">
        <v>3183</v>
      </c>
      <c r="H72" s="390" t="s">
        <v>351</v>
      </c>
      <c r="I72" s="391" t="s">
        <v>351</v>
      </c>
      <c r="J72" s="353" t="s">
        <v>3184</v>
      </c>
      <c r="K72" s="353" t="s">
        <v>3187</v>
      </c>
      <c r="L72" s="400"/>
      <c r="M72" s="401"/>
      <c r="N72" s="400">
        <v>2</v>
      </c>
      <c r="O72" s="401"/>
      <c r="P72" s="400"/>
      <c r="Q72" s="401"/>
      <c r="R72" s="400"/>
      <c r="S72" s="401"/>
      <c r="T72" s="400"/>
      <c r="U72" s="401"/>
      <c r="V72" s="400"/>
      <c r="W72" s="401"/>
      <c r="X72" s="400">
        <v>2</v>
      </c>
      <c r="Y72" s="401"/>
      <c r="Z72" s="400"/>
      <c r="AA72" s="401"/>
      <c r="AB72" s="400">
        <v>2</v>
      </c>
      <c r="AC72" s="401"/>
      <c r="AD72" s="400"/>
      <c r="AE72" s="401"/>
      <c r="AF72" s="400"/>
      <c r="AG72" s="401"/>
      <c r="AH72" s="400"/>
      <c r="AI72" s="401"/>
      <c r="AJ72" s="400"/>
      <c r="AK72" s="401"/>
      <c r="AL72" s="400">
        <v>2</v>
      </c>
      <c r="AM72" s="401"/>
      <c r="AN72" s="400"/>
      <c r="AO72" s="401"/>
      <c r="AP72" s="400">
        <v>2</v>
      </c>
      <c r="AQ72" s="401"/>
      <c r="AR72" s="400"/>
      <c r="AS72" s="401"/>
      <c r="AT72" s="400"/>
      <c r="AU72" s="401"/>
      <c r="AV72" s="400"/>
      <c r="AW72" s="401"/>
      <c r="AX72" s="400"/>
      <c r="AY72" s="401"/>
      <c r="AZ72" s="400">
        <v>2</v>
      </c>
      <c r="BA72" s="401"/>
      <c r="BB72" s="400"/>
      <c r="BC72" s="401"/>
      <c r="BD72" s="400">
        <v>2</v>
      </c>
      <c r="BE72" s="401"/>
      <c r="BF72" s="400"/>
      <c r="BG72" s="401"/>
      <c r="BH72" s="400"/>
      <c r="BI72" s="401"/>
      <c r="BJ72" s="400"/>
      <c r="BK72" s="401"/>
      <c r="BL72" s="400"/>
      <c r="BM72" s="401"/>
      <c r="BN72" s="400">
        <v>2</v>
      </c>
      <c r="BO72" s="401"/>
      <c r="BP72" s="400"/>
      <c r="BQ72" s="401"/>
      <c r="BR72" s="400">
        <v>2</v>
      </c>
      <c r="BS72" s="401"/>
      <c r="BT72" s="400"/>
      <c r="BU72" s="401"/>
      <c r="BV72" s="337">
        <f t="shared" ref="BV72:BV75" si="29">L72+N72+P72+R72+T72+V72+X72+Z72+AB72+AD72+AF72+AH72+AJ72+AL72+AN72+AP72+AR72+AT72+AV72+AX72+AZ72+BB72+BD72+BF72+BH72+BJ72+BL72+BN72+BP72+BR72+BT72</f>
        <v>18</v>
      </c>
      <c r="BW72" s="337">
        <f t="shared" ref="BW72:BW75" si="30">M72+O72+Q72+S72+U72+W72+Y72+AA72+AC72+AE72+AG72+AI72+AK72+AM72+AO72+AQ72+AS72+AU72+AW72+AY72+BA72+BC72+BE72+BG72+BI72+BK72+BM72+BO72+BQ72+BS72+BU72</f>
        <v>0</v>
      </c>
    </row>
    <row r="73" spans="1:75" s="64" customFormat="1" ht="21.95" customHeight="1" x14ac:dyDescent="0.2">
      <c r="A73" s="385" t="s">
        <v>3242</v>
      </c>
      <c r="B73" s="386" t="s">
        <v>3243</v>
      </c>
      <c r="C73" s="392" t="s">
        <v>3186</v>
      </c>
      <c r="D73" s="387" t="s">
        <v>3244</v>
      </c>
      <c r="E73" s="388" t="s">
        <v>3245</v>
      </c>
      <c r="F73" s="389" t="s">
        <v>3182</v>
      </c>
      <c r="G73" s="389" t="s">
        <v>3183</v>
      </c>
      <c r="H73" s="390" t="s">
        <v>351</v>
      </c>
      <c r="I73" s="391" t="s">
        <v>351</v>
      </c>
      <c r="J73" s="353" t="s">
        <v>3184</v>
      </c>
      <c r="K73" s="355" t="s">
        <v>3188</v>
      </c>
      <c r="L73" s="400"/>
      <c r="M73" s="401"/>
      <c r="N73" s="400"/>
      <c r="O73" s="401"/>
      <c r="P73" s="400"/>
      <c r="Q73" s="401"/>
      <c r="R73" s="400"/>
      <c r="S73" s="401"/>
      <c r="T73" s="400"/>
      <c r="U73" s="401"/>
      <c r="V73" s="400"/>
      <c r="W73" s="401"/>
      <c r="X73" s="400"/>
      <c r="Y73" s="401"/>
      <c r="Z73" s="400"/>
      <c r="AA73" s="401"/>
      <c r="AB73" s="400"/>
      <c r="AC73" s="401"/>
      <c r="AD73" s="400"/>
      <c r="AE73" s="401"/>
      <c r="AF73" s="400"/>
      <c r="AG73" s="401"/>
      <c r="AH73" s="400"/>
      <c r="AI73" s="401"/>
      <c r="AJ73" s="400"/>
      <c r="AK73" s="401"/>
      <c r="AL73" s="400"/>
      <c r="AM73" s="401"/>
      <c r="AN73" s="400"/>
      <c r="AO73" s="401"/>
      <c r="AP73" s="400"/>
      <c r="AQ73" s="401"/>
      <c r="AR73" s="400"/>
      <c r="AS73" s="401"/>
      <c r="AT73" s="400"/>
      <c r="AU73" s="401"/>
      <c r="AV73" s="400"/>
      <c r="AW73" s="401"/>
      <c r="AX73" s="400"/>
      <c r="AY73" s="401"/>
      <c r="AZ73" s="400"/>
      <c r="BA73" s="401"/>
      <c r="BB73" s="400"/>
      <c r="BC73" s="401"/>
      <c r="BD73" s="400"/>
      <c r="BE73" s="401"/>
      <c r="BF73" s="400"/>
      <c r="BG73" s="401"/>
      <c r="BH73" s="400"/>
      <c r="BI73" s="401"/>
      <c r="BJ73" s="400"/>
      <c r="BK73" s="401"/>
      <c r="BL73" s="400"/>
      <c r="BM73" s="401"/>
      <c r="BN73" s="400"/>
      <c r="BO73" s="401"/>
      <c r="BP73" s="400"/>
      <c r="BQ73" s="401"/>
      <c r="BR73" s="400"/>
      <c r="BS73" s="401"/>
      <c r="BT73" s="400"/>
      <c r="BU73" s="401"/>
      <c r="BV73" s="337">
        <f t="shared" si="29"/>
        <v>0</v>
      </c>
      <c r="BW73" s="337">
        <f t="shared" si="30"/>
        <v>0</v>
      </c>
    </row>
    <row r="74" spans="1:75" s="64" customFormat="1" ht="21.95" customHeight="1" x14ac:dyDescent="0.2">
      <c r="A74" s="385" t="s">
        <v>3242</v>
      </c>
      <c r="B74" s="386" t="s">
        <v>3243</v>
      </c>
      <c r="C74" s="392" t="s">
        <v>3186</v>
      </c>
      <c r="D74" s="387" t="s">
        <v>3244</v>
      </c>
      <c r="E74" s="388" t="s">
        <v>3245</v>
      </c>
      <c r="F74" s="389" t="s">
        <v>3182</v>
      </c>
      <c r="G74" s="389" t="s">
        <v>3183</v>
      </c>
      <c r="H74" s="390" t="s">
        <v>351</v>
      </c>
      <c r="I74" s="391" t="s">
        <v>351</v>
      </c>
      <c r="J74" s="353" t="s">
        <v>3184</v>
      </c>
      <c r="K74" s="356" t="s">
        <v>3189</v>
      </c>
      <c r="L74" s="400"/>
      <c r="M74" s="401"/>
      <c r="N74" s="400"/>
      <c r="O74" s="401"/>
      <c r="P74" s="400"/>
      <c r="Q74" s="401"/>
      <c r="R74" s="400"/>
      <c r="S74" s="401"/>
      <c r="T74" s="400"/>
      <c r="U74" s="401"/>
      <c r="V74" s="400"/>
      <c r="W74" s="401"/>
      <c r="X74" s="400"/>
      <c r="Y74" s="401"/>
      <c r="Z74" s="400"/>
      <c r="AA74" s="401"/>
      <c r="AB74" s="400"/>
      <c r="AC74" s="401"/>
      <c r="AD74" s="400"/>
      <c r="AE74" s="401"/>
      <c r="AF74" s="400"/>
      <c r="AG74" s="401"/>
      <c r="AH74" s="400"/>
      <c r="AI74" s="401"/>
      <c r="AJ74" s="400"/>
      <c r="AK74" s="401"/>
      <c r="AL74" s="400"/>
      <c r="AM74" s="401"/>
      <c r="AN74" s="400"/>
      <c r="AO74" s="401"/>
      <c r="AP74" s="400"/>
      <c r="AQ74" s="401"/>
      <c r="AR74" s="400"/>
      <c r="AS74" s="401"/>
      <c r="AT74" s="400"/>
      <c r="AU74" s="401"/>
      <c r="AV74" s="400"/>
      <c r="AW74" s="401"/>
      <c r="AX74" s="400"/>
      <c r="AY74" s="401"/>
      <c r="AZ74" s="400"/>
      <c r="BA74" s="401"/>
      <c r="BB74" s="400"/>
      <c r="BC74" s="401"/>
      <c r="BD74" s="400"/>
      <c r="BE74" s="401"/>
      <c r="BF74" s="400"/>
      <c r="BG74" s="401"/>
      <c r="BH74" s="400"/>
      <c r="BI74" s="401"/>
      <c r="BJ74" s="400"/>
      <c r="BK74" s="401"/>
      <c r="BL74" s="400"/>
      <c r="BM74" s="401"/>
      <c r="BN74" s="400"/>
      <c r="BO74" s="401"/>
      <c r="BP74" s="400"/>
      <c r="BQ74" s="401"/>
      <c r="BR74" s="400"/>
      <c r="BS74" s="401"/>
      <c r="BT74" s="400"/>
      <c r="BU74" s="401"/>
      <c r="BV74" s="337">
        <f t="shared" si="29"/>
        <v>0</v>
      </c>
      <c r="BW74" s="337">
        <f t="shared" si="30"/>
        <v>0</v>
      </c>
    </row>
    <row r="75" spans="1:75" s="64" customFormat="1" ht="21.95" customHeight="1" thickBot="1" x14ac:dyDescent="0.25">
      <c r="A75" s="898" t="s">
        <v>3242</v>
      </c>
      <c r="B75" s="393" t="s">
        <v>3243</v>
      </c>
      <c r="C75" s="394" t="s">
        <v>3186</v>
      </c>
      <c r="D75" s="395" t="s">
        <v>3244</v>
      </c>
      <c r="E75" s="411" t="s">
        <v>3245</v>
      </c>
      <c r="F75" s="396" t="s">
        <v>3182</v>
      </c>
      <c r="G75" s="396" t="s">
        <v>3183</v>
      </c>
      <c r="H75" s="397" t="s">
        <v>351</v>
      </c>
      <c r="I75" s="899" t="s">
        <v>351</v>
      </c>
      <c r="J75" s="353" t="s">
        <v>3184</v>
      </c>
      <c r="K75" s="357" t="s">
        <v>60</v>
      </c>
      <c r="L75" s="402"/>
      <c r="M75" s="403"/>
      <c r="N75" s="402"/>
      <c r="O75" s="403"/>
      <c r="P75" s="402"/>
      <c r="Q75" s="403"/>
      <c r="R75" s="402"/>
      <c r="S75" s="403"/>
      <c r="T75" s="402"/>
      <c r="U75" s="403"/>
      <c r="V75" s="402"/>
      <c r="W75" s="403"/>
      <c r="X75" s="402"/>
      <c r="Y75" s="403"/>
      <c r="Z75" s="402"/>
      <c r="AA75" s="403"/>
      <c r="AB75" s="402"/>
      <c r="AC75" s="403"/>
      <c r="AD75" s="402"/>
      <c r="AE75" s="403"/>
      <c r="AF75" s="402"/>
      <c r="AG75" s="403"/>
      <c r="AH75" s="402"/>
      <c r="AI75" s="403"/>
      <c r="AJ75" s="402"/>
      <c r="AK75" s="403"/>
      <c r="AL75" s="402"/>
      <c r="AM75" s="403"/>
      <c r="AN75" s="402"/>
      <c r="AO75" s="403"/>
      <c r="AP75" s="402"/>
      <c r="AQ75" s="403"/>
      <c r="AR75" s="402"/>
      <c r="AS75" s="403"/>
      <c r="AT75" s="402"/>
      <c r="AU75" s="403"/>
      <c r="AV75" s="402"/>
      <c r="AW75" s="403"/>
      <c r="AX75" s="402"/>
      <c r="AY75" s="403"/>
      <c r="AZ75" s="402"/>
      <c r="BA75" s="403"/>
      <c r="BB75" s="402"/>
      <c r="BC75" s="403"/>
      <c r="BD75" s="402"/>
      <c r="BE75" s="403"/>
      <c r="BF75" s="402"/>
      <c r="BG75" s="403"/>
      <c r="BH75" s="402"/>
      <c r="BI75" s="403"/>
      <c r="BJ75" s="402"/>
      <c r="BK75" s="403"/>
      <c r="BL75" s="402"/>
      <c r="BM75" s="403"/>
      <c r="BN75" s="402"/>
      <c r="BO75" s="403"/>
      <c r="BP75" s="402"/>
      <c r="BQ75" s="403"/>
      <c r="BR75" s="402"/>
      <c r="BS75" s="403"/>
      <c r="BT75" s="402"/>
      <c r="BU75" s="403"/>
      <c r="BV75" s="337">
        <f t="shared" si="29"/>
        <v>0</v>
      </c>
      <c r="BW75" s="337">
        <f t="shared" si="30"/>
        <v>0</v>
      </c>
    </row>
    <row r="76" spans="1:75" s="64" customFormat="1" ht="21.95" customHeight="1" x14ac:dyDescent="0.25">
      <c r="A76" s="425" t="s">
        <v>3246</v>
      </c>
      <c r="B76" s="526" t="s">
        <v>3247</v>
      </c>
      <c r="C76" s="527">
        <v>1</v>
      </c>
      <c r="D76" s="528" t="s">
        <v>3248</v>
      </c>
      <c r="E76" s="426" t="s">
        <v>3249</v>
      </c>
      <c r="F76" s="529" t="s">
        <v>3182</v>
      </c>
      <c r="G76" s="529" t="s">
        <v>3183</v>
      </c>
      <c r="H76" s="530" t="s">
        <v>352</v>
      </c>
      <c r="I76" s="384" t="s">
        <v>352</v>
      </c>
      <c r="J76" s="353" t="s">
        <v>3184</v>
      </c>
      <c r="K76" s="354" t="s">
        <v>3185</v>
      </c>
      <c r="L76" s="402"/>
      <c r="M76" s="403"/>
      <c r="N76" s="402"/>
      <c r="O76" s="403"/>
      <c r="P76" s="402"/>
      <c r="Q76" s="403"/>
      <c r="R76" s="402"/>
      <c r="S76" s="403"/>
      <c r="T76" s="402"/>
      <c r="U76" s="403"/>
      <c r="V76" s="402"/>
      <c r="W76" s="403"/>
      <c r="X76" s="402"/>
      <c r="Y76" s="403"/>
      <c r="Z76" s="402"/>
      <c r="AA76" s="403"/>
      <c r="AB76" s="402"/>
      <c r="AC76" s="403"/>
      <c r="AD76" s="402"/>
      <c r="AE76" s="403"/>
      <c r="AF76" s="402"/>
      <c r="AG76" s="403"/>
      <c r="AH76" s="402"/>
      <c r="AI76" s="403"/>
      <c r="AJ76" s="402"/>
      <c r="AK76" s="403"/>
      <c r="AL76" s="402"/>
      <c r="AM76" s="403"/>
      <c r="AN76" s="402"/>
      <c r="AO76" s="403"/>
      <c r="AP76" s="402"/>
      <c r="AQ76" s="403"/>
      <c r="AR76" s="402"/>
      <c r="AS76" s="403"/>
      <c r="AT76" s="402"/>
      <c r="AU76" s="403"/>
      <c r="AV76" s="402"/>
      <c r="AW76" s="403"/>
      <c r="AX76" s="402"/>
      <c r="AY76" s="403"/>
      <c r="AZ76" s="402"/>
      <c r="BA76" s="403"/>
      <c r="BB76" s="402"/>
      <c r="BC76" s="403"/>
      <c r="BD76" s="402"/>
      <c r="BE76" s="403"/>
      <c r="BF76" s="402"/>
      <c r="BG76" s="403"/>
      <c r="BH76" s="402"/>
      <c r="BI76" s="403"/>
      <c r="BJ76" s="402"/>
      <c r="BK76" s="403"/>
      <c r="BL76" s="402"/>
      <c r="BM76" s="403"/>
      <c r="BN76" s="402"/>
      <c r="BO76" s="403"/>
      <c r="BP76" s="402"/>
      <c r="BQ76" s="403"/>
      <c r="BR76" s="402"/>
      <c r="BS76" s="403"/>
      <c r="BT76" s="402"/>
      <c r="BU76" s="403"/>
      <c r="BV76" s="337">
        <f>L76+N76+P76+R76+T76+V76+X76+Z76+AB76+AD76+AF76+AH76+AJ76+AL76+AN76+AP76+AR76+AT76+AV76+AX76+AZ76+BB76+BD76+BF76+BH76+BJ76+BL76+BN76+BP76+BR76+BT76</f>
        <v>0</v>
      </c>
      <c r="BW76" s="337">
        <f>M76+O76+Q76+S76+U76+W76+Y76+AA76+AC76+AE76+AG76+AI76+AK76+AM76+AO76+AQ76+AS76+AU76+AW76+AY76+BA76+BC76+BE76+BG76+BI76+BK76+BM76+BO76+BQ76+BS76+BU76</f>
        <v>0</v>
      </c>
    </row>
    <row r="77" spans="1:75" s="64" customFormat="1" ht="21.95" customHeight="1" x14ac:dyDescent="0.2">
      <c r="A77" s="385" t="s">
        <v>3246</v>
      </c>
      <c r="B77" s="386" t="s">
        <v>3247</v>
      </c>
      <c r="C77" s="352" t="s">
        <v>3186</v>
      </c>
      <c r="D77" s="387" t="s">
        <v>3248</v>
      </c>
      <c r="E77" s="388" t="s">
        <v>3249</v>
      </c>
      <c r="F77" s="389" t="s">
        <v>3182</v>
      </c>
      <c r="G77" s="389" t="s">
        <v>3183</v>
      </c>
      <c r="H77" s="390" t="s">
        <v>352</v>
      </c>
      <c r="I77" s="391" t="s">
        <v>352</v>
      </c>
      <c r="J77" s="353" t="s">
        <v>3184</v>
      </c>
      <c r="K77" s="353" t="s">
        <v>3187</v>
      </c>
      <c r="L77" s="400">
        <v>2</v>
      </c>
      <c r="M77" s="401"/>
      <c r="N77" s="400">
        <v>2</v>
      </c>
      <c r="O77" s="401"/>
      <c r="P77" s="400"/>
      <c r="Q77" s="401"/>
      <c r="R77" s="400"/>
      <c r="S77" s="401"/>
      <c r="T77" s="400"/>
      <c r="U77" s="401"/>
      <c r="V77" s="400">
        <v>3</v>
      </c>
      <c r="W77" s="401"/>
      <c r="X77" s="400">
        <v>1</v>
      </c>
      <c r="Y77" s="401"/>
      <c r="Z77" s="400">
        <v>2</v>
      </c>
      <c r="AA77" s="401"/>
      <c r="AB77" s="400">
        <v>2</v>
      </c>
      <c r="AC77" s="401"/>
      <c r="AD77" s="400"/>
      <c r="AE77" s="401"/>
      <c r="AF77" s="400"/>
      <c r="AG77" s="401"/>
      <c r="AH77" s="400"/>
      <c r="AI77" s="401"/>
      <c r="AJ77" s="400">
        <v>3</v>
      </c>
      <c r="AK77" s="401"/>
      <c r="AL77" s="400">
        <v>1</v>
      </c>
      <c r="AM77" s="401"/>
      <c r="AN77" s="400">
        <v>2</v>
      </c>
      <c r="AO77" s="401"/>
      <c r="AP77" s="400">
        <v>2</v>
      </c>
      <c r="AQ77" s="401"/>
      <c r="AR77" s="400"/>
      <c r="AS77" s="401"/>
      <c r="AT77" s="400"/>
      <c r="AU77" s="401"/>
      <c r="AV77" s="400"/>
      <c r="AW77" s="401"/>
      <c r="AX77" s="400">
        <v>3</v>
      </c>
      <c r="AY77" s="401"/>
      <c r="AZ77" s="400">
        <v>1</v>
      </c>
      <c r="BA77" s="401"/>
      <c r="BB77" s="400">
        <v>2</v>
      </c>
      <c r="BC77" s="401"/>
      <c r="BD77" s="400">
        <v>2</v>
      </c>
      <c r="BE77" s="401"/>
      <c r="BF77" s="400"/>
      <c r="BG77" s="401"/>
      <c r="BH77" s="400"/>
      <c r="BI77" s="401"/>
      <c r="BJ77" s="400"/>
      <c r="BK77" s="401"/>
      <c r="BL77" s="400">
        <v>3</v>
      </c>
      <c r="BM77" s="401"/>
      <c r="BN77" s="400">
        <v>1</v>
      </c>
      <c r="BO77" s="401"/>
      <c r="BP77" s="400">
        <v>2</v>
      </c>
      <c r="BQ77" s="401"/>
      <c r="BR77" s="400">
        <v>2</v>
      </c>
      <c r="BS77" s="401"/>
      <c r="BT77" s="400"/>
      <c r="BU77" s="401"/>
      <c r="BV77" s="337">
        <f t="shared" ref="BV77:BV80" si="31">L77+N77+P77+R77+T77+V77+X77+Z77+AB77+AD77+AF77+AH77+AJ77+AL77+AN77+AP77+AR77+AT77+AV77+AX77+AZ77+BB77+BD77+BF77+BH77+BJ77+BL77+BN77+BP77+BR77+BT77</f>
        <v>36</v>
      </c>
      <c r="BW77" s="337">
        <f t="shared" ref="BW77:BW80" si="32">M77+O77+Q77+S77+U77+W77+Y77+AA77+AC77+AE77+AG77+AI77+AK77+AM77+AO77+AQ77+AS77+AU77+AW77+AY77+BA77+BC77+BE77+BG77+BI77+BK77+BM77+BO77+BQ77+BS77+BU77</f>
        <v>0</v>
      </c>
    </row>
    <row r="78" spans="1:75" s="64" customFormat="1" ht="21.95" customHeight="1" x14ac:dyDescent="0.2">
      <c r="A78" s="385" t="s">
        <v>3246</v>
      </c>
      <c r="B78" s="386" t="s">
        <v>3247</v>
      </c>
      <c r="C78" s="392" t="s">
        <v>3186</v>
      </c>
      <c r="D78" s="387" t="s">
        <v>3248</v>
      </c>
      <c r="E78" s="388" t="s">
        <v>3249</v>
      </c>
      <c r="F78" s="389" t="s">
        <v>3182</v>
      </c>
      <c r="G78" s="389" t="s">
        <v>3183</v>
      </c>
      <c r="H78" s="390" t="s">
        <v>352</v>
      </c>
      <c r="I78" s="391" t="s">
        <v>352</v>
      </c>
      <c r="J78" s="353" t="s">
        <v>3184</v>
      </c>
      <c r="K78" s="355" t="s">
        <v>3188</v>
      </c>
      <c r="L78" s="400"/>
      <c r="M78" s="401"/>
      <c r="N78" s="400"/>
      <c r="O78" s="401"/>
      <c r="P78" s="400"/>
      <c r="Q78" s="401"/>
      <c r="R78" s="400"/>
      <c r="S78" s="401"/>
      <c r="T78" s="400"/>
      <c r="U78" s="401"/>
      <c r="V78" s="400"/>
      <c r="W78" s="401"/>
      <c r="X78" s="400"/>
      <c r="Y78" s="401"/>
      <c r="Z78" s="400"/>
      <c r="AA78" s="401"/>
      <c r="AB78" s="400"/>
      <c r="AC78" s="401"/>
      <c r="AD78" s="400"/>
      <c r="AE78" s="401"/>
      <c r="AF78" s="400"/>
      <c r="AG78" s="401"/>
      <c r="AH78" s="400"/>
      <c r="AI78" s="401"/>
      <c r="AJ78" s="400"/>
      <c r="AK78" s="401"/>
      <c r="AL78" s="400"/>
      <c r="AM78" s="401"/>
      <c r="AN78" s="400"/>
      <c r="AO78" s="401"/>
      <c r="AP78" s="400"/>
      <c r="AQ78" s="401"/>
      <c r="AR78" s="400"/>
      <c r="AS78" s="401"/>
      <c r="AT78" s="400"/>
      <c r="AU78" s="401"/>
      <c r="AV78" s="400"/>
      <c r="AW78" s="401"/>
      <c r="AX78" s="400"/>
      <c r="AY78" s="401"/>
      <c r="AZ78" s="400"/>
      <c r="BA78" s="401"/>
      <c r="BB78" s="400"/>
      <c r="BC78" s="401"/>
      <c r="BD78" s="400"/>
      <c r="BE78" s="401"/>
      <c r="BF78" s="400"/>
      <c r="BG78" s="401"/>
      <c r="BH78" s="400"/>
      <c r="BI78" s="401"/>
      <c r="BJ78" s="400"/>
      <c r="BK78" s="401"/>
      <c r="BL78" s="400"/>
      <c r="BM78" s="401"/>
      <c r="BN78" s="400"/>
      <c r="BO78" s="401"/>
      <c r="BP78" s="400"/>
      <c r="BQ78" s="401"/>
      <c r="BR78" s="400"/>
      <c r="BS78" s="401"/>
      <c r="BT78" s="400"/>
      <c r="BU78" s="401"/>
      <c r="BV78" s="337">
        <f t="shared" si="31"/>
        <v>0</v>
      </c>
      <c r="BW78" s="337">
        <f t="shared" si="32"/>
        <v>0</v>
      </c>
    </row>
    <row r="79" spans="1:75" s="64" customFormat="1" ht="21.95" customHeight="1" x14ac:dyDescent="0.2">
      <c r="A79" s="385" t="s">
        <v>3246</v>
      </c>
      <c r="B79" s="386" t="s">
        <v>3247</v>
      </c>
      <c r="C79" s="392" t="s">
        <v>3186</v>
      </c>
      <c r="D79" s="387" t="s">
        <v>3248</v>
      </c>
      <c r="E79" s="388" t="s">
        <v>3249</v>
      </c>
      <c r="F79" s="389" t="s">
        <v>3182</v>
      </c>
      <c r="G79" s="389" t="s">
        <v>3183</v>
      </c>
      <c r="H79" s="390" t="s">
        <v>352</v>
      </c>
      <c r="I79" s="391" t="s">
        <v>352</v>
      </c>
      <c r="J79" s="353" t="s">
        <v>3184</v>
      </c>
      <c r="K79" s="356" t="s">
        <v>3189</v>
      </c>
      <c r="L79" s="400"/>
      <c r="M79" s="401"/>
      <c r="N79" s="400"/>
      <c r="O79" s="401"/>
      <c r="P79" s="400"/>
      <c r="Q79" s="401"/>
      <c r="R79" s="400"/>
      <c r="S79" s="401"/>
      <c r="T79" s="400"/>
      <c r="U79" s="401"/>
      <c r="V79" s="400"/>
      <c r="W79" s="401"/>
      <c r="X79" s="400"/>
      <c r="Y79" s="401"/>
      <c r="Z79" s="400"/>
      <c r="AA79" s="401"/>
      <c r="AB79" s="400"/>
      <c r="AC79" s="401"/>
      <c r="AD79" s="400"/>
      <c r="AE79" s="401"/>
      <c r="AF79" s="400"/>
      <c r="AG79" s="401"/>
      <c r="AH79" s="400"/>
      <c r="AI79" s="401"/>
      <c r="AJ79" s="400"/>
      <c r="AK79" s="401"/>
      <c r="AL79" s="400"/>
      <c r="AM79" s="401"/>
      <c r="AN79" s="400"/>
      <c r="AO79" s="401"/>
      <c r="AP79" s="400"/>
      <c r="AQ79" s="401"/>
      <c r="AR79" s="400"/>
      <c r="AS79" s="401"/>
      <c r="AT79" s="400"/>
      <c r="AU79" s="401"/>
      <c r="AV79" s="400"/>
      <c r="AW79" s="401"/>
      <c r="AX79" s="400"/>
      <c r="AY79" s="401"/>
      <c r="AZ79" s="400"/>
      <c r="BA79" s="401"/>
      <c r="BB79" s="400"/>
      <c r="BC79" s="401"/>
      <c r="BD79" s="400"/>
      <c r="BE79" s="401"/>
      <c r="BF79" s="400"/>
      <c r="BG79" s="401"/>
      <c r="BH79" s="400"/>
      <c r="BI79" s="401"/>
      <c r="BJ79" s="400"/>
      <c r="BK79" s="401"/>
      <c r="BL79" s="400"/>
      <c r="BM79" s="401"/>
      <c r="BN79" s="400"/>
      <c r="BO79" s="401"/>
      <c r="BP79" s="400"/>
      <c r="BQ79" s="401"/>
      <c r="BR79" s="400"/>
      <c r="BS79" s="401"/>
      <c r="BT79" s="400"/>
      <c r="BU79" s="401"/>
      <c r="BV79" s="337">
        <f t="shared" si="31"/>
        <v>0</v>
      </c>
      <c r="BW79" s="337">
        <f t="shared" si="32"/>
        <v>0</v>
      </c>
    </row>
    <row r="80" spans="1:75" s="64" customFormat="1" ht="21.95" customHeight="1" thickBot="1" x14ac:dyDescent="0.25">
      <c r="A80" s="898" t="s">
        <v>3246</v>
      </c>
      <c r="B80" s="393" t="s">
        <v>3247</v>
      </c>
      <c r="C80" s="394" t="s">
        <v>3186</v>
      </c>
      <c r="D80" s="395" t="s">
        <v>3248</v>
      </c>
      <c r="E80" s="411" t="s">
        <v>3249</v>
      </c>
      <c r="F80" s="396" t="s">
        <v>3182</v>
      </c>
      <c r="G80" s="396" t="s">
        <v>3183</v>
      </c>
      <c r="H80" s="397" t="s">
        <v>352</v>
      </c>
      <c r="I80" s="899" t="s">
        <v>352</v>
      </c>
      <c r="J80" s="353" t="s">
        <v>3184</v>
      </c>
      <c r="K80" s="357" t="s">
        <v>60</v>
      </c>
      <c r="L80" s="402"/>
      <c r="M80" s="403"/>
      <c r="N80" s="402"/>
      <c r="O80" s="403"/>
      <c r="P80" s="402"/>
      <c r="Q80" s="403"/>
      <c r="R80" s="402"/>
      <c r="S80" s="403"/>
      <c r="T80" s="402"/>
      <c r="U80" s="403"/>
      <c r="V80" s="402"/>
      <c r="W80" s="403"/>
      <c r="X80" s="402"/>
      <c r="Y80" s="403"/>
      <c r="Z80" s="402"/>
      <c r="AA80" s="403"/>
      <c r="AB80" s="402"/>
      <c r="AC80" s="403"/>
      <c r="AD80" s="402"/>
      <c r="AE80" s="403"/>
      <c r="AF80" s="402"/>
      <c r="AG80" s="403"/>
      <c r="AH80" s="402"/>
      <c r="AI80" s="403"/>
      <c r="AJ80" s="402"/>
      <c r="AK80" s="403"/>
      <c r="AL80" s="402"/>
      <c r="AM80" s="403"/>
      <c r="AN80" s="402"/>
      <c r="AO80" s="403"/>
      <c r="AP80" s="402"/>
      <c r="AQ80" s="403"/>
      <c r="AR80" s="402"/>
      <c r="AS80" s="403"/>
      <c r="AT80" s="402"/>
      <c r="AU80" s="403"/>
      <c r="AV80" s="402"/>
      <c r="AW80" s="403"/>
      <c r="AX80" s="402"/>
      <c r="AY80" s="403"/>
      <c r="AZ80" s="402"/>
      <c r="BA80" s="403"/>
      <c r="BB80" s="402"/>
      <c r="BC80" s="403"/>
      <c r="BD80" s="402"/>
      <c r="BE80" s="403"/>
      <c r="BF80" s="402"/>
      <c r="BG80" s="403"/>
      <c r="BH80" s="402"/>
      <c r="BI80" s="403"/>
      <c r="BJ80" s="402"/>
      <c r="BK80" s="403"/>
      <c r="BL80" s="402"/>
      <c r="BM80" s="403"/>
      <c r="BN80" s="402"/>
      <c r="BO80" s="403"/>
      <c r="BP80" s="402"/>
      <c r="BQ80" s="403"/>
      <c r="BR80" s="402"/>
      <c r="BS80" s="403"/>
      <c r="BT80" s="402"/>
      <c r="BU80" s="403"/>
      <c r="BV80" s="337">
        <f t="shared" si="31"/>
        <v>0</v>
      </c>
      <c r="BW80" s="337">
        <f t="shared" si="32"/>
        <v>0</v>
      </c>
    </row>
    <row r="81" spans="1:75" s="64" customFormat="1" ht="21.95" customHeight="1" x14ac:dyDescent="0.25">
      <c r="A81" s="425" t="s">
        <v>3250</v>
      </c>
      <c r="B81" s="526" t="s">
        <v>3251</v>
      </c>
      <c r="C81" s="527">
        <v>1</v>
      </c>
      <c r="D81" s="528" t="s">
        <v>3252</v>
      </c>
      <c r="E81" s="426" t="s">
        <v>3253</v>
      </c>
      <c r="F81" s="529" t="s">
        <v>3182</v>
      </c>
      <c r="G81" s="529" t="s">
        <v>3183</v>
      </c>
      <c r="H81" s="530" t="s">
        <v>354</v>
      </c>
      <c r="I81" s="384" t="s">
        <v>354</v>
      </c>
      <c r="J81" s="353" t="s">
        <v>3184</v>
      </c>
      <c r="K81" s="354" t="s">
        <v>3185</v>
      </c>
      <c r="L81" s="402"/>
      <c r="M81" s="403"/>
      <c r="N81" s="402"/>
      <c r="O81" s="403"/>
      <c r="P81" s="402"/>
      <c r="Q81" s="403"/>
      <c r="R81" s="402"/>
      <c r="S81" s="403"/>
      <c r="T81" s="402"/>
      <c r="U81" s="403"/>
      <c r="V81" s="402"/>
      <c r="W81" s="403"/>
      <c r="X81" s="402"/>
      <c r="Y81" s="403"/>
      <c r="Z81" s="402"/>
      <c r="AA81" s="403"/>
      <c r="AB81" s="402"/>
      <c r="AC81" s="403"/>
      <c r="AD81" s="402"/>
      <c r="AE81" s="403"/>
      <c r="AF81" s="402"/>
      <c r="AG81" s="403"/>
      <c r="AH81" s="402"/>
      <c r="AI81" s="403"/>
      <c r="AJ81" s="402"/>
      <c r="AK81" s="403"/>
      <c r="AL81" s="402"/>
      <c r="AM81" s="403"/>
      <c r="AN81" s="402"/>
      <c r="AO81" s="403"/>
      <c r="AP81" s="402"/>
      <c r="AQ81" s="403"/>
      <c r="AR81" s="402"/>
      <c r="AS81" s="403"/>
      <c r="AT81" s="402"/>
      <c r="AU81" s="403"/>
      <c r="AV81" s="402"/>
      <c r="AW81" s="403"/>
      <c r="AX81" s="402"/>
      <c r="AY81" s="403"/>
      <c r="AZ81" s="402"/>
      <c r="BA81" s="403"/>
      <c r="BB81" s="402"/>
      <c r="BC81" s="403"/>
      <c r="BD81" s="402"/>
      <c r="BE81" s="403"/>
      <c r="BF81" s="402"/>
      <c r="BG81" s="403"/>
      <c r="BH81" s="402"/>
      <c r="BI81" s="403"/>
      <c r="BJ81" s="402"/>
      <c r="BK81" s="403"/>
      <c r="BL81" s="402"/>
      <c r="BM81" s="403"/>
      <c r="BN81" s="402"/>
      <c r="BO81" s="403"/>
      <c r="BP81" s="402"/>
      <c r="BQ81" s="403"/>
      <c r="BR81" s="402"/>
      <c r="BS81" s="403"/>
      <c r="BT81" s="402"/>
      <c r="BU81" s="403"/>
      <c r="BV81" s="337">
        <f>L81+N81+P81+R81+T81+V81+X81+Z81+AB81+AD81+AF81+AH81+AJ81+AL81+AN81+AP81+AR81+AT81+AV81+AX81+AZ81+BB81+BD81+BF81+BH81+BJ81+BL81+BN81+BP81+BR81+BT81</f>
        <v>0</v>
      </c>
      <c r="BW81" s="337">
        <f>M81+O81+Q81+S81+U81+W81+Y81+AA81+AC81+AE81+AG81+AI81+AK81+AM81+AO81+AQ81+AS81+AU81+AW81+AY81+BA81+BC81+BE81+BG81+BI81+BK81+BM81+BO81+BQ81+BS81+BU81</f>
        <v>0</v>
      </c>
    </row>
    <row r="82" spans="1:75" s="64" customFormat="1" ht="21.95" customHeight="1" x14ac:dyDescent="0.2">
      <c r="A82" s="385" t="s">
        <v>3250</v>
      </c>
      <c r="B82" s="386" t="s">
        <v>3251</v>
      </c>
      <c r="C82" s="352" t="s">
        <v>3186</v>
      </c>
      <c r="D82" s="387" t="s">
        <v>3252</v>
      </c>
      <c r="E82" s="388" t="s">
        <v>3253</v>
      </c>
      <c r="F82" s="389" t="s">
        <v>3182</v>
      </c>
      <c r="G82" s="389" t="s">
        <v>3183</v>
      </c>
      <c r="H82" s="390" t="s">
        <v>354</v>
      </c>
      <c r="I82" s="391" t="s">
        <v>354</v>
      </c>
      <c r="J82" s="353" t="s">
        <v>3184</v>
      </c>
      <c r="K82" s="353" t="s">
        <v>3187</v>
      </c>
      <c r="L82" s="400"/>
      <c r="M82" s="401"/>
      <c r="N82" s="400"/>
      <c r="O82" s="401"/>
      <c r="P82" s="400"/>
      <c r="Q82" s="401"/>
      <c r="R82" s="400"/>
      <c r="S82" s="401"/>
      <c r="T82" s="400"/>
      <c r="U82" s="401"/>
      <c r="V82" s="400"/>
      <c r="W82" s="401"/>
      <c r="X82" s="400"/>
      <c r="Y82" s="401"/>
      <c r="Z82" s="400"/>
      <c r="AA82" s="401"/>
      <c r="AB82" s="400"/>
      <c r="AC82" s="401"/>
      <c r="AD82" s="400"/>
      <c r="AE82" s="401"/>
      <c r="AF82" s="400"/>
      <c r="AG82" s="401"/>
      <c r="AH82" s="400"/>
      <c r="AI82" s="401"/>
      <c r="AJ82" s="400"/>
      <c r="AK82" s="401"/>
      <c r="AL82" s="400"/>
      <c r="AM82" s="401"/>
      <c r="AN82" s="400"/>
      <c r="AO82" s="401"/>
      <c r="AP82" s="400"/>
      <c r="AQ82" s="401"/>
      <c r="AR82" s="400"/>
      <c r="AS82" s="401"/>
      <c r="AT82" s="400"/>
      <c r="AU82" s="401"/>
      <c r="AV82" s="400"/>
      <c r="AW82" s="401"/>
      <c r="AX82" s="400"/>
      <c r="AY82" s="401"/>
      <c r="AZ82" s="400"/>
      <c r="BA82" s="401"/>
      <c r="BB82" s="400">
        <v>1</v>
      </c>
      <c r="BC82" s="401"/>
      <c r="BD82" s="400">
        <v>1</v>
      </c>
      <c r="BE82" s="401"/>
      <c r="BF82" s="400"/>
      <c r="BG82" s="401"/>
      <c r="BH82" s="400"/>
      <c r="BI82" s="401"/>
      <c r="BJ82" s="400"/>
      <c r="BK82" s="401"/>
      <c r="BL82" s="400">
        <v>1</v>
      </c>
      <c r="BM82" s="401"/>
      <c r="BN82" s="400">
        <v>1</v>
      </c>
      <c r="BO82" s="401"/>
      <c r="BP82" s="400">
        <v>1</v>
      </c>
      <c r="BQ82" s="401"/>
      <c r="BR82" s="400">
        <v>1</v>
      </c>
      <c r="BS82" s="401"/>
      <c r="BT82" s="400"/>
      <c r="BU82" s="401"/>
      <c r="BV82" s="337">
        <f t="shared" ref="BV82:BV85" si="33">L82+N82+P82+R82+T82+V82+X82+Z82+AB82+AD82+AF82+AH82+AJ82+AL82+AN82+AP82+AR82+AT82+AV82+AX82+AZ82+BB82+BD82+BF82+BH82+BJ82+BL82+BN82+BP82+BR82+BT82</f>
        <v>6</v>
      </c>
      <c r="BW82" s="337">
        <f t="shared" ref="BW82:BW85" si="34">M82+O82+Q82+S82+U82+W82+Y82+AA82+AC82+AE82+AG82+AI82+AK82+AM82+AO82+AQ82+AS82+AU82+AW82+AY82+BA82+BC82+BE82+BG82+BI82+BK82+BM82+BO82+BQ82+BS82+BU82</f>
        <v>0</v>
      </c>
    </row>
    <row r="83" spans="1:75" s="64" customFormat="1" ht="21.95" customHeight="1" x14ac:dyDescent="0.2">
      <c r="A83" s="385" t="s">
        <v>3250</v>
      </c>
      <c r="B83" s="386" t="s">
        <v>3251</v>
      </c>
      <c r="C83" s="392" t="s">
        <v>3186</v>
      </c>
      <c r="D83" s="387" t="s">
        <v>3252</v>
      </c>
      <c r="E83" s="388" t="s">
        <v>3253</v>
      </c>
      <c r="F83" s="389" t="s">
        <v>3182</v>
      </c>
      <c r="G83" s="389" t="s">
        <v>3183</v>
      </c>
      <c r="H83" s="390" t="s">
        <v>354</v>
      </c>
      <c r="I83" s="391" t="s">
        <v>354</v>
      </c>
      <c r="J83" s="353" t="s">
        <v>3184</v>
      </c>
      <c r="K83" s="355" t="s">
        <v>3188</v>
      </c>
      <c r="L83" s="400"/>
      <c r="M83" s="401"/>
      <c r="N83" s="400"/>
      <c r="O83" s="401"/>
      <c r="P83" s="400"/>
      <c r="Q83" s="401"/>
      <c r="R83" s="400"/>
      <c r="S83" s="401"/>
      <c r="T83" s="400"/>
      <c r="U83" s="401"/>
      <c r="V83" s="400"/>
      <c r="W83" s="401"/>
      <c r="X83" s="400"/>
      <c r="Y83" s="401"/>
      <c r="Z83" s="400"/>
      <c r="AA83" s="401"/>
      <c r="AB83" s="400"/>
      <c r="AC83" s="401"/>
      <c r="AD83" s="400"/>
      <c r="AE83" s="401"/>
      <c r="AF83" s="400"/>
      <c r="AG83" s="401"/>
      <c r="AH83" s="400"/>
      <c r="AI83" s="401"/>
      <c r="AJ83" s="400"/>
      <c r="AK83" s="401"/>
      <c r="AL83" s="400"/>
      <c r="AM83" s="401"/>
      <c r="AN83" s="400"/>
      <c r="AO83" s="401"/>
      <c r="AP83" s="400"/>
      <c r="AQ83" s="401"/>
      <c r="AR83" s="400"/>
      <c r="AS83" s="401"/>
      <c r="AT83" s="400"/>
      <c r="AU83" s="401"/>
      <c r="AV83" s="400"/>
      <c r="AW83" s="401"/>
      <c r="AX83" s="400"/>
      <c r="AY83" s="401"/>
      <c r="AZ83" s="400"/>
      <c r="BA83" s="401"/>
      <c r="BB83" s="400"/>
      <c r="BC83" s="401"/>
      <c r="BD83" s="400"/>
      <c r="BE83" s="401"/>
      <c r="BF83" s="400"/>
      <c r="BG83" s="401"/>
      <c r="BH83" s="400"/>
      <c r="BI83" s="401"/>
      <c r="BJ83" s="400"/>
      <c r="BK83" s="401"/>
      <c r="BL83" s="400"/>
      <c r="BM83" s="401"/>
      <c r="BN83" s="400"/>
      <c r="BO83" s="401"/>
      <c r="BP83" s="400"/>
      <c r="BQ83" s="401"/>
      <c r="BR83" s="400"/>
      <c r="BS83" s="401"/>
      <c r="BT83" s="400"/>
      <c r="BU83" s="401"/>
      <c r="BV83" s="337">
        <f t="shared" si="33"/>
        <v>0</v>
      </c>
      <c r="BW83" s="337">
        <f t="shared" si="34"/>
        <v>0</v>
      </c>
    </row>
    <row r="84" spans="1:75" s="64" customFormat="1" ht="21.95" customHeight="1" x14ac:dyDescent="0.2">
      <c r="A84" s="385" t="s">
        <v>3250</v>
      </c>
      <c r="B84" s="386" t="s">
        <v>3251</v>
      </c>
      <c r="C84" s="392" t="s">
        <v>3186</v>
      </c>
      <c r="D84" s="387" t="s">
        <v>3252</v>
      </c>
      <c r="E84" s="388" t="s">
        <v>3253</v>
      </c>
      <c r="F84" s="389" t="s">
        <v>3182</v>
      </c>
      <c r="G84" s="389" t="s">
        <v>3183</v>
      </c>
      <c r="H84" s="390" t="s">
        <v>354</v>
      </c>
      <c r="I84" s="391" t="s">
        <v>354</v>
      </c>
      <c r="J84" s="353" t="s">
        <v>3184</v>
      </c>
      <c r="K84" s="356" t="s">
        <v>3189</v>
      </c>
      <c r="L84" s="400"/>
      <c r="M84" s="401"/>
      <c r="N84" s="400"/>
      <c r="O84" s="401"/>
      <c r="P84" s="400"/>
      <c r="Q84" s="401"/>
      <c r="R84" s="400"/>
      <c r="S84" s="401"/>
      <c r="T84" s="400"/>
      <c r="U84" s="401"/>
      <c r="V84" s="400"/>
      <c r="W84" s="401"/>
      <c r="X84" s="400"/>
      <c r="Y84" s="401"/>
      <c r="Z84" s="400"/>
      <c r="AA84" s="401"/>
      <c r="AB84" s="400"/>
      <c r="AC84" s="401"/>
      <c r="AD84" s="400"/>
      <c r="AE84" s="401"/>
      <c r="AF84" s="400"/>
      <c r="AG84" s="401"/>
      <c r="AH84" s="400"/>
      <c r="AI84" s="401"/>
      <c r="AJ84" s="400"/>
      <c r="AK84" s="401"/>
      <c r="AL84" s="400"/>
      <c r="AM84" s="401"/>
      <c r="AN84" s="400"/>
      <c r="AO84" s="401"/>
      <c r="AP84" s="400"/>
      <c r="AQ84" s="401"/>
      <c r="AR84" s="400"/>
      <c r="AS84" s="401"/>
      <c r="AT84" s="400"/>
      <c r="AU84" s="401"/>
      <c r="AV84" s="400"/>
      <c r="AW84" s="401"/>
      <c r="AX84" s="400"/>
      <c r="AY84" s="401"/>
      <c r="AZ84" s="400"/>
      <c r="BA84" s="401"/>
      <c r="BB84" s="400"/>
      <c r="BC84" s="401"/>
      <c r="BD84" s="400"/>
      <c r="BE84" s="401"/>
      <c r="BF84" s="400"/>
      <c r="BG84" s="401"/>
      <c r="BH84" s="400"/>
      <c r="BI84" s="401"/>
      <c r="BJ84" s="400"/>
      <c r="BK84" s="401"/>
      <c r="BL84" s="400"/>
      <c r="BM84" s="401"/>
      <c r="BN84" s="400"/>
      <c r="BO84" s="401"/>
      <c r="BP84" s="400"/>
      <c r="BQ84" s="401"/>
      <c r="BR84" s="400"/>
      <c r="BS84" s="401"/>
      <c r="BT84" s="400"/>
      <c r="BU84" s="401"/>
      <c r="BV84" s="337">
        <f t="shared" si="33"/>
        <v>0</v>
      </c>
      <c r="BW84" s="337">
        <f t="shared" si="34"/>
        <v>0</v>
      </c>
    </row>
    <row r="85" spans="1:75" s="64" customFormat="1" ht="21.95" customHeight="1" thickBot="1" x14ac:dyDescent="0.25">
      <c r="A85" s="898" t="s">
        <v>3250</v>
      </c>
      <c r="B85" s="393" t="s">
        <v>3251</v>
      </c>
      <c r="C85" s="394" t="s">
        <v>3186</v>
      </c>
      <c r="D85" s="395" t="s">
        <v>3252</v>
      </c>
      <c r="E85" s="411" t="s">
        <v>3253</v>
      </c>
      <c r="F85" s="396" t="s">
        <v>3182</v>
      </c>
      <c r="G85" s="396" t="s">
        <v>3183</v>
      </c>
      <c r="H85" s="397" t="s">
        <v>354</v>
      </c>
      <c r="I85" s="899" t="s">
        <v>354</v>
      </c>
      <c r="J85" s="353" t="s">
        <v>3184</v>
      </c>
      <c r="K85" s="357" t="s">
        <v>60</v>
      </c>
      <c r="L85" s="402"/>
      <c r="M85" s="403"/>
      <c r="N85" s="402"/>
      <c r="O85" s="403"/>
      <c r="P85" s="402"/>
      <c r="Q85" s="403"/>
      <c r="R85" s="402"/>
      <c r="S85" s="403"/>
      <c r="T85" s="402"/>
      <c r="U85" s="403"/>
      <c r="V85" s="402"/>
      <c r="W85" s="403"/>
      <c r="X85" s="402"/>
      <c r="Y85" s="403"/>
      <c r="Z85" s="402"/>
      <c r="AA85" s="403"/>
      <c r="AB85" s="402"/>
      <c r="AC85" s="403"/>
      <c r="AD85" s="402"/>
      <c r="AE85" s="403"/>
      <c r="AF85" s="402"/>
      <c r="AG85" s="403"/>
      <c r="AH85" s="402"/>
      <c r="AI85" s="403"/>
      <c r="AJ85" s="402"/>
      <c r="AK85" s="403"/>
      <c r="AL85" s="402"/>
      <c r="AM85" s="403"/>
      <c r="AN85" s="402"/>
      <c r="AO85" s="403"/>
      <c r="AP85" s="402"/>
      <c r="AQ85" s="403"/>
      <c r="AR85" s="402"/>
      <c r="AS85" s="403"/>
      <c r="AT85" s="402"/>
      <c r="AU85" s="403"/>
      <c r="AV85" s="402"/>
      <c r="AW85" s="403"/>
      <c r="AX85" s="402"/>
      <c r="AY85" s="403"/>
      <c r="AZ85" s="402"/>
      <c r="BA85" s="403"/>
      <c r="BB85" s="402"/>
      <c r="BC85" s="403"/>
      <c r="BD85" s="402"/>
      <c r="BE85" s="403"/>
      <c r="BF85" s="402"/>
      <c r="BG85" s="403"/>
      <c r="BH85" s="402"/>
      <c r="BI85" s="403"/>
      <c r="BJ85" s="402"/>
      <c r="BK85" s="403"/>
      <c r="BL85" s="402"/>
      <c r="BM85" s="403"/>
      <c r="BN85" s="402"/>
      <c r="BO85" s="403"/>
      <c r="BP85" s="402"/>
      <c r="BQ85" s="403"/>
      <c r="BR85" s="402"/>
      <c r="BS85" s="403"/>
      <c r="BT85" s="402"/>
      <c r="BU85" s="403"/>
      <c r="BV85" s="337">
        <f t="shared" si="33"/>
        <v>0</v>
      </c>
      <c r="BW85" s="337">
        <f t="shared" si="34"/>
        <v>0</v>
      </c>
    </row>
    <row r="86" spans="1:75" s="64" customFormat="1" ht="21.95" customHeight="1" x14ac:dyDescent="0.25">
      <c r="A86" s="425" t="s">
        <v>3254</v>
      </c>
      <c r="B86" s="526" t="s">
        <v>3255</v>
      </c>
      <c r="C86" s="527">
        <v>1</v>
      </c>
      <c r="D86" s="528" t="s">
        <v>3256</v>
      </c>
      <c r="E86" s="426" t="s">
        <v>3257</v>
      </c>
      <c r="F86" s="529" t="s">
        <v>3182</v>
      </c>
      <c r="G86" s="529" t="s">
        <v>3183</v>
      </c>
      <c r="H86" s="530" t="s">
        <v>356</v>
      </c>
      <c r="I86" s="384" t="s">
        <v>356</v>
      </c>
      <c r="J86" s="353" t="s">
        <v>3184</v>
      </c>
      <c r="K86" s="354" t="s">
        <v>3185</v>
      </c>
      <c r="L86" s="402"/>
      <c r="M86" s="403"/>
      <c r="N86" s="402"/>
      <c r="O86" s="403"/>
      <c r="P86" s="402"/>
      <c r="Q86" s="403"/>
      <c r="R86" s="402"/>
      <c r="S86" s="403"/>
      <c r="T86" s="402"/>
      <c r="U86" s="403"/>
      <c r="V86" s="402"/>
      <c r="W86" s="403"/>
      <c r="X86" s="402"/>
      <c r="Y86" s="403"/>
      <c r="Z86" s="402"/>
      <c r="AA86" s="403"/>
      <c r="AB86" s="402"/>
      <c r="AC86" s="403"/>
      <c r="AD86" s="402"/>
      <c r="AE86" s="403"/>
      <c r="AF86" s="402"/>
      <c r="AG86" s="403"/>
      <c r="AH86" s="402"/>
      <c r="AI86" s="403"/>
      <c r="AJ86" s="402"/>
      <c r="AK86" s="403"/>
      <c r="AL86" s="402"/>
      <c r="AM86" s="403"/>
      <c r="AN86" s="402"/>
      <c r="AO86" s="403"/>
      <c r="AP86" s="402"/>
      <c r="AQ86" s="403"/>
      <c r="AR86" s="402"/>
      <c r="AS86" s="403"/>
      <c r="AT86" s="402"/>
      <c r="AU86" s="403"/>
      <c r="AV86" s="402"/>
      <c r="AW86" s="403"/>
      <c r="AX86" s="402"/>
      <c r="AY86" s="403"/>
      <c r="AZ86" s="402"/>
      <c r="BA86" s="403"/>
      <c r="BB86" s="402"/>
      <c r="BC86" s="403"/>
      <c r="BD86" s="402"/>
      <c r="BE86" s="403"/>
      <c r="BF86" s="402"/>
      <c r="BG86" s="403"/>
      <c r="BH86" s="402"/>
      <c r="BI86" s="403"/>
      <c r="BJ86" s="402"/>
      <c r="BK86" s="403"/>
      <c r="BL86" s="402"/>
      <c r="BM86" s="403"/>
      <c r="BN86" s="402"/>
      <c r="BO86" s="403"/>
      <c r="BP86" s="402"/>
      <c r="BQ86" s="403"/>
      <c r="BR86" s="402"/>
      <c r="BS86" s="403"/>
      <c r="BT86" s="402"/>
      <c r="BU86" s="403"/>
      <c r="BV86" s="337">
        <f>L86+N86+P86+R86+T86+V86+X86+Z86+AB86+AD86+AF86+AH86+AJ86+AL86+AN86+AP86+AR86+AT86+AV86+AX86+AZ86+BB86+BD86+BF86+BH86+BJ86+BL86+BN86+BP86+BR86+BT86</f>
        <v>0</v>
      </c>
      <c r="BW86" s="337">
        <f>M86+O86+Q86+S86+U86+W86+Y86+AA86+AC86+AE86+AG86+AI86+AK86+AM86+AO86+AQ86+AS86+AU86+AW86+AY86+BA86+BC86+BE86+BG86+BI86+BK86+BM86+BO86+BQ86+BS86+BU86</f>
        <v>0</v>
      </c>
    </row>
    <row r="87" spans="1:75" s="64" customFormat="1" ht="21.95" customHeight="1" x14ac:dyDescent="0.2">
      <c r="A87" s="385" t="s">
        <v>3254</v>
      </c>
      <c r="B87" s="386" t="s">
        <v>3255</v>
      </c>
      <c r="C87" s="352" t="s">
        <v>3186</v>
      </c>
      <c r="D87" s="387" t="s">
        <v>3256</v>
      </c>
      <c r="E87" s="388" t="s">
        <v>3257</v>
      </c>
      <c r="F87" s="389" t="s">
        <v>3182</v>
      </c>
      <c r="G87" s="389" t="s">
        <v>3183</v>
      </c>
      <c r="H87" s="390" t="s">
        <v>356</v>
      </c>
      <c r="I87" s="391" t="s">
        <v>356</v>
      </c>
      <c r="J87" s="353" t="s">
        <v>3184</v>
      </c>
      <c r="K87" s="353" t="s">
        <v>3187</v>
      </c>
      <c r="L87" s="400"/>
      <c r="M87" s="401"/>
      <c r="N87" s="400"/>
      <c r="O87" s="401"/>
      <c r="P87" s="400"/>
      <c r="Q87" s="401"/>
      <c r="R87" s="400"/>
      <c r="S87" s="401"/>
      <c r="T87" s="400"/>
      <c r="U87" s="401"/>
      <c r="V87" s="400"/>
      <c r="W87" s="401"/>
      <c r="X87" s="400"/>
      <c r="Y87" s="401"/>
      <c r="Z87" s="400"/>
      <c r="AA87" s="401"/>
      <c r="AB87" s="400"/>
      <c r="AC87" s="401"/>
      <c r="AD87" s="400"/>
      <c r="AE87" s="401"/>
      <c r="AF87" s="400"/>
      <c r="AG87" s="401"/>
      <c r="AH87" s="400"/>
      <c r="AI87" s="401"/>
      <c r="AJ87" s="400"/>
      <c r="AK87" s="401"/>
      <c r="AL87" s="400"/>
      <c r="AM87" s="401"/>
      <c r="AN87" s="400"/>
      <c r="AO87" s="401"/>
      <c r="AP87" s="400"/>
      <c r="AQ87" s="401"/>
      <c r="AR87" s="400"/>
      <c r="AS87" s="401"/>
      <c r="AT87" s="400"/>
      <c r="AU87" s="401"/>
      <c r="AV87" s="400"/>
      <c r="AW87" s="401"/>
      <c r="AX87" s="400"/>
      <c r="AY87" s="401"/>
      <c r="AZ87" s="400"/>
      <c r="BA87" s="401"/>
      <c r="BB87" s="400"/>
      <c r="BC87" s="401"/>
      <c r="BD87" s="400"/>
      <c r="BE87" s="401"/>
      <c r="BF87" s="400"/>
      <c r="BG87" s="401"/>
      <c r="BH87" s="400"/>
      <c r="BI87" s="401"/>
      <c r="BJ87" s="400"/>
      <c r="BK87" s="401"/>
      <c r="BL87" s="400"/>
      <c r="BM87" s="401"/>
      <c r="BN87" s="400"/>
      <c r="BO87" s="401"/>
      <c r="BP87" s="400"/>
      <c r="BQ87" s="401"/>
      <c r="BR87" s="400"/>
      <c r="BS87" s="401"/>
      <c r="BT87" s="400"/>
      <c r="BU87" s="401"/>
      <c r="BV87" s="337">
        <f t="shared" ref="BV87:BV90" si="35">L87+N87+P87+R87+T87+V87+X87+Z87+AB87+AD87+AF87+AH87+AJ87+AL87+AN87+AP87+AR87+AT87+AV87+AX87+AZ87+BB87+BD87+BF87+BH87+BJ87+BL87+BN87+BP87+BR87+BT87</f>
        <v>0</v>
      </c>
      <c r="BW87" s="337">
        <f t="shared" ref="BW87:BW90" si="36">M87+O87+Q87+S87+U87+W87+Y87+AA87+AC87+AE87+AG87+AI87+AK87+AM87+AO87+AQ87+AS87+AU87+AW87+AY87+BA87+BC87+BE87+BG87+BI87+BK87+BM87+BO87+BQ87+BS87+BU87</f>
        <v>0</v>
      </c>
    </row>
    <row r="88" spans="1:75" s="64" customFormat="1" ht="21.95" customHeight="1" x14ac:dyDescent="0.2">
      <c r="A88" s="385" t="s">
        <v>3254</v>
      </c>
      <c r="B88" s="386" t="s">
        <v>3255</v>
      </c>
      <c r="C88" s="392" t="s">
        <v>3186</v>
      </c>
      <c r="D88" s="387" t="s">
        <v>3256</v>
      </c>
      <c r="E88" s="388" t="s">
        <v>3257</v>
      </c>
      <c r="F88" s="389" t="s">
        <v>3182</v>
      </c>
      <c r="G88" s="389" t="s">
        <v>3183</v>
      </c>
      <c r="H88" s="390" t="s">
        <v>356</v>
      </c>
      <c r="I88" s="391" t="s">
        <v>356</v>
      </c>
      <c r="J88" s="353" t="s">
        <v>3184</v>
      </c>
      <c r="K88" s="355" t="s">
        <v>3188</v>
      </c>
      <c r="L88" s="400"/>
      <c r="M88" s="401"/>
      <c r="N88" s="400"/>
      <c r="O88" s="401"/>
      <c r="P88" s="400"/>
      <c r="Q88" s="401"/>
      <c r="R88" s="400"/>
      <c r="S88" s="401"/>
      <c r="T88" s="400"/>
      <c r="U88" s="401"/>
      <c r="V88" s="400"/>
      <c r="W88" s="401"/>
      <c r="X88" s="400"/>
      <c r="Y88" s="401"/>
      <c r="Z88" s="400"/>
      <c r="AA88" s="401"/>
      <c r="AB88" s="400"/>
      <c r="AC88" s="401"/>
      <c r="AD88" s="400"/>
      <c r="AE88" s="401"/>
      <c r="AF88" s="400"/>
      <c r="AG88" s="401"/>
      <c r="AH88" s="400"/>
      <c r="AI88" s="401"/>
      <c r="AJ88" s="400"/>
      <c r="AK88" s="401"/>
      <c r="AL88" s="400"/>
      <c r="AM88" s="401"/>
      <c r="AN88" s="400"/>
      <c r="AO88" s="401"/>
      <c r="AP88" s="400"/>
      <c r="AQ88" s="401"/>
      <c r="AR88" s="400"/>
      <c r="AS88" s="401"/>
      <c r="AT88" s="400"/>
      <c r="AU88" s="401"/>
      <c r="AV88" s="400"/>
      <c r="AW88" s="401"/>
      <c r="AX88" s="400"/>
      <c r="AY88" s="401"/>
      <c r="AZ88" s="400"/>
      <c r="BA88" s="401"/>
      <c r="BB88" s="400"/>
      <c r="BC88" s="401"/>
      <c r="BD88" s="400"/>
      <c r="BE88" s="401"/>
      <c r="BF88" s="400"/>
      <c r="BG88" s="401"/>
      <c r="BH88" s="400"/>
      <c r="BI88" s="401"/>
      <c r="BJ88" s="400"/>
      <c r="BK88" s="401"/>
      <c r="BL88" s="400"/>
      <c r="BM88" s="401"/>
      <c r="BN88" s="400"/>
      <c r="BO88" s="401"/>
      <c r="BP88" s="400"/>
      <c r="BQ88" s="401"/>
      <c r="BR88" s="400"/>
      <c r="BS88" s="401"/>
      <c r="BT88" s="400"/>
      <c r="BU88" s="401"/>
      <c r="BV88" s="337">
        <f t="shared" si="35"/>
        <v>0</v>
      </c>
      <c r="BW88" s="337">
        <f t="shared" si="36"/>
        <v>0</v>
      </c>
    </row>
    <row r="89" spans="1:75" s="64" customFormat="1" ht="21.95" customHeight="1" x14ac:dyDescent="0.2">
      <c r="A89" s="385" t="s">
        <v>3254</v>
      </c>
      <c r="B89" s="386" t="s">
        <v>3255</v>
      </c>
      <c r="C89" s="392" t="s">
        <v>3186</v>
      </c>
      <c r="D89" s="387" t="s">
        <v>3256</v>
      </c>
      <c r="E89" s="388" t="s">
        <v>3257</v>
      </c>
      <c r="F89" s="389" t="s">
        <v>3182</v>
      </c>
      <c r="G89" s="389" t="s">
        <v>3183</v>
      </c>
      <c r="H89" s="390" t="s">
        <v>356</v>
      </c>
      <c r="I89" s="391" t="s">
        <v>356</v>
      </c>
      <c r="J89" s="353" t="s">
        <v>3184</v>
      </c>
      <c r="K89" s="356" t="s">
        <v>3189</v>
      </c>
      <c r="L89" s="400"/>
      <c r="M89" s="401"/>
      <c r="N89" s="400"/>
      <c r="O89" s="401"/>
      <c r="P89" s="400"/>
      <c r="Q89" s="401"/>
      <c r="R89" s="400"/>
      <c r="S89" s="401"/>
      <c r="T89" s="400"/>
      <c r="U89" s="401"/>
      <c r="V89" s="400"/>
      <c r="W89" s="401"/>
      <c r="X89" s="400"/>
      <c r="Y89" s="401"/>
      <c r="Z89" s="400"/>
      <c r="AA89" s="401"/>
      <c r="AB89" s="400"/>
      <c r="AC89" s="401"/>
      <c r="AD89" s="400"/>
      <c r="AE89" s="401"/>
      <c r="AF89" s="400"/>
      <c r="AG89" s="401"/>
      <c r="AH89" s="400"/>
      <c r="AI89" s="401"/>
      <c r="AJ89" s="400"/>
      <c r="AK89" s="401"/>
      <c r="AL89" s="400"/>
      <c r="AM89" s="401"/>
      <c r="AN89" s="400"/>
      <c r="AO89" s="401"/>
      <c r="AP89" s="400"/>
      <c r="AQ89" s="401"/>
      <c r="AR89" s="400"/>
      <c r="AS89" s="401"/>
      <c r="AT89" s="400"/>
      <c r="AU89" s="401"/>
      <c r="AV89" s="400"/>
      <c r="AW89" s="401"/>
      <c r="AX89" s="400"/>
      <c r="AY89" s="401"/>
      <c r="AZ89" s="400"/>
      <c r="BA89" s="401"/>
      <c r="BB89" s="400"/>
      <c r="BC89" s="401"/>
      <c r="BD89" s="400"/>
      <c r="BE89" s="401"/>
      <c r="BF89" s="400"/>
      <c r="BG89" s="401"/>
      <c r="BH89" s="400"/>
      <c r="BI89" s="401"/>
      <c r="BJ89" s="400"/>
      <c r="BK89" s="401"/>
      <c r="BL89" s="400"/>
      <c r="BM89" s="401"/>
      <c r="BN89" s="400"/>
      <c r="BO89" s="401"/>
      <c r="BP89" s="400"/>
      <c r="BQ89" s="401"/>
      <c r="BR89" s="400"/>
      <c r="BS89" s="401"/>
      <c r="BT89" s="400"/>
      <c r="BU89" s="401"/>
      <c r="BV89" s="337">
        <f t="shared" si="35"/>
        <v>0</v>
      </c>
      <c r="BW89" s="337">
        <f t="shared" si="36"/>
        <v>0</v>
      </c>
    </row>
    <row r="90" spans="1:75" s="64" customFormat="1" ht="21.95" customHeight="1" thickBot="1" x14ac:dyDescent="0.25">
      <c r="A90" s="898" t="s">
        <v>3254</v>
      </c>
      <c r="B90" s="393" t="s">
        <v>3255</v>
      </c>
      <c r="C90" s="394" t="s">
        <v>3186</v>
      </c>
      <c r="D90" s="395" t="s">
        <v>3256</v>
      </c>
      <c r="E90" s="411" t="s">
        <v>3257</v>
      </c>
      <c r="F90" s="396" t="s">
        <v>3182</v>
      </c>
      <c r="G90" s="396" t="s">
        <v>3183</v>
      </c>
      <c r="H90" s="397" t="s">
        <v>356</v>
      </c>
      <c r="I90" s="899" t="s">
        <v>356</v>
      </c>
      <c r="J90" s="353" t="s">
        <v>3184</v>
      </c>
      <c r="K90" s="357" t="s">
        <v>60</v>
      </c>
      <c r="L90" s="402"/>
      <c r="M90" s="403"/>
      <c r="N90" s="402"/>
      <c r="O90" s="403"/>
      <c r="P90" s="402"/>
      <c r="Q90" s="403"/>
      <c r="R90" s="402"/>
      <c r="S90" s="403"/>
      <c r="T90" s="402"/>
      <c r="U90" s="403"/>
      <c r="V90" s="402"/>
      <c r="W90" s="403"/>
      <c r="X90" s="402"/>
      <c r="Y90" s="403"/>
      <c r="Z90" s="402"/>
      <c r="AA90" s="403"/>
      <c r="AB90" s="402"/>
      <c r="AC90" s="403"/>
      <c r="AD90" s="402"/>
      <c r="AE90" s="403"/>
      <c r="AF90" s="402"/>
      <c r="AG90" s="403"/>
      <c r="AH90" s="402"/>
      <c r="AI90" s="403"/>
      <c r="AJ90" s="402"/>
      <c r="AK90" s="403"/>
      <c r="AL90" s="402"/>
      <c r="AM90" s="403"/>
      <c r="AN90" s="402"/>
      <c r="AO90" s="403"/>
      <c r="AP90" s="402"/>
      <c r="AQ90" s="403"/>
      <c r="AR90" s="402"/>
      <c r="AS90" s="403"/>
      <c r="AT90" s="402"/>
      <c r="AU90" s="403"/>
      <c r="AV90" s="402"/>
      <c r="AW90" s="403"/>
      <c r="AX90" s="402"/>
      <c r="AY90" s="403"/>
      <c r="AZ90" s="402"/>
      <c r="BA90" s="403"/>
      <c r="BB90" s="402"/>
      <c r="BC90" s="403"/>
      <c r="BD90" s="402"/>
      <c r="BE90" s="403"/>
      <c r="BF90" s="402"/>
      <c r="BG90" s="403"/>
      <c r="BH90" s="402"/>
      <c r="BI90" s="403"/>
      <c r="BJ90" s="402"/>
      <c r="BK90" s="403"/>
      <c r="BL90" s="402"/>
      <c r="BM90" s="403"/>
      <c r="BN90" s="402"/>
      <c r="BO90" s="403"/>
      <c r="BP90" s="402"/>
      <c r="BQ90" s="403"/>
      <c r="BR90" s="402"/>
      <c r="BS90" s="403"/>
      <c r="BT90" s="402"/>
      <c r="BU90" s="403"/>
      <c r="BV90" s="337">
        <f t="shared" si="35"/>
        <v>0</v>
      </c>
      <c r="BW90" s="337">
        <f t="shared" si="36"/>
        <v>0</v>
      </c>
    </row>
    <row r="91" spans="1:75" s="64" customFormat="1" ht="21.95" customHeight="1" x14ac:dyDescent="0.25">
      <c r="A91" s="425" t="s">
        <v>3258</v>
      </c>
      <c r="B91" s="526" t="s">
        <v>3259</v>
      </c>
      <c r="C91" s="527">
        <v>1</v>
      </c>
      <c r="D91" s="528" t="s">
        <v>3260</v>
      </c>
      <c r="E91" s="426" t="s">
        <v>3261</v>
      </c>
      <c r="F91" s="529" t="s">
        <v>3182</v>
      </c>
      <c r="G91" s="529" t="s">
        <v>3183</v>
      </c>
      <c r="H91" s="530" t="s">
        <v>357</v>
      </c>
      <c r="I91" s="384" t="s">
        <v>357</v>
      </c>
      <c r="J91" s="353" t="s">
        <v>3184</v>
      </c>
      <c r="K91" s="354" t="s">
        <v>3185</v>
      </c>
      <c r="L91" s="402"/>
      <c r="M91" s="403"/>
      <c r="N91" s="402"/>
      <c r="O91" s="403"/>
      <c r="P91" s="402"/>
      <c r="Q91" s="403"/>
      <c r="R91" s="402"/>
      <c r="S91" s="403"/>
      <c r="T91" s="402"/>
      <c r="U91" s="403"/>
      <c r="V91" s="402"/>
      <c r="W91" s="403"/>
      <c r="X91" s="402"/>
      <c r="Y91" s="403"/>
      <c r="Z91" s="402"/>
      <c r="AA91" s="403"/>
      <c r="AB91" s="402"/>
      <c r="AC91" s="403"/>
      <c r="AD91" s="402"/>
      <c r="AE91" s="403"/>
      <c r="AF91" s="402"/>
      <c r="AG91" s="403"/>
      <c r="AH91" s="402"/>
      <c r="AI91" s="403"/>
      <c r="AJ91" s="402"/>
      <c r="AK91" s="403"/>
      <c r="AL91" s="402"/>
      <c r="AM91" s="403"/>
      <c r="AN91" s="402"/>
      <c r="AO91" s="403"/>
      <c r="AP91" s="402"/>
      <c r="AQ91" s="403"/>
      <c r="AR91" s="402"/>
      <c r="AS91" s="403"/>
      <c r="AT91" s="402"/>
      <c r="AU91" s="403"/>
      <c r="AV91" s="402"/>
      <c r="AW91" s="403"/>
      <c r="AX91" s="402"/>
      <c r="AY91" s="403"/>
      <c r="AZ91" s="402"/>
      <c r="BA91" s="403"/>
      <c r="BB91" s="402"/>
      <c r="BC91" s="403"/>
      <c r="BD91" s="402"/>
      <c r="BE91" s="403"/>
      <c r="BF91" s="402"/>
      <c r="BG91" s="403"/>
      <c r="BH91" s="402"/>
      <c r="BI91" s="403"/>
      <c r="BJ91" s="402"/>
      <c r="BK91" s="403"/>
      <c r="BL91" s="402"/>
      <c r="BM91" s="403"/>
      <c r="BN91" s="402"/>
      <c r="BO91" s="403"/>
      <c r="BP91" s="402"/>
      <c r="BQ91" s="403"/>
      <c r="BR91" s="402"/>
      <c r="BS91" s="403"/>
      <c r="BT91" s="402"/>
      <c r="BU91" s="403"/>
      <c r="BV91" s="337">
        <f>L91+N91+P91+R91+T91+V91+X91+Z91+AB91+AD91+AF91+AH91+AJ91+AL91+AN91+AP91+AR91+AT91+AV91+AX91+AZ91+BB91+BD91+BF91+BH91+BJ91+BL91+BN91+BP91+BR91+BT91</f>
        <v>0</v>
      </c>
      <c r="BW91" s="337">
        <f>M91+O91+Q91+S91+U91+W91+Y91+AA91+AC91+AE91+AG91+AI91+AK91+AM91+AO91+AQ91+AS91+AU91+AW91+AY91+BA91+BC91+BE91+BG91+BI91+BK91+BM91+BO91+BQ91+BS91+BU91</f>
        <v>0</v>
      </c>
    </row>
    <row r="92" spans="1:75" s="64" customFormat="1" ht="21.95" customHeight="1" x14ac:dyDescent="0.2">
      <c r="A92" s="385" t="s">
        <v>3258</v>
      </c>
      <c r="B92" s="386" t="s">
        <v>3259</v>
      </c>
      <c r="C92" s="352" t="s">
        <v>3186</v>
      </c>
      <c r="D92" s="387" t="s">
        <v>3260</v>
      </c>
      <c r="E92" s="388" t="s">
        <v>3261</v>
      </c>
      <c r="F92" s="389" t="s">
        <v>3182</v>
      </c>
      <c r="G92" s="389" t="s">
        <v>3183</v>
      </c>
      <c r="H92" s="390" t="s">
        <v>357</v>
      </c>
      <c r="I92" s="391" t="s">
        <v>357</v>
      </c>
      <c r="J92" s="353" t="s">
        <v>3184</v>
      </c>
      <c r="K92" s="353" t="s">
        <v>3187</v>
      </c>
      <c r="L92" s="400"/>
      <c r="M92" s="401"/>
      <c r="N92" s="400"/>
      <c r="O92" s="401"/>
      <c r="P92" s="400"/>
      <c r="Q92" s="401"/>
      <c r="R92" s="400"/>
      <c r="S92" s="401"/>
      <c r="T92" s="400"/>
      <c r="U92" s="401"/>
      <c r="V92" s="400"/>
      <c r="W92" s="401"/>
      <c r="X92" s="400"/>
      <c r="Y92" s="401"/>
      <c r="Z92" s="400"/>
      <c r="AA92" s="401"/>
      <c r="AB92" s="400"/>
      <c r="AC92" s="401"/>
      <c r="AD92" s="400"/>
      <c r="AE92" s="401"/>
      <c r="AF92" s="400"/>
      <c r="AG92" s="401"/>
      <c r="AH92" s="400"/>
      <c r="AI92" s="401"/>
      <c r="AJ92" s="400"/>
      <c r="AK92" s="401"/>
      <c r="AL92" s="400"/>
      <c r="AM92" s="401"/>
      <c r="AN92" s="400"/>
      <c r="AO92" s="401"/>
      <c r="AP92" s="400"/>
      <c r="AQ92" s="401"/>
      <c r="AR92" s="400"/>
      <c r="AS92" s="401"/>
      <c r="AT92" s="400"/>
      <c r="AU92" s="401"/>
      <c r="AV92" s="400"/>
      <c r="AW92" s="401"/>
      <c r="AX92" s="400">
        <v>2</v>
      </c>
      <c r="AY92" s="401"/>
      <c r="AZ92" s="400"/>
      <c r="BA92" s="401"/>
      <c r="BB92" s="400">
        <v>3</v>
      </c>
      <c r="BC92" s="401"/>
      <c r="BD92" s="400">
        <v>4</v>
      </c>
      <c r="BE92" s="401"/>
      <c r="BF92" s="400">
        <v>3</v>
      </c>
      <c r="BG92" s="401"/>
      <c r="BH92" s="400"/>
      <c r="BI92" s="401"/>
      <c r="BJ92" s="400"/>
      <c r="BK92" s="401"/>
      <c r="BL92" s="400">
        <v>2</v>
      </c>
      <c r="BM92" s="401"/>
      <c r="BN92" s="400">
        <v>3</v>
      </c>
      <c r="BO92" s="401"/>
      <c r="BP92" s="400">
        <v>3</v>
      </c>
      <c r="BQ92" s="401"/>
      <c r="BR92" s="400">
        <v>4</v>
      </c>
      <c r="BS92" s="401"/>
      <c r="BT92" s="400"/>
      <c r="BU92" s="401"/>
      <c r="BV92" s="337">
        <f t="shared" ref="BV92:BV95" si="37">L92+N92+P92+R92+T92+V92+X92+Z92+AB92+AD92+AF92+AH92+AJ92+AL92+AN92+AP92+AR92+AT92+AV92+AX92+AZ92+BB92+BD92+BF92+BH92+BJ92+BL92+BN92+BP92+BR92+BT92</f>
        <v>24</v>
      </c>
      <c r="BW92" s="337">
        <f t="shared" ref="BW92:BW95" si="38">M92+O92+Q92+S92+U92+W92+Y92+AA92+AC92+AE92+AG92+AI92+AK92+AM92+AO92+AQ92+AS92+AU92+AW92+AY92+BA92+BC92+BE92+BG92+BI92+BK92+BM92+BO92+BQ92+BS92+BU92</f>
        <v>0</v>
      </c>
    </row>
    <row r="93" spans="1:75" s="64" customFormat="1" ht="21.95" customHeight="1" x14ac:dyDescent="0.2">
      <c r="A93" s="385" t="s">
        <v>3258</v>
      </c>
      <c r="B93" s="386" t="s">
        <v>3259</v>
      </c>
      <c r="C93" s="392" t="s">
        <v>3186</v>
      </c>
      <c r="D93" s="387" t="s">
        <v>3260</v>
      </c>
      <c r="E93" s="388" t="s">
        <v>3261</v>
      </c>
      <c r="F93" s="389" t="s">
        <v>3182</v>
      </c>
      <c r="G93" s="389" t="s">
        <v>3183</v>
      </c>
      <c r="H93" s="390" t="s">
        <v>357</v>
      </c>
      <c r="I93" s="391" t="s">
        <v>357</v>
      </c>
      <c r="J93" s="353" t="s">
        <v>3184</v>
      </c>
      <c r="K93" s="355" t="s">
        <v>3188</v>
      </c>
      <c r="L93" s="400"/>
      <c r="M93" s="401"/>
      <c r="N93" s="400"/>
      <c r="O93" s="401"/>
      <c r="P93" s="400"/>
      <c r="Q93" s="401"/>
      <c r="R93" s="400"/>
      <c r="S93" s="401"/>
      <c r="T93" s="400"/>
      <c r="U93" s="401"/>
      <c r="V93" s="400"/>
      <c r="W93" s="401"/>
      <c r="X93" s="400"/>
      <c r="Y93" s="401"/>
      <c r="Z93" s="400"/>
      <c r="AA93" s="401"/>
      <c r="AB93" s="400"/>
      <c r="AC93" s="401"/>
      <c r="AD93" s="400"/>
      <c r="AE93" s="401"/>
      <c r="AF93" s="400"/>
      <c r="AG93" s="401"/>
      <c r="AH93" s="400"/>
      <c r="AI93" s="401"/>
      <c r="AJ93" s="400"/>
      <c r="AK93" s="401"/>
      <c r="AL93" s="400"/>
      <c r="AM93" s="401"/>
      <c r="AN93" s="400"/>
      <c r="AO93" s="401"/>
      <c r="AP93" s="400"/>
      <c r="AQ93" s="401"/>
      <c r="AR93" s="400"/>
      <c r="AS93" s="401"/>
      <c r="AT93" s="400"/>
      <c r="AU93" s="401"/>
      <c r="AV93" s="400"/>
      <c r="AW93" s="401"/>
      <c r="AX93" s="400"/>
      <c r="AY93" s="401"/>
      <c r="AZ93" s="400"/>
      <c r="BA93" s="401"/>
      <c r="BB93" s="400"/>
      <c r="BC93" s="401"/>
      <c r="BD93" s="400"/>
      <c r="BE93" s="401"/>
      <c r="BF93" s="400"/>
      <c r="BG93" s="401"/>
      <c r="BH93" s="400"/>
      <c r="BI93" s="401"/>
      <c r="BJ93" s="400"/>
      <c r="BK93" s="401"/>
      <c r="BL93" s="400"/>
      <c r="BM93" s="401"/>
      <c r="BN93" s="400"/>
      <c r="BO93" s="401"/>
      <c r="BP93" s="400"/>
      <c r="BQ93" s="401"/>
      <c r="BR93" s="400"/>
      <c r="BS93" s="401"/>
      <c r="BT93" s="400"/>
      <c r="BU93" s="401"/>
      <c r="BV93" s="337">
        <f t="shared" si="37"/>
        <v>0</v>
      </c>
      <c r="BW93" s="337">
        <f t="shared" si="38"/>
        <v>0</v>
      </c>
    </row>
    <row r="94" spans="1:75" s="64" customFormat="1" ht="21.95" customHeight="1" x14ac:dyDescent="0.2">
      <c r="A94" s="385" t="s">
        <v>3258</v>
      </c>
      <c r="B94" s="386" t="s">
        <v>3259</v>
      </c>
      <c r="C94" s="392" t="s">
        <v>3186</v>
      </c>
      <c r="D94" s="387" t="s">
        <v>3260</v>
      </c>
      <c r="E94" s="388" t="s">
        <v>3261</v>
      </c>
      <c r="F94" s="389" t="s">
        <v>3182</v>
      </c>
      <c r="G94" s="389" t="s">
        <v>3183</v>
      </c>
      <c r="H94" s="390" t="s">
        <v>357</v>
      </c>
      <c r="I94" s="391" t="s">
        <v>357</v>
      </c>
      <c r="J94" s="353" t="s">
        <v>3184</v>
      </c>
      <c r="K94" s="356" t="s">
        <v>3189</v>
      </c>
      <c r="L94" s="400"/>
      <c r="M94" s="401"/>
      <c r="N94" s="400"/>
      <c r="O94" s="401"/>
      <c r="P94" s="400"/>
      <c r="Q94" s="401"/>
      <c r="R94" s="400"/>
      <c r="S94" s="401"/>
      <c r="T94" s="400"/>
      <c r="U94" s="401"/>
      <c r="V94" s="400"/>
      <c r="W94" s="401"/>
      <c r="X94" s="400"/>
      <c r="Y94" s="401"/>
      <c r="Z94" s="400"/>
      <c r="AA94" s="401"/>
      <c r="AB94" s="400"/>
      <c r="AC94" s="401"/>
      <c r="AD94" s="400"/>
      <c r="AE94" s="401"/>
      <c r="AF94" s="400"/>
      <c r="AG94" s="401"/>
      <c r="AH94" s="400"/>
      <c r="AI94" s="401"/>
      <c r="AJ94" s="400"/>
      <c r="AK94" s="401"/>
      <c r="AL94" s="400"/>
      <c r="AM94" s="401"/>
      <c r="AN94" s="400"/>
      <c r="AO94" s="401"/>
      <c r="AP94" s="400"/>
      <c r="AQ94" s="401"/>
      <c r="AR94" s="400"/>
      <c r="AS94" s="401"/>
      <c r="AT94" s="400"/>
      <c r="AU94" s="401"/>
      <c r="AV94" s="400"/>
      <c r="AW94" s="401"/>
      <c r="AX94" s="400"/>
      <c r="AY94" s="401"/>
      <c r="AZ94" s="400"/>
      <c r="BA94" s="401"/>
      <c r="BB94" s="400"/>
      <c r="BC94" s="401"/>
      <c r="BD94" s="400"/>
      <c r="BE94" s="401"/>
      <c r="BF94" s="400"/>
      <c r="BG94" s="401"/>
      <c r="BH94" s="400"/>
      <c r="BI94" s="401"/>
      <c r="BJ94" s="400"/>
      <c r="BK94" s="401"/>
      <c r="BL94" s="400"/>
      <c r="BM94" s="401"/>
      <c r="BN94" s="400"/>
      <c r="BO94" s="401"/>
      <c r="BP94" s="400"/>
      <c r="BQ94" s="401"/>
      <c r="BR94" s="400"/>
      <c r="BS94" s="401"/>
      <c r="BT94" s="400"/>
      <c r="BU94" s="401"/>
      <c r="BV94" s="337">
        <f t="shared" si="37"/>
        <v>0</v>
      </c>
      <c r="BW94" s="337">
        <f t="shared" si="38"/>
        <v>0</v>
      </c>
    </row>
    <row r="95" spans="1:75" s="64" customFormat="1" ht="21.95" customHeight="1" thickBot="1" x14ac:dyDescent="0.25">
      <c r="A95" s="898" t="s">
        <v>3258</v>
      </c>
      <c r="B95" s="393" t="s">
        <v>3259</v>
      </c>
      <c r="C95" s="394" t="s">
        <v>3186</v>
      </c>
      <c r="D95" s="395" t="s">
        <v>3260</v>
      </c>
      <c r="E95" s="411" t="s">
        <v>3261</v>
      </c>
      <c r="F95" s="396" t="s">
        <v>3182</v>
      </c>
      <c r="G95" s="396" t="s">
        <v>3183</v>
      </c>
      <c r="H95" s="397" t="s">
        <v>357</v>
      </c>
      <c r="I95" s="899" t="s">
        <v>357</v>
      </c>
      <c r="J95" s="353" t="s">
        <v>3184</v>
      </c>
      <c r="K95" s="357" t="s">
        <v>60</v>
      </c>
      <c r="L95" s="402"/>
      <c r="M95" s="403"/>
      <c r="N95" s="402"/>
      <c r="O95" s="403"/>
      <c r="P95" s="402"/>
      <c r="Q95" s="403"/>
      <c r="R95" s="402"/>
      <c r="S95" s="403"/>
      <c r="T95" s="402"/>
      <c r="U95" s="403"/>
      <c r="V95" s="402"/>
      <c r="W95" s="403"/>
      <c r="X95" s="402"/>
      <c r="Y95" s="403"/>
      <c r="Z95" s="402"/>
      <c r="AA95" s="403"/>
      <c r="AB95" s="402"/>
      <c r="AC95" s="403"/>
      <c r="AD95" s="402"/>
      <c r="AE95" s="403"/>
      <c r="AF95" s="402"/>
      <c r="AG95" s="403"/>
      <c r="AH95" s="402"/>
      <c r="AI95" s="403"/>
      <c r="AJ95" s="402"/>
      <c r="AK95" s="403"/>
      <c r="AL95" s="402"/>
      <c r="AM95" s="403"/>
      <c r="AN95" s="402"/>
      <c r="AO95" s="403"/>
      <c r="AP95" s="402"/>
      <c r="AQ95" s="403"/>
      <c r="AR95" s="402"/>
      <c r="AS95" s="403"/>
      <c r="AT95" s="402"/>
      <c r="AU95" s="403"/>
      <c r="AV95" s="402"/>
      <c r="AW95" s="403"/>
      <c r="AX95" s="402"/>
      <c r="AY95" s="403"/>
      <c r="AZ95" s="402"/>
      <c r="BA95" s="403"/>
      <c r="BB95" s="402"/>
      <c r="BC95" s="403"/>
      <c r="BD95" s="402"/>
      <c r="BE95" s="403"/>
      <c r="BF95" s="402"/>
      <c r="BG95" s="403"/>
      <c r="BH95" s="402"/>
      <c r="BI95" s="403"/>
      <c r="BJ95" s="402"/>
      <c r="BK95" s="403"/>
      <c r="BL95" s="402"/>
      <c r="BM95" s="403"/>
      <c r="BN95" s="402"/>
      <c r="BO95" s="403"/>
      <c r="BP95" s="402"/>
      <c r="BQ95" s="403"/>
      <c r="BR95" s="402"/>
      <c r="BS95" s="403"/>
      <c r="BT95" s="402"/>
      <c r="BU95" s="403"/>
      <c r="BV95" s="337">
        <f t="shared" si="37"/>
        <v>0</v>
      </c>
      <c r="BW95" s="337">
        <f t="shared" si="38"/>
        <v>0</v>
      </c>
    </row>
    <row r="96" spans="1:75" s="64" customFormat="1" ht="21.95" customHeight="1" x14ac:dyDescent="0.25">
      <c r="A96" s="425" t="s">
        <v>3262</v>
      </c>
      <c r="B96" s="526" t="s">
        <v>3263</v>
      </c>
      <c r="C96" s="527">
        <v>1</v>
      </c>
      <c r="D96" s="528" t="s">
        <v>3264</v>
      </c>
      <c r="E96" s="426" t="s">
        <v>3265</v>
      </c>
      <c r="F96" s="529" t="s">
        <v>3182</v>
      </c>
      <c r="G96" s="529" t="s">
        <v>3183</v>
      </c>
      <c r="H96" s="530" t="s">
        <v>358</v>
      </c>
      <c r="I96" s="384" t="s">
        <v>358</v>
      </c>
      <c r="J96" s="353" t="s">
        <v>3184</v>
      </c>
      <c r="K96" s="354" t="s">
        <v>3185</v>
      </c>
      <c r="L96" s="402"/>
      <c r="M96" s="403"/>
      <c r="N96" s="402"/>
      <c r="O96" s="403"/>
      <c r="P96" s="402"/>
      <c r="Q96" s="403"/>
      <c r="R96" s="402"/>
      <c r="S96" s="403"/>
      <c r="T96" s="402"/>
      <c r="U96" s="403"/>
      <c r="V96" s="402"/>
      <c r="W96" s="403"/>
      <c r="X96" s="402"/>
      <c r="Y96" s="403"/>
      <c r="Z96" s="402"/>
      <c r="AA96" s="403"/>
      <c r="AB96" s="402"/>
      <c r="AC96" s="403"/>
      <c r="AD96" s="402"/>
      <c r="AE96" s="403"/>
      <c r="AF96" s="402"/>
      <c r="AG96" s="403"/>
      <c r="AH96" s="402"/>
      <c r="AI96" s="403"/>
      <c r="AJ96" s="402"/>
      <c r="AK96" s="403"/>
      <c r="AL96" s="402"/>
      <c r="AM96" s="403"/>
      <c r="AN96" s="402"/>
      <c r="AO96" s="403"/>
      <c r="AP96" s="402"/>
      <c r="AQ96" s="403"/>
      <c r="AR96" s="402"/>
      <c r="AS96" s="403"/>
      <c r="AT96" s="402"/>
      <c r="AU96" s="403"/>
      <c r="AV96" s="402"/>
      <c r="AW96" s="403"/>
      <c r="AX96" s="402"/>
      <c r="AY96" s="403"/>
      <c r="AZ96" s="402"/>
      <c r="BA96" s="403"/>
      <c r="BB96" s="402"/>
      <c r="BC96" s="403"/>
      <c r="BD96" s="402"/>
      <c r="BE96" s="403"/>
      <c r="BF96" s="402"/>
      <c r="BG96" s="403"/>
      <c r="BH96" s="402"/>
      <c r="BI96" s="403"/>
      <c r="BJ96" s="402"/>
      <c r="BK96" s="403"/>
      <c r="BL96" s="402"/>
      <c r="BM96" s="403"/>
      <c r="BN96" s="402"/>
      <c r="BO96" s="403"/>
      <c r="BP96" s="402"/>
      <c r="BQ96" s="403"/>
      <c r="BR96" s="402"/>
      <c r="BS96" s="403"/>
      <c r="BT96" s="402"/>
      <c r="BU96" s="403"/>
      <c r="BV96" s="337">
        <f>L96+N96+P96+R96+T96+V96+X96+Z96+AB96+AD96+AF96+AH96+AJ96+AL96+AN96+AP96+AR96+AT96+AV96+AX96+AZ96+BB96+BD96+BF96+BH96+BJ96+BL96+BN96+BP96+BR96+BT96</f>
        <v>0</v>
      </c>
      <c r="BW96" s="337">
        <f>M96+O96+Q96+S96+U96+W96+Y96+AA96+AC96+AE96+AG96+AI96+AK96+AM96+AO96+AQ96+AS96+AU96+AW96+AY96+BA96+BC96+BE96+BG96+BI96+BK96+BM96+BO96+BQ96+BS96+BU96</f>
        <v>0</v>
      </c>
    </row>
    <row r="97" spans="1:75" s="64" customFormat="1" ht="21.95" customHeight="1" x14ac:dyDescent="0.2">
      <c r="A97" s="385" t="s">
        <v>3262</v>
      </c>
      <c r="B97" s="386" t="s">
        <v>3263</v>
      </c>
      <c r="C97" s="352" t="s">
        <v>3186</v>
      </c>
      <c r="D97" s="387" t="s">
        <v>3264</v>
      </c>
      <c r="E97" s="388" t="s">
        <v>3265</v>
      </c>
      <c r="F97" s="389" t="s">
        <v>3182</v>
      </c>
      <c r="G97" s="389" t="s">
        <v>3183</v>
      </c>
      <c r="H97" s="390" t="s">
        <v>358</v>
      </c>
      <c r="I97" s="391" t="s">
        <v>358</v>
      </c>
      <c r="J97" s="353" t="s">
        <v>3184</v>
      </c>
      <c r="K97" s="353" t="s">
        <v>3187</v>
      </c>
      <c r="L97" s="400"/>
      <c r="M97" s="401"/>
      <c r="N97" s="400"/>
      <c r="O97" s="401"/>
      <c r="P97" s="400"/>
      <c r="Q97" s="401"/>
      <c r="R97" s="400"/>
      <c r="S97" s="401"/>
      <c r="T97" s="400"/>
      <c r="U97" s="401"/>
      <c r="V97" s="400"/>
      <c r="W97" s="401"/>
      <c r="X97" s="400"/>
      <c r="Y97" s="401"/>
      <c r="Z97" s="400"/>
      <c r="AA97" s="401"/>
      <c r="AB97" s="400"/>
      <c r="AC97" s="401"/>
      <c r="AD97" s="400"/>
      <c r="AE97" s="401"/>
      <c r="AF97" s="400"/>
      <c r="AG97" s="401"/>
      <c r="AH97" s="400"/>
      <c r="AI97" s="401"/>
      <c r="AJ97" s="400"/>
      <c r="AK97" s="401"/>
      <c r="AL97" s="400"/>
      <c r="AM97" s="401"/>
      <c r="AN97" s="400"/>
      <c r="AO97" s="401"/>
      <c r="AP97" s="400"/>
      <c r="AQ97" s="401"/>
      <c r="AR97" s="400"/>
      <c r="AS97" s="401"/>
      <c r="AT97" s="400"/>
      <c r="AU97" s="401"/>
      <c r="AV97" s="400"/>
      <c r="AW97" s="401"/>
      <c r="AX97" s="400"/>
      <c r="AY97" s="401"/>
      <c r="AZ97" s="400">
        <v>1</v>
      </c>
      <c r="BA97" s="401"/>
      <c r="BB97" s="400">
        <v>1</v>
      </c>
      <c r="BC97" s="401"/>
      <c r="BD97" s="400"/>
      <c r="BE97" s="401"/>
      <c r="BF97" s="400"/>
      <c r="BG97" s="401"/>
      <c r="BH97" s="400"/>
      <c r="BI97" s="401"/>
      <c r="BJ97" s="400"/>
      <c r="BK97" s="401"/>
      <c r="BL97" s="400"/>
      <c r="BM97" s="401"/>
      <c r="BN97" s="400">
        <v>1</v>
      </c>
      <c r="BO97" s="401"/>
      <c r="BP97" s="400">
        <v>1</v>
      </c>
      <c r="BQ97" s="401"/>
      <c r="BR97" s="400"/>
      <c r="BS97" s="401"/>
      <c r="BT97" s="400"/>
      <c r="BU97" s="401"/>
      <c r="BV97" s="337">
        <f t="shared" ref="BV97:BV100" si="39">L97+N97+P97+R97+T97+V97+X97+Z97+AB97+AD97+AF97+AH97+AJ97+AL97+AN97+AP97+AR97+AT97+AV97+AX97+AZ97+BB97+BD97+BF97+BH97+BJ97+BL97+BN97+BP97+BR97+BT97</f>
        <v>4</v>
      </c>
      <c r="BW97" s="337">
        <f t="shared" ref="BW97:BW100" si="40">M97+O97+Q97+S97+U97+W97+Y97+AA97+AC97+AE97+AG97+AI97+AK97+AM97+AO97+AQ97+AS97+AU97+AW97+AY97+BA97+BC97+BE97+BG97+BI97+BK97+BM97+BO97+BQ97+BS97+BU97</f>
        <v>0</v>
      </c>
    </row>
    <row r="98" spans="1:75" s="64" customFormat="1" ht="21.95" customHeight="1" x14ac:dyDescent="0.2">
      <c r="A98" s="385" t="s">
        <v>3262</v>
      </c>
      <c r="B98" s="386" t="s">
        <v>3263</v>
      </c>
      <c r="C98" s="392" t="s">
        <v>3186</v>
      </c>
      <c r="D98" s="387" t="s">
        <v>3264</v>
      </c>
      <c r="E98" s="388" t="s">
        <v>3265</v>
      </c>
      <c r="F98" s="389" t="s">
        <v>3182</v>
      </c>
      <c r="G98" s="389" t="s">
        <v>3183</v>
      </c>
      <c r="H98" s="390" t="s">
        <v>358</v>
      </c>
      <c r="I98" s="391" t="s">
        <v>358</v>
      </c>
      <c r="J98" s="353" t="s">
        <v>3184</v>
      </c>
      <c r="K98" s="355" t="s">
        <v>3188</v>
      </c>
      <c r="L98" s="400"/>
      <c r="M98" s="401"/>
      <c r="N98" s="400"/>
      <c r="O98" s="401"/>
      <c r="P98" s="400"/>
      <c r="Q98" s="401"/>
      <c r="R98" s="400"/>
      <c r="S98" s="401"/>
      <c r="T98" s="400"/>
      <c r="U98" s="401"/>
      <c r="V98" s="400"/>
      <c r="W98" s="401"/>
      <c r="X98" s="400"/>
      <c r="Y98" s="401"/>
      <c r="Z98" s="400"/>
      <c r="AA98" s="401"/>
      <c r="AB98" s="400"/>
      <c r="AC98" s="401"/>
      <c r="AD98" s="400"/>
      <c r="AE98" s="401"/>
      <c r="AF98" s="400"/>
      <c r="AG98" s="401"/>
      <c r="AH98" s="400"/>
      <c r="AI98" s="401"/>
      <c r="AJ98" s="400"/>
      <c r="AK98" s="401"/>
      <c r="AL98" s="400"/>
      <c r="AM98" s="401"/>
      <c r="AN98" s="400"/>
      <c r="AO98" s="401"/>
      <c r="AP98" s="400"/>
      <c r="AQ98" s="401"/>
      <c r="AR98" s="400"/>
      <c r="AS98" s="401"/>
      <c r="AT98" s="400"/>
      <c r="AU98" s="401"/>
      <c r="AV98" s="400"/>
      <c r="AW98" s="401"/>
      <c r="AX98" s="400"/>
      <c r="AY98" s="401"/>
      <c r="AZ98" s="400"/>
      <c r="BA98" s="401"/>
      <c r="BB98" s="400"/>
      <c r="BC98" s="401"/>
      <c r="BD98" s="400"/>
      <c r="BE98" s="401"/>
      <c r="BF98" s="400"/>
      <c r="BG98" s="401"/>
      <c r="BH98" s="400"/>
      <c r="BI98" s="401"/>
      <c r="BJ98" s="400"/>
      <c r="BK98" s="401"/>
      <c r="BL98" s="400"/>
      <c r="BM98" s="401"/>
      <c r="BN98" s="400"/>
      <c r="BO98" s="401"/>
      <c r="BP98" s="400"/>
      <c r="BQ98" s="401"/>
      <c r="BR98" s="400"/>
      <c r="BS98" s="401"/>
      <c r="BT98" s="400"/>
      <c r="BU98" s="401"/>
      <c r="BV98" s="337">
        <f t="shared" si="39"/>
        <v>0</v>
      </c>
      <c r="BW98" s="337">
        <f t="shared" si="40"/>
        <v>0</v>
      </c>
    </row>
    <row r="99" spans="1:75" s="64" customFormat="1" ht="21.95" customHeight="1" x14ac:dyDescent="0.2">
      <c r="A99" s="385" t="s">
        <v>3262</v>
      </c>
      <c r="B99" s="386" t="s">
        <v>3263</v>
      </c>
      <c r="C99" s="392" t="s">
        <v>3186</v>
      </c>
      <c r="D99" s="387" t="s">
        <v>3264</v>
      </c>
      <c r="E99" s="388" t="s">
        <v>3265</v>
      </c>
      <c r="F99" s="389" t="s">
        <v>3182</v>
      </c>
      <c r="G99" s="389" t="s">
        <v>3183</v>
      </c>
      <c r="H99" s="390" t="s">
        <v>358</v>
      </c>
      <c r="I99" s="391" t="s">
        <v>358</v>
      </c>
      <c r="J99" s="353" t="s">
        <v>3184</v>
      </c>
      <c r="K99" s="356" t="s">
        <v>3189</v>
      </c>
      <c r="L99" s="400"/>
      <c r="M99" s="401"/>
      <c r="N99" s="400"/>
      <c r="O99" s="401"/>
      <c r="P99" s="400"/>
      <c r="Q99" s="401"/>
      <c r="R99" s="400"/>
      <c r="S99" s="401"/>
      <c r="T99" s="400"/>
      <c r="U99" s="401"/>
      <c r="V99" s="400"/>
      <c r="W99" s="401"/>
      <c r="X99" s="400"/>
      <c r="Y99" s="401"/>
      <c r="Z99" s="400"/>
      <c r="AA99" s="401"/>
      <c r="AB99" s="400"/>
      <c r="AC99" s="401"/>
      <c r="AD99" s="400"/>
      <c r="AE99" s="401"/>
      <c r="AF99" s="400"/>
      <c r="AG99" s="401"/>
      <c r="AH99" s="400"/>
      <c r="AI99" s="401"/>
      <c r="AJ99" s="400"/>
      <c r="AK99" s="401"/>
      <c r="AL99" s="400"/>
      <c r="AM99" s="401"/>
      <c r="AN99" s="400"/>
      <c r="AO99" s="401"/>
      <c r="AP99" s="400"/>
      <c r="AQ99" s="401"/>
      <c r="AR99" s="400"/>
      <c r="AS99" s="401"/>
      <c r="AT99" s="400"/>
      <c r="AU99" s="401"/>
      <c r="AV99" s="400"/>
      <c r="AW99" s="401"/>
      <c r="AX99" s="400"/>
      <c r="AY99" s="401"/>
      <c r="AZ99" s="400"/>
      <c r="BA99" s="401"/>
      <c r="BB99" s="400"/>
      <c r="BC99" s="401"/>
      <c r="BD99" s="400"/>
      <c r="BE99" s="401"/>
      <c r="BF99" s="400"/>
      <c r="BG99" s="401"/>
      <c r="BH99" s="400"/>
      <c r="BI99" s="401"/>
      <c r="BJ99" s="400"/>
      <c r="BK99" s="401"/>
      <c r="BL99" s="400"/>
      <c r="BM99" s="401"/>
      <c r="BN99" s="400"/>
      <c r="BO99" s="401"/>
      <c r="BP99" s="400"/>
      <c r="BQ99" s="401"/>
      <c r="BR99" s="400"/>
      <c r="BS99" s="401"/>
      <c r="BT99" s="400"/>
      <c r="BU99" s="401"/>
      <c r="BV99" s="337">
        <f t="shared" si="39"/>
        <v>0</v>
      </c>
      <c r="BW99" s="337">
        <f t="shared" si="40"/>
        <v>0</v>
      </c>
    </row>
    <row r="100" spans="1:75" s="64" customFormat="1" ht="21.95" customHeight="1" thickBot="1" x14ac:dyDescent="0.25">
      <c r="A100" s="898" t="s">
        <v>3262</v>
      </c>
      <c r="B100" s="393" t="s">
        <v>3263</v>
      </c>
      <c r="C100" s="394" t="s">
        <v>3186</v>
      </c>
      <c r="D100" s="395" t="s">
        <v>3264</v>
      </c>
      <c r="E100" s="411" t="s">
        <v>3265</v>
      </c>
      <c r="F100" s="396" t="s">
        <v>3182</v>
      </c>
      <c r="G100" s="396" t="s">
        <v>3183</v>
      </c>
      <c r="H100" s="397" t="s">
        <v>358</v>
      </c>
      <c r="I100" s="899" t="s">
        <v>358</v>
      </c>
      <c r="J100" s="353" t="s">
        <v>3184</v>
      </c>
      <c r="K100" s="357" t="s">
        <v>60</v>
      </c>
      <c r="L100" s="402"/>
      <c r="M100" s="403"/>
      <c r="N100" s="402"/>
      <c r="O100" s="403"/>
      <c r="P100" s="402"/>
      <c r="Q100" s="403"/>
      <c r="R100" s="402"/>
      <c r="S100" s="403"/>
      <c r="T100" s="402"/>
      <c r="U100" s="403"/>
      <c r="V100" s="402"/>
      <c r="W100" s="403"/>
      <c r="X100" s="402"/>
      <c r="Y100" s="403"/>
      <c r="Z100" s="402"/>
      <c r="AA100" s="403"/>
      <c r="AB100" s="402"/>
      <c r="AC100" s="403"/>
      <c r="AD100" s="402"/>
      <c r="AE100" s="403"/>
      <c r="AF100" s="402"/>
      <c r="AG100" s="403"/>
      <c r="AH100" s="402"/>
      <c r="AI100" s="403"/>
      <c r="AJ100" s="402"/>
      <c r="AK100" s="403"/>
      <c r="AL100" s="402"/>
      <c r="AM100" s="403"/>
      <c r="AN100" s="402"/>
      <c r="AO100" s="403"/>
      <c r="AP100" s="402"/>
      <c r="AQ100" s="403"/>
      <c r="AR100" s="402"/>
      <c r="AS100" s="403"/>
      <c r="AT100" s="402"/>
      <c r="AU100" s="403"/>
      <c r="AV100" s="402"/>
      <c r="AW100" s="403"/>
      <c r="AX100" s="402"/>
      <c r="AY100" s="403"/>
      <c r="AZ100" s="402"/>
      <c r="BA100" s="403"/>
      <c r="BB100" s="402"/>
      <c r="BC100" s="403"/>
      <c r="BD100" s="402"/>
      <c r="BE100" s="403"/>
      <c r="BF100" s="402"/>
      <c r="BG100" s="403"/>
      <c r="BH100" s="402"/>
      <c r="BI100" s="403"/>
      <c r="BJ100" s="402"/>
      <c r="BK100" s="403"/>
      <c r="BL100" s="402"/>
      <c r="BM100" s="403"/>
      <c r="BN100" s="402"/>
      <c r="BO100" s="403"/>
      <c r="BP100" s="402"/>
      <c r="BQ100" s="403"/>
      <c r="BR100" s="402"/>
      <c r="BS100" s="403"/>
      <c r="BT100" s="402"/>
      <c r="BU100" s="403"/>
      <c r="BV100" s="337">
        <f t="shared" si="39"/>
        <v>0</v>
      </c>
      <c r="BW100" s="337">
        <f t="shared" si="40"/>
        <v>0</v>
      </c>
    </row>
    <row r="101" spans="1:75" s="64" customFormat="1" ht="21.95" customHeight="1" x14ac:dyDescent="0.25">
      <c r="A101" s="425" t="s">
        <v>3266</v>
      </c>
      <c r="B101" s="526" t="s">
        <v>3267</v>
      </c>
      <c r="C101" s="527">
        <v>1</v>
      </c>
      <c r="D101" s="528" t="s">
        <v>3268</v>
      </c>
      <c r="E101" s="426" t="s">
        <v>3269</v>
      </c>
      <c r="F101" s="529" t="s">
        <v>3182</v>
      </c>
      <c r="G101" s="529" t="s">
        <v>3183</v>
      </c>
      <c r="H101" s="530" t="s">
        <v>359</v>
      </c>
      <c r="I101" s="384" t="s">
        <v>359</v>
      </c>
      <c r="J101" s="353" t="s">
        <v>3184</v>
      </c>
      <c r="K101" s="354" t="s">
        <v>3185</v>
      </c>
      <c r="L101" s="402"/>
      <c r="M101" s="403"/>
      <c r="N101" s="402"/>
      <c r="O101" s="403"/>
      <c r="P101" s="402"/>
      <c r="Q101" s="403"/>
      <c r="R101" s="402"/>
      <c r="S101" s="403"/>
      <c r="T101" s="402"/>
      <c r="U101" s="403"/>
      <c r="V101" s="402"/>
      <c r="W101" s="403"/>
      <c r="X101" s="402"/>
      <c r="Y101" s="403"/>
      <c r="Z101" s="402"/>
      <c r="AA101" s="403"/>
      <c r="AB101" s="402"/>
      <c r="AC101" s="403"/>
      <c r="AD101" s="402"/>
      <c r="AE101" s="403"/>
      <c r="AF101" s="402"/>
      <c r="AG101" s="403"/>
      <c r="AH101" s="402"/>
      <c r="AI101" s="403"/>
      <c r="AJ101" s="402"/>
      <c r="AK101" s="403"/>
      <c r="AL101" s="402"/>
      <c r="AM101" s="403"/>
      <c r="AN101" s="402"/>
      <c r="AO101" s="403"/>
      <c r="AP101" s="402"/>
      <c r="AQ101" s="403"/>
      <c r="AR101" s="402"/>
      <c r="AS101" s="403"/>
      <c r="AT101" s="402"/>
      <c r="AU101" s="403"/>
      <c r="AV101" s="402"/>
      <c r="AW101" s="403"/>
      <c r="AX101" s="402"/>
      <c r="AY101" s="403"/>
      <c r="AZ101" s="402"/>
      <c r="BA101" s="403"/>
      <c r="BB101" s="402"/>
      <c r="BC101" s="403"/>
      <c r="BD101" s="402"/>
      <c r="BE101" s="403"/>
      <c r="BF101" s="402"/>
      <c r="BG101" s="403"/>
      <c r="BH101" s="402"/>
      <c r="BI101" s="403"/>
      <c r="BJ101" s="402"/>
      <c r="BK101" s="403"/>
      <c r="BL101" s="402"/>
      <c r="BM101" s="403"/>
      <c r="BN101" s="402"/>
      <c r="BO101" s="403"/>
      <c r="BP101" s="402"/>
      <c r="BQ101" s="403"/>
      <c r="BR101" s="402"/>
      <c r="BS101" s="403"/>
      <c r="BT101" s="402"/>
      <c r="BU101" s="403"/>
      <c r="BV101" s="337">
        <f>L101+N101+P101+R101+T101+V101+X101+Z101+AB101+AD101+AF101+AH101+AJ101+AL101+AN101+AP101+AR101+AT101+AV101+AX101+AZ101+BB101+BD101+BF101+BH101+BJ101+BL101+BN101+BP101+BR101+BT101</f>
        <v>0</v>
      </c>
      <c r="BW101" s="337">
        <f>M101+O101+Q101+S101+U101+W101+Y101+AA101+AC101+AE101+AG101+AI101+AK101+AM101+AO101+AQ101+AS101+AU101+AW101+AY101+BA101+BC101+BE101+BG101+BI101+BK101+BM101+BO101+BQ101+BS101+BU101</f>
        <v>0</v>
      </c>
    </row>
    <row r="102" spans="1:75" s="64" customFormat="1" ht="21.95" customHeight="1" x14ac:dyDescent="0.2">
      <c r="A102" s="385" t="s">
        <v>3266</v>
      </c>
      <c r="B102" s="386" t="s">
        <v>3267</v>
      </c>
      <c r="C102" s="352" t="s">
        <v>3186</v>
      </c>
      <c r="D102" s="387" t="s">
        <v>3268</v>
      </c>
      <c r="E102" s="388" t="s">
        <v>3269</v>
      </c>
      <c r="F102" s="389" t="s">
        <v>3182</v>
      </c>
      <c r="G102" s="389" t="s">
        <v>3183</v>
      </c>
      <c r="H102" s="390" t="s">
        <v>359</v>
      </c>
      <c r="I102" s="391" t="s">
        <v>359</v>
      </c>
      <c r="J102" s="353" t="s">
        <v>3184</v>
      </c>
      <c r="K102" s="353" t="s">
        <v>3187</v>
      </c>
      <c r="L102" s="400">
        <v>4</v>
      </c>
      <c r="M102" s="401"/>
      <c r="N102" s="400">
        <v>2</v>
      </c>
      <c r="O102" s="401"/>
      <c r="P102" s="400">
        <v>1</v>
      </c>
      <c r="Q102" s="401"/>
      <c r="R102" s="400"/>
      <c r="S102" s="401"/>
      <c r="T102" s="400"/>
      <c r="U102" s="401"/>
      <c r="V102" s="400">
        <v>2</v>
      </c>
      <c r="W102" s="401"/>
      <c r="X102" s="400">
        <v>2</v>
      </c>
      <c r="Y102" s="401"/>
      <c r="Z102" s="400">
        <v>4</v>
      </c>
      <c r="AA102" s="401"/>
      <c r="AB102" s="400">
        <v>2</v>
      </c>
      <c r="AC102" s="401"/>
      <c r="AD102" s="400">
        <v>1</v>
      </c>
      <c r="AE102" s="401"/>
      <c r="AF102" s="400"/>
      <c r="AG102" s="401"/>
      <c r="AH102" s="400"/>
      <c r="AI102" s="401"/>
      <c r="AJ102" s="400">
        <v>2</v>
      </c>
      <c r="AK102" s="401"/>
      <c r="AL102" s="400">
        <v>2</v>
      </c>
      <c r="AM102" s="401"/>
      <c r="AN102" s="400">
        <v>4</v>
      </c>
      <c r="AO102" s="401"/>
      <c r="AP102" s="400">
        <v>2</v>
      </c>
      <c r="AQ102" s="401"/>
      <c r="AR102" s="400">
        <v>1</v>
      </c>
      <c r="AS102" s="401"/>
      <c r="AT102" s="400"/>
      <c r="AU102" s="401"/>
      <c r="AV102" s="400"/>
      <c r="AW102" s="401"/>
      <c r="AX102" s="400">
        <v>2</v>
      </c>
      <c r="AY102" s="401"/>
      <c r="AZ102" s="400">
        <v>2</v>
      </c>
      <c r="BA102" s="401"/>
      <c r="BB102" s="400">
        <v>4</v>
      </c>
      <c r="BC102" s="401"/>
      <c r="BD102" s="400">
        <v>2</v>
      </c>
      <c r="BE102" s="401"/>
      <c r="BF102" s="400">
        <v>1</v>
      </c>
      <c r="BG102" s="401"/>
      <c r="BH102" s="400"/>
      <c r="BI102" s="401"/>
      <c r="BJ102" s="400"/>
      <c r="BK102" s="401"/>
      <c r="BL102" s="400">
        <v>2</v>
      </c>
      <c r="BM102" s="401"/>
      <c r="BN102" s="400">
        <v>2</v>
      </c>
      <c r="BO102" s="401"/>
      <c r="BP102" s="400">
        <v>3</v>
      </c>
      <c r="BQ102" s="401"/>
      <c r="BR102" s="400">
        <v>2</v>
      </c>
      <c r="BS102" s="401"/>
      <c r="BT102" s="400"/>
      <c r="BU102" s="401"/>
      <c r="BV102" s="337">
        <f t="shared" ref="BV102:BV105" si="41">L102+N102+P102+R102+T102+V102+X102+Z102+AB102+AD102+AF102+AH102+AJ102+AL102+AN102+AP102+AR102+AT102+AV102+AX102+AZ102+BB102+BD102+BF102+BH102+BJ102+BL102+BN102+BP102+BR102+BT102</f>
        <v>49</v>
      </c>
      <c r="BW102" s="337">
        <f t="shared" ref="BW102:BW105" si="42">M102+O102+Q102+S102+U102+W102+Y102+AA102+AC102+AE102+AG102+AI102+AK102+AM102+AO102+AQ102+AS102+AU102+AW102+AY102+BA102+BC102+BE102+BG102+BI102+BK102+BM102+BO102+BQ102+BS102+BU102</f>
        <v>0</v>
      </c>
    </row>
    <row r="103" spans="1:75" s="64" customFormat="1" ht="21.95" customHeight="1" x14ac:dyDescent="0.2">
      <c r="A103" s="385" t="s">
        <v>3266</v>
      </c>
      <c r="B103" s="386" t="s">
        <v>3267</v>
      </c>
      <c r="C103" s="392" t="s">
        <v>3186</v>
      </c>
      <c r="D103" s="387" t="s">
        <v>3268</v>
      </c>
      <c r="E103" s="388" t="s">
        <v>3269</v>
      </c>
      <c r="F103" s="389" t="s">
        <v>3182</v>
      </c>
      <c r="G103" s="389" t="s">
        <v>3183</v>
      </c>
      <c r="H103" s="390" t="s">
        <v>359</v>
      </c>
      <c r="I103" s="391" t="s">
        <v>359</v>
      </c>
      <c r="J103" s="353" t="s">
        <v>3184</v>
      </c>
      <c r="K103" s="355" t="s">
        <v>3188</v>
      </c>
      <c r="L103" s="400"/>
      <c r="M103" s="401"/>
      <c r="N103" s="400"/>
      <c r="O103" s="401"/>
      <c r="P103" s="400"/>
      <c r="Q103" s="401"/>
      <c r="R103" s="400"/>
      <c r="S103" s="401"/>
      <c r="T103" s="400"/>
      <c r="U103" s="401"/>
      <c r="V103" s="400"/>
      <c r="W103" s="401"/>
      <c r="X103" s="400"/>
      <c r="Y103" s="401"/>
      <c r="Z103" s="400"/>
      <c r="AA103" s="401"/>
      <c r="AB103" s="400"/>
      <c r="AC103" s="401"/>
      <c r="AD103" s="400"/>
      <c r="AE103" s="401"/>
      <c r="AF103" s="400"/>
      <c r="AG103" s="401"/>
      <c r="AH103" s="400"/>
      <c r="AI103" s="401"/>
      <c r="AJ103" s="400"/>
      <c r="AK103" s="401"/>
      <c r="AL103" s="400"/>
      <c r="AM103" s="401"/>
      <c r="AN103" s="400"/>
      <c r="AO103" s="401"/>
      <c r="AP103" s="400"/>
      <c r="AQ103" s="401"/>
      <c r="AR103" s="400"/>
      <c r="AS103" s="401"/>
      <c r="AT103" s="400"/>
      <c r="AU103" s="401"/>
      <c r="AV103" s="400"/>
      <c r="AW103" s="401"/>
      <c r="AX103" s="400"/>
      <c r="AY103" s="401"/>
      <c r="AZ103" s="400"/>
      <c r="BA103" s="401"/>
      <c r="BB103" s="400"/>
      <c r="BC103" s="401"/>
      <c r="BD103" s="400"/>
      <c r="BE103" s="401"/>
      <c r="BF103" s="400"/>
      <c r="BG103" s="401"/>
      <c r="BH103" s="400"/>
      <c r="BI103" s="401"/>
      <c r="BJ103" s="400"/>
      <c r="BK103" s="401"/>
      <c r="BL103" s="400"/>
      <c r="BM103" s="401"/>
      <c r="BN103" s="400"/>
      <c r="BO103" s="401"/>
      <c r="BP103" s="400"/>
      <c r="BQ103" s="401"/>
      <c r="BR103" s="400"/>
      <c r="BS103" s="401"/>
      <c r="BT103" s="400"/>
      <c r="BU103" s="401"/>
      <c r="BV103" s="337">
        <f t="shared" si="41"/>
        <v>0</v>
      </c>
      <c r="BW103" s="337">
        <f t="shared" si="42"/>
        <v>0</v>
      </c>
    </row>
    <row r="104" spans="1:75" s="64" customFormat="1" ht="21.95" customHeight="1" x14ac:dyDescent="0.2">
      <c r="A104" s="385" t="s">
        <v>3266</v>
      </c>
      <c r="B104" s="386" t="s">
        <v>3267</v>
      </c>
      <c r="C104" s="392" t="s">
        <v>3186</v>
      </c>
      <c r="D104" s="387" t="s">
        <v>3268</v>
      </c>
      <c r="E104" s="388" t="s">
        <v>3269</v>
      </c>
      <c r="F104" s="389" t="s">
        <v>3182</v>
      </c>
      <c r="G104" s="389" t="s">
        <v>3183</v>
      </c>
      <c r="H104" s="390" t="s">
        <v>359</v>
      </c>
      <c r="I104" s="391" t="s">
        <v>359</v>
      </c>
      <c r="J104" s="353" t="s">
        <v>3184</v>
      </c>
      <c r="K104" s="356" t="s">
        <v>3189</v>
      </c>
      <c r="L104" s="400"/>
      <c r="M104" s="401"/>
      <c r="N104" s="400"/>
      <c r="O104" s="401"/>
      <c r="P104" s="400"/>
      <c r="Q104" s="401"/>
      <c r="R104" s="400"/>
      <c r="S104" s="401"/>
      <c r="T104" s="400"/>
      <c r="U104" s="401"/>
      <c r="V104" s="400"/>
      <c r="W104" s="401"/>
      <c r="X104" s="400"/>
      <c r="Y104" s="401"/>
      <c r="Z104" s="400"/>
      <c r="AA104" s="401"/>
      <c r="AB104" s="400"/>
      <c r="AC104" s="401"/>
      <c r="AD104" s="400"/>
      <c r="AE104" s="401"/>
      <c r="AF104" s="400"/>
      <c r="AG104" s="401"/>
      <c r="AH104" s="400"/>
      <c r="AI104" s="401"/>
      <c r="AJ104" s="400"/>
      <c r="AK104" s="401"/>
      <c r="AL104" s="400"/>
      <c r="AM104" s="401"/>
      <c r="AN104" s="400"/>
      <c r="AO104" s="401"/>
      <c r="AP104" s="400"/>
      <c r="AQ104" s="401"/>
      <c r="AR104" s="400"/>
      <c r="AS104" s="401"/>
      <c r="AT104" s="400"/>
      <c r="AU104" s="401"/>
      <c r="AV104" s="400"/>
      <c r="AW104" s="401"/>
      <c r="AX104" s="400"/>
      <c r="AY104" s="401"/>
      <c r="AZ104" s="400"/>
      <c r="BA104" s="401"/>
      <c r="BB104" s="400"/>
      <c r="BC104" s="401"/>
      <c r="BD104" s="400"/>
      <c r="BE104" s="401"/>
      <c r="BF104" s="400"/>
      <c r="BG104" s="401"/>
      <c r="BH104" s="400"/>
      <c r="BI104" s="401"/>
      <c r="BJ104" s="400"/>
      <c r="BK104" s="401"/>
      <c r="BL104" s="400"/>
      <c r="BM104" s="401"/>
      <c r="BN104" s="400"/>
      <c r="BO104" s="401"/>
      <c r="BP104" s="400"/>
      <c r="BQ104" s="401"/>
      <c r="BR104" s="400"/>
      <c r="BS104" s="401"/>
      <c r="BT104" s="400"/>
      <c r="BU104" s="401"/>
      <c r="BV104" s="337">
        <f t="shared" si="41"/>
        <v>0</v>
      </c>
      <c r="BW104" s="337">
        <f t="shared" si="42"/>
        <v>0</v>
      </c>
    </row>
    <row r="105" spans="1:75" s="64" customFormat="1" ht="21.95" customHeight="1" thickBot="1" x14ac:dyDescent="0.25">
      <c r="A105" s="898" t="s">
        <v>3266</v>
      </c>
      <c r="B105" s="393" t="s">
        <v>3267</v>
      </c>
      <c r="C105" s="394" t="s">
        <v>3186</v>
      </c>
      <c r="D105" s="395" t="s">
        <v>3268</v>
      </c>
      <c r="E105" s="411" t="s">
        <v>3269</v>
      </c>
      <c r="F105" s="396" t="s">
        <v>3182</v>
      </c>
      <c r="G105" s="396" t="s">
        <v>3183</v>
      </c>
      <c r="H105" s="397" t="s">
        <v>359</v>
      </c>
      <c r="I105" s="899" t="s">
        <v>359</v>
      </c>
      <c r="J105" s="353" t="s">
        <v>3184</v>
      </c>
      <c r="K105" s="357" t="s">
        <v>60</v>
      </c>
      <c r="L105" s="402"/>
      <c r="M105" s="403"/>
      <c r="N105" s="402"/>
      <c r="O105" s="403"/>
      <c r="P105" s="402"/>
      <c r="Q105" s="403"/>
      <c r="R105" s="402"/>
      <c r="S105" s="403"/>
      <c r="T105" s="402"/>
      <c r="U105" s="403"/>
      <c r="V105" s="402"/>
      <c r="W105" s="403"/>
      <c r="X105" s="402"/>
      <c r="Y105" s="403"/>
      <c r="Z105" s="402"/>
      <c r="AA105" s="403"/>
      <c r="AB105" s="402"/>
      <c r="AC105" s="403"/>
      <c r="AD105" s="402"/>
      <c r="AE105" s="403"/>
      <c r="AF105" s="402"/>
      <c r="AG105" s="403"/>
      <c r="AH105" s="402"/>
      <c r="AI105" s="403"/>
      <c r="AJ105" s="402"/>
      <c r="AK105" s="403"/>
      <c r="AL105" s="402"/>
      <c r="AM105" s="403"/>
      <c r="AN105" s="402"/>
      <c r="AO105" s="403"/>
      <c r="AP105" s="402"/>
      <c r="AQ105" s="403"/>
      <c r="AR105" s="402"/>
      <c r="AS105" s="403"/>
      <c r="AT105" s="402"/>
      <c r="AU105" s="403"/>
      <c r="AV105" s="402"/>
      <c r="AW105" s="403"/>
      <c r="AX105" s="402"/>
      <c r="AY105" s="403"/>
      <c r="AZ105" s="402"/>
      <c r="BA105" s="403"/>
      <c r="BB105" s="402"/>
      <c r="BC105" s="403"/>
      <c r="BD105" s="402"/>
      <c r="BE105" s="403"/>
      <c r="BF105" s="402"/>
      <c r="BG105" s="403"/>
      <c r="BH105" s="402"/>
      <c r="BI105" s="403"/>
      <c r="BJ105" s="402"/>
      <c r="BK105" s="403"/>
      <c r="BL105" s="402"/>
      <c r="BM105" s="403"/>
      <c r="BN105" s="402"/>
      <c r="BO105" s="403"/>
      <c r="BP105" s="402"/>
      <c r="BQ105" s="403"/>
      <c r="BR105" s="402"/>
      <c r="BS105" s="403"/>
      <c r="BT105" s="402"/>
      <c r="BU105" s="403"/>
      <c r="BV105" s="337">
        <f t="shared" si="41"/>
        <v>0</v>
      </c>
      <c r="BW105" s="337">
        <f t="shared" si="42"/>
        <v>0</v>
      </c>
    </row>
    <row r="106" spans="1:75" s="64" customFormat="1" ht="21.95" customHeight="1" x14ac:dyDescent="0.25">
      <c r="A106" s="425" t="s">
        <v>3270</v>
      </c>
      <c r="B106" s="526" t="s">
        <v>3271</v>
      </c>
      <c r="C106" s="527">
        <v>1</v>
      </c>
      <c r="D106" s="528" t="s">
        <v>3272</v>
      </c>
      <c r="E106" s="426" t="s">
        <v>3273</v>
      </c>
      <c r="F106" s="529" t="s">
        <v>3182</v>
      </c>
      <c r="G106" s="529" t="s">
        <v>3183</v>
      </c>
      <c r="H106" s="530" t="s">
        <v>361</v>
      </c>
      <c r="I106" s="384" t="s">
        <v>361</v>
      </c>
      <c r="J106" s="353" t="s">
        <v>3184</v>
      </c>
      <c r="K106" s="354" t="s">
        <v>3185</v>
      </c>
      <c r="L106" s="402"/>
      <c r="M106" s="403"/>
      <c r="N106" s="402"/>
      <c r="O106" s="403"/>
      <c r="P106" s="402"/>
      <c r="Q106" s="403"/>
      <c r="R106" s="402"/>
      <c r="S106" s="403"/>
      <c r="T106" s="402"/>
      <c r="U106" s="403"/>
      <c r="V106" s="402"/>
      <c r="W106" s="403"/>
      <c r="X106" s="402"/>
      <c r="Y106" s="403"/>
      <c r="Z106" s="402"/>
      <c r="AA106" s="403"/>
      <c r="AB106" s="402"/>
      <c r="AC106" s="403"/>
      <c r="AD106" s="402"/>
      <c r="AE106" s="403"/>
      <c r="AF106" s="402"/>
      <c r="AG106" s="403"/>
      <c r="AH106" s="402"/>
      <c r="AI106" s="403"/>
      <c r="AJ106" s="402"/>
      <c r="AK106" s="403"/>
      <c r="AL106" s="402"/>
      <c r="AM106" s="403"/>
      <c r="AN106" s="402"/>
      <c r="AO106" s="403"/>
      <c r="AP106" s="402"/>
      <c r="AQ106" s="403"/>
      <c r="AR106" s="402"/>
      <c r="AS106" s="403"/>
      <c r="AT106" s="402"/>
      <c r="AU106" s="403"/>
      <c r="AV106" s="402"/>
      <c r="AW106" s="403"/>
      <c r="AX106" s="402"/>
      <c r="AY106" s="403"/>
      <c r="AZ106" s="402"/>
      <c r="BA106" s="403"/>
      <c r="BB106" s="402"/>
      <c r="BC106" s="403"/>
      <c r="BD106" s="402"/>
      <c r="BE106" s="403"/>
      <c r="BF106" s="402"/>
      <c r="BG106" s="403"/>
      <c r="BH106" s="402"/>
      <c r="BI106" s="403"/>
      <c r="BJ106" s="402"/>
      <c r="BK106" s="403"/>
      <c r="BL106" s="402"/>
      <c r="BM106" s="403"/>
      <c r="BN106" s="402"/>
      <c r="BO106" s="403"/>
      <c r="BP106" s="402"/>
      <c r="BQ106" s="403"/>
      <c r="BR106" s="402"/>
      <c r="BS106" s="403"/>
      <c r="BT106" s="402"/>
      <c r="BU106" s="403"/>
      <c r="BV106" s="337">
        <f>L106+N106+P106+R106+T106+V106+X106+Z106+AB106+AD106+AF106+AH106+AJ106+AL106+AN106+AP106+AR106+AT106+AV106+AX106+AZ106+BB106+BD106+BF106+BH106+BJ106+BL106+BN106+BP106+BR106+BT106</f>
        <v>0</v>
      </c>
      <c r="BW106" s="337">
        <f>M106+O106+Q106+S106+U106+W106+Y106+AA106+AC106+AE106+AG106+AI106+AK106+AM106+AO106+AQ106+AS106+AU106+AW106+AY106+BA106+BC106+BE106+BG106+BI106+BK106+BM106+BO106+BQ106+BS106+BU106</f>
        <v>0</v>
      </c>
    </row>
    <row r="107" spans="1:75" s="64" customFormat="1" ht="21.95" customHeight="1" x14ac:dyDescent="0.2">
      <c r="A107" s="385" t="s">
        <v>3270</v>
      </c>
      <c r="B107" s="386" t="s">
        <v>3271</v>
      </c>
      <c r="C107" s="352" t="s">
        <v>3186</v>
      </c>
      <c r="D107" s="387" t="s">
        <v>3272</v>
      </c>
      <c r="E107" s="388" t="s">
        <v>3273</v>
      </c>
      <c r="F107" s="389" t="s">
        <v>3182</v>
      </c>
      <c r="G107" s="389" t="s">
        <v>3183</v>
      </c>
      <c r="H107" s="390" t="s">
        <v>361</v>
      </c>
      <c r="I107" s="391" t="s">
        <v>361</v>
      </c>
      <c r="J107" s="353" t="s">
        <v>3184</v>
      </c>
      <c r="K107" s="353" t="s">
        <v>3187</v>
      </c>
      <c r="L107" s="400">
        <v>4</v>
      </c>
      <c r="M107" s="401"/>
      <c r="N107" s="400"/>
      <c r="O107" s="401"/>
      <c r="P107" s="400">
        <v>3</v>
      </c>
      <c r="Q107" s="401"/>
      <c r="R107" s="400"/>
      <c r="S107" s="401"/>
      <c r="T107" s="400"/>
      <c r="U107" s="401"/>
      <c r="V107" s="400"/>
      <c r="W107" s="401"/>
      <c r="X107" s="400"/>
      <c r="Y107" s="401"/>
      <c r="Z107" s="400">
        <v>4</v>
      </c>
      <c r="AA107" s="401"/>
      <c r="AB107" s="400"/>
      <c r="AC107" s="401"/>
      <c r="AD107" s="400">
        <v>3</v>
      </c>
      <c r="AE107" s="401"/>
      <c r="AF107" s="400"/>
      <c r="AG107" s="401"/>
      <c r="AH107" s="400"/>
      <c r="AI107" s="401"/>
      <c r="AJ107" s="400"/>
      <c r="AK107" s="401"/>
      <c r="AL107" s="400"/>
      <c r="AM107" s="401"/>
      <c r="AN107" s="400">
        <v>4</v>
      </c>
      <c r="AO107" s="401"/>
      <c r="AP107" s="400"/>
      <c r="AQ107" s="401"/>
      <c r="AR107" s="400">
        <v>3</v>
      </c>
      <c r="AS107" s="401"/>
      <c r="AT107" s="400"/>
      <c r="AU107" s="401"/>
      <c r="AV107" s="400"/>
      <c r="AW107" s="401"/>
      <c r="AX107" s="400"/>
      <c r="AY107" s="401"/>
      <c r="AZ107" s="400"/>
      <c r="BA107" s="401"/>
      <c r="BB107" s="400">
        <v>4</v>
      </c>
      <c r="BC107" s="401"/>
      <c r="BD107" s="400"/>
      <c r="BE107" s="401"/>
      <c r="BF107" s="400">
        <v>3</v>
      </c>
      <c r="BG107" s="401"/>
      <c r="BH107" s="400"/>
      <c r="BI107" s="401"/>
      <c r="BJ107" s="400"/>
      <c r="BK107" s="401"/>
      <c r="BL107" s="400"/>
      <c r="BM107" s="401"/>
      <c r="BN107" s="400"/>
      <c r="BO107" s="401"/>
      <c r="BP107" s="400">
        <v>4</v>
      </c>
      <c r="BQ107" s="401"/>
      <c r="BR107" s="400"/>
      <c r="BS107" s="401"/>
      <c r="BT107" s="400"/>
      <c r="BU107" s="401"/>
      <c r="BV107" s="337">
        <f t="shared" ref="BV107:BV110" si="43">L107+N107+P107+R107+T107+V107+X107+Z107+AB107+AD107+AF107+AH107+AJ107+AL107+AN107+AP107+AR107+AT107+AV107+AX107+AZ107+BB107+BD107+BF107+BH107+BJ107+BL107+BN107+BP107+BR107+BT107</f>
        <v>32</v>
      </c>
      <c r="BW107" s="337">
        <f t="shared" ref="BW107:BW110" si="44">M107+O107+Q107+S107+U107+W107+Y107+AA107+AC107+AE107+AG107+AI107+AK107+AM107+AO107+AQ107+AS107+AU107+AW107+AY107+BA107+BC107+BE107+BG107+BI107+BK107+BM107+BO107+BQ107+BS107+BU107</f>
        <v>0</v>
      </c>
    </row>
    <row r="108" spans="1:75" s="64" customFormat="1" ht="21.95" customHeight="1" x14ac:dyDescent="0.2">
      <c r="A108" s="385" t="s">
        <v>3270</v>
      </c>
      <c r="B108" s="386" t="s">
        <v>3271</v>
      </c>
      <c r="C108" s="392" t="s">
        <v>3186</v>
      </c>
      <c r="D108" s="387" t="s">
        <v>3272</v>
      </c>
      <c r="E108" s="388" t="s">
        <v>3273</v>
      </c>
      <c r="F108" s="389" t="s">
        <v>3182</v>
      </c>
      <c r="G108" s="389" t="s">
        <v>3183</v>
      </c>
      <c r="H108" s="390" t="s">
        <v>361</v>
      </c>
      <c r="I108" s="391" t="s">
        <v>361</v>
      </c>
      <c r="J108" s="353" t="s">
        <v>3184</v>
      </c>
      <c r="K108" s="355" t="s">
        <v>3188</v>
      </c>
      <c r="L108" s="400"/>
      <c r="M108" s="401"/>
      <c r="N108" s="400"/>
      <c r="O108" s="401"/>
      <c r="P108" s="400"/>
      <c r="Q108" s="401"/>
      <c r="R108" s="400"/>
      <c r="S108" s="401"/>
      <c r="T108" s="400"/>
      <c r="U108" s="401"/>
      <c r="V108" s="400"/>
      <c r="W108" s="401"/>
      <c r="X108" s="400"/>
      <c r="Y108" s="401"/>
      <c r="Z108" s="400"/>
      <c r="AA108" s="401"/>
      <c r="AB108" s="400"/>
      <c r="AC108" s="401"/>
      <c r="AD108" s="400"/>
      <c r="AE108" s="401"/>
      <c r="AF108" s="400"/>
      <c r="AG108" s="401"/>
      <c r="AH108" s="400"/>
      <c r="AI108" s="401"/>
      <c r="AJ108" s="400"/>
      <c r="AK108" s="401"/>
      <c r="AL108" s="400"/>
      <c r="AM108" s="401"/>
      <c r="AN108" s="400"/>
      <c r="AO108" s="401"/>
      <c r="AP108" s="400"/>
      <c r="AQ108" s="401"/>
      <c r="AR108" s="400"/>
      <c r="AS108" s="401"/>
      <c r="AT108" s="400"/>
      <c r="AU108" s="401"/>
      <c r="AV108" s="400"/>
      <c r="AW108" s="401"/>
      <c r="AX108" s="400"/>
      <c r="AY108" s="401"/>
      <c r="AZ108" s="400"/>
      <c r="BA108" s="401"/>
      <c r="BB108" s="400"/>
      <c r="BC108" s="401"/>
      <c r="BD108" s="400"/>
      <c r="BE108" s="401"/>
      <c r="BF108" s="400"/>
      <c r="BG108" s="401"/>
      <c r="BH108" s="400"/>
      <c r="BI108" s="401"/>
      <c r="BJ108" s="400"/>
      <c r="BK108" s="401"/>
      <c r="BL108" s="400"/>
      <c r="BM108" s="401"/>
      <c r="BN108" s="400"/>
      <c r="BO108" s="401"/>
      <c r="BP108" s="400"/>
      <c r="BQ108" s="401"/>
      <c r="BR108" s="400"/>
      <c r="BS108" s="401"/>
      <c r="BT108" s="400"/>
      <c r="BU108" s="401"/>
      <c r="BV108" s="337">
        <f t="shared" si="43"/>
        <v>0</v>
      </c>
      <c r="BW108" s="337">
        <f t="shared" si="44"/>
        <v>0</v>
      </c>
    </row>
    <row r="109" spans="1:75" s="64" customFormat="1" ht="21.95" customHeight="1" x14ac:dyDescent="0.2">
      <c r="A109" s="385" t="s">
        <v>3270</v>
      </c>
      <c r="B109" s="386" t="s">
        <v>3271</v>
      </c>
      <c r="C109" s="392" t="s">
        <v>3186</v>
      </c>
      <c r="D109" s="387" t="s">
        <v>3272</v>
      </c>
      <c r="E109" s="388" t="s">
        <v>3273</v>
      </c>
      <c r="F109" s="389" t="s">
        <v>3182</v>
      </c>
      <c r="G109" s="389" t="s">
        <v>3183</v>
      </c>
      <c r="H109" s="390" t="s">
        <v>361</v>
      </c>
      <c r="I109" s="391" t="s">
        <v>361</v>
      </c>
      <c r="J109" s="353" t="s">
        <v>3184</v>
      </c>
      <c r="K109" s="356" t="s">
        <v>3189</v>
      </c>
      <c r="L109" s="400"/>
      <c r="M109" s="401"/>
      <c r="N109" s="400"/>
      <c r="O109" s="401"/>
      <c r="P109" s="400"/>
      <c r="Q109" s="401"/>
      <c r="R109" s="400"/>
      <c r="S109" s="401"/>
      <c r="T109" s="400"/>
      <c r="U109" s="401"/>
      <c r="V109" s="400"/>
      <c r="W109" s="401"/>
      <c r="X109" s="400"/>
      <c r="Y109" s="401"/>
      <c r="Z109" s="400"/>
      <c r="AA109" s="401"/>
      <c r="AB109" s="400"/>
      <c r="AC109" s="401"/>
      <c r="AD109" s="400"/>
      <c r="AE109" s="401"/>
      <c r="AF109" s="400"/>
      <c r="AG109" s="401"/>
      <c r="AH109" s="400"/>
      <c r="AI109" s="401"/>
      <c r="AJ109" s="400"/>
      <c r="AK109" s="401"/>
      <c r="AL109" s="400"/>
      <c r="AM109" s="401"/>
      <c r="AN109" s="400"/>
      <c r="AO109" s="401"/>
      <c r="AP109" s="400"/>
      <c r="AQ109" s="401"/>
      <c r="AR109" s="400"/>
      <c r="AS109" s="401"/>
      <c r="AT109" s="400"/>
      <c r="AU109" s="401"/>
      <c r="AV109" s="400"/>
      <c r="AW109" s="401"/>
      <c r="AX109" s="400"/>
      <c r="AY109" s="401"/>
      <c r="AZ109" s="400"/>
      <c r="BA109" s="401"/>
      <c r="BB109" s="400"/>
      <c r="BC109" s="401"/>
      <c r="BD109" s="400"/>
      <c r="BE109" s="401"/>
      <c r="BF109" s="400"/>
      <c r="BG109" s="401"/>
      <c r="BH109" s="400"/>
      <c r="BI109" s="401"/>
      <c r="BJ109" s="400"/>
      <c r="BK109" s="401"/>
      <c r="BL109" s="400"/>
      <c r="BM109" s="401"/>
      <c r="BN109" s="400"/>
      <c r="BO109" s="401"/>
      <c r="BP109" s="400"/>
      <c r="BQ109" s="401"/>
      <c r="BR109" s="400"/>
      <c r="BS109" s="401"/>
      <c r="BT109" s="400"/>
      <c r="BU109" s="401"/>
      <c r="BV109" s="337">
        <f t="shared" si="43"/>
        <v>0</v>
      </c>
      <c r="BW109" s="337">
        <f t="shared" si="44"/>
        <v>0</v>
      </c>
    </row>
    <row r="110" spans="1:75" s="64" customFormat="1" ht="21.95" customHeight="1" x14ac:dyDescent="0.2">
      <c r="A110" s="898" t="s">
        <v>3270</v>
      </c>
      <c r="B110" s="393" t="s">
        <v>3271</v>
      </c>
      <c r="C110" s="394" t="s">
        <v>3186</v>
      </c>
      <c r="D110" s="395" t="s">
        <v>3272</v>
      </c>
      <c r="E110" s="411" t="s">
        <v>3273</v>
      </c>
      <c r="F110" s="396" t="s">
        <v>3182</v>
      </c>
      <c r="G110" s="396" t="s">
        <v>3183</v>
      </c>
      <c r="H110" s="397" t="s">
        <v>361</v>
      </c>
      <c r="I110" s="899" t="s">
        <v>361</v>
      </c>
      <c r="J110" s="353" t="s">
        <v>3184</v>
      </c>
      <c r="K110" s="357" t="s">
        <v>60</v>
      </c>
      <c r="L110" s="402"/>
      <c r="M110" s="403"/>
      <c r="N110" s="402"/>
      <c r="O110" s="403"/>
      <c r="P110" s="402"/>
      <c r="Q110" s="403"/>
      <c r="R110" s="402"/>
      <c r="S110" s="403"/>
      <c r="T110" s="402"/>
      <c r="U110" s="403"/>
      <c r="V110" s="402"/>
      <c r="W110" s="403"/>
      <c r="X110" s="402"/>
      <c r="Y110" s="403"/>
      <c r="Z110" s="402"/>
      <c r="AA110" s="403"/>
      <c r="AB110" s="402"/>
      <c r="AC110" s="403"/>
      <c r="AD110" s="402"/>
      <c r="AE110" s="403"/>
      <c r="AF110" s="402"/>
      <c r="AG110" s="403"/>
      <c r="AH110" s="402"/>
      <c r="AI110" s="403"/>
      <c r="AJ110" s="402"/>
      <c r="AK110" s="403"/>
      <c r="AL110" s="402"/>
      <c r="AM110" s="403"/>
      <c r="AN110" s="402"/>
      <c r="AO110" s="403"/>
      <c r="AP110" s="402"/>
      <c r="AQ110" s="403"/>
      <c r="AR110" s="402"/>
      <c r="AS110" s="403"/>
      <c r="AT110" s="402"/>
      <c r="AU110" s="403"/>
      <c r="AV110" s="402"/>
      <c r="AW110" s="403"/>
      <c r="AX110" s="402"/>
      <c r="AY110" s="403"/>
      <c r="AZ110" s="402"/>
      <c r="BA110" s="403"/>
      <c r="BB110" s="402"/>
      <c r="BC110" s="403"/>
      <c r="BD110" s="402"/>
      <c r="BE110" s="403"/>
      <c r="BF110" s="402"/>
      <c r="BG110" s="403"/>
      <c r="BH110" s="402"/>
      <c r="BI110" s="403"/>
      <c r="BJ110" s="402"/>
      <c r="BK110" s="403"/>
      <c r="BL110" s="402"/>
      <c r="BM110" s="403"/>
      <c r="BN110" s="402"/>
      <c r="BO110" s="403"/>
      <c r="BP110" s="402"/>
      <c r="BQ110" s="403"/>
      <c r="BR110" s="402"/>
      <c r="BS110" s="403"/>
      <c r="BT110" s="402"/>
      <c r="BU110" s="403"/>
      <c r="BV110" s="337">
        <f t="shared" si="43"/>
        <v>0</v>
      </c>
      <c r="BW110" s="337">
        <f t="shared" si="44"/>
        <v>0</v>
      </c>
    </row>
    <row r="111" spans="1:75" s="64" customFormat="1" ht="21.95" customHeight="1" x14ac:dyDescent="0.2">
      <c r="A111" s="5"/>
      <c r="B111" s="5"/>
      <c r="C111" s="6"/>
      <c r="D111" s="7"/>
      <c r="E111" s="7"/>
      <c r="F111" s="7"/>
      <c r="G111" s="6"/>
      <c r="H111" s="5"/>
      <c r="I111" s="79"/>
      <c r="J111" s="5"/>
      <c r="K111" s="5"/>
      <c r="L111" s="335"/>
      <c r="M111" s="336"/>
      <c r="N111" s="335"/>
      <c r="O111" s="336"/>
      <c r="P111" s="335"/>
      <c r="Q111" s="336"/>
      <c r="R111" s="335"/>
      <c r="S111" s="336"/>
      <c r="T111" s="335"/>
      <c r="U111" s="336"/>
      <c r="V111" s="335"/>
      <c r="W111" s="336"/>
      <c r="X111" s="335"/>
      <c r="Y111" s="336"/>
      <c r="Z111" s="335"/>
      <c r="AA111" s="336"/>
      <c r="AB111" s="335"/>
      <c r="AC111" s="336"/>
      <c r="AD111" s="335"/>
      <c r="AE111" s="336"/>
      <c r="AF111" s="335"/>
      <c r="AG111" s="336"/>
      <c r="AH111" s="335"/>
      <c r="AI111" s="336"/>
      <c r="AJ111" s="335"/>
      <c r="AK111" s="336"/>
      <c r="AL111" s="335"/>
      <c r="AM111" s="336"/>
      <c r="AN111" s="335"/>
      <c r="AO111" s="336"/>
      <c r="AP111" s="335"/>
      <c r="AQ111" s="336"/>
      <c r="AR111" s="335"/>
      <c r="AS111" s="336"/>
      <c r="AT111" s="335"/>
      <c r="AU111" s="336"/>
      <c r="AV111" s="335"/>
      <c r="AW111" s="336"/>
      <c r="AX111" s="335"/>
      <c r="AY111" s="336"/>
      <c r="AZ111" s="335"/>
      <c r="BA111" s="336"/>
      <c r="BB111" s="335"/>
      <c r="BC111" s="336"/>
      <c r="BD111" s="335"/>
      <c r="BE111" s="336"/>
      <c r="BF111" s="335"/>
      <c r="BG111" s="336"/>
      <c r="BH111" s="335"/>
      <c r="BI111" s="336"/>
      <c r="BJ111" s="335"/>
      <c r="BK111" s="336"/>
      <c r="BL111" s="335"/>
      <c r="BM111" s="336"/>
      <c r="BN111" s="335"/>
      <c r="BO111" s="336"/>
      <c r="BP111" s="335"/>
      <c r="BQ111" s="336"/>
      <c r="BR111" s="335"/>
      <c r="BS111" s="336"/>
      <c r="BT111" s="335"/>
      <c r="BU111" s="336"/>
      <c r="BV111" s="337"/>
      <c r="BW111" s="337"/>
    </row>
    <row r="112" spans="1:75" s="64" customFormat="1" ht="21.95" customHeight="1" x14ac:dyDescent="0.2">
      <c r="A112" s="5"/>
      <c r="B112" s="5"/>
      <c r="C112" s="6"/>
      <c r="D112" s="7"/>
      <c r="E112" s="7"/>
      <c r="F112" s="7"/>
      <c r="G112" s="6"/>
      <c r="H112" s="5"/>
      <c r="I112" s="79"/>
      <c r="J112" s="5"/>
      <c r="K112" s="5"/>
      <c r="L112" s="335">
        <f t="shared" ref="L112:BU112" si="45">SUM(L6:L111)</f>
        <v>26</v>
      </c>
      <c r="M112" s="335">
        <f t="shared" si="45"/>
        <v>0</v>
      </c>
      <c r="N112" s="335">
        <f t="shared" si="45"/>
        <v>23</v>
      </c>
      <c r="O112" s="335">
        <f t="shared" si="45"/>
        <v>0</v>
      </c>
      <c r="P112" s="335">
        <f t="shared" si="45"/>
        <v>12</v>
      </c>
      <c r="Q112" s="335">
        <f t="shared" si="45"/>
        <v>0</v>
      </c>
      <c r="R112" s="335">
        <f t="shared" si="45"/>
        <v>0</v>
      </c>
      <c r="S112" s="335">
        <f t="shared" si="45"/>
        <v>0</v>
      </c>
      <c r="T112" s="335">
        <f t="shared" si="45"/>
        <v>0</v>
      </c>
      <c r="U112" s="335">
        <f t="shared" si="45"/>
        <v>0</v>
      </c>
      <c r="V112" s="335">
        <f t="shared" si="45"/>
        <v>24</v>
      </c>
      <c r="W112" s="335">
        <f t="shared" si="45"/>
        <v>0</v>
      </c>
      <c r="X112" s="335">
        <f t="shared" si="45"/>
        <v>22</v>
      </c>
      <c r="Y112" s="335">
        <f t="shared" si="45"/>
        <v>0</v>
      </c>
      <c r="Z112" s="335">
        <f t="shared" si="45"/>
        <v>26</v>
      </c>
      <c r="AA112" s="335">
        <f t="shared" si="45"/>
        <v>0</v>
      </c>
      <c r="AB112" s="335">
        <f t="shared" si="45"/>
        <v>23</v>
      </c>
      <c r="AC112" s="335">
        <f t="shared" si="45"/>
        <v>0</v>
      </c>
      <c r="AD112" s="335">
        <f t="shared" si="45"/>
        <v>12</v>
      </c>
      <c r="AE112" s="335">
        <f t="shared" si="45"/>
        <v>0</v>
      </c>
      <c r="AF112" s="335">
        <f t="shared" si="45"/>
        <v>0</v>
      </c>
      <c r="AG112" s="335">
        <f t="shared" si="45"/>
        <v>0</v>
      </c>
      <c r="AH112" s="335">
        <f t="shared" si="45"/>
        <v>0</v>
      </c>
      <c r="AI112" s="335">
        <f t="shared" si="45"/>
        <v>0</v>
      </c>
      <c r="AJ112" s="335">
        <f t="shared" si="45"/>
        <v>24</v>
      </c>
      <c r="AK112" s="335">
        <f t="shared" si="45"/>
        <v>0</v>
      </c>
      <c r="AL112" s="335">
        <f t="shared" si="45"/>
        <v>23</v>
      </c>
      <c r="AM112" s="335">
        <f t="shared" si="45"/>
        <v>0</v>
      </c>
      <c r="AN112" s="335">
        <f t="shared" si="45"/>
        <v>26</v>
      </c>
      <c r="AO112" s="335">
        <f t="shared" si="45"/>
        <v>0</v>
      </c>
      <c r="AP112" s="335">
        <f t="shared" si="45"/>
        <v>23</v>
      </c>
      <c r="AQ112" s="335">
        <f t="shared" si="45"/>
        <v>0</v>
      </c>
      <c r="AR112" s="335">
        <f t="shared" si="45"/>
        <v>13</v>
      </c>
      <c r="AS112" s="335">
        <f t="shared" si="45"/>
        <v>0</v>
      </c>
      <c r="AT112" s="335">
        <f t="shared" si="45"/>
        <v>0</v>
      </c>
      <c r="AU112" s="335">
        <f t="shared" si="45"/>
        <v>0</v>
      </c>
      <c r="AV112" s="335">
        <f t="shared" si="45"/>
        <v>0</v>
      </c>
      <c r="AW112" s="335">
        <f t="shared" si="45"/>
        <v>0</v>
      </c>
      <c r="AX112" s="335">
        <f t="shared" si="45"/>
        <v>28</v>
      </c>
      <c r="AY112" s="335">
        <f t="shared" si="45"/>
        <v>0</v>
      </c>
      <c r="AZ112" s="335">
        <f t="shared" si="45"/>
        <v>24</v>
      </c>
      <c r="BA112" s="335">
        <f t="shared" si="45"/>
        <v>0</v>
      </c>
      <c r="BB112" s="335">
        <f t="shared" si="45"/>
        <v>35</v>
      </c>
      <c r="BC112" s="335">
        <f t="shared" si="45"/>
        <v>0</v>
      </c>
      <c r="BD112" s="335">
        <f t="shared" si="45"/>
        <v>33</v>
      </c>
      <c r="BE112" s="335">
        <f t="shared" si="45"/>
        <v>0</v>
      </c>
      <c r="BF112" s="335">
        <f t="shared" si="45"/>
        <v>17</v>
      </c>
      <c r="BG112" s="335">
        <f t="shared" si="45"/>
        <v>0</v>
      </c>
      <c r="BH112" s="335">
        <f t="shared" si="45"/>
        <v>0</v>
      </c>
      <c r="BI112" s="335">
        <f t="shared" si="45"/>
        <v>0</v>
      </c>
      <c r="BJ112" s="335">
        <f t="shared" si="45"/>
        <v>0</v>
      </c>
      <c r="BK112" s="335">
        <f t="shared" si="45"/>
        <v>0</v>
      </c>
      <c r="BL112" s="335">
        <f t="shared" si="45"/>
        <v>31</v>
      </c>
      <c r="BM112" s="335">
        <f t="shared" si="45"/>
        <v>0</v>
      </c>
      <c r="BN112" s="335">
        <f t="shared" si="45"/>
        <v>31</v>
      </c>
      <c r="BO112" s="335">
        <f t="shared" si="45"/>
        <v>0</v>
      </c>
      <c r="BP112" s="335">
        <f t="shared" si="45"/>
        <v>36</v>
      </c>
      <c r="BQ112" s="335">
        <f t="shared" si="45"/>
        <v>0</v>
      </c>
      <c r="BR112" s="335">
        <f t="shared" si="45"/>
        <v>36</v>
      </c>
      <c r="BS112" s="335">
        <f t="shared" si="45"/>
        <v>0</v>
      </c>
      <c r="BT112" s="335">
        <f t="shared" si="45"/>
        <v>0</v>
      </c>
      <c r="BU112" s="335">
        <f t="shared" si="45"/>
        <v>0</v>
      </c>
      <c r="BV112" s="335">
        <f>SUM(BV6:BV111)</f>
        <v>548</v>
      </c>
      <c r="BW112" s="335">
        <f>SUM(BW6:BW111)</f>
        <v>0</v>
      </c>
    </row>
    <row r="113" spans="1:75" ht="21.95" customHeight="1" x14ac:dyDescent="0.25">
      <c r="A113" s="332"/>
      <c r="L113" s="335"/>
      <c r="M113" s="336"/>
      <c r="N113" s="335"/>
      <c r="O113" s="336"/>
      <c r="P113" s="335"/>
      <c r="Q113" s="336"/>
      <c r="R113" s="335"/>
      <c r="S113" s="336"/>
      <c r="T113" s="335"/>
      <c r="U113" s="336"/>
      <c r="V113" s="335"/>
      <c r="W113" s="336"/>
      <c r="X113" s="335"/>
      <c r="Y113" s="336"/>
      <c r="Z113" s="335"/>
      <c r="AA113" s="336"/>
      <c r="AB113" s="335"/>
      <c r="AC113" s="336"/>
      <c r="AD113" s="335"/>
      <c r="AE113" s="336"/>
      <c r="AF113" s="335"/>
      <c r="AG113" s="336"/>
      <c r="AH113" s="335"/>
      <c r="AI113" s="336"/>
      <c r="AJ113" s="335"/>
      <c r="AK113" s="336"/>
      <c r="AL113" s="335"/>
      <c r="AM113" s="336"/>
      <c r="AN113" s="335"/>
      <c r="AO113" s="336"/>
      <c r="AP113" s="335"/>
      <c r="AQ113" s="336"/>
      <c r="AR113" s="335"/>
      <c r="AS113" s="336"/>
      <c r="AT113" s="335"/>
      <c r="AU113" s="336"/>
      <c r="AV113" s="335"/>
      <c r="AW113" s="336"/>
      <c r="AX113" s="335"/>
      <c r="AY113" s="336"/>
      <c r="AZ113" s="335"/>
      <c r="BA113" s="336"/>
      <c r="BB113" s="335"/>
      <c r="BC113" s="336"/>
      <c r="BD113" s="335"/>
      <c r="BE113" s="336"/>
      <c r="BF113" s="335"/>
      <c r="BG113" s="336"/>
      <c r="BH113" s="335"/>
      <c r="BI113" s="336"/>
      <c r="BJ113" s="335"/>
      <c r="BK113" s="336"/>
      <c r="BL113" s="335"/>
      <c r="BM113" s="336"/>
      <c r="BN113" s="335"/>
      <c r="BO113" s="336"/>
      <c r="BP113" s="335"/>
      <c r="BQ113" s="336"/>
      <c r="BR113" s="335"/>
      <c r="BS113" s="336"/>
      <c r="BT113" s="335"/>
      <c r="BU113" s="336"/>
      <c r="BV113" s="337"/>
      <c r="BW113" s="337"/>
    </row>
    <row r="114" spans="1:75" ht="21.95" customHeight="1" x14ac:dyDescent="0.2">
      <c r="A114" s="79"/>
      <c r="B114" s="79"/>
      <c r="C114" s="331"/>
      <c r="D114" s="333"/>
      <c r="E114" s="333"/>
      <c r="F114" s="333"/>
      <c r="G114" s="331"/>
      <c r="H114" s="79"/>
      <c r="J114" s="334"/>
      <c r="K114" s="79"/>
      <c r="L114" s="335"/>
      <c r="M114" s="335"/>
      <c r="N114" s="335"/>
      <c r="O114" s="335"/>
      <c r="P114" s="335"/>
      <c r="Q114" s="335"/>
      <c r="R114" s="335"/>
      <c r="S114" s="335"/>
      <c r="T114" s="335"/>
      <c r="U114" s="335"/>
      <c r="V114" s="335"/>
      <c r="W114" s="335"/>
      <c r="X114" s="335"/>
      <c r="Y114" s="335"/>
      <c r="Z114" s="335"/>
      <c r="AA114" s="335"/>
      <c r="AB114" s="335"/>
      <c r="AC114" s="335"/>
      <c r="AD114" s="335"/>
      <c r="AE114" s="335"/>
      <c r="AF114" s="335"/>
      <c r="AG114" s="335"/>
      <c r="AH114" s="335"/>
      <c r="AI114" s="335"/>
      <c r="AJ114" s="335"/>
      <c r="AK114" s="335"/>
      <c r="AL114" s="335"/>
      <c r="AM114" s="335"/>
      <c r="AN114" s="335"/>
      <c r="AO114" s="335"/>
      <c r="AP114" s="335"/>
      <c r="AQ114" s="335"/>
      <c r="AR114" s="335"/>
      <c r="AS114" s="335"/>
      <c r="AT114" s="335"/>
      <c r="AU114" s="335"/>
      <c r="AV114" s="335"/>
      <c r="AW114" s="335"/>
      <c r="AX114" s="335"/>
      <c r="AY114" s="335"/>
      <c r="AZ114" s="335"/>
      <c r="BA114" s="335"/>
      <c r="BB114" s="335"/>
      <c r="BC114" s="335"/>
      <c r="BD114" s="335"/>
      <c r="BE114" s="335"/>
      <c r="BF114" s="335"/>
      <c r="BG114" s="335"/>
      <c r="BH114" s="335"/>
      <c r="BI114" s="335"/>
      <c r="BJ114" s="335"/>
      <c r="BK114" s="335"/>
      <c r="BL114" s="335"/>
      <c r="BM114" s="335"/>
      <c r="BN114" s="335"/>
      <c r="BO114" s="335"/>
      <c r="BP114" s="335"/>
      <c r="BQ114" s="335"/>
      <c r="BR114" s="335"/>
      <c r="BS114" s="335"/>
      <c r="BT114" s="335"/>
      <c r="BU114" s="335"/>
    </row>
  </sheetData>
  <sheetProtection autoFilter="0"/>
  <dataConsolidate/>
  <mergeCells count="36">
    <mergeCell ref="V4:W4"/>
    <mergeCell ref="AJ4:AK4"/>
    <mergeCell ref="AL4:AM4"/>
    <mergeCell ref="AN4:AO4"/>
    <mergeCell ref="AP4:AQ4"/>
    <mergeCell ref="X4:Y4"/>
    <mergeCell ref="Z4:AA4"/>
    <mergeCell ref="AB4:AC4"/>
    <mergeCell ref="AD4:AE4"/>
    <mergeCell ref="AF4:AG4"/>
    <mergeCell ref="AH4:AI4"/>
    <mergeCell ref="N4:O4"/>
    <mergeCell ref="P4:Q4"/>
    <mergeCell ref="R4:S4"/>
    <mergeCell ref="T4:U4"/>
    <mergeCell ref="L4:M4"/>
    <mergeCell ref="BT4:BU4"/>
    <mergeCell ref="AR4:AS4"/>
    <mergeCell ref="AT4:AU4"/>
    <mergeCell ref="AV4:AW4"/>
    <mergeCell ref="AX4:AY4"/>
    <mergeCell ref="AZ4:BA4"/>
    <mergeCell ref="BD4:BE4"/>
    <mergeCell ref="BF4:BG4"/>
    <mergeCell ref="BH4:BI4"/>
    <mergeCell ref="BJ4:BK4"/>
    <mergeCell ref="BB4:BC4"/>
    <mergeCell ref="BL4:BM4"/>
    <mergeCell ref="BN4:BO4"/>
    <mergeCell ref="BP4:BQ4"/>
    <mergeCell ref="BR4:BS4"/>
    <mergeCell ref="A1:F2"/>
    <mergeCell ref="G1:H1"/>
    <mergeCell ref="I1:J2"/>
    <mergeCell ref="G2:H2"/>
    <mergeCell ref="F4:G4"/>
  </mergeCells>
  <conditionalFormatting sqref="I111:I112">
    <cfRule type="expression" dxfId="293" priority="164061">
      <formula>C112="CSE"</formula>
    </cfRule>
    <cfRule type="expression" dxfId="292" priority="164062">
      <formula>C112="CSC"</formula>
    </cfRule>
    <cfRule type="expression" dxfId="291" priority="165857">
      <formula>C112="CSE"</formula>
    </cfRule>
    <cfRule type="expression" dxfId="290" priority="165858">
      <formula>C112="CSC"</formula>
    </cfRule>
  </conditionalFormatting>
  <conditionalFormatting sqref="I111:I112">
    <cfRule type="expression" dxfId="289" priority="164059">
      <formula>C111="CSE"</formula>
    </cfRule>
    <cfRule type="expression" dxfId="288" priority="164060">
      <formula>C111="CSC"</formula>
    </cfRule>
    <cfRule type="expression" dxfId="287" priority="165855">
      <formula>C111="CSE"</formula>
    </cfRule>
    <cfRule type="expression" dxfId="286" priority="165856">
      <formula>C111="CSC"</formula>
    </cfRule>
  </conditionalFormatting>
  <conditionalFormatting sqref="J111:J112">
    <cfRule type="cellIs" dxfId="285" priority="164021" operator="equal">
      <formula>"CRECHE"</formula>
    </cfRule>
    <cfRule type="cellIs" dxfId="284" priority="164022" operator="equal">
      <formula>"ADAPTADO"</formula>
    </cfRule>
    <cfRule type="cellIs" dxfId="283" priority="164049" operator="equal">
      <formula>"CRECHE"</formula>
    </cfRule>
    <cfRule type="cellIs" dxfId="282" priority="164050" operator="equal">
      <formula>"ADAPTADO"</formula>
    </cfRule>
  </conditionalFormatting>
  <conditionalFormatting sqref="J111:K112">
    <cfRule type="expression" dxfId="281" priority="164047" stopIfTrue="1">
      <formula>NOT(ISERROR(SEARCH("NORMAL",J111)))</formula>
    </cfRule>
    <cfRule type="expression" dxfId="280" priority="164048" stopIfTrue="1">
      <formula>NOT(ISERROR(SEARCH("ADAPTADO",J111)))</formula>
    </cfRule>
    <cfRule type="expression" dxfId="279" priority="165896" stopIfTrue="1">
      <formula>NOT(ISERROR(SEARCH("NORMAL",J111)))</formula>
    </cfRule>
    <cfRule type="expression" dxfId="278" priority="165897" stopIfTrue="1">
      <formula>NOT(ISERROR(SEARCH("ADAPTADO",J111)))</formula>
    </cfRule>
  </conditionalFormatting>
  <conditionalFormatting sqref="L111:BU111">
    <cfRule type="cellIs" dxfId="277" priority="164045" operator="lessThan">
      <formula>0</formula>
    </cfRule>
    <cfRule type="cellIs" dxfId="276" priority="164046" operator="greaterThan">
      <formula>0</formula>
    </cfRule>
  </conditionalFormatting>
  <conditionalFormatting sqref="I111:I112">
    <cfRule type="expression" dxfId="275" priority="164017">
      <formula>C112="CSE"</formula>
    </cfRule>
    <cfRule type="expression" dxfId="274" priority="164018">
      <formula>C112="CSC"</formula>
    </cfRule>
    <cfRule type="expression" dxfId="273" priority="164019">
      <formula>C112="CSE"</formula>
    </cfRule>
    <cfRule type="expression" dxfId="272" priority="164020">
      <formula>C112="CSC"</formula>
    </cfRule>
  </conditionalFormatting>
  <conditionalFormatting sqref="I111:I112">
    <cfRule type="expression" dxfId="271" priority="164013">
      <formula>C111="CSE"</formula>
    </cfRule>
    <cfRule type="expression" dxfId="270" priority="164014">
      <formula>C111="CSC"</formula>
    </cfRule>
    <cfRule type="expression" dxfId="269" priority="164015">
      <formula>C111="CSE"</formula>
    </cfRule>
    <cfRule type="expression" dxfId="268" priority="164016">
      <formula>C111="CSC"</formula>
    </cfRule>
  </conditionalFormatting>
  <conditionalFormatting sqref="J111:J112">
    <cfRule type="cellIs" dxfId="267" priority="164011" operator="equal">
      <formula>"CRECHE"</formula>
    </cfRule>
    <cfRule type="cellIs" dxfId="266" priority="164012" operator="equal">
      <formula>"ADAPTADO"</formula>
    </cfRule>
  </conditionalFormatting>
  <conditionalFormatting sqref="J111:J112">
    <cfRule type="cellIs" dxfId="265" priority="164007" operator="equal">
      <formula>"CRECHE"</formula>
    </cfRule>
    <cfRule type="cellIs" dxfId="264" priority="164008" operator="equal">
      <formula>"ADAPTADO"</formula>
    </cfRule>
    <cfRule type="cellIs" dxfId="263" priority="164009" operator="equal">
      <formula>"CRECHE"</formula>
    </cfRule>
    <cfRule type="cellIs" dxfId="262" priority="164010" operator="equal">
      <formula>"ADAPTADO"</formula>
    </cfRule>
  </conditionalFormatting>
  <conditionalFormatting sqref="J111:K112">
    <cfRule type="expression" dxfId="261" priority="164003">
      <formula>NOT(ISERROR(SEARCH("NORMAL",J111)))</formula>
    </cfRule>
    <cfRule type="expression" dxfId="260" priority="164004">
      <formula>NOT(ISERROR(SEARCH("ADAPTADO",J111)))</formula>
    </cfRule>
    <cfRule type="expression" dxfId="259" priority="164005">
      <formula>NOT(ISERROR(SEARCH("NORMAL",J111)))</formula>
    </cfRule>
    <cfRule type="expression" dxfId="258" priority="164006">
      <formula>NOT(ISERROR(SEARCH("ADAPTADO",J111)))</formula>
    </cfRule>
  </conditionalFormatting>
  <conditionalFormatting sqref="I111:I112">
    <cfRule type="expression" dxfId="257" priority="120158">
      <formula>C112="CSC"</formula>
    </cfRule>
  </conditionalFormatting>
  <conditionalFormatting sqref="I111:I112">
    <cfRule type="expression" dxfId="256" priority="120157">
      <formula>C112="CSE"</formula>
    </cfRule>
  </conditionalFormatting>
  <conditionalFormatting sqref="I111:I112">
    <cfRule type="expression" dxfId="255" priority="120156">
      <formula>C111="CSC"</formula>
    </cfRule>
  </conditionalFormatting>
  <conditionalFormatting sqref="I111:I112">
    <cfRule type="expression" dxfId="254" priority="120135">
      <formula>C111="CSE"</formula>
    </cfRule>
  </conditionalFormatting>
  <conditionalFormatting sqref="J111:J112">
    <cfRule type="cellIs" dxfId="253" priority="120133" operator="equal">
      <formula>"CRECHE"</formula>
    </cfRule>
    <cfRule type="cellIs" dxfId="252" priority="120134" operator="equal">
      <formula>"ADAPTADO"</formula>
    </cfRule>
  </conditionalFormatting>
  <conditionalFormatting sqref="J111:K112">
    <cfRule type="expression" dxfId="251" priority="120127" stopIfTrue="1">
      <formula>NOT(ISERROR(SEARCH("NORMAL",J111)))</formula>
    </cfRule>
    <cfRule type="expression" dxfId="250" priority="120128" stopIfTrue="1">
      <formula>NOT(ISERROR(SEARCH("ADAPTADO",J111)))</formula>
    </cfRule>
  </conditionalFormatting>
  <conditionalFormatting sqref="L6:BU6 L10:BU11 L15:BU16 L20:BU21 L25:BU26 L30:BU31 L35:BU36 L40:BU41 L45:BU46 L50:BU51 L55:BU56 L60:BU61 L65:BU66 L70:BU71 L75:BU76 L80:BU81 L85:BU86 L90:BU91 L95:BU96 L100:BU101 L105:BU106 L110:BU110">
    <cfRule type="cellIs" dxfId="249" priority="58719" operator="lessThan">
      <formula>0</formula>
    </cfRule>
    <cfRule type="cellIs" dxfId="248" priority="58720" operator="greaterThan">
      <formula>0</formula>
    </cfRule>
  </conditionalFormatting>
  <conditionalFormatting sqref="I6:I110">
    <cfRule type="expression" dxfId="247" priority="221">
      <formula>C7="CSE"</formula>
    </cfRule>
    <cfRule type="expression" dxfId="246" priority="222">
      <formula>C7="CSC"</formula>
    </cfRule>
    <cfRule type="expression" dxfId="245" priority="223">
      <formula>C7="CSE"</formula>
    </cfRule>
    <cfRule type="expression" dxfId="244" priority="224">
      <formula>C7="CSC"</formula>
    </cfRule>
  </conditionalFormatting>
  <conditionalFormatting sqref="I10">
    <cfRule type="expression" dxfId="243" priority="213">
      <formula>C10="CSE"</formula>
    </cfRule>
    <cfRule type="expression" dxfId="242" priority="214">
      <formula>C10="CSC"</formula>
    </cfRule>
    <cfRule type="expression" dxfId="241" priority="215">
      <formula>C10="CSE"</formula>
    </cfRule>
    <cfRule type="expression" dxfId="240" priority="216">
      <formula>C10="CSC"</formula>
    </cfRule>
    <cfRule type="expression" dxfId="239" priority="217">
      <formula>C10="CSE"</formula>
    </cfRule>
    <cfRule type="expression" dxfId="238" priority="218">
      <formula>C10="CSC"</formula>
    </cfRule>
    <cfRule type="expression" dxfId="237" priority="219">
      <formula>C10="CSE"</formula>
    </cfRule>
    <cfRule type="expression" dxfId="236" priority="220">
      <formula>C10="CSC"</formula>
    </cfRule>
  </conditionalFormatting>
  <conditionalFormatting sqref="I15">
    <cfRule type="expression" dxfId="235" priority="205">
      <formula>C15="CSE"</formula>
    </cfRule>
    <cfRule type="expression" dxfId="234" priority="206">
      <formula>C15="CSC"</formula>
    </cfRule>
    <cfRule type="expression" dxfId="233" priority="207">
      <formula>C15="CSE"</formula>
    </cfRule>
    <cfRule type="expression" dxfId="232" priority="208">
      <formula>C15="CSC"</formula>
    </cfRule>
    <cfRule type="expression" dxfId="231" priority="209">
      <formula>C15="CSE"</formula>
    </cfRule>
    <cfRule type="expression" dxfId="230" priority="210">
      <formula>C15="CSC"</formula>
    </cfRule>
    <cfRule type="expression" dxfId="229" priority="211">
      <formula>C15="CSE"</formula>
    </cfRule>
    <cfRule type="expression" dxfId="228" priority="212">
      <formula>C15="CSC"</formula>
    </cfRule>
  </conditionalFormatting>
  <conditionalFormatting sqref="I20">
    <cfRule type="expression" dxfId="227" priority="197">
      <formula>C20="CSE"</formula>
    </cfRule>
    <cfRule type="expression" dxfId="226" priority="198">
      <formula>C20="CSC"</formula>
    </cfRule>
    <cfRule type="expression" dxfId="225" priority="199">
      <formula>C20="CSE"</formula>
    </cfRule>
    <cfRule type="expression" dxfId="224" priority="200">
      <formula>C20="CSC"</formula>
    </cfRule>
    <cfRule type="expression" dxfId="223" priority="201">
      <formula>C20="CSE"</formula>
    </cfRule>
    <cfRule type="expression" dxfId="222" priority="202">
      <formula>C20="CSC"</formula>
    </cfRule>
    <cfRule type="expression" dxfId="221" priority="203">
      <formula>C20="CSE"</formula>
    </cfRule>
    <cfRule type="expression" dxfId="220" priority="204">
      <formula>C20="CSC"</formula>
    </cfRule>
  </conditionalFormatting>
  <conditionalFormatting sqref="I25">
    <cfRule type="expression" dxfId="219" priority="189">
      <formula>C25="CSE"</formula>
    </cfRule>
    <cfRule type="expression" dxfId="218" priority="190">
      <formula>C25="CSC"</formula>
    </cfRule>
    <cfRule type="expression" dxfId="217" priority="191">
      <formula>C25="CSE"</formula>
    </cfRule>
    <cfRule type="expression" dxfId="216" priority="192">
      <formula>C25="CSC"</formula>
    </cfRule>
    <cfRule type="expression" dxfId="215" priority="193">
      <formula>C25="CSE"</formula>
    </cfRule>
    <cfRule type="expression" dxfId="214" priority="194">
      <formula>C25="CSC"</formula>
    </cfRule>
    <cfRule type="expression" dxfId="213" priority="195">
      <formula>C25="CSE"</formula>
    </cfRule>
    <cfRule type="expression" dxfId="212" priority="196">
      <formula>C25="CSC"</formula>
    </cfRule>
  </conditionalFormatting>
  <conditionalFormatting sqref="I30">
    <cfRule type="expression" dxfId="211" priority="181">
      <formula>C30="CSE"</formula>
    </cfRule>
    <cfRule type="expression" dxfId="210" priority="182">
      <formula>C30="CSC"</formula>
    </cfRule>
    <cfRule type="expression" dxfId="209" priority="183">
      <formula>C30="CSE"</formula>
    </cfRule>
    <cfRule type="expression" dxfId="208" priority="184">
      <formula>C30="CSC"</formula>
    </cfRule>
    <cfRule type="expression" dxfId="207" priority="185">
      <formula>C30="CSE"</formula>
    </cfRule>
    <cfRule type="expression" dxfId="206" priority="186">
      <formula>C30="CSC"</formula>
    </cfRule>
    <cfRule type="expression" dxfId="205" priority="187">
      <formula>C30="CSE"</formula>
    </cfRule>
    <cfRule type="expression" dxfId="204" priority="188">
      <formula>C30="CSC"</formula>
    </cfRule>
  </conditionalFormatting>
  <conditionalFormatting sqref="I35">
    <cfRule type="expression" dxfId="203" priority="173">
      <formula>C35="CSE"</formula>
    </cfRule>
    <cfRule type="expression" dxfId="202" priority="174">
      <formula>C35="CSC"</formula>
    </cfRule>
    <cfRule type="expression" dxfId="201" priority="175">
      <formula>C35="CSE"</formula>
    </cfRule>
    <cfRule type="expression" dxfId="200" priority="176">
      <formula>C35="CSC"</formula>
    </cfRule>
    <cfRule type="expression" dxfId="199" priority="177">
      <formula>C35="CSE"</formula>
    </cfRule>
    <cfRule type="expression" dxfId="198" priority="178">
      <formula>C35="CSC"</formula>
    </cfRule>
    <cfRule type="expression" dxfId="197" priority="179">
      <formula>C35="CSE"</formula>
    </cfRule>
    <cfRule type="expression" dxfId="196" priority="180">
      <formula>C35="CSC"</formula>
    </cfRule>
  </conditionalFormatting>
  <conditionalFormatting sqref="I40">
    <cfRule type="expression" dxfId="195" priority="165">
      <formula>C40="CSE"</formula>
    </cfRule>
    <cfRule type="expression" dxfId="194" priority="166">
      <formula>C40="CSC"</formula>
    </cfRule>
    <cfRule type="expression" dxfId="193" priority="167">
      <formula>C40="CSE"</formula>
    </cfRule>
    <cfRule type="expression" dxfId="192" priority="168">
      <formula>C40="CSC"</formula>
    </cfRule>
    <cfRule type="expression" dxfId="191" priority="169">
      <formula>C40="CSE"</formula>
    </cfRule>
    <cfRule type="expression" dxfId="190" priority="170">
      <formula>C40="CSC"</formula>
    </cfRule>
    <cfRule type="expression" dxfId="189" priority="171">
      <formula>C40="CSE"</formula>
    </cfRule>
    <cfRule type="expression" dxfId="188" priority="172">
      <formula>C40="CSC"</formula>
    </cfRule>
  </conditionalFormatting>
  <conditionalFormatting sqref="I45">
    <cfRule type="expression" dxfId="187" priority="157">
      <formula>C45="CSE"</formula>
    </cfRule>
    <cfRule type="expression" dxfId="186" priority="158">
      <formula>C45="CSC"</formula>
    </cfRule>
    <cfRule type="expression" dxfId="185" priority="159">
      <formula>C45="CSE"</formula>
    </cfRule>
    <cfRule type="expression" dxfId="184" priority="160">
      <formula>C45="CSC"</formula>
    </cfRule>
    <cfRule type="expression" dxfId="183" priority="161">
      <formula>C45="CSE"</formula>
    </cfRule>
    <cfRule type="expression" dxfId="182" priority="162">
      <formula>C45="CSC"</formula>
    </cfRule>
    <cfRule type="expression" dxfId="181" priority="163">
      <formula>C45="CSE"</formula>
    </cfRule>
    <cfRule type="expression" dxfId="180" priority="164">
      <formula>C45="CSC"</formula>
    </cfRule>
  </conditionalFormatting>
  <conditionalFormatting sqref="I50">
    <cfRule type="expression" dxfId="179" priority="149">
      <formula>C50="CSE"</formula>
    </cfRule>
    <cfRule type="expression" dxfId="178" priority="150">
      <formula>C50="CSC"</formula>
    </cfRule>
    <cfRule type="expression" dxfId="177" priority="151">
      <formula>C50="CSE"</formula>
    </cfRule>
    <cfRule type="expression" dxfId="176" priority="152">
      <formula>C50="CSC"</formula>
    </cfRule>
    <cfRule type="expression" dxfId="175" priority="153">
      <formula>C50="CSE"</formula>
    </cfRule>
    <cfRule type="expression" dxfId="174" priority="154">
      <formula>C50="CSC"</formula>
    </cfRule>
    <cfRule type="expression" dxfId="173" priority="155">
      <formula>C50="CSE"</formula>
    </cfRule>
    <cfRule type="expression" dxfId="172" priority="156">
      <formula>C50="CSC"</formula>
    </cfRule>
  </conditionalFormatting>
  <conditionalFormatting sqref="I55">
    <cfRule type="expression" dxfId="171" priority="141">
      <formula>C55="CSE"</formula>
    </cfRule>
    <cfRule type="expression" dxfId="170" priority="142">
      <formula>C55="CSC"</formula>
    </cfRule>
    <cfRule type="expression" dxfId="169" priority="143">
      <formula>C55="CSE"</formula>
    </cfRule>
    <cfRule type="expression" dxfId="168" priority="144">
      <formula>C55="CSC"</formula>
    </cfRule>
    <cfRule type="expression" dxfId="167" priority="145">
      <formula>C55="CSE"</formula>
    </cfRule>
    <cfRule type="expression" dxfId="166" priority="146">
      <formula>C55="CSC"</formula>
    </cfRule>
    <cfRule type="expression" dxfId="165" priority="147">
      <formula>C55="CSE"</formula>
    </cfRule>
    <cfRule type="expression" dxfId="164" priority="148">
      <formula>C55="CSC"</formula>
    </cfRule>
  </conditionalFormatting>
  <conditionalFormatting sqref="I60">
    <cfRule type="expression" dxfId="163" priority="133">
      <formula>C60="CSE"</formula>
    </cfRule>
    <cfRule type="expression" dxfId="162" priority="134">
      <formula>C60="CSC"</formula>
    </cfRule>
    <cfRule type="expression" dxfId="161" priority="135">
      <formula>C60="CSE"</formula>
    </cfRule>
    <cfRule type="expression" dxfId="160" priority="136">
      <formula>C60="CSC"</formula>
    </cfRule>
    <cfRule type="expression" dxfId="159" priority="137">
      <formula>C60="CSE"</formula>
    </cfRule>
    <cfRule type="expression" dxfId="158" priority="138">
      <formula>C60="CSC"</formula>
    </cfRule>
    <cfRule type="expression" dxfId="157" priority="139">
      <formula>C60="CSE"</formula>
    </cfRule>
    <cfRule type="expression" dxfId="156" priority="140">
      <formula>C60="CSC"</formula>
    </cfRule>
  </conditionalFormatting>
  <conditionalFormatting sqref="I65">
    <cfRule type="expression" dxfId="155" priority="125">
      <formula>C65="CSE"</formula>
    </cfRule>
    <cfRule type="expression" dxfId="154" priority="126">
      <formula>C65="CSC"</formula>
    </cfRule>
    <cfRule type="expression" dxfId="153" priority="127">
      <formula>C65="CSE"</formula>
    </cfRule>
    <cfRule type="expression" dxfId="152" priority="128">
      <formula>C65="CSC"</formula>
    </cfRule>
    <cfRule type="expression" dxfId="151" priority="129">
      <formula>C65="CSE"</formula>
    </cfRule>
    <cfRule type="expression" dxfId="150" priority="130">
      <formula>C65="CSC"</formula>
    </cfRule>
    <cfRule type="expression" dxfId="149" priority="131">
      <formula>C65="CSE"</formula>
    </cfRule>
    <cfRule type="expression" dxfId="148" priority="132">
      <formula>C65="CSC"</formula>
    </cfRule>
  </conditionalFormatting>
  <conditionalFormatting sqref="I70">
    <cfRule type="expression" dxfId="147" priority="117">
      <formula>C70="CSE"</formula>
    </cfRule>
    <cfRule type="expression" dxfId="146" priority="118">
      <formula>C70="CSC"</formula>
    </cfRule>
    <cfRule type="expression" dxfId="145" priority="119">
      <formula>C70="CSE"</formula>
    </cfRule>
    <cfRule type="expression" dxfId="144" priority="120">
      <formula>C70="CSC"</formula>
    </cfRule>
    <cfRule type="expression" dxfId="143" priority="121">
      <formula>C70="CSE"</formula>
    </cfRule>
    <cfRule type="expression" dxfId="142" priority="122">
      <formula>C70="CSC"</formula>
    </cfRule>
    <cfRule type="expression" dxfId="141" priority="123">
      <formula>C70="CSE"</formula>
    </cfRule>
    <cfRule type="expression" dxfId="140" priority="124">
      <formula>C70="CSC"</formula>
    </cfRule>
  </conditionalFormatting>
  <conditionalFormatting sqref="I75">
    <cfRule type="expression" dxfId="139" priority="109">
      <formula>C75="CSE"</formula>
    </cfRule>
    <cfRule type="expression" dxfId="138" priority="110">
      <formula>C75="CSC"</formula>
    </cfRule>
    <cfRule type="expression" dxfId="137" priority="111">
      <formula>C75="CSE"</formula>
    </cfRule>
    <cfRule type="expression" dxfId="136" priority="112">
      <formula>C75="CSC"</formula>
    </cfRule>
    <cfRule type="expression" dxfId="135" priority="113">
      <formula>C75="CSE"</formula>
    </cfRule>
    <cfRule type="expression" dxfId="134" priority="114">
      <formula>C75="CSC"</formula>
    </cfRule>
    <cfRule type="expression" dxfId="133" priority="115">
      <formula>C75="CSE"</formula>
    </cfRule>
    <cfRule type="expression" dxfId="132" priority="116">
      <formula>C75="CSC"</formula>
    </cfRule>
  </conditionalFormatting>
  <conditionalFormatting sqref="I80">
    <cfRule type="expression" dxfId="131" priority="101">
      <formula>C80="CSE"</formula>
    </cfRule>
    <cfRule type="expression" dxfId="130" priority="102">
      <formula>C80="CSC"</formula>
    </cfRule>
    <cfRule type="expression" dxfId="129" priority="103">
      <formula>C80="CSE"</formula>
    </cfRule>
    <cfRule type="expression" dxfId="128" priority="104">
      <formula>C80="CSC"</formula>
    </cfRule>
    <cfRule type="expression" dxfId="127" priority="105">
      <formula>C80="CSE"</formula>
    </cfRule>
    <cfRule type="expression" dxfId="126" priority="106">
      <formula>C80="CSC"</formula>
    </cfRule>
    <cfRule type="expression" dxfId="125" priority="107">
      <formula>C80="CSE"</formula>
    </cfRule>
    <cfRule type="expression" dxfId="124" priority="108">
      <formula>C80="CSC"</formula>
    </cfRule>
  </conditionalFormatting>
  <conditionalFormatting sqref="I85">
    <cfRule type="expression" dxfId="123" priority="93">
      <formula>C85="CSE"</formula>
    </cfRule>
    <cfRule type="expression" dxfId="122" priority="94">
      <formula>C85="CSC"</formula>
    </cfRule>
    <cfRule type="expression" dxfId="121" priority="95">
      <formula>C85="CSE"</formula>
    </cfRule>
    <cfRule type="expression" dxfId="120" priority="96">
      <formula>C85="CSC"</formula>
    </cfRule>
    <cfRule type="expression" dxfId="119" priority="97">
      <formula>C85="CSE"</formula>
    </cfRule>
    <cfRule type="expression" dxfId="118" priority="98">
      <formula>C85="CSC"</formula>
    </cfRule>
    <cfRule type="expression" dxfId="117" priority="99">
      <formula>C85="CSE"</formula>
    </cfRule>
    <cfRule type="expression" dxfId="116" priority="100">
      <formula>C85="CSC"</formula>
    </cfRule>
  </conditionalFormatting>
  <conditionalFormatting sqref="I90">
    <cfRule type="expression" dxfId="115" priority="85">
      <formula>C90="CSE"</formula>
    </cfRule>
    <cfRule type="expression" dxfId="114" priority="86">
      <formula>C90="CSC"</formula>
    </cfRule>
    <cfRule type="expression" dxfId="113" priority="87">
      <formula>C90="CSE"</formula>
    </cfRule>
    <cfRule type="expression" dxfId="112" priority="88">
      <formula>C90="CSC"</formula>
    </cfRule>
    <cfRule type="expression" dxfId="111" priority="89">
      <formula>C90="CSE"</formula>
    </cfRule>
    <cfRule type="expression" dxfId="110" priority="90">
      <formula>C90="CSC"</formula>
    </cfRule>
    <cfRule type="expression" dxfId="109" priority="91">
      <formula>C90="CSE"</formula>
    </cfRule>
    <cfRule type="expression" dxfId="108" priority="92">
      <formula>C90="CSC"</formula>
    </cfRule>
  </conditionalFormatting>
  <conditionalFormatting sqref="I95">
    <cfRule type="expression" dxfId="107" priority="77">
      <formula>C95="CSE"</formula>
    </cfRule>
    <cfRule type="expression" dxfId="106" priority="78">
      <formula>C95="CSC"</formula>
    </cfRule>
    <cfRule type="expression" dxfId="105" priority="79">
      <formula>C95="CSE"</formula>
    </cfRule>
    <cfRule type="expression" dxfId="104" priority="80">
      <formula>C95="CSC"</formula>
    </cfRule>
    <cfRule type="expression" dxfId="103" priority="81">
      <formula>C95="CSE"</formula>
    </cfRule>
    <cfRule type="expression" dxfId="102" priority="82">
      <formula>C95="CSC"</formula>
    </cfRule>
    <cfRule type="expression" dxfId="101" priority="83">
      <formula>C95="CSE"</formula>
    </cfRule>
    <cfRule type="expression" dxfId="100" priority="84">
      <formula>C95="CSC"</formula>
    </cfRule>
  </conditionalFormatting>
  <conditionalFormatting sqref="I100">
    <cfRule type="expression" dxfId="99" priority="69">
      <formula>C100="CSE"</formula>
    </cfRule>
    <cfRule type="expression" dxfId="98" priority="70">
      <formula>C100="CSC"</formula>
    </cfRule>
    <cfRule type="expression" dxfId="97" priority="71">
      <formula>C100="CSE"</formula>
    </cfRule>
    <cfRule type="expression" dxfId="96" priority="72">
      <formula>C100="CSC"</formula>
    </cfRule>
    <cfRule type="expression" dxfId="95" priority="73">
      <formula>C100="CSE"</formula>
    </cfRule>
    <cfRule type="expression" dxfId="94" priority="74">
      <formula>C100="CSC"</formula>
    </cfRule>
    <cfRule type="expression" dxfId="93" priority="75">
      <formula>C100="CSE"</formula>
    </cfRule>
    <cfRule type="expression" dxfId="92" priority="76">
      <formula>C100="CSC"</formula>
    </cfRule>
  </conditionalFormatting>
  <conditionalFormatting sqref="I105">
    <cfRule type="expression" dxfId="91" priority="61">
      <formula>C105="CSE"</formula>
    </cfRule>
    <cfRule type="expression" dxfId="90" priority="62">
      <formula>C105="CSC"</formula>
    </cfRule>
    <cfRule type="expression" dxfId="89" priority="63">
      <formula>C105="CSE"</formula>
    </cfRule>
    <cfRule type="expression" dxfId="88" priority="64">
      <formula>C105="CSC"</formula>
    </cfRule>
    <cfRule type="expression" dxfId="87" priority="65">
      <formula>C105="CSE"</formula>
    </cfRule>
    <cfRule type="expression" dxfId="86" priority="66">
      <formula>C105="CSC"</formula>
    </cfRule>
    <cfRule type="expression" dxfId="85" priority="67">
      <formula>C105="CSE"</formula>
    </cfRule>
    <cfRule type="expression" dxfId="84" priority="68">
      <formula>C105="CSC"</formula>
    </cfRule>
  </conditionalFormatting>
  <conditionalFormatting sqref="I110">
    <cfRule type="expression" dxfId="83" priority="53">
      <formula>C110="CSE"</formula>
    </cfRule>
    <cfRule type="expression" dxfId="82" priority="54">
      <formula>C110="CSC"</formula>
    </cfRule>
    <cfRule type="expression" dxfId="81" priority="55">
      <formula>C110="CSE"</formula>
    </cfRule>
    <cfRule type="expression" dxfId="80" priority="56">
      <formula>C110="CSC"</formula>
    </cfRule>
    <cfRule type="expression" dxfId="79" priority="57">
      <formula>C110="CSE"</formula>
    </cfRule>
    <cfRule type="expression" dxfId="78" priority="58">
      <formula>C110="CSC"</formula>
    </cfRule>
    <cfRule type="expression" dxfId="77" priority="59">
      <formula>C110="CSE"</formula>
    </cfRule>
    <cfRule type="expression" dxfId="76" priority="60">
      <formula>C110="CSC"</formula>
    </cfRule>
  </conditionalFormatting>
  <conditionalFormatting sqref="J6:J110">
    <cfRule type="cellIs" dxfId="75" priority="47" operator="equal">
      <formula>"CRECHE"</formula>
    </cfRule>
    <cfRule type="cellIs" dxfId="74" priority="48" operator="equal">
      <formula>"ADAPTADO"</formula>
    </cfRule>
    <cfRule type="cellIs" dxfId="73" priority="49" operator="equal">
      <formula>"CRECHE"</formula>
    </cfRule>
    <cfRule type="cellIs" dxfId="72" priority="50" operator="equal">
      <formula>"ADAPTADO"</formula>
    </cfRule>
    <cfRule type="cellIs" dxfId="71" priority="51" operator="equal">
      <formula>"CRECHE"</formula>
    </cfRule>
    <cfRule type="cellIs" dxfId="70" priority="52" operator="equal">
      <formula>"ADAPTADO"</formula>
    </cfRule>
  </conditionalFormatting>
  <conditionalFormatting sqref="J6:K10">
    <cfRule type="expression" dxfId="69" priority="43">
      <formula>NOT(ISERROR(SEARCH("NORMAL",J6)))</formula>
    </cfRule>
    <cfRule type="expression" dxfId="68" priority="44">
      <formula>NOT(ISERROR(SEARCH("ADAPTADO",J6)))</formula>
    </cfRule>
    <cfRule type="expression" dxfId="67" priority="45">
      <formula>NOT(ISERROR(SEARCH("NORMAL",J6)))</formula>
    </cfRule>
    <cfRule type="expression" dxfId="66" priority="46">
      <formula>NOT(ISERROR(SEARCH("ADAPTADO",J6)))</formula>
    </cfRule>
  </conditionalFormatting>
  <conditionalFormatting sqref="J11:K15">
    <cfRule type="expression" dxfId="65" priority="41">
      <formula>NOT(ISERROR(SEARCH("NORMAL",J11)))</formula>
    </cfRule>
    <cfRule type="expression" dxfId="64" priority="42">
      <formula>NOT(ISERROR(SEARCH("ADAPTADO",J11)))</formula>
    </cfRule>
  </conditionalFormatting>
  <conditionalFormatting sqref="J11:K20">
    <cfRule type="expression" dxfId="63" priority="39">
      <formula>NOT(ISERROR(SEARCH("NORMAL",J11)))</formula>
    </cfRule>
    <cfRule type="expression" dxfId="62" priority="40">
      <formula>NOT(ISERROR(SEARCH("ADAPTADO",J11)))</formula>
    </cfRule>
  </conditionalFormatting>
  <conditionalFormatting sqref="J16:K25">
    <cfRule type="expression" dxfId="61" priority="37">
      <formula>NOT(ISERROR(SEARCH("NORMAL",J16)))</formula>
    </cfRule>
    <cfRule type="expression" dxfId="60" priority="38">
      <formula>NOT(ISERROR(SEARCH("ADAPTADO",J16)))</formula>
    </cfRule>
  </conditionalFormatting>
  <conditionalFormatting sqref="J21:K30">
    <cfRule type="expression" dxfId="59" priority="35">
      <formula>NOT(ISERROR(SEARCH("NORMAL",J21)))</formula>
    </cfRule>
    <cfRule type="expression" dxfId="58" priority="36">
      <formula>NOT(ISERROR(SEARCH("ADAPTADO",J21)))</formula>
    </cfRule>
  </conditionalFormatting>
  <conditionalFormatting sqref="J26:K35">
    <cfRule type="expression" dxfId="57" priority="33">
      <formula>NOT(ISERROR(SEARCH("NORMAL",J26)))</formula>
    </cfRule>
    <cfRule type="expression" dxfId="56" priority="34">
      <formula>NOT(ISERROR(SEARCH("ADAPTADO",J26)))</formula>
    </cfRule>
  </conditionalFormatting>
  <conditionalFormatting sqref="J31:K40">
    <cfRule type="expression" dxfId="55" priority="31">
      <formula>NOT(ISERROR(SEARCH("NORMAL",J31)))</formula>
    </cfRule>
    <cfRule type="expression" dxfId="54" priority="32">
      <formula>NOT(ISERROR(SEARCH("ADAPTADO",J31)))</formula>
    </cfRule>
  </conditionalFormatting>
  <conditionalFormatting sqref="J36:K45">
    <cfRule type="expression" dxfId="53" priority="29">
      <formula>NOT(ISERROR(SEARCH("NORMAL",J36)))</formula>
    </cfRule>
    <cfRule type="expression" dxfId="52" priority="30">
      <formula>NOT(ISERROR(SEARCH("ADAPTADO",J36)))</formula>
    </cfRule>
  </conditionalFormatting>
  <conditionalFormatting sqref="J41:K50">
    <cfRule type="expression" dxfId="51" priority="27">
      <formula>NOT(ISERROR(SEARCH("NORMAL",J41)))</formula>
    </cfRule>
    <cfRule type="expression" dxfId="50" priority="28">
      <formula>NOT(ISERROR(SEARCH("ADAPTADO",J41)))</formula>
    </cfRule>
  </conditionalFormatting>
  <conditionalFormatting sqref="J46:K55">
    <cfRule type="expression" dxfId="49" priority="25">
      <formula>NOT(ISERROR(SEARCH("NORMAL",J46)))</formula>
    </cfRule>
    <cfRule type="expression" dxfId="48" priority="26">
      <formula>NOT(ISERROR(SEARCH("ADAPTADO",J46)))</formula>
    </cfRule>
  </conditionalFormatting>
  <conditionalFormatting sqref="J51:K60">
    <cfRule type="expression" dxfId="47" priority="23">
      <formula>NOT(ISERROR(SEARCH("NORMAL",J51)))</formula>
    </cfRule>
    <cfRule type="expression" dxfId="46" priority="24">
      <formula>NOT(ISERROR(SEARCH("ADAPTADO",J51)))</formula>
    </cfRule>
  </conditionalFormatting>
  <conditionalFormatting sqref="J56:K65">
    <cfRule type="expression" dxfId="45" priority="21">
      <formula>NOT(ISERROR(SEARCH("NORMAL",J56)))</formula>
    </cfRule>
    <cfRule type="expression" dxfId="44" priority="22">
      <formula>NOT(ISERROR(SEARCH("ADAPTADO",J56)))</formula>
    </cfRule>
  </conditionalFormatting>
  <conditionalFormatting sqref="J61:K70">
    <cfRule type="expression" dxfId="43" priority="19">
      <formula>NOT(ISERROR(SEARCH("NORMAL",J61)))</formula>
    </cfRule>
    <cfRule type="expression" dxfId="42" priority="20">
      <formula>NOT(ISERROR(SEARCH("ADAPTADO",J61)))</formula>
    </cfRule>
  </conditionalFormatting>
  <conditionalFormatting sqref="J66:K75">
    <cfRule type="expression" dxfId="41" priority="17">
      <formula>NOT(ISERROR(SEARCH("NORMAL",J66)))</formula>
    </cfRule>
    <cfRule type="expression" dxfId="40" priority="18">
      <formula>NOT(ISERROR(SEARCH("ADAPTADO",J66)))</formula>
    </cfRule>
  </conditionalFormatting>
  <conditionalFormatting sqref="J71:K80">
    <cfRule type="expression" dxfId="39" priority="15">
      <formula>NOT(ISERROR(SEARCH("NORMAL",J71)))</formula>
    </cfRule>
    <cfRule type="expression" dxfId="38" priority="16">
      <formula>NOT(ISERROR(SEARCH("ADAPTADO",J71)))</formula>
    </cfRule>
  </conditionalFormatting>
  <conditionalFormatting sqref="J76:K85">
    <cfRule type="expression" dxfId="37" priority="13">
      <formula>NOT(ISERROR(SEARCH("NORMAL",J76)))</formula>
    </cfRule>
    <cfRule type="expression" dxfId="36" priority="14">
      <formula>NOT(ISERROR(SEARCH("ADAPTADO",J76)))</formula>
    </cfRule>
  </conditionalFormatting>
  <conditionalFormatting sqref="J81:K90">
    <cfRule type="expression" dxfId="35" priority="11">
      <formula>NOT(ISERROR(SEARCH("NORMAL",J81)))</formula>
    </cfRule>
    <cfRule type="expression" dxfId="34" priority="12">
      <formula>NOT(ISERROR(SEARCH("ADAPTADO",J81)))</formula>
    </cfRule>
  </conditionalFormatting>
  <conditionalFormatting sqref="J86:K95">
    <cfRule type="expression" dxfId="33" priority="9">
      <formula>NOT(ISERROR(SEARCH("NORMAL",J86)))</formula>
    </cfRule>
    <cfRule type="expression" dxfId="32" priority="10">
      <formula>NOT(ISERROR(SEARCH("ADAPTADO",J86)))</formula>
    </cfRule>
  </conditionalFormatting>
  <conditionalFormatting sqref="J91:K100">
    <cfRule type="expression" dxfId="31" priority="7">
      <formula>NOT(ISERROR(SEARCH("NORMAL",J91)))</formula>
    </cfRule>
    <cfRule type="expression" dxfId="30" priority="8">
      <formula>NOT(ISERROR(SEARCH("ADAPTADO",J91)))</formula>
    </cfRule>
  </conditionalFormatting>
  <conditionalFormatting sqref="J96:K105">
    <cfRule type="expression" dxfId="29" priority="5">
      <formula>NOT(ISERROR(SEARCH("NORMAL",J96)))</formula>
    </cfRule>
    <cfRule type="expression" dxfId="28" priority="6">
      <formula>NOT(ISERROR(SEARCH("ADAPTADO",J96)))</formula>
    </cfRule>
  </conditionalFormatting>
  <conditionalFormatting sqref="J101:K110">
    <cfRule type="expression" dxfId="27" priority="3">
      <formula>NOT(ISERROR(SEARCH("NORMAL",J101)))</formula>
    </cfRule>
    <cfRule type="expression" dxfId="26" priority="4">
      <formula>NOT(ISERROR(SEARCH("ADAPTADO",J101)))</formula>
    </cfRule>
  </conditionalFormatting>
  <conditionalFormatting sqref="J106:K110">
    <cfRule type="expression" dxfId="25" priority="1">
      <formula>NOT(ISERROR(SEARCH("NORMAL",J106)))</formula>
    </cfRule>
    <cfRule type="expression" dxfId="24" priority="2">
      <formula>NOT(ISERROR(SEARCH("ADAPTADO",J106)))</formula>
    </cfRule>
  </conditionalFormatting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6"/>
  <dimension ref="A1:U139"/>
  <sheetViews>
    <sheetView workbookViewId="0">
      <selection activeCell="D11" sqref="D11:N11"/>
    </sheetView>
  </sheetViews>
  <sheetFormatPr defaultColWidth="9" defaultRowHeight="12.75" x14ac:dyDescent="0.2"/>
  <cols>
    <col min="1" max="1" width="20.85546875" customWidth="1"/>
    <col min="2" max="2" width="10.85546875" customWidth="1"/>
    <col min="3" max="3" width="12" customWidth="1"/>
    <col min="4" max="4" width="79.140625" bestFit="1" customWidth="1"/>
    <col min="5" max="5" width="24.7109375" customWidth="1"/>
    <col min="6" max="6" width="18.5703125" customWidth="1"/>
    <col min="7" max="8" width="15.42578125" customWidth="1"/>
    <col min="9" max="9" width="32.85546875" customWidth="1"/>
    <col min="10" max="10" width="36.5703125" customWidth="1"/>
    <col min="11" max="11" width="14.42578125" customWidth="1"/>
    <col min="12" max="12" width="10.7109375" bestFit="1" customWidth="1"/>
    <col min="14" max="15" width="10.7109375" bestFit="1" customWidth="1"/>
  </cols>
  <sheetData>
    <row r="1" spans="1:21" ht="24" thickBot="1" x14ac:dyDescent="0.4">
      <c r="A1" s="310" t="s">
        <v>176</v>
      </c>
      <c r="B1" s="311"/>
      <c r="C1" s="311"/>
      <c r="D1" s="311"/>
      <c r="E1" t="s">
        <v>306</v>
      </c>
      <c r="F1" s="435" t="str">
        <f>IFERROR(VLOOKUP(D4,APELIDOS!A:B,2,FALSE),D4)</f>
        <v>JACYARA DOS SANTOS SILVA</v>
      </c>
      <c r="G1" s="311"/>
      <c r="H1" s="311"/>
      <c r="I1" s="311"/>
      <c r="J1" s="311"/>
      <c r="K1" s="311"/>
      <c r="L1" s="312"/>
    </row>
    <row r="2" spans="1:21" ht="42.75" customHeight="1" thickBot="1" x14ac:dyDescent="0.25">
      <c r="A2" s="682" t="s">
        <v>0</v>
      </c>
      <c r="B2" s="683"/>
      <c r="C2" s="307" t="str">
        <f>UPPER(MID('APONTAMENTO CREDENCIAMENTO'!C7,1,2))</f>
        <v>BT</v>
      </c>
      <c r="D2" s="682" t="str">
        <f>UPPER('APONTAMENTO CREDENCIAMENTO'!A1)</f>
        <v>BUTANTÃ</v>
      </c>
      <c r="E2" s="684"/>
      <c r="F2" s="684"/>
      <c r="G2" s="685"/>
      <c r="H2" s="316"/>
      <c r="I2" s="308" t="s">
        <v>173</v>
      </c>
      <c r="J2" s="309" t="s">
        <v>174</v>
      </c>
      <c r="K2" s="314"/>
      <c r="L2" s="315"/>
      <c r="N2" s="681" t="s">
        <v>1</v>
      </c>
      <c r="O2" s="681"/>
      <c r="P2" s="303" t="s">
        <v>2</v>
      </c>
      <c r="Q2" s="672" t="s">
        <v>3</v>
      </c>
      <c r="R2" s="672"/>
      <c r="S2" s="672"/>
      <c r="T2" s="672"/>
      <c r="U2" s="672"/>
    </row>
    <row r="3" spans="1:21" ht="20.25" customHeight="1" thickBot="1" x14ac:dyDescent="0.3">
      <c r="A3" s="295" t="s">
        <v>4</v>
      </c>
      <c r="B3" s="420" t="s">
        <v>3224</v>
      </c>
      <c r="C3" s="419"/>
      <c r="D3" s="296" t="s">
        <v>5</v>
      </c>
      <c r="E3" s="673" t="s">
        <v>175</v>
      </c>
      <c r="F3" s="674"/>
      <c r="G3" s="675"/>
      <c r="H3" s="678" t="s">
        <v>181</v>
      </c>
      <c r="I3" s="690" t="str">
        <f>N3</f>
        <v>01/04/2026</v>
      </c>
      <c r="J3" s="692" t="str">
        <f>O3</f>
        <v>30/04/2026</v>
      </c>
      <c r="K3" s="699" t="s">
        <v>180</v>
      </c>
      <c r="L3" s="700"/>
      <c r="N3" s="1" t="str">
        <f>'APONTAMENTO CREDENCIAMENTO'!F5</f>
        <v>01/04/2026</v>
      </c>
      <c r="O3" s="1" t="str">
        <f>'APONTAMENTO CREDENCIAMENTO'!G5</f>
        <v>30/04/2026</v>
      </c>
      <c r="P3" s="304"/>
      <c r="Q3" s="2"/>
      <c r="R3" s="2"/>
      <c r="S3" s="2"/>
      <c r="T3" s="2"/>
      <c r="U3" s="2"/>
    </row>
    <row r="4" spans="1:21" ht="22.5" customHeight="1" x14ac:dyDescent="0.25">
      <c r="A4" s="293" t="s">
        <v>6</v>
      </c>
      <c r="B4" s="294" t="str">
        <f>I3</f>
        <v>01/04/2026</v>
      </c>
      <c r="C4" s="294" t="str">
        <f>J3</f>
        <v>30/04/2026</v>
      </c>
      <c r="D4" s="696" t="str">
        <f>D10</f>
        <v>JACYARA DOS SANTOS SILVA</v>
      </c>
      <c r="E4" s="678" t="str">
        <f>UPPER(TEXT(B4,"MMMM"))</f>
        <v>ABRIL</v>
      </c>
      <c r="F4" s="686"/>
      <c r="G4" s="687"/>
      <c r="H4" s="679"/>
      <c r="I4" s="691"/>
      <c r="J4" s="693"/>
      <c r="K4" s="699"/>
      <c r="L4" s="700"/>
      <c r="P4" s="304"/>
      <c r="Q4" s="3"/>
      <c r="R4" s="3"/>
      <c r="S4" s="3"/>
      <c r="T4" s="3"/>
      <c r="U4" s="3"/>
    </row>
    <row r="5" spans="1:21" ht="24.75" customHeight="1" x14ac:dyDescent="0.2">
      <c r="A5" s="291" t="s">
        <v>7</v>
      </c>
      <c r="B5" s="676">
        <v>45868</v>
      </c>
      <c r="C5" s="676"/>
      <c r="D5" s="697"/>
      <c r="E5" s="679"/>
      <c r="F5" s="688"/>
      <c r="G5" s="689"/>
      <c r="H5" s="679"/>
      <c r="I5" s="691"/>
      <c r="J5" s="693"/>
      <c r="K5" s="699"/>
      <c r="L5" s="700"/>
      <c r="P5" s="304"/>
      <c r="Q5" s="3"/>
      <c r="R5" s="3"/>
      <c r="S5" s="3"/>
      <c r="T5" s="3"/>
      <c r="U5" s="3"/>
    </row>
    <row r="6" spans="1:21" ht="21.75" customHeight="1" x14ac:dyDescent="0.2">
      <c r="A6" s="291" t="s">
        <v>8</v>
      </c>
      <c r="B6" s="677" t="s">
        <v>179</v>
      </c>
      <c r="C6" s="677"/>
      <c r="D6" s="697"/>
      <c r="E6" s="679"/>
      <c r="F6" s="688"/>
      <c r="G6" s="689"/>
      <c r="H6" s="679"/>
      <c r="I6" s="691"/>
      <c r="J6" s="693"/>
      <c r="K6" s="699"/>
      <c r="L6" s="700"/>
      <c r="P6" s="304"/>
      <c r="Q6" s="3"/>
      <c r="R6" t="s">
        <v>177</v>
      </c>
      <c r="S6" s="3"/>
      <c r="T6" s="3"/>
      <c r="U6" s="3"/>
    </row>
    <row r="7" spans="1:21" ht="17.25" customHeight="1" x14ac:dyDescent="0.2">
      <c r="A7" s="291" t="s">
        <v>9</v>
      </c>
      <c r="B7" s="680">
        <f>IF(N10="C",'VALORES TABELA'!B17,IF(N10="N",'VALORES TABELA'!B18,0))</f>
        <v>0</v>
      </c>
      <c r="C7" s="680"/>
      <c r="D7" s="697"/>
      <c r="E7" s="679"/>
      <c r="F7" s="688"/>
      <c r="G7" s="689"/>
      <c r="H7" s="679"/>
      <c r="I7" s="691"/>
      <c r="J7" s="693"/>
      <c r="K7" s="699"/>
      <c r="L7" s="700"/>
      <c r="R7" s="305"/>
    </row>
    <row r="8" spans="1:21" ht="18" customHeight="1" x14ac:dyDescent="0.2">
      <c r="A8" s="694" t="s">
        <v>10</v>
      </c>
      <c r="B8" s="695"/>
      <c r="C8" s="695"/>
      <c r="D8" s="698"/>
      <c r="E8" s="679"/>
      <c r="F8" s="688"/>
      <c r="G8" s="689"/>
      <c r="H8" s="679"/>
      <c r="I8" s="691"/>
      <c r="J8" s="693"/>
      <c r="K8" s="699"/>
      <c r="L8" s="700"/>
    </row>
    <row r="9" spans="1:21" ht="33" customHeight="1" x14ac:dyDescent="0.25">
      <c r="A9" s="297" t="s">
        <v>178</v>
      </c>
      <c r="B9" s="297" t="s">
        <v>178</v>
      </c>
      <c r="C9" s="298" t="s">
        <v>11</v>
      </c>
      <c r="D9" s="299" t="str">
        <f>VLOOKUP($C9,'APONTAMENTO CREDENCIAMENTO'!$A:$J,8,0)</f>
        <v>EMPRESA</v>
      </c>
      <c r="E9" s="299" t="str">
        <f>VLOOKUP($C9,'APONTAMENTO CREDENCIAMENTO'!$A:$J,9,0)</f>
        <v>NOME CONDUTOR</v>
      </c>
      <c r="F9" s="300" t="str">
        <f>VLOOKUP($C9,'APONTAMENTO CREDENCIAMENTO'!$A:$P,15,0)</f>
        <v>SEI</v>
      </c>
      <c r="G9" s="301" t="str">
        <f>VLOOKUP($C9,'APONTAMENTO CREDENCIAMENTO'!$A:$P,4,0)</f>
        <v>CONTRATO</v>
      </c>
      <c r="H9" s="317" t="s">
        <v>182</v>
      </c>
      <c r="I9" s="285" t="s">
        <v>43</v>
      </c>
      <c r="J9" s="302"/>
      <c r="K9" s="313" t="str">
        <f>VLOOKUP($C9,'APONTAMENTO CREDENCIAMENTO'!$A:$J,6,0)</f>
        <v>PERÍODO</v>
      </c>
      <c r="L9" s="313"/>
      <c r="M9" s="292" t="str">
        <f t="shared" ref="M9:M10" si="0">MID(D9,1,3)</f>
        <v>EMP</v>
      </c>
      <c r="N9" t="str">
        <f>VLOOKUP($C9,'APONTAMENTO CREDENCIAMENTO'!$A:$P,16,0)</f>
        <v>Tipo Optante</v>
      </c>
    </row>
    <row r="10" spans="1:21" ht="31.5" customHeight="1" x14ac:dyDescent="0.25">
      <c r="A10" s="306">
        <v>1</v>
      </c>
      <c r="B10" s="306">
        <v>1</v>
      </c>
      <c r="C10" s="349" t="s">
        <v>3222</v>
      </c>
      <c r="D10" s="299" t="str">
        <f>VLOOKUP($C10,'APONTAMENTO CREDENCIAMENTO'!$A:$J,8,0)</f>
        <v>JACYARA DOS SANTOS SILVA</v>
      </c>
      <c r="E10" s="299" t="str">
        <f>VLOOKUP($C10,'APONTAMENTO CREDENCIAMENTO'!$A:$J,9,0)</f>
        <v>JACYARA DOS SANTOS SILVA</v>
      </c>
      <c r="F10" s="300" t="str">
        <f>VLOOKUP($C10,'APONTAMENTO CREDENCIAMENTO'!$A:$P,15,0)</f>
        <v>6020.2024/0008460-5</v>
      </c>
      <c r="G10" s="301" t="str">
        <f>VLOOKUP($C10,'APONTAMENTO CREDENCIAMENTO'!$A:$P,4,0)</f>
        <v>2024/0008460</v>
      </c>
      <c r="H10" s="301" t="str">
        <f>VLOOKUP($C10,'APONTAMENTO CREDENCIAMENTO'!$A:$P,5,0)</f>
        <v>FHQ3B39</v>
      </c>
      <c r="I10" s="301" t="str">
        <f>IF(VLOOKUP($C10,'APONTAMENTO CREDENCIAMENTO'!$A:$J,10,0)="NORMAL","NORMAL","ADAPTADO")</f>
        <v>NORMAL</v>
      </c>
      <c r="J10" s="302">
        <f>VLOOKUP($C10,'APONTAMENTO CREDENCIAMENTO'!$A:$EL,142,0)</f>
        <v>0</v>
      </c>
      <c r="K10" s="313" t="str">
        <f>VLOOKUP($C10,'APONTAMENTO CREDENCIAMENTO'!$A:$J,6,0)</f>
        <v>01/04/2026</v>
      </c>
      <c r="L10" s="313" t="str">
        <f>VLOOKUP($C10,'APONTAMENTO CREDENCIAMENTO'!$A:$J,7,0)</f>
        <v>30/04/2026</v>
      </c>
      <c r="M10" s="292" t="str">
        <f t="shared" si="0"/>
        <v>JAC</v>
      </c>
      <c r="N10">
        <f>VLOOKUP($C10,'APONTAMENTO CREDENCIAMENTO'!$A:$P,16,0)</f>
        <v>0</v>
      </c>
    </row>
    <row r="11" spans="1:21" ht="15" x14ac:dyDescent="0.25">
      <c r="D11" s="299"/>
      <c r="E11" s="299"/>
      <c r="F11" s="300"/>
      <c r="G11" s="301"/>
      <c r="H11" s="301"/>
      <c r="I11" s="301"/>
      <c r="J11" s="302"/>
      <c r="K11" s="313"/>
      <c r="L11" s="313"/>
      <c r="M11" s="292"/>
    </row>
    <row r="12" spans="1:21" ht="15" x14ac:dyDescent="0.25">
      <c r="D12" s="299"/>
      <c r="E12" s="299"/>
      <c r="F12" s="300"/>
      <c r="G12" s="301"/>
      <c r="H12" s="301"/>
      <c r="I12" s="301"/>
      <c r="J12" s="302"/>
      <c r="K12" s="313"/>
      <c r="L12" s="313"/>
      <c r="M12" s="292"/>
    </row>
    <row r="13" spans="1:21" ht="15" x14ac:dyDescent="0.25">
      <c r="D13" s="299"/>
      <c r="E13" s="299"/>
      <c r="F13" s="300"/>
      <c r="G13" s="301"/>
      <c r="H13" s="301"/>
      <c r="I13" s="301"/>
      <c r="J13" s="302"/>
      <c r="K13" s="313"/>
      <c r="L13" s="313"/>
      <c r="M13" s="292"/>
    </row>
    <row r="14" spans="1:21" ht="15" x14ac:dyDescent="0.25">
      <c r="D14" s="299"/>
      <c r="E14" s="299"/>
      <c r="F14" s="300"/>
      <c r="G14" s="301"/>
      <c r="H14" s="301"/>
      <c r="I14" s="301"/>
      <c r="J14" s="302"/>
      <c r="K14" s="313"/>
      <c r="L14" s="313"/>
      <c r="M14" s="292"/>
    </row>
    <row r="15" spans="1:21" ht="15" x14ac:dyDescent="0.25">
      <c r="D15" s="299"/>
      <c r="E15" s="299"/>
      <c r="F15" s="300"/>
      <c r="G15" s="301"/>
      <c r="H15" s="301"/>
      <c r="I15" s="301"/>
      <c r="J15" s="302"/>
      <c r="K15" s="313"/>
      <c r="L15" s="313"/>
      <c r="M15" s="292"/>
    </row>
    <row r="16" spans="1:21" ht="15" x14ac:dyDescent="0.25">
      <c r="D16" s="299"/>
      <c r="E16" s="299"/>
      <c r="F16" s="300"/>
      <c r="G16" s="301"/>
      <c r="H16" s="301"/>
      <c r="I16" s="301"/>
      <c r="J16" s="302"/>
      <c r="K16" s="313"/>
      <c r="L16" s="313"/>
      <c r="M16" s="292"/>
    </row>
    <row r="17" spans="4:13" ht="15" x14ac:dyDescent="0.25">
      <c r="D17" s="299"/>
      <c r="E17" s="299"/>
      <c r="F17" s="300"/>
      <c r="G17" s="301"/>
      <c r="H17" s="301"/>
      <c r="I17" s="301"/>
      <c r="J17" s="302"/>
      <c r="K17" s="313"/>
      <c r="L17" s="313"/>
      <c r="M17" s="292"/>
    </row>
    <row r="18" spans="4:13" ht="15" x14ac:dyDescent="0.25">
      <c r="D18" s="299"/>
      <c r="E18" s="299"/>
      <c r="F18" s="300"/>
      <c r="G18" s="301"/>
      <c r="H18" s="301"/>
      <c r="I18" s="301"/>
      <c r="J18" s="302"/>
      <c r="K18" s="313"/>
      <c r="L18" s="313"/>
      <c r="M18" s="292"/>
    </row>
    <row r="19" spans="4:13" ht="15" x14ac:dyDescent="0.25">
      <c r="D19" s="299"/>
      <c r="E19" s="299"/>
      <c r="F19" s="300"/>
      <c r="G19" s="301"/>
      <c r="H19" s="301"/>
      <c r="I19" s="301"/>
      <c r="J19" s="302"/>
      <c r="K19" s="313"/>
      <c r="L19" s="313"/>
      <c r="M19" s="292"/>
    </row>
    <row r="20" spans="4:13" ht="15" x14ac:dyDescent="0.25">
      <c r="D20" s="299"/>
      <c r="E20" s="299"/>
      <c r="F20" s="300"/>
      <c r="G20" s="301"/>
      <c r="H20" s="301"/>
      <c r="I20" s="301"/>
      <c r="J20" s="302"/>
      <c r="K20" s="313"/>
      <c r="L20" s="313"/>
      <c r="M20" s="292"/>
    </row>
    <row r="21" spans="4:13" ht="15" x14ac:dyDescent="0.25">
      <c r="D21" s="299"/>
      <c r="E21" s="299"/>
      <c r="F21" s="300"/>
      <c r="G21" s="301"/>
      <c r="H21" s="301"/>
      <c r="I21" s="301"/>
      <c r="J21" s="302"/>
      <c r="K21" s="313"/>
      <c r="L21" s="313"/>
      <c r="M21" s="292"/>
    </row>
    <row r="22" spans="4:13" ht="15" x14ac:dyDescent="0.25">
      <c r="D22" s="299"/>
      <c r="E22" s="299"/>
      <c r="F22" s="300"/>
      <c r="G22" s="301"/>
      <c r="H22" s="301"/>
      <c r="I22" s="301"/>
      <c r="J22" s="302"/>
      <c r="K22" s="313"/>
      <c r="L22" s="313"/>
      <c r="M22" s="292"/>
    </row>
    <row r="23" spans="4:13" ht="15" x14ac:dyDescent="0.25">
      <c r="D23" s="299"/>
      <c r="E23" s="299"/>
      <c r="F23" s="300"/>
      <c r="G23" s="301"/>
      <c r="H23" s="301"/>
      <c r="I23" s="301"/>
      <c r="J23" s="302"/>
      <c r="K23" s="313"/>
      <c r="L23" s="313"/>
      <c r="M23" s="292"/>
    </row>
    <row r="24" spans="4:13" ht="15" x14ac:dyDescent="0.25">
      <c r="D24" s="299"/>
      <c r="E24" s="299"/>
      <c r="F24" s="300"/>
      <c r="G24" s="301"/>
      <c r="H24" s="301"/>
      <c r="I24" s="301"/>
      <c r="J24" s="302"/>
      <c r="K24" s="313"/>
      <c r="L24" s="313"/>
      <c r="M24" s="292"/>
    </row>
    <row r="25" spans="4:13" ht="15" x14ac:dyDescent="0.25">
      <c r="D25" s="299"/>
      <c r="E25" s="299"/>
      <c r="F25" s="300"/>
      <c r="G25" s="301"/>
      <c r="H25" s="301"/>
      <c r="I25" s="301"/>
      <c r="J25" s="302"/>
      <c r="K25" s="313"/>
      <c r="L25" s="313"/>
      <c r="M25" s="292"/>
    </row>
    <row r="26" spans="4:13" ht="15" x14ac:dyDescent="0.25">
      <c r="D26" s="299"/>
      <c r="E26" s="299"/>
      <c r="F26" s="300"/>
      <c r="G26" s="301"/>
      <c r="H26" s="301"/>
      <c r="I26" s="301"/>
      <c r="J26" s="302"/>
      <c r="K26" s="313"/>
      <c r="L26" s="313"/>
      <c r="M26" s="292"/>
    </row>
    <row r="27" spans="4:13" ht="15" x14ac:dyDescent="0.25">
      <c r="D27" s="299"/>
      <c r="E27" s="299"/>
      <c r="F27" s="300"/>
      <c r="G27" s="301"/>
      <c r="H27" s="301"/>
      <c r="I27" s="301"/>
      <c r="J27" s="302"/>
      <c r="K27" s="313"/>
      <c r="L27" s="313"/>
      <c r="M27" s="292"/>
    </row>
    <row r="28" spans="4:13" ht="15" x14ac:dyDescent="0.25">
      <c r="D28" s="299"/>
      <c r="E28" s="299"/>
      <c r="F28" s="300"/>
      <c r="G28" s="301"/>
      <c r="H28" s="301"/>
      <c r="I28" s="301"/>
      <c r="J28" s="302"/>
      <c r="K28" s="313"/>
      <c r="L28" s="313"/>
      <c r="M28" s="292"/>
    </row>
    <row r="29" spans="4:13" ht="15" x14ac:dyDescent="0.25">
      <c r="D29" s="299"/>
      <c r="E29" s="299"/>
      <c r="F29" s="300"/>
      <c r="G29" s="301"/>
      <c r="H29" s="301"/>
      <c r="I29" s="301"/>
      <c r="J29" s="302"/>
      <c r="K29" s="313"/>
      <c r="L29" s="313"/>
      <c r="M29" s="292"/>
    </row>
    <row r="30" spans="4:13" ht="15" x14ac:dyDescent="0.25">
      <c r="D30" s="299"/>
      <c r="E30" s="299"/>
      <c r="F30" s="300"/>
      <c r="G30" s="301"/>
      <c r="H30" s="301"/>
      <c r="I30" s="301"/>
      <c r="J30" s="302"/>
      <c r="K30" s="313"/>
      <c r="L30" s="313"/>
      <c r="M30" s="292"/>
    </row>
    <row r="31" spans="4:13" ht="15" x14ac:dyDescent="0.25">
      <c r="D31" s="299"/>
      <c r="E31" s="299"/>
      <c r="F31" s="300"/>
      <c r="G31" s="301"/>
      <c r="H31" s="301"/>
      <c r="I31" s="301"/>
      <c r="J31" s="302"/>
      <c r="K31" s="313"/>
      <c r="L31" s="313"/>
      <c r="M31" s="292"/>
    </row>
    <row r="32" spans="4:13" ht="15" x14ac:dyDescent="0.25">
      <c r="D32" s="299"/>
      <c r="E32" s="299"/>
      <c r="F32" s="300"/>
      <c r="G32" s="301"/>
      <c r="H32" s="301"/>
      <c r="I32" s="301"/>
      <c r="J32" s="302"/>
      <c r="K32" s="313"/>
      <c r="L32" s="313"/>
      <c r="M32" s="292"/>
    </row>
    <row r="33" spans="4:13" ht="15" x14ac:dyDescent="0.25">
      <c r="D33" s="299"/>
      <c r="E33" s="299"/>
      <c r="F33" s="300"/>
      <c r="G33" s="301"/>
      <c r="H33" s="301"/>
      <c r="I33" s="301"/>
      <c r="J33" s="302"/>
      <c r="K33" s="313"/>
      <c r="L33" s="313"/>
      <c r="M33" s="292"/>
    </row>
    <row r="34" spans="4:13" ht="15" x14ac:dyDescent="0.25">
      <c r="D34" s="299"/>
      <c r="E34" s="299"/>
      <c r="F34" s="300"/>
      <c r="G34" s="301"/>
      <c r="H34" s="301"/>
      <c r="I34" s="301"/>
      <c r="J34" s="302"/>
      <c r="K34" s="313"/>
      <c r="L34" s="313"/>
      <c r="M34" s="292"/>
    </row>
    <row r="35" spans="4:13" ht="15" x14ac:dyDescent="0.25">
      <c r="D35" s="299"/>
      <c r="E35" s="299"/>
      <c r="F35" s="300"/>
      <c r="G35" s="301"/>
      <c r="H35" s="301"/>
      <c r="I35" s="301"/>
      <c r="J35" s="302"/>
      <c r="K35" s="313"/>
      <c r="L35" s="313"/>
      <c r="M35" s="292"/>
    </row>
    <row r="36" spans="4:13" ht="15" x14ac:dyDescent="0.25">
      <c r="D36" s="299"/>
      <c r="E36" s="299"/>
      <c r="F36" s="300"/>
      <c r="G36" s="301"/>
      <c r="H36" s="301"/>
      <c r="I36" s="301"/>
      <c r="J36" s="302"/>
      <c r="K36" s="313"/>
      <c r="L36" s="313"/>
      <c r="M36" s="292"/>
    </row>
    <row r="37" spans="4:13" ht="15" x14ac:dyDescent="0.25">
      <c r="D37" s="299"/>
      <c r="E37" s="299"/>
      <c r="F37" s="300"/>
      <c r="G37" s="301"/>
      <c r="H37" s="301"/>
      <c r="I37" s="301"/>
      <c r="J37" s="302"/>
      <c r="K37" s="313"/>
      <c r="L37" s="313"/>
      <c r="M37" s="292"/>
    </row>
    <row r="38" spans="4:13" ht="15" x14ac:dyDescent="0.25">
      <c r="D38" s="299"/>
      <c r="E38" s="299"/>
      <c r="F38" s="300"/>
      <c r="G38" s="301"/>
      <c r="H38" s="301"/>
      <c r="I38" s="301"/>
      <c r="J38" s="302"/>
      <c r="K38" s="313"/>
      <c r="L38" s="313"/>
      <c r="M38" s="292"/>
    </row>
    <row r="39" spans="4:13" ht="15" x14ac:dyDescent="0.25">
      <c r="D39" s="299"/>
      <c r="E39" s="299"/>
      <c r="F39" s="300"/>
      <c r="G39" s="301"/>
      <c r="H39" s="301"/>
      <c r="I39" s="301"/>
      <c r="J39" s="302"/>
      <c r="K39" s="313"/>
      <c r="L39" s="313"/>
      <c r="M39" s="292"/>
    </row>
    <row r="40" spans="4:13" ht="15" x14ac:dyDescent="0.25">
      <c r="D40" s="299"/>
      <c r="E40" s="299"/>
      <c r="F40" s="300"/>
      <c r="G40" s="301"/>
      <c r="H40" s="301"/>
      <c r="I40" s="301"/>
      <c r="J40" s="302"/>
      <c r="K40" s="313"/>
      <c r="L40" s="313"/>
      <c r="M40" s="292"/>
    </row>
    <row r="41" spans="4:13" ht="15" x14ac:dyDescent="0.25">
      <c r="D41" s="299"/>
      <c r="E41" s="299"/>
      <c r="F41" s="300"/>
      <c r="G41" s="301"/>
      <c r="H41" s="301"/>
      <c r="I41" s="301"/>
      <c r="J41" s="302"/>
      <c r="K41" s="313"/>
      <c r="L41" s="313"/>
      <c r="M41" s="292"/>
    </row>
    <row r="42" spans="4:13" ht="15" x14ac:dyDescent="0.25">
      <c r="D42" s="299"/>
      <c r="E42" s="299"/>
      <c r="F42" s="300"/>
      <c r="G42" s="301"/>
      <c r="H42" s="301"/>
      <c r="I42" s="301"/>
      <c r="J42" s="302"/>
      <c r="K42" s="313"/>
      <c r="L42" s="313"/>
      <c r="M42" s="292"/>
    </row>
    <row r="43" spans="4:13" ht="15" x14ac:dyDescent="0.25">
      <c r="D43" s="299"/>
      <c r="E43" s="299"/>
      <c r="F43" s="300"/>
      <c r="G43" s="301"/>
      <c r="H43" s="301"/>
      <c r="I43" s="301"/>
      <c r="J43" s="302"/>
      <c r="K43" s="313"/>
      <c r="L43" s="313"/>
      <c r="M43" s="292"/>
    </row>
    <row r="44" spans="4:13" ht="15" x14ac:dyDescent="0.25">
      <c r="D44" s="299"/>
      <c r="E44" s="299"/>
      <c r="F44" s="300"/>
      <c r="G44" s="301"/>
      <c r="H44" s="301"/>
      <c r="I44" s="301"/>
      <c r="J44" s="302"/>
      <c r="K44" s="313"/>
      <c r="L44" s="313"/>
      <c r="M44" s="292"/>
    </row>
    <row r="45" spans="4:13" ht="15" x14ac:dyDescent="0.25">
      <c r="D45" s="299"/>
      <c r="E45" s="299"/>
      <c r="F45" s="300"/>
      <c r="G45" s="301"/>
      <c r="H45" s="301"/>
      <c r="I45" s="301"/>
      <c r="J45" s="302"/>
      <c r="K45" s="313"/>
      <c r="L45" s="313"/>
      <c r="M45" s="292"/>
    </row>
    <row r="46" spans="4:13" ht="15" x14ac:dyDescent="0.25">
      <c r="D46" s="299"/>
      <c r="E46" s="299"/>
      <c r="F46" s="300"/>
      <c r="G46" s="301"/>
      <c r="H46" s="301"/>
      <c r="I46" s="301"/>
      <c r="J46" s="302"/>
      <c r="K46" s="313"/>
      <c r="L46" s="313"/>
      <c r="M46" s="292"/>
    </row>
    <row r="47" spans="4:13" ht="15" x14ac:dyDescent="0.25">
      <c r="D47" s="299"/>
      <c r="E47" s="299"/>
      <c r="F47" s="300"/>
      <c r="G47" s="301"/>
      <c r="H47" s="301"/>
      <c r="I47" s="301"/>
      <c r="J47" s="302"/>
      <c r="K47" s="313"/>
      <c r="L47" s="313"/>
      <c r="M47" s="292"/>
    </row>
    <row r="48" spans="4:13" ht="15" x14ac:dyDescent="0.25">
      <c r="D48" s="299"/>
      <c r="E48" s="299"/>
      <c r="F48" s="300"/>
      <c r="G48" s="301"/>
      <c r="H48" s="301"/>
      <c r="I48" s="301"/>
      <c r="J48" s="302"/>
      <c r="K48" s="313"/>
      <c r="L48" s="313"/>
      <c r="M48" s="292"/>
    </row>
    <row r="49" spans="4:13" ht="15" x14ac:dyDescent="0.25">
      <c r="D49" s="299"/>
      <c r="E49" s="299"/>
      <c r="F49" s="300"/>
      <c r="G49" s="301"/>
      <c r="H49" s="301"/>
      <c r="I49" s="301"/>
      <c r="J49" s="302"/>
      <c r="K49" s="313"/>
      <c r="L49" s="313"/>
      <c r="M49" s="292"/>
    </row>
    <row r="50" spans="4:13" ht="15" x14ac:dyDescent="0.25">
      <c r="D50" s="299"/>
      <c r="E50" s="299"/>
      <c r="F50" s="300"/>
      <c r="G50" s="301"/>
      <c r="H50" s="301"/>
      <c r="I50" s="301"/>
      <c r="J50" s="302"/>
      <c r="K50" s="313"/>
      <c r="L50" s="313"/>
      <c r="M50" s="292"/>
    </row>
    <row r="51" spans="4:13" ht="15" x14ac:dyDescent="0.25">
      <c r="D51" s="299"/>
      <c r="E51" s="299"/>
      <c r="F51" s="300"/>
      <c r="G51" s="301"/>
      <c r="H51" s="301"/>
      <c r="I51" s="301"/>
      <c r="J51" s="302"/>
      <c r="K51" s="313"/>
      <c r="L51" s="313"/>
      <c r="M51" s="292"/>
    </row>
    <row r="52" spans="4:13" ht="15" x14ac:dyDescent="0.25">
      <c r="D52" s="299"/>
      <c r="E52" s="299"/>
      <c r="F52" s="300"/>
      <c r="G52" s="301"/>
      <c r="H52" s="301"/>
      <c r="I52" s="301"/>
      <c r="J52" s="302"/>
      <c r="K52" s="313"/>
      <c r="L52" s="313"/>
      <c r="M52" s="292"/>
    </row>
    <row r="53" spans="4:13" ht="15" x14ac:dyDescent="0.25">
      <c r="D53" s="299"/>
      <c r="E53" s="299"/>
      <c r="F53" s="300"/>
      <c r="G53" s="301"/>
      <c r="H53" s="301"/>
      <c r="I53" s="301"/>
      <c r="J53" s="302"/>
      <c r="K53" s="313"/>
      <c r="L53" s="313"/>
      <c r="M53" s="292"/>
    </row>
    <row r="54" spans="4:13" ht="15" x14ac:dyDescent="0.25">
      <c r="D54" s="299"/>
      <c r="E54" s="299"/>
      <c r="F54" s="300"/>
      <c r="G54" s="301"/>
      <c r="H54" s="301"/>
      <c r="I54" s="301"/>
      <c r="J54" s="302"/>
      <c r="K54" s="313"/>
      <c r="L54" s="313"/>
      <c r="M54" s="292"/>
    </row>
    <row r="55" spans="4:13" ht="15" x14ac:dyDescent="0.25">
      <c r="D55" s="299"/>
      <c r="E55" s="299"/>
      <c r="F55" s="300"/>
      <c r="G55" s="301"/>
      <c r="H55" s="301"/>
      <c r="I55" s="301"/>
      <c r="J55" s="302"/>
      <c r="K55" s="313"/>
      <c r="L55" s="313"/>
      <c r="M55" s="292"/>
    </row>
    <row r="56" spans="4:13" ht="15" x14ac:dyDescent="0.25">
      <c r="D56" s="299"/>
      <c r="E56" s="299"/>
      <c r="F56" s="300"/>
      <c r="G56" s="301"/>
      <c r="H56" s="301"/>
      <c r="I56" s="301"/>
      <c r="J56" s="302"/>
      <c r="K56" s="313"/>
      <c r="L56" s="313"/>
      <c r="M56" s="292"/>
    </row>
    <row r="57" spans="4:13" ht="15" x14ac:dyDescent="0.25">
      <c r="D57" s="299"/>
      <c r="E57" s="299"/>
      <c r="F57" s="300"/>
      <c r="G57" s="301"/>
      <c r="H57" s="301"/>
      <c r="I57" s="301"/>
      <c r="J57" s="302"/>
      <c r="K57" s="313"/>
      <c r="L57" s="313"/>
      <c r="M57" s="292"/>
    </row>
    <row r="58" spans="4:13" ht="15" x14ac:dyDescent="0.25">
      <c r="D58" s="299"/>
      <c r="E58" s="299"/>
      <c r="F58" s="300"/>
      <c r="G58" s="301"/>
      <c r="H58" s="301"/>
      <c r="I58" s="301"/>
      <c r="J58" s="302"/>
      <c r="K58" s="313"/>
      <c r="L58" s="313"/>
      <c r="M58" s="292"/>
    </row>
    <row r="59" spans="4:13" ht="15" x14ac:dyDescent="0.25">
      <c r="D59" s="299"/>
      <c r="E59" s="299"/>
      <c r="F59" s="300"/>
      <c r="G59" s="301"/>
      <c r="H59" s="301"/>
      <c r="I59" s="301"/>
      <c r="J59" s="302"/>
      <c r="K59" s="313"/>
      <c r="L59" s="313"/>
      <c r="M59" s="292"/>
    </row>
    <row r="60" spans="4:13" ht="15" x14ac:dyDescent="0.25">
      <c r="D60" s="299"/>
      <c r="E60" s="299"/>
      <c r="F60" s="300"/>
      <c r="G60" s="301"/>
      <c r="H60" s="301"/>
      <c r="I60" s="301"/>
      <c r="J60" s="302"/>
      <c r="K60" s="313"/>
      <c r="L60" s="313"/>
      <c r="M60" s="292"/>
    </row>
    <row r="61" spans="4:13" ht="15" x14ac:dyDescent="0.25">
      <c r="D61" s="299"/>
      <c r="E61" s="299"/>
      <c r="F61" s="300"/>
      <c r="G61" s="301"/>
      <c r="H61" s="301"/>
      <c r="I61" s="301"/>
      <c r="J61" s="302"/>
      <c r="K61" s="313"/>
      <c r="L61" s="313"/>
      <c r="M61" s="292"/>
    </row>
    <row r="62" spans="4:13" ht="15" x14ac:dyDescent="0.25">
      <c r="D62" s="299"/>
      <c r="E62" s="299"/>
      <c r="F62" s="300"/>
      <c r="G62" s="301"/>
      <c r="H62" s="301"/>
      <c r="I62" s="301"/>
      <c r="J62" s="302"/>
      <c r="K62" s="313"/>
      <c r="L62" s="313"/>
      <c r="M62" s="292"/>
    </row>
    <row r="63" spans="4:13" ht="15" x14ac:dyDescent="0.25">
      <c r="D63" s="299"/>
      <c r="E63" s="299"/>
      <c r="F63" s="300"/>
      <c r="G63" s="301"/>
      <c r="H63" s="301"/>
      <c r="I63" s="301"/>
      <c r="J63" s="302"/>
      <c r="K63" s="313"/>
      <c r="L63" s="313"/>
      <c r="M63" s="292"/>
    </row>
    <row r="64" spans="4:13" ht="15" x14ac:dyDescent="0.25">
      <c r="D64" s="299"/>
      <c r="E64" s="299"/>
      <c r="F64" s="300"/>
      <c r="G64" s="301"/>
      <c r="H64" s="301"/>
      <c r="I64" s="301"/>
      <c r="J64" s="302"/>
      <c r="K64" s="313"/>
      <c r="L64" s="313"/>
      <c r="M64" s="292"/>
    </row>
    <row r="65" spans="4:13" ht="15" x14ac:dyDescent="0.25">
      <c r="D65" s="299"/>
      <c r="E65" s="299"/>
      <c r="F65" s="300"/>
      <c r="G65" s="301"/>
      <c r="H65" s="301"/>
      <c r="I65" s="301"/>
      <c r="J65" s="302"/>
      <c r="K65" s="313"/>
      <c r="L65" s="313"/>
      <c r="M65" s="292"/>
    </row>
    <row r="66" spans="4:13" ht="15" x14ac:dyDescent="0.25">
      <c r="D66" s="299"/>
      <c r="E66" s="299"/>
      <c r="F66" s="300"/>
      <c r="G66" s="301"/>
      <c r="H66" s="301"/>
      <c r="I66" s="301"/>
      <c r="J66" s="302"/>
      <c r="K66" s="313"/>
      <c r="L66" s="313"/>
      <c r="M66" s="292"/>
    </row>
    <row r="67" spans="4:13" ht="15" x14ac:dyDescent="0.25">
      <c r="D67" s="299"/>
      <c r="E67" s="299"/>
      <c r="F67" s="300"/>
      <c r="G67" s="301"/>
      <c r="H67" s="301"/>
      <c r="I67" s="301"/>
      <c r="J67" s="302"/>
      <c r="K67" s="313"/>
      <c r="L67" s="313"/>
      <c r="M67" s="292"/>
    </row>
    <row r="68" spans="4:13" ht="15" x14ac:dyDescent="0.25">
      <c r="D68" s="299"/>
      <c r="E68" s="299"/>
      <c r="F68" s="300"/>
      <c r="G68" s="301"/>
      <c r="H68" s="301"/>
      <c r="I68" s="301"/>
      <c r="J68" s="302"/>
      <c r="K68" s="313"/>
      <c r="L68" s="313"/>
      <c r="M68" s="292"/>
    </row>
    <row r="69" spans="4:13" ht="15" x14ac:dyDescent="0.25">
      <c r="D69" s="299"/>
      <c r="E69" s="299"/>
      <c r="F69" s="300"/>
      <c r="G69" s="301"/>
      <c r="H69" s="301"/>
      <c r="I69" s="301"/>
      <c r="J69" s="302"/>
      <c r="K69" s="313"/>
      <c r="L69" s="313"/>
      <c r="M69" s="292"/>
    </row>
    <row r="70" spans="4:13" ht="15" x14ac:dyDescent="0.25">
      <c r="D70" s="299"/>
      <c r="E70" s="299"/>
      <c r="F70" s="300"/>
      <c r="G70" s="301"/>
      <c r="H70" s="301"/>
      <c r="I70" s="301"/>
      <c r="J70" s="302"/>
      <c r="K70" s="313"/>
      <c r="L70" s="313"/>
      <c r="M70" s="292"/>
    </row>
    <row r="71" spans="4:13" ht="15" x14ac:dyDescent="0.25">
      <c r="D71" s="299"/>
      <c r="E71" s="299"/>
      <c r="F71" s="300"/>
      <c r="G71" s="301"/>
      <c r="H71" s="301"/>
      <c r="I71" s="301"/>
      <c r="J71" s="302"/>
      <c r="K71" s="313"/>
      <c r="L71" s="313"/>
      <c r="M71" s="292"/>
    </row>
    <row r="72" spans="4:13" ht="15" x14ac:dyDescent="0.25">
      <c r="D72" s="299"/>
      <c r="E72" s="299"/>
      <c r="F72" s="300"/>
      <c r="G72" s="301"/>
      <c r="H72" s="301"/>
      <c r="I72" s="301"/>
      <c r="J72" s="302"/>
      <c r="K72" s="313"/>
      <c r="L72" s="313"/>
      <c r="M72" s="292"/>
    </row>
    <row r="73" spans="4:13" ht="15" x14ac:dyDescent="0.25">
      <c r="D73" s="299"/>
      <c r="E73" s="299"/>
      <c r="F73" s="300"/>
      <c r="G73" s="301"/>
      <c r="H73" s="301"/>
      <c r="I73" s="301"/>
      <c r="J73" s="302"/>
      <c r="K73" s="313"/>
      <c r="L73" s="313"/>
      <c r="M73" s="292"/>
    </row>
    <row r="74" spans="4:13" ht="15" x14ac:dyDescent="0.25">
      <c r="D74" s="299"/>
      <c r="E74" s="299"/>
      <c r="F74" s="300"/>
      <c r="G74" s="301"/>
      <c r="H74" s="301"/>
      <c r="I74" s="301"/>
      <c r="J74" s="302"/>
      <c r="K74" s="313"/>
      <c r="L74" s="313"/>
      <c r="M74" s="292"/>
    </row>
    <row r="75" spans="4:13" ht="15" x14ac:dyDescent="0.25">
      <c r="D75" s="299"/>
      <c r="E75" s="299"/>
      <c r="F75" s="300"/>
      <c r="G75" s="301"/>
      <c r="H75" s="301"/>
      <c r="I75" s="301"/>
      <c r="J75" s="302"/>
      <c r="K75" s="313"/>
      <c r="L75" s="313"/>
      <c r="M75" s="292"/>
    </row>
    <row r="76" spans="4:13" ht="15" x14ac:dyDescent="0.25">
      <c r="D76" s="299"/>
      <c r="E76" s="299"/>
      <c r="F76" s="300"/>
      <c r="G76" s="301"/>
      <c r="H76" s="301"/>
      <c r="I76" s="301"/>
      <c r="J76" s="302"/>
      <c r="K76" s="313"/>
      <c r="L76" s="313"/>
      <c r="M76" s="292"/>
    </row>
    <row r="77" spans="4:13" ht="15" x14ac:dyDescent="0.25">
      <c r="D77" s="299"/>
      <c r="E77" s="299"/>
      <c r="F77" s="300"/>
      <c r="G77" s="301"/>
      <c r="H77" s="301"/>
      <c r="I77" s="301"/>
      <c r="J77" s="302"/>
      <c r="K77" s="313"/>
      <c r="L77" s="313"/>
      <c r="M77" s="292"/>
    </row>
    <row r="78" spans="4:13" ht="15" x14ac:dyDescent="0.25">
      <c r="D78" s="299"/>
      <c r="E78" s="299"/>
      <c r="F78" s="300"/>
      <c r="G78" s="301"/>
      <c r="H78" s="301"/>
      <c r="I78" s="301"/>
      <c r="J78" s="302"/>
      <c r="K78" s="313"/>
      <c r="L78" s="313"/>
      <c r="M78" s="292"/>
    </row>
    <row r="79" spans="4:13" ht="15" x14ac:dyDescent="0.25">
      <c r="D79" s="299"/>
      <c r="E79" s="299"/>
      <c r="F79" s="300"/>
      <c r="G79" s="301"/>
      <c r="H79" s="301"/>
      <c r="I79" s="301"/>
      <c r="J79" s="302"/>
      <c r="K79" s="313"/>
      <c r="L79" s="313"/>
      <c r="M79" s="292"/>
    </row>
    <row r="80" spans="4:13" ht="15" x14ac:dyDescent="0.25">
      <c r="D80" s="299"/>
      <c r="E80" s="299"/>
      <c r="F80" s="300"/>
      <c r="G80" s="301"/>
      <c r="H80" s="301"/>
      <c r="I80" s="301"/>
      <c r="J80" s="302"/>
      <c r="K80" s="313"/>
      <c r="L80" s="313"/>
      <c r="M80" s="292"/>
    </row>
    <row r="81" spans="4:13" ht="15" x14ac:dyDescent="0.25">
      <c r="D81" s="299"/>
      <c r="E81" s="299"/>
      <c r="F81" s="300"/>
      <c r="G81" s="301"/>
      <c r="H81" s="301"/>
      <c r="I81" s="301"/>
      <c r="J81" s="302"/>
      <c r="K81" s="313"/>
      <c r="L81" s="313"/>
      <c r="M81" s="292"/>
    </row>
    <row r="82" spans="4:13" ht="15" x14ac:dyDescent="0.25">
      <c r="D82" s="299"/>
      <c r="E82" s="299"/>
      <c r="F82" s="300"/>
      <c r="G82" s="301"/>
      <c r="H82" s="301"/>
      <c r="I82" s="301"/>
      <c r="J82" s="302"/>
      <c r="K82" s="313"/>
      <c r="L82" s="313"/>
      <c r="M82" s="292"/>
    </row>
    <row r="83" spans="4:13" ht="15" x14ac:dyDescent="0.25">
      <c r="D83" s="299"/>
      <c r="E83" s="299"/>
      <c r="F83" s="300"/>
      <c r="G83" s="301"/>
      <c r="H83" s="301"/>
      <c r="I83" s="301"/>
      <c r="J83" s="302"/>
      <c r="K83" s="313"/>
      <c r="L83" s="313"/>
      <c r="M83" s="292"/>
    </row>
    <row r="84" spans="4:13" ht="15" x14ac:dyDescent="0.25">
      <c r="D84" s="299"/>
      <c r="E84" s="299"/>
      <c r="F84" s="300"/>
      <c r="G84" s="301"/>
      <c r="H84" s="301"/>
      <c r="I84" s="301"/>
      <c r="J84" s="302"/>
      <c r="K84" s="313"/>
      <c r="L84" s="313"/>
      <c r="M84" s="292"/>
    </row>
    <row r="85" spans="4:13" ht="15" x14ac:dyDescent="0.25">
      <c r="D85" s="299"/>
      <c r="E85" s="299"/>
      <c r="F85" s="300"/>
      <c r="G85" s="301"/>
      <c r="H85" s="301"/>
      <c r="I85" s="301"/>
      <c r="J85" s="302"/>
      <c r="K85" s="313"/>
      <c r="L85" s="313"/>
      <c r="M85" s="292"/>
    </row>
    <row r="86" spans="4:13" ht="15" x14ac:dyDescent="0.25">
      <c r="D86" s="299"/>
      <c r="E86" s="299"/>
      <c r="F86" s="300"/>
      <c r="G86" s="301"/>
      <c r="H86" s="301"/>
      <c r="I86" s="301"/>
      <c r="J86" s="302"/>
      <c r="K86" s="313"/>
      <c r="L86" s="313"/>
      <c r="M86" s="292"/>
    </row>
    <row r="87" spans="4:13" ht="15" x14ac:dyDescent="0.25">
      <c r="D87" s="299"/>
      <c r="E87" s="299"/>
      <c r="F87" s="300"/>
      <c r="G87" s="301"/>
      <c r="H87" s="301"/>
      <c r="I87" s="301"/>
      <c r="J87" s="302"/>
      <c r="K87" s="313"/>
      <c r="L87" s="313"/>
      <c r="M87" s="292"/>
    </row>
    <row r="88" spans="4:13" ht="15" x14ac:dyDescent="0.25">
      <c r="D88" s="299"/>
      <c r="E88" s="299"/>
      <c r="F88" s="300"/>
      <c r="G88" s="301"/>
      <c r="H88" s="301"/>
      <c r="I88" s="301"/>
      <c r="J88" s="302"/>
      <c r="K88" s="313"/>
      <c r="L88" s="313"/>
      <c r="M88" s="292"/>
    </row>
    <row r="89" spans="4:13" ht="15" x14ac:dyDescent="0.25">
      <c r="D89" s="299"/>
      <c r="E89" s="299"/>
      <c r="F89" s="300"/>
      <c r="G89" s="301"/>
      <c r="H89" s="301"/>
      <c r="I89" s="301"/>
      <c r="J89" s="302"/>
      <c r="K89" s="313"/>
      <c r="L89" s="313"/>
      <c r="M89" s="292"/>
    </row>
    <row r="90" spans="4:13" ht="15" x14ac:dyDescent="0.25">
      <c r="D90" s="299"/>
      <c r="E90" s="299"/>
      <c r="F90" s="300"/>
      <c r="G90" s="301"/>
      <c r="H90" s="301"/>
      <c r="I90" s="301"/>
      <c r="J90" s="302"/>
      <c r="K90" s="313"/>
      <c r="L90" s="313"/>
      <c r="M90" s="292"/>
    </row>
    <row r="91" spans="4:13" ht="15" x14ac:dyDescent="0.25">
      <c r="D91" s="299"/>
      <c r="E91" s="299"/>
      <c r="F91" s="300"/>
      <c r="G91" s="301"/>
      <c r="H91" s="301"/>
      <c r="I91" s="301"/>
      <c r="J91" s="302"/>
      <c r="K91" s="313"/>
      <c r="L91" s="313"/>
      <c r="M91" s="292"/>
    </row>
    <row r="92" spans="4:13" ht="15" x14ac:dyDescent="0.25">
      <c r="D92" s="299"/>
      <c r="E92" s="299"/>
      <c r="F92" s="300"/>
      <c r="G92" s="301"/>
      <c r="H92" s="301"/>
      <c r="I92" s="301"/>
      <c r="J92" s="302"/>
      <c r="K92" s="313"/>
      <c r="L92" s="313"/>
      <c r="M92" s="292"/>
    </row>
    <row r="93" spans="4:13" ht="15" x14ac:dyDescent="0.25">
      <c r="D93" s="299"/>
      <c r="E93" s="299"/>
      <c r="F93" s="300"/>
      <c r="G93" s="301"/>
      <c r="H93" s="301"/>
      <c r="I93" s="301"/>
      <c r="J93" s="302"/>
      <c r="K93" s="313"/>
      <c r="L93" s="313"/>
      <c r="M93" s="292"/>
    </row>
    <row r="94" spans="4:13" ht="15" x14ac:dyDescent="0.25">
      <c r="D94" s="299"/>
      <c r="E94" s="299"/>
      <c r="F94" s="300"/>
      <c r="G94" s="301"/>
      <c r="H94" s="301"/>
      <c r="I94" s="301"/>
      <c r="J94" s="302"/>
      <c r="K94" s="313"/>
      <c r="L94" s="313"/>
      <c r="M94" s="292"/>
    </row>
    <row r="95" spans="4:13" ht="15" x14ac:dyDescent="0.25">
      <c r="D95" s="299"/>
      <c r="E95" s="299"/>
      <c r="F95" s="300"/>
      <c r="G95" s="301"/>
      <c r="H95" s="301"/>
      <c r="I95" s="301"/>
      <c r="J95" s="302"/>
      <c r="K95" s="313"/>
      <c r="L95" s="313"/>
      <c r="M95" s="292"/>
    </row>
    <row r="96" spans="4:13" ht="15" x14ac:dyDescent="0.25">
      <c r="D96" s="299"/>
      <c r="E96" s="299"/>
      <c r="F96" s="300"/>
      <c r="G96" s="301"/>
      <c r="H96" s="301"/>
      <c r="I96" s="301"/>
      <c r="J96" s="302"/>
      <c r="K96" s="313"/>
      <c r="L96" s="313"/>
      <c r="M96" s="292"/>
    </row>
    <row r="97" spans="4:13" ht="15" x14ac:dyDescent="0.25">
      <c r="D97" s="299"/>
      <c r="E97" s="299"/>
      <c r="F97" s="300"/>
      <c r="G97" s="301"/>
      <c r="H97" s="301"/>
      <c r="I97" s="301"/>
      <c r="J97" s="302"/>
      <c r="K97" s="313"/>
      <c r="L97" s="313"/>
      <c r="M97" s="292"/>
    </row>
    <row r="98" spans="4:13" ht="15" x14ac:dyDescent="0.25">
      <c r="D98" s="299"/>
      <c r="E98" s="299"/>
      <c r="F98" s="300"/>
      <c r="G98" s="301"/>
      <c r="H98" s="301"/>
      <c r="I98" s="301"/>
      <c r="J98" s="302"/>
      <c r="K98" s="313"/>
      <c r="L98" s="313"/>
      <c r="M98" s="292"/>
    </row>
    <row r="99" spans="4:13" ht="15" x14ac:dyDescent="0.25">
      <c r="D99" s="299"/>
      <c r="E99" s="299"/>
      <c r="F99" s="300"/>
      <c r="G99" s="301"/>
      <c r="H99" s="301"/>
      <c r="I99" s="301"/>
      <c r="J99" s="302"/>
      <c r="K99" s="313"/>
      <c r="L99" s="313"/>
      <c r="M99" s="292"/>
    </row>
    <row r="100" spans="4:13" ht="15" x14ac:dyDescent="0.25">
      <c r="D100" s="299"/>
      <c r="E100" s="299"/>
      <c r="F100" s="300"/>
      <c r="G100" s="301"/>
      <c r="H100" s="301"/>
      <c r="I100" s="301"/>
      <c r="J100" s="302"/>
      <c r="K100" s="313"/>
      <c r="L100" s="313"/>
      <c r="M100" s="292"/>
    </row>
    <row r="101" spans="4:13" ht="15" x14ac:dyDescent="0.25">
      <c r="D101" s="299"/>
      <c r="E101" s="299"/>
      <c r="F101" s="300"/>
      <c r="G101" s="301"/>
      <c r="H101" s="301"/>
      <c r="I101" s="301"/>
      <c r="J101" s="302"/>
      <c r="K101" s="313"/>
      <c r="L101" s="313"/>
      <c r="M101" s="292"/>
    </row>
    <row r="102" spans="4:13" ht="15" x14ac:dyDescent="0.25">
      <c r="D102" s="299"/>
      <c r="E102" s="299"/>
      <c r="F102" s="300"/>
      <c r="G102" s="301"/>
      <c r="H102" s="301"/>
      <c r="I102" s="301"/>
      <c r="J102" s="302"/>
      <c r="K102" s="313"/>
      <c r="L102" s="313"/>
      <c r="M102" s="292"/>
    </row>
    <row r="103" spans="4:13" ht="15" x14ac:dyDescent="0.25">
      <c r="D103" s="299"/>
      <c r="E103" s="299"/>
      <c r="F103" s="300"/>
      <c r="G103" s="301"/>
      <c r="H103" s="301"/>
      <c r="I103" s="301"/>
      <c r="J103" s="302"/>
      <c r="K103" s="313"/>
      <c r="L103" s="313"/>
      <c r="M103" s="292"/>
    </row>
    <row r="104" spans="4:13" ht="15" x14ac:dyDescent="0.25">
      <c r="D104" s="299"/>
      <c r="E104" s="299"/>
      <c r="F104" s="300"/>
      <c r="G104" s="301"/>
      <c r="H104" s="301"/>
      <c r="I104" s="301"/>
      <c r="J104" s="302"/>
      <c r="K104" s="313"/>
      <c r="L104" s="313"/>
      <c r="M104" s="292"/>
    </row>
    <row r="105" spans="4:13" ht="15" x14ac:dyDescent="0.25">
      <c r="D105" s="299"/>
      <c r="E105" s="299"/>
      <c r="F105" s="300"/>
      <c r="G105" s="301"/>
      <c r="H105" s="301"/>
      <c r="I105" s="301"/>
      <c r="J105" s="302"/>
      <c r="K105" s="313"/>
      <c r="L105" s="313"/>
      <c r="M105" s="292"/>
    </row>
    <row r="106" spans="4:13" ht="15" x14ac:dyDescent="0.25">
      <c r="D106" s="299"/>
      <c r="E106" s="299"/>
      <c r="F106" s="300"/>
      <c r="G106" s="301"/>
      <c r="H106" s="301"/>
      <c r="I106" s="301"/>
      <c r="J106" s="302"/>
      <c r="K106" s="313"/>
      <c r="L106" s="313"/>
      <c r="M106" s="292"/>
    </row>
    <row r="107" spans="4:13" ht="15" x14ac:dyDescent="0.25">
      <c r="D107" s="299"/>
      <c r="E107" s="299"/>
      <c r="F107" s="300"/>
      <c r="G107" s="301"/>
      <c r="H107" s="301"/>
      <c r="I107" s="301"/>
      <c r="J107" s="302"/>
      <c r="K107" s="313"/>
      <c r="L107" s="313"/>
      <c r="M107" s="292"/>
    </row>
    <row r="108" spans="4:13" ht="15" x14ac:dyDescent="0.25">
      <c r="D108" s="299"/>
      <c r="E108" s="299"/>
      <c r="F108" s="300"/>
      <c r="G108" s="301"/>
      <c r="H108" s="301"/>
      <c r="I108" s="301"/>
      <c r="J108" s="302"/>
      <c r="K108" s="313"/>
      <c r="L108" s="313"/>
      <c r="M108" s="292"/>
    </row>
    <row r="109" spans="4:13" ht="15" x14ac:dyDescent="0.25">
      <c r="D109" s="299"/>
      <c r="E109" s="299"/>
      <c r="F109" s="300"/>
      <c r="G109" s="301"/>
      <c r="H109" s="301"/>
      <c r="I109" s="301"/>
      <c r="J109" s="302"/>
      <c r="K109" s="313"/>
      <c r="L109" s="313"/>
      <c r="M109" s="292"/>
    </row>
    <row r="110" spans="4:13" ht="15" x14ac:dyDescent="0.25">
      <c r="D110" s="299"/>
      <c r="E110" s="299"/>
      <c r="F110" s="300"/>
      <c r="G110" s="301"/>
      <c r="H110" s="301"/>
      <c r="I110" s="301"/>
      <c r="J110" s="302"/>
      <c r="K110" s="313"/>
      <c r="L110" s="313"/>
      <c r="M110" s="292"/>
    </row>
    <row r="111" spans="4:13" ht="15" x14ac:dyDescent="0.25">
      <c r="D111" s="299"/>
      <c r="E111" s="299"/>
      <c r="F111" s="300"/>
      <c r="G111" s="301"/>
      <c r="H111" s="301"/>
      <c r="I111" s="301"/>
      <c r="J111" s="302"/>
      <c r="K111" s="313"/>
      <c r="L111" s="313"/>
      <c r="M111" s="292"/>
    </row>
    <row r="112" spans="4:13" ht="15" x14ac:dyDescent="0.25">
      <c r="D112" s="299"/>
      <c r="E112" s="299"/>
      <c r="F112" s="300"/>
      <c r="G112" s="301"/>
      <c r="H112" s="301"/>
      <c r="I112" s="301"/>
      <c r="J112" s="302"/>
      <c r="K112" s="313"/>
      <c r="L112" s="313"/>
      <c r="M112" s="292"/>
    </row>
    <row r="113" spans="4:13" ht="15" x14ac:dyDescent="0.25">
      <c r="D113" s="299"/>
      <c r="E113" s="299"/>
      <c r="F113" s="300"/>
      <c r="G113" s="301"/>
      <c r="H113" s="301"/>
      <c r="I113" s="301"/>
      <c r="J113" s="302"/>
      <c r="K113" s="313"/>
      <c r="L113" s="313"/>
      <c r="M113" s="292"/>
    </row>
    <row r="114" spans="4:13" ht="15" x14ac:dyDescent="0.25">
      <c r="D114" s="299"/>
      <c r="E114" s="299"/>
      <c r="F114" s="300"/>
      <c r="G114" s="301"/>
      <c r="H114" s="301"/>
      <c r="I114" s="301"/>
      <c r="J114" s="302"/>
      <c r="K114" s="313"/>
      <c r="L114" s="313"/>
      <c r="M114" s="292"/>
    </row>
    <row r="115" spans="4:13" ht="15" x14ac:dyDescent="0.25">
      <c r="D115" s="299"/>
      <c r="E115" s="299"/>
      <c r="F115" s="300"/>
      <c r="G115" s="301"/>
      <c r="H115" s="301"/>
      <c r="I115" s="301"/>
      <c r="J115" s="302"/>
      <c r="K115" s="313"/>
      <c r="L115" s="313"/>
      <c r="M115" s="292"/>
    </row>
    <row r="116" spans="4:13" ht="15" x14ac:dyDescent="0.25">
      <c r="D116" s="299"/>
      <c r="E116" s="299"/>
      <c r="F116" s="300"/>
      <c r="G116" s="301"/>
      <c r="H116" s="301"/>
      <c r="I116" s="301"/>
      <c r="J116" s="302"/>
      <c r="K116" s="313"/>
      <c r="L116" s="313"/>
      <c r="M116" s="292"/>
    </row>
    <row r="117" spans="4:13" ht="15" x14ac:dyDescent="0.25">
      <c r="D117" s="299"/>
      <c r="E117" s="299"/>
      <c r="F117" s="300"/>
      <c r="G117" s="301"/>
      <c r="H117" s="301"/>
      <c r="I117" s="301"/>
      <c r="J117" s="302"/>
      <c r="K117" s="313"/>
      <c r="L117" s="313"/>
      <c r="M117" s="292"/>
    </row>
    <row r="118" spans="4:13" ht="15" x14ac:dyDescent="0.25">
      <c r="D118" s="299"/>
      <c r="E118" s="299"/>
      <c r="F118" s="300"/>
      <c r="G118" s="301"/>
      <c r="H118" s="301"/>
      <c r="I118" s="301"/>
      <c r="J118" s="302"/>
      <c r="K118" s="313"/>
      <c r="L118" s="313"/>
      <c r="M118" s="292"/>
    </row>
    <row r="119" spans="4:13" ht="15" x14ac:dyDescent="0.25">
      <c r="D119" s="299"/>
      <c r="E119" s="299"/>
      <c r="F119" s="300"/>
      <c r="G119" s="301"/>
      <c r="H119" s="301"/>
      <c r="I119" s="301"/>
      <c r="J119" s="302"/>
      <c r="K119" s="313"/>
      <c r="L119" s="313"/>
      <c r="M119" s="292"/>
    </row>
    <row r="120" spans="4:13" ht="15" x14ac:dyDescent="0.25">
      <c r="D120" s="299"/>
      <c r="E120" s="299"/>
      <c r="F120" s="300"/>
      <c r="G120" s="301"/>
      <c r="H120" s="301"/>
      <c r="I120" s="301"/>
      <c r="J120" s="302"/>
      <c r="K120" s="313"/>
      <c r="L120" s="313"/>
      <c r="M120" s="292"/>
    </row>
    <row r="121" spans="4:13" ht="15" x14ac:dyDescent="0.25">
      <c r="D121" s="299"/>
      <c r="E121" s="299"/>
      <c r="F121" s="300"/>
      <c r="G121" s="301"/>
      <c r="H121" s="301"/>
      <c r="I121" s="301"/>
      <c r="J121" s="302"/>
      <c r="K121" s="313"/>
      <c r="L121" s="313"/>
      <c r="M121" s="292"/>
    </row>
    <row r="122" spans="4:13" ht="15" x14ac:dyDescent="0.25">
      <c r="D122" s="299"/>
      <c r="E122" s="299"/>
      <c r="F122" s="300"/>
      <c r="G122" s="301"/>
      <c r="H122" s="301"/>
      <c r="I122" s="301"/>
      <c r="J122" s="302"/>
      <c r="K122" s="313"/>
      <c r="L122" s="313"/>
      <c r="M122" s="292"/>
    </row>
    <row r="123" spans="4:13" ht="15" x14ac:dyDescent="0.25">
      <c r="D123" s="299"/>
      <c r="E123" s="299"/>
      <c r="F123" s="300"/>
      <c r="G123" s="301"/>
      <c r="H123" s="301"/>
      <c r="I123" s="301"/>
      <c r="J123" s="302"/>
      <c r="K123" s="313"/>
      <c r="L123" s="313"/>
      <c r="M123" s="292"/>
    </row>
    <row r="124" spans="4:13" ht="15" x14ac:dyDescent="0.25">
      <c r="D124" s="299"/>
      <c r="E124" s="299"/>
      <c r="F124" s="300"/>
      <c r="G124" s="301"/>
      <c r="H124" s="301"/>
      <c r="I124" s="301"/>
      <c r="J124" s="302"/>
      <c r="K124" s="313"/>
      <c r="L124" s="313"/>
      <c r="M124" s="292"/>
    </row>
    <row r="125" spans="4:13" ht="15" x14ac:dyDescent="0.25">
      <c r="D125" s="299"/>
      <c r="E125" s="299"/>
      <c r="F125" s="300"/>
      <c r="G125" s="301"/>
      <c r="H125" s="301"/>
      <c r="I125" s="301"/>
      <c r="J125" s="302"/>
      <c r="K125" s="313"/>
      <c r="L125" s="313"/>
      <c r="M125" s="292"/>
    </row>
    <row r="126" spans="4:13" ht="15" x14ac:dyDescent="0.25">
      <c r="D126" s="299"/>
      <c r="E126" s="299"/>
      <c r="F126" s="300"/>
      <c r="G126" s="301"/>
      <c r="H126" s="301"/>
      <c r="I126" s="301"/>
      <c r="J126" s="302"/>
      <c r="K126" s="313"/>
      <c r="L126" s="313"/>
      <c r="M126" s="292"/>
    </row>
    <row r="127" spans="4:13" ht="15" x14ac:dyDescent="0.25">
      <c r="D127" s="299"/>
      <c r="E127" s="299"/>
      <c r="F127" s="300"/>
      <c r="G127" s="301"/>
      <c r="H127" s="301"/>
      <c r="I127" s="301"/>
      <c r="J127" s="302"/>
      <c r="K127" s="313"/>
      <c r="L127" s="313"/>
      <c r="M127" s="292"/>
    </row>
    <row r="128" spans="4:13" ht="15" x14ac:dyDescent="0.25">
      <c r="D128" s="299"/>
      <c r="E128" s="299"/>
      <c r="F128" s="300"/>
      <c r="G128" s="301"/>
      <c r="H128" s="301"/>
      <c r="I128" s="301"/>
      <c r="J128" s="302"/>
      <c r="K128" s="313"/>
      <c r="L128" s="313"/>
      <c r="M128" s="292"/>
    </row>
    <row r="129" spans="4:13" ht="15" x14ac:dyDescent="0.25">
      <c r="D129" s="299"/>
      <c r="E129" s="299"/>
      <c r="F129" s="300"/>
      <c r="G129" s="301"/>
      <c r="H129" s="301"/>
      <c r="I129" s="301"/>
      <c r="J129" s="302"/>
      <c r="K129" s="313"/>
      <c r="L129" s="313"/>
      <c r="M129" s="292"/>
    </row>
    <row r="130" spans="4:13" ht="15" x14ac:dyDescent="0.25">
      <c r="D130" s="299"/>
      <c r="E130" s="299"/>
      <c r="F130" s="300"/>
      <c r="G130" s="301"/>
      <c r="H130" s="301"/>
      <c r="I130" s="301"/>
      <c r="J130" s="302"/>
      <c r="K130" s="313"/>
      <c r="L130" s="313"/>
      <c r="M130" s="292"/>
    </row>
    <row r="131" spans="4:13" ht="15" x14ac:dyDescent="0.25">
      <c r="D131" s="299"/>
      <c r="E131" s="299"/>
      <c r="F131" s="300"/>
      <c r="G131" s="301"/>
      <c r="H131" s="301"/>
      <c r="I131" s="301"/>
      <c r="J131" s="302"/>
      <c r="K131" s="313"/>
      <c r="L131" s="313"/>
      <c r="M131" s="292"/>
    </row>
    <row r="132" spans="4:13" ht="15" x14ac:dyDescent="0.25">
      <c r="D132" s="299"/>
      <c r="E132" s="299"/>
      <c r="F132" s="300"/>
      <c r="G132" s="301"/>
      <c r="H132" s="301"/>
      <c r="I132" s="301"/>
      <c r="J132" s="302"/>
      <c r="K132" s="313"/>
      <c r="L132" s="313"/>
      <c r="M132" s="292"/>
    </row>
    <row r="133" spans="4:13" ht="15" x14ac:dyDescent="0.25">
      <c r="D133" s="299"/>
      <c r="E133" s="299"/>
      <c r="F133" s="300"/>
      <c r="G133" s="301"/>
      <c r="H133" s="301"/>
      <c r="I133" s="301"/>
      <c r="J133" s="302"/>
      <c r="K133" s="313"/>
      <c r="L133" s="313"/>
      <c r="M133" s="292"/>
    </row>
    <row r="134" spans="4:13" ht="15" x14ac:dyDescent="0.25">
      <c r="D134" s="299"/>
      <c r="E134" s="299"/>
      <c r="F134" s="300"/>
      <c r="G134" s="301"/>
      <c r="H134" s="301"/>
      <c r="I134" s="301"/>
      <c r="J134" s="302"/>
      <c r="K134" s="313"/>
      <c r="L134" s="313"/>
      <c r="M134" s="292"/>
    </row>
    <row r="135" spans="4:13" ht="15" x14ac:dyDescent="0.25">
      <c r="D135" s="299"/>
      <c r="E135" s="299"/>
      <c r="F135" s="300"/>
      <c r="G135" s="301"/>
      <c r="H135" s="301"/>
      <c r="I135" s="301"/>
      <c r="J135" s="302"/>
      <c r="K135" s="313"/>
      <c r="L135" s="313"/>
      <c r="M135" s="292"/>
    </row>
    <row r="136" spans="4:13" ht="15" x14ac:dyDescent="0.25">
      <c r="D136" s="299"/>
      <c r="E136" s="299"/>
      <c r="F136" s="300"/>
      <c r="G136" s="301"/>
      <c r="H136" s="301"/>
      <c r="I136" s="301"/>
      <c r="J136" s="302"/>
      <c r="K136" s="313"/>
      <c r="L136" s="313"/>
      <c r="M136" s="292"/>
    </row>
    <row r="137" spans="4:13" ht="15" x14ac:dyDescent="0.25">
      <c r="D137" s="299"/>
      <c r="E137" s="299"/>
      <c r="F137" s="300"/>
      <c r="G137" s="301"/>
      <c r="H137" s="301"/>
      <c r="I137" s="301"/>
      <c r="J137" s="302"/>
      <c r="K137" s="313"/>
      <c r="L137" s="313"/>
      <c r="M137" s="292"/>
    </row>
    <row r="138" spans="4:13" ht="15" x14ac:dyDescent="0.25">
      <c r="D138" s="299"/>
      <c r="E138" s="299"/>
      <c r="F138" s="300"/>
      <c r="G138" s="301"/>
      <c r="H138" s="301"/>
      <c r="I138" s="301"/>
      <c r="J138" s="302"/>
      <c r="K138" s="313"/>
      <c r="L138" s="313"/>
      <c r="M138" s="292"/>
    </row>
    <row r="139" spans="4:13" ht="15" x14ac:dyDescent="0.25">
      <c r="D139" s="299"/>
      <c r="E139" s="299"/>
      <c r="F139" s="300"/>
      <c r="G139" s="301"/>
      <c r="H139" s="301"/>
      <c r="I139" s="301"/>
      <c r="J139" s="302"/>
      <c r="K139" s="313"/>
      <c r="L139" s="313"/>
      <c r="M139" s="292"/>
    </row>
  </sheetData>
  <sheetProtection formatCells="0" formatColumns="0" formatRows="0" selectLockedCells="1"/>
  <mergeCells count="15">
    <mergeCell ref="Q2:U2"/>
    <mergeCell ref="E3:G3"/>
    <mergeCell ref="B5:C5"/>
    <mergeCell ref="B6:C6"/>
    <mergeCell ref="H3:H8"/>
    <mergeCell ref="B7:C7"/>
    <mergeCell ref="N2:O2"/>
    <mergeCell ref="A2:B2"/>
    <mergeCell ref="D2:G2"/>
    <mergeCell ref="E4:G8"/>
    <mergeCell ref="I3:I8"/>
    <mergeCell ref="J3:J8"/>
    <mergeCell ref="A8:C8"/>
    <mergeCell ref="D4:D8"/>
    <mergeCell ref="K3:L8"/>
  </mergeCells>
  <conditionalFormatting sqref="C10">
    <cfRule type="duplicateValues" dxfId="23" priority="1"/>
    <cfRule type="duplicateValues" dxfId="22" priority="2"/>
  </conditionalFormatting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>
    <tabColor indexed="26"/>
    <pageSetUpPr fitToPage="1"/>
  </sheetPr>
  <dimension ref="A1:AT59"/>
  <sheetViews>
    <sheetView showGridLines="0" topLeftCell="A5" zoomScale="117" zoomScaleNormal="117" workbookViewId="0">
      <selection activeCell="H22" sqref="H22:I22"/>
    </sheetView>
  </sheetViews>
  <sheetFormatPr defaultColWidth="9.140625" defaultRowHeight="12.75" x14ac:dyDescent="0.2"/>
  <cols>
    <col min="1" max="1" width="10" style="50" customWidth="1"/>
    <col min="2" max="4" width="9.140625" style="50" customWidth="1"/>
    <col min="5" max="5" width="14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16.85546875" style="50" bestFit="1" customWidth="1"/>
    <col min="10" max="12" width="9.140625" style="50" customWidth="1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25.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5.75" x14ac:dyDescent="0.25">
      <c r="A9" s="35"/>
      <c r="B9" s="739" t="s">
        <v>73</v>
      </c>
      <c r="C9" s="739"/>
      <c r="D9" s="739"/>
      <c r="E9" s="739"/>
      <c r="F9" s="739"/>
      <c r="G9" s="739"/>
      <c r="H9" s="739"/>
      <c r="I9" s="739"/>
    </row>
    <row r="10" spans="1:46" s="12" customFormat="1" ht="12.75" customHeight="1" x14ac:dyDescent="0.2">
      <c r="A10" s="744" t="s">
        <v>74</v>
      </c>
      <c r="B10" s="744"/>
      <c r="C10" s="446"/>
      <c r="D10" s="744" t="s">
        <v>75</v>
      </c>
      <c r="E10" s="744"/>
      <c r="F10" s="445" t="s">
        <v>76</v>
      </c>
      <c r="G10" s="486" t="s">
        <v>77</v>
      </c>
      <c r="H10" s="445" t="s">
        <v>78</v>
      </c>
      <c r="I10" s="445" t="s">
        <v>79</v>
      </c>
    </row>
    <row r="11" spans="1:46" s="12" customFormat="1" ht="12.75" customHeight="1" x14ac:dyDescent="0.2">
      <c r="A11" s="488" t="str">
        <f>'BASE C'!B3</f>
        <v>2024/0008460</v>
      </c>
      <c r="B11" s="487"/>
      <c r="C11" s="183"/>
      <c r="D11" s="745"/>
      <c r="E11" s="745"/>
      <c r="F11" s="184">
        <f>'EMPRESA C'!G16</f>
        <v>0</v>
      </c>
      <c r="G11" s="184">
        <f>'EMPRESA C'!H16+'EMPRESA C'!I16+'EMPRESA C'!J16+'EMPRESA C'!K16+'EMPRESA C'!L16+'EMPRESA C'!M16</f>
        <v>38</v>
      </c>
      <c r="H11" s="185" t="str">
        <f>'BASE C'!E4</f>
        <v>ABRIL</v>
      </c>
      <c r="I11" s="186" t="str">
        <f>'BASE C'!D2</f>
        <v>BUTANTÃ</v>
      </c>
    </row>
    <row r="12" spans="1:46" s="12" customFormat="1" ht="12.75" customHeight="1" x14ac:dyDescent="0.2">
      <c r="A12" s="746" t="s">
        <v>80</v>
      </c>
      <c r="B12" s="746"/>
      <c r="C12" s="746"/>
      <c r="D12" s="746"/>
      <c r="E12" s="746"/>
      <c r="F12" s="735" t="s">
        <v>81</v>
      </c>
      <c r="G12" s="735"/>
      <c r="H12" s="735" t="s">
        <v>6</v>
      </c>
      <c r="I12" s="735"/>
    </row>
    <row r="13" spans="1:46" s="12" customFormat="1" ht="12.75" customHeight="1" x14ac:dyDescent="0.2">
      <c r="A13" s="747" t="str">
        <f>'BASE C'!D4</f>
        <v>JACYARA DOS SANTOS SILVA</v>
      </c>
      <c r="B13" s="748"/>
      <c r="C13" s="748"/>
      <c r="D13" s="748"/>
      <c r="E13" s="749"/>
      <c r="F13" s="756" t="str">
        <f>VLOOKUP(A11,ProcRel1!E2:G5000,3,FALSE)</f>
        <v>284.997.118-98</v>
      </c>
      <c r="G13" s="756"/>
      <c r="H13" s="399" t="str">
        <f>'BASE C'!B4</f>
        <v>01/04/2026</v>
      </c>
      <c r="I13" s="399" t="str">
        <f>'BASE C'!C4</f>
        <v>30/04/2026</v>
      </c>
    </row>
    <row r="14" spans="1:46" s="12" customFormat="1" ht="12.75" customHeight="1" x14ac:dyDescent="0.2">
      <c r="A14" s="750"/>
      <c r="B14" s="751"/>
      <c r="C14" s="751"/>
      <c r="D14" s="751"/>
      <c r="E14" s="752"/>
      <c r="F14" s="735" t="s">
        <v>82</v>
      </c>
      <c r="G14" s="735"/>
      <c r="H14" s="735" t="s">
        <v>83</v>
      </c>
      <c r="I14" s="735"/>
    </row>
    <row r="15" spans="1:46" s="12" customFormat="1" ht="12.75" customHeight="1" x14ac:dyDescent="0.2">
      <c r="A15" s="753"/>
      <c r="B15" s="754"/>
      <c r="C15" s="754"/>
      <c r="D15" s="754"/>
      <c r="E15" s="755"/>
      <c r="F15" s="733" t="str">
        <f>VLOOKUP(A11,'APONTAMENTO CREDENCIAMENTO'!D1:EL3992,12,FALSE)</f>
        <v>6020.2024/0008460-5</v>
      </c>
      <c r="G15" s="733"/>
      <c r="H15" s="734">
        <f>'VALORES TABELA'!B37</f>
        <v>46171</v>
      </c>
      <c r="I15" s="734"/>
    </row>
    <row r="16" spans="1:46" s="12" customFormat="1" ht="9.9499999999999993" customHeight="1" x14ac:dyDescent="0.2">
      <c r="A16" s="187"/>
      <c r="B16" s="187"/>
      <c r="C16" s="187"/>
      <c r="D16" s="187"/>
      <c r="E16" s="187"/>
      <c r="F16" s="187"/>
      <c r="G16" s="187"/>
      <c r="H16" s="187"/>
      <c r="I16" s="187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x14ac:dyDescent="0.2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35" t="s">
        <v>85</v>
      </c>
      <c r="B19" s="735"/>
      <c r="C19" s="735"/>
      <c r="D19" s="735"/>
      <c r="E19" s="735"/>
      <c r="F19" s="735"/>
      <c r="G19" s="735"/>
      <c r="H19" s="735" t="s">
        <v>86</v>
      </c>
      <c r="I19" s="735"/>
    </row>
    <row r="20" spans="1:13" s="12" customFormat="1" ht="15" customHeight="1" x14ac:dyDescent="0.2">
      <c r="A20" s="489" t="s">
        <v>87</v>
      </c>
      <c r="B20" s="732" t="str">
        <f>'EMPRESA C'!N13</f>
        <v>Contratos Especiais (Valor fixo)</v>
      </c>
      <c r="C20" s="726"/>
      <c r="D20" s="726"/>
      <c r="E20" s="726"/>
      <c r="F20" s="726"/>
      <c r="G20" s="726"/>
      <c r="H20" s="727">
        <f>'EMPRESA C'!N16</f>
        <v>0</v>
      </c>
      <c r="I20" s="727"/>
    </row>
    <row r="21" spans="1:13" s="12" customFormat="1" ht="15" customHeight="1" x14ac:dyDescent="0.2">
      <c r="A21" s="489" t="s">
        <v>88</v>
      </c>
      <c r="B21" s="732" t="str">
        <f>'EMPRESA C'!O13</f>
        <v>Valor total alunos presenciais (30 dias)</v>
      </c>
      <c r="C21" s="726"/>
      <c r="D21" s="726"/>
      <c r="E21" s="726"/>
      <c r="F21" s="726"/>
      <c r="G21" s="726"/>
      <c r="H21" s="727">
        <f>'EMPRESA C'!O16</f>
        <v>15582.35</v>
      </c>
      <c r="I21" s="727"/>
    </row>
    <row r="22" spans="1:13" s="12" customFormat="1" ht="15" customHeight="1" x14ac:dyDescent="0.2">
      <c r="A22" s="489" t="s">
        <v>89</v>
      </c>
      <c r="B22" s="188" t="str">
        <f>'EMPRESA C'!P13</f>
        <v>Ativ.Complementar Continuada</v>
      </c>
      <c r="C22" s="189"/>
      <c r="D22" s="189"/>
      <c r="E22" s="189"/>
      <c r="F22" s="190"/>
      <c r="G22" s="191"/>
      <c r="H22" s="714">
        <f>'EMPRESA C'!P16</f>
        <v>269.92</v>
      </c>
      <c r="I22" s="715"/>
      <c r="K22" s="55"/>
    </row>
    <row r="23" spans="1:13" s="12" customFormat="1" ht="15" customHeight="1" x14ac:dyDescent="0.2">
      <c r="A23" s="490" t="s">
        <v>90</v>
      </c>
      <c r="B23" s="188" t="str">
        <f>'APONTAMENTO CREDENCIAMENTO'!EZ4</f>
        <v>Valor alunos presenciais (menos de 30 dias)</v>
      </c>
      <c r="C23" s="189"/>
      <c r="D23" s="189"/>
      <c r="E23" s="189"/>
      <c r="F23" s="190"/>
      <c r="G23" s="191"/>
      <c r="H23" s="714">
        <f>'EMPRESA C'!Q16</f>
        <v>179.774</v>
      </c>
      <c r="I23" s="715"/>
      <c r="K23" s="55"/>
    </row>
    <row r="24" spans="1:13" s="12" customFormat="1" ht="15" customHeight="1" x14ac:dyDescent="0.2">
      <c r="A24" s="489" t="s">
        <v>91</v>
      </c>
      <c r="B24" s="188" t="str">
        <f>'EMPRESA C'!R13</f>
        <v>Saida de alunos ao longo do mês</v>
      </c>
      <c r="C24" s="189"/>
      <c r="D24" s="189"/>
      <c r="E24" s="189"/>
      <c r="F24" s="190"/>
      <c r="G24" s="191"/>
      <c r="H24" s="714">
        <f>'EMPRESA C'!R16</f>
        <v>0</v>
      </c>
      <c r="I24" s="715"/>
      <c r="K24" s="55"/>
    </row>
    <row r="25" spans="1:13" s="12" customFormat="1" ht="15" customHeight="1" x14ac:dyDescent="0.2">
      <c r="A25" s="489" t="s">
        <v>92</v>
      </c>
      <c r="B25" s="192" t="s">
        <v>60</v>
      </c>
      <c r="C25" s="189"/>
      <c r="D25" s="189"/>
      <c r="E25" s="189"/>
      <c r="F25" s="190"/>
      <c r="G25" s="191"/>
      <c r="H25" s="714">
        <f>'EMPRESA C'!S16</f>
        <v>0</v>
      </c>
      <c r="I25" s="715"/>
      <c r="K25" s="55"/>
    </row>
    <row r="26" spans="1:13" s="12" customFormat="1" ht="15" customHeight="1" x14ac:dyDescent="0.2">
      <c r="A26" s="489" t="s">
        <v>93</v>
      </c>
      <c r="B26" s="192" t="str">
        <f>'APONTAMENTO CREDENCIAMENTO'!FC4</f>
        <v xml:space="preserve">Valor km adicional
</v>
      </c>
      <c r="C26" s="189"/>
      <c r="D26" s="189"/>
      <c r="E26" s="189"/>
      <c r="F26" s="190"/>
      <c r="G26" s="193"/>
      <c r="H26" s="727">
        <f>'EMPRESA C'!T16</f>
        <v>0</v>
      </c>
      <c r="I26" s="727"/>
      <c r="K26" s="55"/>
    </row>
    <row r="27" spans="1:13" s="12" customFormat="1" ht="15" customHeight="1" x14ac:dyDescent="0.2">
      <c r="A27" s="490" t="s">
        <v>94</v>
      </c>
      <c r="B27" s="188" t="str">
        <f>'APONTAMENTO CREDENCIAMENTO'!EM4</f>
        <v>Ajuste positivo</v>
      </c>
      <c r="C27" s="189"/>
      <c r="D27" s="189"/>
      <c r="E27" s="189"/>
      <c r="F27" s="190"/>
      <c r="G27" s="193"/>
      <c r="H27" s="727">
        <f>'EMPRESA C'!U16</f>
        <v>0</v>
      </c>
      <c r="I27" s="727"/>
      <c r="K27" s="55"/>
    </row>
    <row r="28" spans="1:13" s="12" customFormat="1" ht="15" customHeight="1" x14ac:dyDescent="0.2">
      <c r="A28" s="489" t="s">
        <v>95</v>
      </c>
      <c r="B28" s="732" t="str">
        <f>'EMPRESA C'!V13</f>
        <v>Ajuste negativo</v>
      </c>
      <c r="C28" s="726"/>
      <c r="D28" s="726"/>
      <c r="E28" s="726"/>
      <c r="F28" s="726"/>
      <c r="G28" s="726"/>
      <c r="H28" s="727">
        <f>'EMPRESA C'!V16</f>
        <v>0</v>
      </c>
      <c r="I28" s="727"/>
    </row>
    <row r="29" spans="1:13" s="12" customFormat="1" ht="15" customHeight="1" x14ac:dyDescent="0.2">
      <c r="A29" s="489" t="s">
        <v>96</v>
      </c>
      <c r="B29" s="188" t="str">
        <f>'EMPRESA C'!W13</f>
        <v>Desconto faltas</v>
      </c>
      <c r="C29" s="189"/>
      <c r="D29" s="189"/>
      <c r="E29" s="189"/>
      <c r="F29" s="190"/>
      <c r="G29" s="193"/>
      <c r="H29" s="714">
        <f>'EMPRESA C'!W16</f>
        <v>0</v>
      </c>
      <c r="I29" s="715"/>
      <c r="K29" s="55"/>
    </row>
    <row r="30" spans="1:13" s="12" customFormat="1" ht="15" customHeight="1" x14ac:dyDescent="0.2">
      <c r="A30" s="489" t="s">
        <v>97</v>
      </c>
      <c r="B30" s="732" t="str">
        <f>'APONTAMENTO CREDENCIAMENTO'!FD4</f>
        <v>Outros apontamentos</v>
      </c>
      <c r="C30" s="726"/>
      <c r="D30" s="726"/>
      <c r="E30" s="726"/>
      <c r="F30" s="726"/>
      <c r="G30" s="726"/>
      <c r="H30" s="727">
        <f>'EMPRESA C'!X16</f>
        <v>0</v>
      </c>
      <c r="I30" s="727"/>
      <c r="M30" s="55"/>
    </row>
    <row r="31" spans="1:13" s="12" customFormat="1" ht="15" customHeight="1" x14ac:dyDescent="0.2">
      <c r="A31" s="489" t="s">
        <v>98</v>
      </c>
      <c r="B31" s="726" t="s">
        <v>99</v>
      </c>
      <c r="C31" s="726"/>
      <c r="D31" s="726"/>
      <c r="E31" s="726"/>
      <c r="F31" s="726"/>
      <c r="G31" s="726"/>
      <c r="H31" s="727">
        <f>'EMPRESA C'!Y16</f>
        <v>0</v>
      </c>
      <c r="I31" s="727"/>
      <c r="M31" s="55"/>
    </row>
    <row r="32" spans="1:13" s="12" customFormat="1" ht="15" customHeight="1" x14ac:dyDescent="0.2">
      <c r="A32" s="489" t="s">
        <v>100</v>
      </c>
      <c r="B32" s="730" t="s">
        <v>101</v>
      </c>
      <c r="C32" s="730"/>
      <c r="D32" s="730"/>
      <c r="E32" s="730"/>
      <c r="F32" s="730"/>
      <c r="G32" s="730"/>
      <c r="H32" s="731">
        <f>'EMPRESA C'!Z16</f>
        <v>16032.044</v>
      </c>
      <c r="I32" s="731"/>
      <c r="L32" s="55"/>
    </row>
    <row r="33" spans="1:12" s="12" customFormat="1" ht="15" customHeight="1" x14ac:dyDescent="0.2">
      <c r="A33" s="489" t="s">
        <v>102</v>
      </c>
      <c r="B33" s="726" t="s">
        <v>103</v>
      </c>
      <c r="C33" s="726"/>
      <c r="D33" s="726"/>
      <c r="E33" s="726"/>
      <c r="F33" s="726"/>
      <c r="G33" s="726"/>
      <c r="H33" s="727">
        <f>'EMPRESA C'!AB16</f>
        <v>0</v>
      </c>
      <c r="I33" s="727"/>
    </row>
    <row r="34" spans="1:12" s="12" customFormat="1" x14ac:dyDescent="0.2">
      <c r="A34" s="489" t="s">
        <v>104</v>
      </c>
      <c r="B34" s="728" t="s">
        <v>105</v>
      </c>
      <c r="C34" s="728"/>
      <c r="D34" s="728"/>
      <c r="E34" s="728"/>
      <c r="F34" s="728"/>
      <c r="G34" s="728"/>
      <c r="H34" s="729">
        <f>H32-H33</f>
        <v>16032.044</v>
      </c>
      <c r="I34" s="729"/>
    </row>
    <row r="35" spans="1:12" s="12" customFormat="1" x14ac:dyDescent="0.2">
      <c r="A35" s="716" t="s">
        <v>106</v>
      </c>
      <c r="B35" s="717">
        <f>VLOOKUP(A11,'APONTAMENTO CREDENCIAMENTO'!D1:EL3992,138,FALSE)</f>
        <v>0</v>
      </c>
      <c r="C35" s="717"/>
      <c r="D35" s="717"/>
      <c r="E35" s="717"/>
      <c r="F35" s="717"/>
      <c r="G35" s="717"/>
      <c r="H35" s="717"/>
      <c r="I35" s="717"/>
    </row>
    <row r="36" spans="1:12" s="12" customFormat="1" x14ac:dyDescent="0.2">
      <c r="A36" s="716"/>
      <c r="B36" s="717"/>
      <c r="C36" s="717"/>
      <c r="D36" s="717"/>
      <c r="E36" s="717"/>
      <c r="F36" s="717"/>
      <c r="G36" s="717"/>
      <c r="H36" s="717"/>
      <c r="I36" s="717"/>
    </row>
    <row r="37" spans="1:12" s="12" customFormat="1" ht="20.100000000000001" customHeight="1" x14ac:dyDescent="0.2">
      <c r="A37" s="716" t="s">
        <v>107</v>
      </c>
      <c r="B37" s="718">
        <f>VLOOKUP(A11,'APONTAMENTO CREDENCIAMENTO'!D1:EL3992,139,FALSE)</f>
        <v>0</v>
      </c>
      <c r="C37" s="719"/>
      <c r="D37" s="719"/>
      <c r="E37" s="719"/>
      <c r="F37" s="719"/>
      <c r="G37" s="719"/>
      <c r="H37" s="719"/>
      <c r="I37" s="720"/>
    </row>
    <row r="38" spans="1:12" s="12" customFormat="1" ht="20.100000000000001" customHeight="1" x14ac:dyDescent="0.2">
      <c r="A38" s="716"/>
      <c r="B38" s="721"/>
      <c r="C38" s="722"/>
      <c r="D38" s="722"/>
      <c r="E38" s="722"/>
      <c r="F38" s="722"/>
      <c r="G38" s="722"/>
      <c r="H38" s="722"/>
      <c r="I38" s="723"/>
    </row>
    <row r="39" spans="1:12" s="12" customFormat="1" ht="20.100000000000001" customHeight="1" x14ac:dyDescent="0.2">
      <c r="A39" s="35"/>
      <c r="B39" s="724" t="s">
        <v>108</v>
      </c>
      <c r="C39" s="724"/>
      <c r="D39" s="724"/>
      <c r="E39" s="724"/>
      <c r="F39" s="724"/>
      <c r="G39" s="724"/>
      <c r="H39" s="724"/>
      <c r="I39" s="724"/>
    </row>
    <row r="40" spans="1:12" s="12" customFormat="1" x14ac:dyDescent="0.2">
      <c r="A40" s="35"/>
      <c r="B40" s="724"/>
      <c r="C40" s="724"/>
      <c r="D40" s="724"/>
      <c r="E40" s="724"/>
      <c r="F40" s="724"/>
      <c r="G40" s="724"/>
      <c r="H40" s="724"/>
      <c r="I40" s="724"/>
    </row>
    <row r="41" spans="1:12" s="12" customFormat="1" ht="12.75" customHeight="1" x14ac:dyDescent="0.2">
      <c r="A41" s="35"/>
      <c r="B41" s="724"/>
      <c r="C41" s="724"/>
      <c r="D41" s="724"/>
      <c r="E41" s="724"/>
      <c r="F41" s="724"/>
      <c r="G41" s="724"/>
      <c r="H41" s="724"/>
      <c r="I41" s="724"/>
    </row>
    <row r="42" spans="1:12" s="12" customFormat="1" ht="20.100000000000001" customHeight="1" x14ac:dyDescent="0.2">
      <c r="A42" s="35"/>
      <c r="B42" s="68"/>
      <c r="C42" s="68"/>
      <c r="D42" s="68"/>
      <c r="E42" s="68"/>
      <c r="F42" s="68"/>
      <c r="G42" s="68"/>
      <c r="H42" s="68"/>
      <c r="I42" s="68"/>
      <c r="L42"/>
    </row>
    <row r="43" spans="1:12" s="12" customFormat="1" x14ac:dyDescent="0.2">
      <c r="A43" s="35"/>
      <c r="B43" s="725" t="s">
        <v>109</v>
      </c>
      <c r="C43" s="725"/>
      <c r="D43" s="725"/>
      <c r="E43" s="725"/>
      <c r="F43" s="725"/>
      <c r="G43" s="725"/>
      <c r="H43" s="725"/>
      <c r="I43" s="725"/>
    </row>
    <row r="44" spans="1:12" s="12" customFormat="1" ht="20.100000000000001" customHeight="1" x14ac:dyDescent="0.2">
      <c r="A44" s="35"/>
      <c r="B44" s="112"/>
      <c r="C44" s="112"/>
      <c r="D44" s="112"/>
      <c r="E44" s="112"/>
      <c r="F44" s="112"/>
      <c r="G44" s="112"/>
      <c r="H44" s="112"/>
      <c r="I44" s="112"/>
    </row>
    <row r="45" spans="1:12" ht="15" customHeight="1" x14ac:dyDescent="0.2">
      <c r="A45" s="701" t="s">
        <v>110</v>
      </c>
      <c r="B45" s="702"/>
      <c r="C45" s="702"/>
      <c r="D45" s="702"/>
      <c r="E45" s="703"/>
      <c r="F45" s="703"/>
      <c r="G45" s="703"/>
      <c r="H45" s="703"/>
      <c r="I45" s="704"/>
    </row>
    <row r="46" spans="1:12" ht="12.75" customHeight="1" x14ac:dyDescent="0.2">
      <c r="A46" s="736" t="s">
        <v>154</v>
      </c>
      <c r="B46" s="737"/>
      <c r="C46" s="737"/>
      <c r="D46" s="737"/>
      <c r="E46" s="737"/>
      <c r="F46" s="737"/>
      <c r="G46" s="737"/>
      <c r="H46" s="737"/>
      <c r="I46" s="738"/>
    </row>
    <row r="47" spans="1:12" ht="12.75" customHeight="1" x14ac:dyDescent="0.2">
      <c r="A47" s="266" t="s">
        <v>155</v>
      </c>
      <c r="B47" s="69"/>
      <c r="C47" s="69"/>
      <c r="D47" s="69"/>
      <c r="E47" s="69"/>
      <c r="F47" s="69"/>
      <c r="G47" s="69"/>
      <c r="H47" s="69"/>
      <c r="I47" s="70"/>
    </row>
    <row r="48" spans="1:12" ht="12.75" customHeight="1" x14ac:dyDescent="0.2">
      <c r="A48" s="263" t="s">
        <v>156</v>
      </c>
      <c r="B48" s="72"/>
      <c r="C48" s="72"/>
      <c r="D48" s="72"/>
      <c r="E48" s="72"/>
      <c r="F48" s="72"/>
      <c r="G48" s="72"/>
      <c r="H48" s="72"/>
      <c r="I48" s="264"/>
    </row>
    <row r="49" spans="1:9" ht="12.75" customHeight="1" x14ac:dyDescent="0.2">
      <c r="A49" s="444" t="s">
        <v>313</v>
      </c>
      <c r="B49" s="72"/>
      <c r="C49" s="72"/>
      <c r="D49" s="72"/>
      <c r="E49" s="72"/>
      <c r="F49" s="72"/>
      <c r="G49" s="265">
        <f>$H$13+1-1</f>
        <v>46113</v>
      </c>
      <c r="H49" s="327"/>
      <c r="I49" s="77"/>
    </row>
    <row r="50" spans="1:9" ht="12.75" customHeight="1" x14ac:dyDescent="0.2">
      <c r="A50" s="491" t="s">
        <v>314</v>
      </c>
      <c r="B50" s="72"/>
      <c r="C50" s="72"/>
      <c r="D50" s="72"/>
      <c r="E50" s="72"/>
      <c r="F50" s="72"/>
      <c r="G50" s="72"/>
      <c r="H50" s="72"/>
      <c r="I50" s="76">
        <f>G49</f>
        <v>46113</v>
      </c>
    </row>
    <row r="51" spans="1:9" ht="12.75" customHeight="1" x14ac:dyDescent="0.2">
      <c r="A51" s="444" t="s">
        <v>315</v>
      </c>
      <c r="B51" s="72"/>
      <c r="C51" s="72"/>
      <c r="D51" s="72"/>
      <c r="E51" s="72"/>
      <c r="F51" s="72"/>
      <c r="G51" s="265">
        <f>G49</f>
        <v>46113</v>
      </c>
      <c r="H51" s="72"/>
      <c r="I51" s="77"/>
    </row>
    <row r="52" spans="1:9" ht="12.75" customHeight="1" x14ac:dyDescent="0.2">
      <c r="A52" s="444" t="s">
        <v>307</v>
      </c>
      <c r="B52" s="72"/>
      <c r="C52" s="72"/>
      <c r="D52" s="72"/>
      <c r="E52" s="72"/>
      <c r="F52" s="72"/>
      <c r="G52" s="72"/>
      <c r="H52" s="72"/>
      <c r="I52" s="77"/>
    </row>
    <row r="53" spans="1:9" ht="15.75" x14ac:dyDescent="0.2">
      <c r="A53" s="705" t="s">
        <v>111</v>
      </c>
      <c r="B53" s="706"/>
      <c r="C53" s="706"/>
      <c r="D53" s="706"/>
      <c r="E53" s="706"/>
      <c r="F53" s="706"/>
      <c r="G53" s="706"/>
      <c r="H53" s="706"/>
      <c r="I53" s="707"/>
    </row>
    <row r="54" spans="1:9" x14ac:dyDescent="0.2">
      <c r="A54" s="71"/>
      <c r="B54" s="72" t="s">
        <v>112</v>
      </c>
      <c r="C54" s="72"/>
      <c r="D54" s="72"/>
      <c r="E54" s="72" t="s">
        <v>113</v>
      </c>
      <c r="F54" s="72"/>
      <c r="G54" s="72"/>
      <c r="H54" s="72"/>
      <c r="I54" s="77"/>
    </row>
    <row r="55" spans="1:9" x14ac:dyDescent="0.2">
      <c r="A55" s="71"/>
      <c r="B55" s="72" t="s">
        <v>114</v>
      </c>
      <c r="C55" s="72"/>
      <c r="D55" s="72"/>
      <c r="E55" s="73" t="s">
        <v>115</v>
      </c>
      <c r="F55" s="72"/>
      <c r="G55" s="72"/>
      <c r="H55" s="72"/>
      <c r="I55" s="77"/>
    </row>
    <row r="56" spans="1:9" x14ac:dyDescent="0.2">
      <c r="A56" s="708" t="s">
        <v>116</v>
      </c>
      <c r="B56" s="709"/>
      <c r="C56" s="709"/>
      <c r="D56" s="709"/>
      <c r="E56" s="709"/>
      <c r="F56" s="709"/>
      <c r="G56" s="709"/>
      <c r="H56" s="709"/>
      <c r="I56" s="710"/>
    </row>
    <row r="57" spans="1:9" x14ac:dyDescent="0.2">
      <c r="A57" s="109"/>
      <c r="B57" s="72" t="s">
        <v>117</v>
      </c>
      <c r="C57" s="110"/>
      <c r="D57" s="110"/>
      <c r="E57" s="267" t="s">
        <v>118</v>
      </c>
      <c r="F57" s="110"/>
      <c r="G57" s="110"/>
      <c r="H57" s="110"/>
      <c r="I57" s="111"/>
    </row>
    <row r="58" spans="1:9" x14ac:dyDescent="0.2">
      <c r="A58" s="711" t="s">
        <v>119</v>
      </c>
      <c r="B58" s="712"/>
      <c r="C58" s="712"/>
      <c r="D58" s="712"/>
      <c r="E58" s="712"/>
      <c r="F58" s="712"/>
      <c r="G58" s="712"/>
      <c r="H58" s="712"/>
      <c r="I58" s="713"/>
    </row>
    <row r="59" spans="1:9" x14ac:dyDescent="0.2">
      <c r="A59" s="196"/>
      <c r="B59" s="194" t="s">
        <v>120</v>
      </c>
      <c r="C59" s="194"/>
      <c r="D59" s="194"/>
      <c r="E59" s="194"/>
      <c r="F59" s="194"/>
      <c r="G59" s="194"/>
      <c r="H59" s="194"/>
      <c r="I59" s="195"/>
    </row>
  </sheetData>
  <sheetProtection formatCells="0" formatColumns="0" formatRows="0" selectLockedCells="1"/>
  <mergeCells count="54">
    <mergeCell ref="A46:I46"/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H12:I12"/>
    <mergeCell ref="A13:E15"/>
    <mergeCell ref="F13:G13"/>
    <mergeCell ref="F14:G14"/>
    <mergeCell ref="H14:I14"/>
    <mergeCell ref="F15:G15"/>
    <mergeCell ref="H15:I15"/>
    <mergeCell ref="F12:G12"/>
    <mergeCell ref="B28:G28"/>
    <mergeCell ref="H28:I28"/>
    <mergeCell ref="A19:G19"/>
    <mergeCell ref="H19:I19"/>
    <mergeCell ref="B20:G20"/>
    <mergeCell ref="H20:I20"/>
    <mergeCell ref="B21:G21"/>
    <mergeCell ref="H21:I21"/>
    <mergeCell ref="H22:I22"/>
    <mergeCell ref="H23:I23"/>
    <mergeCell ref="H24:I24"/>
    <mergeCell ref="H26:I26"/>
    <mergeCell ref="H27:I27"/>
    <mergeCell ref="H30:I30"/>
    <mergeCell ref="B31:G31"/>
    <mergeCell ref="H31:I31"/>
    <mergeCell ref="B32:G32"/>
    <mergeCell ref="H32:I32"/>
    <mergeCell ref="B30:G30"/>
    <mergeCell ref="A45:I45"/>
    <mergeCell ref="A53:I53"/>
    <mergeCell ref="A56:I56"/>
    <mergeCell ref="A58:I58"/>
    <mergeCell ref="H25:I25"/>
    <mergeCell ref="A35:A36"/>
    <mergeCell ref="B35:I36"/>
    <mergeCell ref="A37:A38"/>
    <mergeCell ref="B37:I38"/>
    <mergeCell ref="B39:I41"/>
    <mergeCell ref="B43:I43"/>
    <mergeCell ref="B33:G33"/>
    <mergeCell ref="H33:I33"/>
    <mergeCell ref="B34:G34"/>
    <mergeCell ref="H34:I34"/>
    <mergeCell ref="H29:I29"/>
  </mergeCells>
  <conditionalFormatting sqref="C35:I36 B35:B37 B39:I40">
    <cfRule type="cellIs" dxfId="21" priority="1" stopIfTrue="1" operator="equal">
      <formula>0</formula>
    </cfRule>
  </conditionalFormatting>
  <hyperlinks>
    <hyperlink ref="E55" r:id="rId1" xr:uid="{00000000-0004-0000-0400-000000000000}"/>
    <hyperlink ref="E57" r:id="rId2" xr:uid="{00000000-0004-0000-0400-000001000000}"/>
  </hyperlinks>
  <printOptions horizontalCentered="1"/>
  <pageMargins left="0.23622047244094491" right="0.23622047244094491" top="0.74803149606299213" bottom="0.74803149606299213" header="0.51181102362204722" footer="0.51181102362204722"/>
  <pageSetup paperSize="9" scale="88" firstPageNumber="0" orientation="portrait" horizontalDpi="300" verticalDpi="300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4">
    <tabColor rgb="FFFF0000"/>
  </sheetPr>
  <dimension ref="A1:P140"/>
  <sheetViews>
    <sheetView showGridLines="0" zoomScale="80" zoomScaleNormal="80" workbookViewId="0">
      <selection activeCell="C4" sqref="C4:C24"/>
    </sheetView>
  </sheetViews>
  <sheetFormatPr defaultColWidth="9.140625" defaultRowHeight="20.25" customHeight="1" outlineLevelCol="1" x14ac:dyDescent="0.2"/>
  <cols>
    <col min="1" max="1" width="26" style="413" customWidth="1" outlineLevel="1"/>
    <col min="2" max="2" width="23.42578125" style="413" customWidth="1" outlineLevel="1"/>
    <col min="3" max="3" width="40" style="413" customWidth="1" outlineLevel="1"/>
    <col min="4" max="4" width="15.28515625" style="430" bestFit="1" customWidth="1" outlineLevel="1"/>
    <col min="5" max="5" width="16.5703125" style="431" customWidth="1" outlineLevel="1"/>
    <col min="6" max="6" width="18.140625" style="431" customWidth="1" outlineLevel="1"/>
    <col min="7" max="7" width="15.42578125" style="431" customWidth="1" outlineLevel="1"/>
    <col min="8" max="8" width="14.28515625" style="431" bestFit="1" customWidth="1" outlineLevel="1"/>
    <col min="9" max="9" width="15.28515625" style="431" bestFit="1" customWidth="1"/>
    <col min="10" max="10" width="21.28515625" style="431" customWidth="1"/>
    <col min="11" max="11" width="14.28515625" style="431" bestFit="1" customWidth="1"/>
    <col min="12" max="12" width="2.28515625" style="413" customWidth="1"/>
    <col min="13" max="16384" width="9.140625" style="413"/>
  </cols>
  <sheetData>
    <row r="1" spans="1:16" ht="20.25" customHeight="1" x14ac:dyDescent="0.2">
      <c r="A1" s="757" t="s">
        <v>4</v>
      </c>
      <c r="B1" s="412"/>
      <c r="C1" s="757" t="s">
        <v>263</v>
      </c>
      <c r="D1" s="759" t="s">
        <v>129</v>
      </c>
      <c r="E1" s="759" t="s">
        <v>262</v>
      </c>
      <c r="F1" s="759" t="s">
        <v>261</v>
      </c>
      <c r="G1" s="759" t="s">
        <v>3093</v>
      </c>
      <c r="H1" s="763" t="s">
        <v>260</v>
      </c>
      <c r="I1" s="761" t="s">
        <v>259</v>
      </c>
      <c r="J1" s="761" t="s">
        <v>258</v>
      </c>
      <c r="K1" s="761" t="s">
        <v>257</v>
      </c>
    </row>
    <row r="2" spans="1:16" ht="29.25" customHeight="1" x14ac:dyDescent="0.2">
      <c r="A2" s="758"/>
      <c r="B2" s="414" t="s">
        <v>168</v>
      </c>
      <c r="C2" s="758"/>
      <c r="D2" s="760"/>
      <c r="E2" s="760"/>
      <c r="F2" s="760"/>
      <c r="G2" s="760"/>
      <c r="H2" s="764"/>
      <c r="I2" s="762"/>
      <c r="J2" s="762"/>
      <c r="K2" s="762"/>
    </row>
    <row r="3" spans="1:16" s="417" customFormat="1" ht="15.75" customHeight="1" x14ac:dyDescent="0.2">
      <c r="A3" s="415"/>
      <c r="B3" s="415"/>
      <c r="C3" s="416"/>
      <c r="D3" s="427"/>
      <c r="E3" s="427"/>
      <c r="F3" s="427"/>
      <c r="G3" s="427"/>
      <c r="H3" s="427"/>
      <c r="I3" s="428">
        <f>IF(C3=C2,(D3+D2)*'VALORES TABELA'!$B$50-E2,D3*'VALORES TABELA'!$B$50)</f>
        <v>0</v>
      </c>
      <c r="J3" s="429">
        <f>IF(($G3-E3)&lt;='VALORES TABELA'!$A$56,0,IF(($G3-$E3)&lt;='VALORES TABELA'!$A$57,($G3-$E3)*'VALORES TABELA'!$B$57-'VALORES TABELA'!$C$57,IF(($G3-$E3)&lt;='VALORES TABELA'!$A$58,($G3-$E3)*'VALORES TABELA'!$B$58-'VALORES TABELA'!$C$58,IF(($G3-$E3)&lt;='VALORES TABELA'!$A$59,($G3-$E3)*'VALORES TABELA'!$B$59-'VALORES TABELA'!$C$59,($G3-$E3)*'VALORES TABELA'!$B$60-'VALORES TABELA'!$C$60))))</f>
        <v>0</v>
      </c>
      <c r="K3" s="429">
        <f>IF(($I3-$E3)&lt;='VALORES TABELA'!$A$56,0,IF(($I3-$E3)&lt;='VALORES TABELA'!$A$57,($I3-$E3)*'VALORES TABELA'!$B$57-'VALORES TABELA'!$C$57,IF(($I3-$E3)&lt;='VALORES TABELA'!$A$58,($I3-$E3)*'VALORES TABELA'!$B$58-'VALORES TABELA'!$C$58,IF(($I3-$E3)&lt;='VALORES TABELA'!$A$59,($I3-$E3)*'VALORES TABELA'!$B$59-'VALORES TABELA'!$C$59,($I3-$E3)*'VALORES TABELA'!$B$60-'VALORES TABELA'!$C$60))))-J2</f>
        <v>0</v>
      </c>
      <c r="O3" s="413"/>
      <c r="P3" s="413"/>
    </row>
    <row r="4" spans="1:16" ht="20.25" customHeight="1" x14ac:dyDescent="0.2">
      <c r="A4" s="418" t="s">
        <v>3192</v>
      </c>
      <c r="B4" s="413" t="s">
        <v>3274</v>
      </c>
      <c r="C4" s="432" t="s">
        <v>3295</v>
      </c>
      <c r="D4" s="430">
        <f>SUMIF('APONTAMENTO CREDENCIAMENTO'!$D$5:$D$3994,$A4,'APONTAMENTO CREDENCIAMENTO'!$FE$5:$FE$3994)</f>
        <v>13065.551000000001</v>
      </c>
      <c r="E4" s="431">
        <f>IF(D4=0,0,IF(D4*0.2*0.11&gt;607.2,607.2,IF(D4&lt;42377.92,D4*0.2*0.11,IF(D4*0.2*0.11&gt;932.31,932.31))))</f>
        <v>287.44212200000004</v>
      </c>
      <c r="F4" s="431">
        <f>$D4*'VALORES TABELA'!$B$45*'VALORES TABELA'!$B$46</f>
        <v>65.32775500000001</v>
      </c>
      <c r="G4" s="431">
        <f t="shared" ref="G4" si="0">D4*60%</f>
        <v>7839.3306000000002</v>
      </c>
      <c r="H4" s="431">
        <f>_xlfn.LET(_xlpm.base,G4,_xlpm.bruto,E4+G4,_xlpm.ir_normal,IF(_xlpm.base&lt;='VALORES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1247.08</v>
      </c>
      <c r="I4" s="431">
        <f>IF($C4=$C3,($D4+$D3)*'VALORES TABELA'!$B$50-$E3,$D4*'VALORES TABELA'!$B$50)</f>
        <v>7839.3306000000002</v>
      </c>
      <c r="J4" s="431">
        <f>IF(($G4-E4)&lt;='VALORES TABELA'!$A$56,0,IF(($G4-$E4)&lt;='VALORES TABELA'!$A$57,($G4-$E4)*'VALORES TABELA'!$B$57-'VALORES TABELA'!$C$57,IF(($G4-$E4)&lt;='VALORES TABELA'!$A$58,($G4-$E4)*'VALORES TABELA'!$B$58-'VALORES TABELA'!$C$58,IF(($G4-$E4)&lt;='VALORES TABELA'!$A$59,($G4-$E4)*'VALORES TABELA'!$B$59-'VALORES TABELA'!$C$59,($G4-$E4)*'VALORES TABELA'!$B$60-'VALORES TABELA'!$C$60))))</f>
        <v>1168.0393314500002</v>
      </c>
      <c r="K4" s="431">
        <f>IF(($I4-$E4)&lt;='VALORES TABELA'!$A$56,0,IF(($I4-$E4)&lt;='VALORES TABELA'!$A$57,($I4-$E4)*'VALORES TABELA'!$B$57-'VALORES TABELA'!$C$57,IF(($I4-$E4)&lt;='VALORES TABELA'!$A$58,($I4-$E4)*'VALORES TABELA'!$B$58-'VALORES TABELA'!$C$58,IF(($I4-$E4)&lt;='VALORES TABELA'!$A$59,($I4-$E4)*'VALORES TABELA'!$B$59-'VALORES TABELA'!$C$59,($I4-$E4)*'VALORES TABELA'!$B$60-'VALORES TABELA'!$C$60))))-J3</f>
        <v>1168.0393314500002</v>
      </c>
    </row>
    <row r="5" spans="1:16" ht="20.25" customHeight="1" x14ac:dyDescent="0.2">
      <c r="A5" t="s">
        <v>3196</v>
      </c>
      <c r="B5" t="s">
        <v>3275</v>
      </c>
      <c r="C5" t="s">
        <v>3296</v>
      </c>
      <c r="D5" s="430">
        <f>SUMIF('APONTAMENTO CREDENCIAMENTO'!$D$5:$D$3994,$A5,'APONTAMENTO CREDENCIAMENTO'!$FE$5:$FE$3994)</f>
        <v>13270.970000000001</v>
      </c>
      <c r="E5" s="431">
        <f t="shared" ref="E5:E24" si="1">IF(D5=0,0,IF(D5*0.2*0.11&gt;607.2,607.2,IF(D5&lt;42377.92,D5*0.2*0.11,IF(D5*0.2*0.11&gt;932.31,932.31))))</f>
        <v>291.96134000000006</v>
      </c>
      <c r="F5" s="431">
        <f>$D5*'VALORES TABELA'!$B$45*'VALORES TABELA'!$B$46</f>
        <v>66.354850000000013</v>
      </c>
      <c r="G5" s="431">
        <f t="shared" ref="G5:G24" si="2">D5*60%</f>
        <v>7962.5820000000003</v>
      </c>
      <c r="H5" s="431">
        <f>_xlfn.LET(_xlpm.base,G5,_xlpm.bruto,E5+G5,_xlpm.ir_normal,IF(_xlpm.base&lt;='VALORES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1280.98</v>
      </c>
      <c r="I5" s="431">
        <f>IF($C5=$C4,($D5+$D4)*'VALORES TABELA'!$B$50-$E4,$D5*'VALORES TABELA'!$B$50)</f>
        <v>7962.5820000000003</v>
      </c>
      <c r="J5" s="431">
        <f>IF(($G5-E5)&lt;='VALORES TABELA'!$A$56,0,IF(($G5-$E5)&lt;='VALORES TABELA'!$A$57,($G5-$E5)*'VALORES TABELA'!$B$57-'VALORES TABELA'!$C$57,IF(($G5-$E5)&lt;='VALORES TABELA'!$A$58,($G5-$E5)*'VALORES TABELA'!$B$58-'VALORES TABELA'!$C$58,IF(($G5-$E5)&lt;='VALORES TABELA'!$A$59,($G5-$E5)*'VALORES TABELA'!$B$59-'VALORES TABELA'!$C$59,($G5-$E5)*'VALORES TABELA'!$B$60-'VALORES TABELA'!$C$60))))</f>
        <v>1200.6906815000002</v>
      </c>
      <c r="K5" s="431">
        <f>IF(($I5-$E5)&lt;='VALORES TABELA'!$A$56,0,IF(($I5-$E5)&lt;='VALORES TABELA'!$A$57,($I5-$E5)*'VALORES TABELA'!$B$57-'VALORES TABELA'!$C$57,IF(($I5-$E5)&lt;='VALORES TABELA'!$A$58,($I5-$E5)*'VALORES TABELA'!$B$58-'VALORES TABELA'!$C$58,IF(($I5-$E5)&lt;='VALORES TABELA'!$A$59,($I5-$E5)*'VALORES TABELA'!$B$59-'VALORES TABELA'!$C$59,($I5-$E5)*'VALORES TABELA'!$B$60-'VALORES TABELA'!$C$60))))-J4</f>
        <v>32.651350050000019</v>
      </c>
    </row>
    <row r="6" spans="1:16" ht="20.25" customHeight="1" x14ac:dyDescent="0.2">
      <c r="A6" t="s">
        <v>3200</v>
      </c>
      <c r="B6" t="s">
        <v>3276</v>
      </c>
      <c r="C6" t="s">
        <v>3297</v>
      </c>
      <c r="D6" s="430">
        <f>SUMIF('APONTAMENTO CREDENCIAMENTO'!$D$5:$D$3994,$A6,'APONTAMENTO CREDENCIAMENTO'!$FE$5:$FE$3994)</f>
        <v>10892.591</v>
      </c>
      <c r="E6" s="431">
        <f t="shared" si="1"/>
        <v>239.637002</v>
      </c>
      <c r="F6" s="431">
        <f>$D6*'VALORES TABELA'!$B$45*'VALORES TABELA'!$B$46</f>
        <v>54.462955000000001</v>
      </c>
      <c r="G6" s="431">
        <f t="shared" si="2"/>
        <v>6535.5546000000004</v>
      </c>
      <c r="H6" s="431">
        <f>_xlfn.LET(_xlpm.base,G6,_xlpm.bruto,E6+G6,_xlpm.ir_normal,IF(_xlpm.base&lt;='VALORES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812.01</v>
      </c>
      <c r="I6" s="431">
        <f>IF($C6=$C5,($D6+$D5)*'VALORES TABELA'!$B$50-$E5,$D6*'VALORES TABELA'!$B$50)</f>
        <v>6535.5546000000004</v>
      </c>
      <c r="J6" s="431">
        <f>IF(($G6-E6)&lt;='VALORES TABELA'!$A$56,0,IF(($G6-$E6)&lt;='VALORES TABELA'!$A$57,($G6-$E6)*'VALORES TABELA'!$B$57-'VALORES TABELA'!$C$57,IF(($G6-$E6)&lt;='VALORES TABELA'!$A$58,($G6-$E6)*'VALORES TABELA'!$B$58-'VALORES TABELA'!$C$58,IF(($G6-$E6)&lt;='VALORES TABELA'!$A$59,($G6-$E6)*'VALORES TABELA'!$B$59-'VALORES TABELA'!$C$59,($G6-$E6)*'VALORES TABELA'!$B$60-'VALORES TABELA'!$C$60))))</f>
        <v>822.64733945000012</v>
      </c>
      <c r="K6" s="431">
        <f>IF(($I6-$E6)&lt;='VALORES TABELA'!$A$56,0,IF(($I6-$E6)&lt;='VALORES TABELA'!$A$57,($I6-$E6)*'VALORES TABELA'!$B$57-'VALORES TABELA'!$C$57,IF(($I6-$E6)&lt;='VALORES TABELA'!$A$58,($I6-$E6)*'VALORES TABELA'!$B$58-'VALORES TABELA'!$C$58,IF(($I6-$E6)&lt;='VALORES TABELA'!$A$59,($I6-$E6)*'VALORES TABELA'!$B$59-'VALORES TABELA'!$C$59,($I6-$E6)*'VALORES TABELA'!$B$60-'VALORES TABELA'!$C$60))))-J5</f>
        <v>-378.04334205000009</v>
      </c>
    </row>
    <row r="7" spans="1:16" ht="20.25" customHeight="1" x14ac:dyDescent="0.2">
      <c r="A7" t="s">
        <v>3204</v>
      </c>
      <c r="B7" t="s">
        <v>3277</v>
      </c>
      <c r="C7" t="s">
        <v>3298</v>
      </c>
      <c r="D7" s="430">
        <f>SUMIF('APONTAMENTO CREDENCIAMENTO'!$D$5:$D$3994,$A7,'APONTAMENTO CREDENCIAMENTO'!$FE$5:$FE$3994)</f>
        <v>10741.293</v>
      </c>
      <c r="E7" s="431">
        <f t="shared" si="1"/>
        <v>236.308446</v>
      </c>
      <c r="F7" s="431">
        <f>$D7*'VALORES TABELA'!$B$45*'VALORES TABELA'!$B$46</f>
        <v>53.706465000000009</v>
      </c>
      <c r="G7" s="431">
        <f t="shared" si="2"/>
        <v>6444.7757999999994</v>
      </c>
      <c r="H7" s="431">
        <f>_xlfn.LET(_xlpm.base,G7,_xlpm.bruto,E7+G7,_xlpm.ir_normal,IF(_xlpm.base&lt;='VALORES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774.51</v>
      </c>
      <c r="I7" s="431">
        <f>IF($C7=$C6,($D7+$D6)*'VALORES TABELA'!$B$50-$E6,$D7*'VALORES TABELA'!$B$50)</f>
        <v>6444.7757999999994</v>
      </c>
      <c r="J7" s="431">
        <f>IF(($G7-E7)&lt;='VALORES TABELA'!$A$56,0,IF(($G7-$E7)&lt;='VALORES TABELA'!$A$57,($G7-$E7)*'VALORES TABELA'!$B$57-'VALORES TABELA'!$C$57,IF(($G7-$E7)&lt;='VALORES TABELA'!$A$58,($G7-$E7)*'VALORES TABELA'!$B$58-'VALORES TABELA'!$C$58,IF(($G7-$E7)&lt;='VALORES TABELA'!$A$59,($G7-$E7)*'VALORES TABELA'!$B$59-'VALORES TABELA'!$C$59,($G7-$E7)*'VALORES TABELA'!$B$60-'VALORES TABELA'!$C$60))))</f>
        <v>798.59852234999994</v>
      </c>
      <c r="K7" s="431">
        <f>IF(($I7-$E7)&lt;='VALORES TABELA'!$A$56,0,IF(($I7-$E7)&lt;='VALORES TABELA'!$A$57,($I7-$E7)*'VALORES TABELA'!$B$57-'VALORES TABELA'!$C$57,IF(($I7-$E7)&lt;='VALORES TABELA'!$A$58,($I7-$E7)*'VALORES TABELA'!$B$58-'VALORES TABELA'!$C$58,IF(($I7-$E7)&lt;='VALORES TABELA'!$A$59,($I7-$E7)*'VALORES TABELA'!$B$59-'VALORES TABELA'!$C$59,($I7-$E7)*'VALORES TABELA'!$B$60-'VALORES TABELA'!$C$60))))-J6</f>
        <v>-24.048817100000178</v>
      </c>
    </row>
    <row r="8" spans="1:16" ht="20.25" customHeight="1" x14ac:dyDescent="0.2">
      <c r="A8" t="s">
        <v>3208</v>
      </c>
      <c r="B8" t="s">
        <v>3278</v>
      </c>
      <c r="C8" t="s">
        <v>3299</v>
      </c>
      <c r="D8" s="430">
        <f>SUMIF('APONTAMENTO CREDENCIAMENTO'!$D$5:$D$3994,$A8,'APONTAMENTO CREDENCIAMENTO'!$FE$5:$FE$3994)</f>
        <v>11819.937000000002</v>
      </c>
      <c r="E8" s="431">
        <f t="shared" si="1"/>
        <v>260.03861400000005</v>
      </c>
      <c r="F8" s="431">
        <f>$D8*'VALORES TABELA'!$B$45*'VALORES TABELA'!$B$46</f>
        <v>59.099685000000015</v>
      </c>
      <c r="G8" s="431">
        <f t="shared" si="2"/>
        <v>7091.9622000000008</v>
      </c>
      <c r="H8" s="431">
        <f>_xlfn.LET(_xlpm.base,G8,_xlpm.bruto,E8+G8,_xlpm.ir_normal,IF(_xlpm.base&lt;='VALORES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1041.55</v>
      </c>
      <c r="I8" s="431">
        <f>IF($C8=$C7,($D8+$D7)*'VALORES TABELA'!$B$50-$E7,$D8*'VALORES TABELA'!$B$50)</f>
        <v>7091.9622000000008</v>
      </c>
      <c r="J8" s="431">
        <f>IF(($G8-E8)&lt;='VALORES TABELA'!$A$56,0,IF(($G8-$E8)&lt;='VALORES TABELA'!$A$57,($G8-$E8)*'VALORES TABELA'!$B$57-'VALORES TABELA'!$C$57,IF(($G8-$E8)&lt;='VALORES TABELA'!$A$58,($G8-$E8)*'VALORES TABELA'!$B$58-'VALORES TABELA'!$C$58,IF(($G8-$E8)&lt;='VALORES TABELA'!$A$59,($G8-$E8)*'VALORES TABELA'!$B$59-'VALORES TABELA'!$C$59,($G8-$E8)*'VALORES TABELA'!$B$60-'VALORES TABELA'!$C$60))))</f>
        <v>970.04898615000025</v>
      </c>
      <c r="K8" s="431">
        <f>IF(($I8-$E8)&lt;='VALORES TABELA'!$A$56,0,IF(($I8-$E8)&lt;='VALORES TABELA'!$A$57,($I8-$E8)*'VALORES TABELA'!$B$57-'VALORES TABELA'!$C$57,IF(($I8-$E8)&lt;='VALORES TABELA'!$A$58,($I8-$E8)*'VALORES TABELA'!$B$58-'VALORES TABELA'!$C$58,IF(($I8-$E8)&lt;='VALORES TABELA'!$A$59,($I8-$E8)*'VALORES TABELA'!$B$59-'VALORES TABELA'!$C$59,($I8-$E8)*'VALORES TABELA'!$B$60-'VALORES TABELA'!$C$60))))-J7</f>
        <v>171.45046380000031</v>
      </c>
    </row>
    <row r="9" spans="1:16" ht="20.25" customHeight="1" x14ac:dyDescent="0.2">
      <c r="A9" t="s">
        <v>3212</v>
      </c>
      <c r="B9" t="s">
        <v>3279</v>
      </c>
      <c r="C9" t="s">
        <v>3300</v>
      </c>
      <c r="D9" s="430">
        <f>SUMIF('APONTAMENTO CREDENCIAMENTO'!$D$5:$D$3994,$A9,'APONTAMENTO CREDENCIAMENTO'!$FE$5:$FE$3994)</f>
        <v>17230.567999999999</v>
      </c>
      <c r="E9" s="431">
        <f t="shared" si="1"/>
        <v>379.072496</v>
      </c>
      <c r="F9" s="431">
        <f>$D9*'VALORES TABELA'!$B$45*'VALORES TABELA'!$B$46</f>
        <v>86.152840000000012</v>
      </c>
      <c r="G9" s="431">
        <f t="shared" si="2"/>
        <v>10338.3408</v>
      </c>
      <c r="H9" s="431">
        <f>_xlfn.LET(_xlpm.base,G9,_xlpm.bruto,E9+G9,_xlpm.ir_normal,IF(_xlpm.base&lt;='VALORES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1934.31</v>
      </c>
      <c r="I9" s="431">
        <f>IF($C9=$C8,($D9+$D8)*'VALORES TABELA'!$B$50-$E8,$D9*'VALORES TABELA'!$B$50)</f>
        <v>10338.3408</v>
      </c>
      <c r="J9" s="431">
        <f>IF(($G9-E9)&lt;='VALORES TABELA'!$A$56,0,IF(($G9-$E9)&lt;='VALORES TABELA'!$A$57,($G9-$E9)*'VALORES TABELA'!$B$57-'VALORES TABELA'!$C$57,IF(($G9-$E9)&lt;='VALORES TABELA'!$A$58,($G9-$E9)*'VALORES TABELA'!$B$58-'VALORES TABELA'!$C$58,IF(($G9-$E9)&lt;='VALORES TABELA'!$A$59,($G9-$E9)*'VALORES TABELA'!$B$59-'VALORES TABELA'!$C$59,($G9-$E9)*'VALORES TABELA'!$B$60-'VALORES TABELA'!$C$60))))</f>
        <v>1830.0687836000002</v>
      </c>
      <c r="K9" s="431">
        <f>IF(($I9-$E9)&lt;='VALORES TABELA'!$A$56,0,IF(($I9-$E9)&lt;='VALORES TABELA'!$A$57,($I9-$E9)*'VALORES TABELA'!$B$57-'VALORES TABELA'!$C$57,IF(($I9-$E9)&lt;='VALORES TABELA'!$A$58,($I9-$E9)*'VALORES TABELA'!$B$58-'VALORES TABELA'!$C$58,IF(($I9-$E9)&lt;='VALORES TABELA'!$A$59,($I9-$E9)*'VALORES TABELA'!$B$59-'VALORES TABELA'!$C$59,($I9-$E9)*'VALORES TABELA'!$B$60-'VALORES TABELA'!$C$60))))-J8</f>
        <v>860.01979744999994</v>
      </c>
    </row>
    <row r="10" spans="1:16" ht="20.25" customHeight="1" x14ac:dyDescent="0.2">
      <c r="A10" t="s">
        <v>3216</v>
      </c>
      <c r="B10" t="s">
        <v>3280</v>
      </c>
      <c r="C10" t="s">
        <v>3301</v>
      </c>
      <c r="D10" s="430">
        <f>SUMIF('APONTAMENTO CREDENCIAMENTO'!$D$5:$D$3994,$A10,'APONTAMENTO CREDENCIAMENTO'!$FE$5:$FE$3994)</f>
        <v>22131.260000000002</v>
      </c>
      <c r="E10" s="431">
        <f t="shared" si="1"/>
        <v>486.88772000000006</v>
      </c>
      <c r="F10" s="431">
        <f>$D10*'VALORES TABELA'!$B$45*'VALORES TABELA'!$B$46</f>
        <v>110.65630000000002</v>
      </c>
      <c r="G10" s="431">
        <f t="shared" si="2"/>
        <v>13278.756000000001</v>
      </c>
      <c r="H10" s="431">
        <f>_xlfn.LET(_xlpm.base,G10,_xlpm.bruto,E10+G10,_xlpm.ir_normal,IF(_xlpm.base&lt;='VALORES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2742.92</v>
      </c>
      <c r="I10" s="431">
        <f>IF($C10=$C9,($D10+$D9)*'VALORES TABELA'!$B$50-$E9,$D10*'VALORES TABELA'!$B$50)</f>
        <v>13278.756000000001</v>
      </c>
      <c r="J10" s="431">
        <f>IF(($G10-E10)&lt;='VALORES TABELA'!$A$56,0,IF(($G10-$E10)&lt;='VALORES TABELA'!$A$57,($G10-$E10)*'VALORES TABELA'!$B$57-'VALORES TABELA'!$C$57,IF(($G10-$E10)&lt;='VALORES TABELA'!$A$58,($G10-$E10)*'VALORES TABELA'!$B$58-'VALORES TABELA'!$C$58,IF(($G10-$E10)&lt;='VALORES TABELA'!$A$59,($G10-$E10)*'VALORES TABELA'!$B$59-'VALORES TABELA'!$C$59,($G10-$E10)*'VALORES TABELA'!$B$60-'VALORES TABELA'!$C$60))))</f>
        <v>2609.0337770000006</v>
      </c>
      <c r="K10" s="431">
        <f>IF(($I10-$E10)&lt;='VALORES TABELA'!$A$56,0,IF(($I10-$E10)&lt;='VALORES TABELA'!$A$57,($I10-$E10)*'VALORES TABELA'!$B$57-'VALORES TABELA'!$C$57,IF(($I10-$E10)&lt;='VALORES TABELA'!$A$58,($I10-$E10)*'VALORES TABELA'!$B$58-'VALORES TABELA'!$C$58,IF(($I10-$E10)&lt;='VALORES TABELA'!$A$59,($I10-$E10)*'VALORES TABELA'!$B$59-'VALORES TABELA'!$C$59,($I10-$E10)*'VALORES TABELA'!$B$60-'VALORES TABELA'!$C$60))))-J9</f>
        <v>778.96499340000037</v>
      </c>
    </row>
    <row r="11" spans="1:16" ht="20.25" customHeight="1" x14ac:dyDescent="0.2">
      <c r="A11" t="s">
        <v>3220</v>
      </c>
      <c r="B11" t="s">
        <v>3281</v>
      </c>
      <c r="C11" t="s">
        <v>3302</v>
      </c>
      <c r="D11" s="430">
        <f>SUMIF('APONTAMENTO CREDENCIAMENTO'!$D$5:$D$3994,$A11,'APONTAMENTO CREDENCIAMENTO'!$FE$5:$FE$3994)</f>
        <v>10792.657000000001</v>
      </c>
      <c r="E11" s="431">
        <f t="shared" si="1"/>
        <v>237.43845400000004</v>
      </c>
      <c r="F11" s="431">
        <f>$D11*'VALORES TABELA'!$B$45*'VALORES TABELA'!$B$46</f>
        <v>53.963285000000013</v>
      </c>
      <c r="G11" s="431">
        <f t="shared" si="2"/>
        <v>6475.5942000000005</v>
      </c>
      <c r="H11" s="431">
        <f>_xlfn.LET(_xlpm.base,G11,_xlpm.bruto,E11+G11,_xlpm.ir_normal,IF(_xlpm.base&lt;='VALORES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787.24</v>
      </c>
      <c r="I11" s="431">
        <f>IF($C11=$C10,($D11+$D10)*'VALORES TABELA'!$B$50-$E10,$D11*'VALORES TABELA'!$B$50)</f>
        <v>6475.5942000000005</v>
      </c>
      <c r="J11" s="431">
        <f>IF(($G11-E11)&lt;='VALORES TABELA'!$A$56,0,IF(($G11-$E11)&lt;='VALORES TABELA'!$A$57,($G11-$E11)*'VALORES TABELA'!$B$57-'VALORES TABELA'!$C$57,IF(($G11-$E11)&lt;='VALORES TABELA'!$A$58,($G11-$E11)*'VALORES TABELA'!$B$58-'VALORES TABELA'!$C$58,IF(($G11-$E11)&lt;='VALORES TABELA'!$A$59,($G11-$E11)*'VALORES TABELA'!$B$59-'VALORES TABELA'!$C$59,($G11-$E11)*'VALORES TABELA'!$B$60-'VALORES TABELA'!$C$60))))</f>
        <v>806.76283015000013</v>
      </c>
      <c r="K11" s="431">
        <f>IF(($I11-$E11)&lt;='VALORES TABELA'!$A$56,0,IF(($I11-$E11)&lt;='VALORES TABELA'!$A$57,($I11-$E11)*'VALORES TABELA'!$B$57-'VALORES TABELA'!$C$57,IF(($I11-$E11)&lt;='VALORES TABELA'!$A$58,($I11-$E11)*'VALORES TABELA'!$B$58-'VALORES TABELA'!$C$58,IF(($I11-$E11)&lt;='VALORES TABELA'!$A$59,($I11-$E11)*'VALORES TABELA'!$B$59-'VALORES TABELA'!$C$59,($I11-$E11)*'VALORES TABELA'!$B$60-'VALORES TABELA'!$C$60))))-J10</f>
        <v>-1802.2709468500004</v>
      </c>
    </row>
    <row r="12" spans="1:16" ht="20.25" customHeight="1" x14ac:dyDescent="0.2">
      <c r="A12" t="s">
        <v>3224</v>
      </c>
      <c r="B12" t="s">
        <v>3282</v>
      </c>
      <c r="C12" t="s">
        <v>3303</v>
      </c>
      <c r="D12" s="430">
        <f>SUMIF('APONTAMENTO CREDENCIAMENTO'!$D$5:$D$3994,$A12,'APONTAMENTO CREDENCIAMENTO'!$FE$5:$FE$3994)</f>
        <v>16032.044</v>
      </c>
      <c r="E12" s="431">
        <f t="shared" si="1"/>
        <v>352.70496800000001</v>
      </c>
      <c r="F12" s="431">
        <f>$D12*'VALORES TABELA'!$B$45*'VALORES TABELA'!$B$46</f>
        <v>80.16022000000001</v>
      </c>
      <c r="G12" s="431">
        <f t="shared" si="2"/>
        <v>9619.2263999999996</v>
      </c>
      <c r="H12" s="431">
        <f>_xlfn.LET(_xlpm.base,G12,_xlpm.bruto,E12+G12,_xlpm.ir_normal,IF(_xlpm.base&lt;='VALORES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1736.55</v>
      </c>
      <c r="I12" s="431">
        <f>IF($C12=$C11,($D12+$D11)*'VALORES TABELA'!$B$50-$E11,$D12*'VALORES TABELA'!$B$50)</f>
        <v>9619.2263999999996</v>
      </c>
      <c r="J12" s="431">
        <f>IF(($G12-E12)&lt;='VALORES TABELA'!$A$56,0,IF(($G12-$E12)&lt;='VALORES TABELA'!$A$57,($G12-$E12)*'VALORES TABELA'!$B$57-'VALORES TABELA'!$C$57,IF(($G12-$E12)&lt;='VALORES TABELA'!$A$58,($G12-$E12)*'VALORES TABELA'!$B$58-'VALORES TABELA'!$C$58,IF(($G12-$E12)&lt;='VALORES TABELA'!$A$59,($G12-$E12)*'VALORES TABELA'!$B$59-'VALORES TABELA'!$C$59,($G12-$E12)*'VALORES TABELA'!$B$60-'VALORES TABELA'!$C$60))))</f>
        <v>1639.5633938000001</v>
      </c>
      <c r="K12" s="431">
        <f>IF(($I12-$E12)&lt;='VALORES TABELA'!$A$56,0,IF(($I12-$E12)&lt;='VALORES TABELA'!$A$57,($I12-$E12)*'VALORES TABELA'!$B$57-'VALORES TABELA'!$C$57,IF(($I12-$E12)&lt;='VALORES TABELA'!$A$58,($I12-$E12)*'VALORES TABELA'!$B$58-'VALORES TABELA'!$C$58,IF(($I12-$E12)&lt;='VALORES TABELA'!$A$59,($I12-$E12)*'VALORES TABELA'!$B$59-'VALORES TABELA'!$C$59,($I12-$E12)*'VALORES TABELA'!$B$60-'VALORES TABELA'!$C$60))))-J11</f>
        <v>832.80056364999996</v>
      </c>
    </row>
    <row r="13" spans="1:16" ht="20.25" customHeight="1" x14ac:dyDescent="0.2">
      <c r="A13" t="s">
        <v>3228</v>
      </c>
      <c r="B13" t="s">
        <v>3283</v>
      </c>
      <c r="C13" t="s">
        <v>3304</v>
      </c>
      <c r="D13" s="430">
        <f>SUMIF('APONTAMENTO CREDENCIAMENTO'!$D$5:$D$3994,$A13,'APONTAMENTO CREDENCIAMENTO'!$FE$5:$FE$3994)</f>
        <v>13646.93</v>
      </c>
      <c r="E13" s="431">
        <f t="shared" si="1"/>
        <v>300.23246000000006</v>
      </c>
      <c r="F13" s="431">
        <f>$D13*'VALORES TABELA'!$B$45*'VALORES TABELA'!$B$46</f>
        <v>68.234650000000016</v>
      </c>
      <c r="G13" s="431">
        <f t="shared" si="2"/>
        <v>8188.1579999999994</v>
      </c>
      <c r="H13" s="431">
        <f>_xlfn.LET(_xlpm.base,G13,_xlpm.bruto,E13+G13,_xlpm.ir_normal,IF(_xlpm.base&lt;='VALORES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1343.01</v>
      </c>
      <c r="I13" s="431">
        <f>IF($C13=$C12,($D13+$D12)*'VALORES TABELA'!$B$50-$E12,$D13*'VALORES TABELA'!$B$50)</f>
        <v>8188.1579999999994</v>
      </c>
      <c r="J13" s="431">
        <f>IF(($G13-E13)&lt;='VALORES TABELA'!$A$56,0,IF(($G13-$E13)&lt;='VALORES TABELA'!$A$57,($G13-$E13)*'VALORES TABELA'!$B$57-'VALORES TABELA'!$C$57,IF(($G13-$E13)&lt;='VALORES TABELA'!$A$58,($G13-$E13)*'VALORES TABELA'!$B$58-'VALORES TABELA'!$C$58,IF(($G13-$E13)&lt;='VALORES TABELA'!$A$59,($G13-$E13)*'VALORES TABELA'!$B$59-'VALORES TABELA'!$C$59,($G13-$E13)*'VALORES TABELA'!$B$60-'VALORES TABELA'!$C$60))))</f>
        <v>1260.4495234999999</v>
      </c>
      <c r="K13" s="431">
        <f>IF(($I13-$E13)&lt;='VALORES TABELA'!$A$56,0,IF(($I13-$E13)&lt;='VALORES TABELA'!$A$57,($I13-$E13)*'VALORES TABELA'!$B$57-'VALORES TABELA'!$C$57,IF(($I13-$E13)&lt;='VALORES TABELA'!$A$58,($I13-$E13)*'VALORES TABELA'!$B$58-'VALORES TABELA'!$C$58,IF(($I13-$E13)&lt;='VALORES TABELA'!$A$59,($I13-$E13)*'VALORES TABELA'!$B$59-'VALORES TABELA'!$C$59,($I13-$E13)*'VALORES TABELA'!$B$60-'VALORES TABELA'!$C$60))))-J12</f>
        <v>-379.11387030000014</v>
      </c>
    </row>
    <row r="14" spans="1:16" ht="20.25" customHeight="1" x14ac:dyDescent="0.2">
      <c r="A14" t="s">
        <v>3232</v>
      </c>
      <c r="B14" t="s">
        <v>3284</v>
      </c>
      <c r="C14" t="s">
        <v>3305</v>
      </c>
      <c r="D14" s="430">
        <f>SUMIF('APONTAMENTO CREDENCIAMENTO'!$D$5:$D$3994,$A14,'APONTAMENTO CREDENCIAMENTO'!$FE$5:$FE$3994)</f>
        <v>21612.18</v>
      </c>
      <c r="E14" s="431">
        <f t="shared" si="1"/>
        <v>475.46796000000006</v>
      </c>
      <c r="F14" s="431">
        <f>$D14*'VALORES TABELA'!$B$45*'VALORES TABELA'!$B$46</f>
        <v>108.06090000000002</v>
      </c>
      <c r="G14" s="431">
        <f t="shared" si="2"/>
        <v>12967.307999999999</v>
      </c>
      <c r="H14" s="431">
        <f>_xlfn.LET(_xlpm.base,G14,_xlpm.bruto,E14+G14,_xlpm.ir_normal,IF(_xlpm.base&lt;='VALORES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2657.27</v>
      </c>
      <c r="I14" s="431">
        <f>IF($C14=$C13,($D14+$D13)*'VALORES TABELA'!$B$50-$E13,$D14*'VALORES TABELA'!$B$50)</f>
        <v>12967.307999999999</v>
      </c>
      <c r="J14" s="431">
        <f>IF(($G14-E14)&lt;='VALORES TABELA'!$A$56,0,IF(($G14-$E14)&lt;='VALORES TABELA'!$A$57,($G14-$E14)*'VALORES TABELA'!$B$57-'VALORES TABELA'!$C$57,IF(($G14-$E14)&lt;='VALORES TABELA'!$A$58,($G14-$E14)*'VALORES TABELA'!$B$58-'VALORES TABELA'!$C$58,IF(($G14-$E14)&lt;='VALORES TABELA'!$A$59,($G14-$E14)*'VALORES TABELA'!$B$59-'VALORES TABELA'!$C$59,($G14-$E14)*'VALORES TABELA'!$B$60-'VALORES TABELA'!$C$60))))</f>
        <v>2526.5260109999999</v>
      </c>
      <c r="K14" s="431">
        <f>IF(($I14-$E14)&lt;='VALORES TABELA'!$A$56,0,IF(($I14-$E14)&lt;='VALORES TABELA'!$A$57,($I14-$E14)*'VALORES TABELA'!$B$57-'VALORES TABELA'!$C$57,IF(($I14-$E14)&lt;='VALORES TABELA'!$A$58,($I14-$E14)*'VALORES TABELA'!$B$58-'VALORES TABELA'!$C$58,IF(($I14-$E14)&lt;='VALORES TABELA'!$A$59,($I14-$E14)*'VALORES TABELA'!$B$59-'VALORES TABELA'!$C$59,($I14-$E14)*'VALORES TABELA'!$B$60-'VALORES TABELA'!$C$60))))-J13</f>
        <v>1266.0764875</v>
      </c>
    </row>
    <row r="15" spans="1:16" ht="20.25" customHeight="1" x14ac:dyDescent="0.2">
      <c r="A15" t="s">
        <v>3236</v>
      </c>
      <c r="B15" t="s">
        <v>3285</v>
      </c>
      <c r="C15" t="s">
        <v>3306</v>
      </c>
      <c r="D15" s="430">
        <f>SUMIF('APONTAMENTO CREDENCIAMENTO'!$D$5:$D$3994,$A15,'APONTAMENTO CREDENCIAMENTO'!$FE$5:$FE$3994)</f>
        <v>16352.810000000001</v>
      </c>
      <c r="E15" s="431">
        <f t="shared" si="1"/>
        <v>359.76182000000006</v>
      </c>
      <c r="F15" s="431">
        <f>$D15*'VALORES TABELA'!$B$45*'VALORES TABELA'!$B$46</f>
        <v>81.764050000000012</v>
      </c>
      <c r="G15" s="431">
        <f t="shared" si="2"/>
        <v>9811.6859999999997</v>
      </c>
      <c r="H15" s="431">
        <f>_xlfn.LET(_xlpm.base,G15,_xlpm.bruto,E15+G15,_xlpm.ir_normal,IF(_xlpm.base&lt;='VALORES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1789.48</v>
      </c>
      <c r="I15" s="431">
        <f>IF($C15=$C14,($D15+$D14)*'VALORES TABELA'!$B$50-$E14,$D15*'VALORES TABELA'!$B$50)</f>
        <v>9811.6859999999997</v>
      </c>
      <c r="J15" s="431">
        <f>IF(($G15-E15)&lt;='VALORES TABELA'!$A$56,0,IF(($G15-$E15)&lt;='VALORES TABELA'!$A$57,($G15-$E15)*'VALORES TABELA'!$B$57-'VALORES TABELA'!$C$57,IF(($G15-$E15)&lt;='VALORES TABELA'!$A$58,($G15-$E15)*'VALORES TABELA'!$B$58-'VALORES TABELA'!$C$58,IF(($G15-$E15)&lt;='VALORES TABELA'!$A$59,($G15-$E15)*'VALORES TABELA'!$B$59-'VALORES TABELA'!$C$59,($G15-$E15)*'VALORES TABELA'!$B$60-'VALORES TABELA'!$C$60))))</f>
        <v>1690.5491495000001</v>
      </c>
      <c r="K15" s="431">
        <f>IF(($I15-$E15)&lt;='VALORES TABELA'!$A$56,0,IF(($I15-$E15)&lt;='VALORES TABELA'!$A$57,($I15-$E15)*'VALORES TABELA'!$B$57-'VALORES TABELA'!$C$57,IF(($I15-$E15)&lt;='VALORES TABELA'!$A$58,($I15-$E15)*'VALORES TABELA'!$B$58-'VALORES TABELA'!$C$58,IF(($I15-$E15)&lt;='VALORES TABELA'!$A$59,($I15-$E15)*'VALORES TABELA'!$B$59-'VALORES TABELA'!$C$59,($I15-$E15)*'VALORES TABELA'!$B$60-'VALORES TABELA'!$C$60))))-J14</f>
        <v>-835.97686149999981</v>
      </c>
    </row>
    <row r="16" spans="1:16" ht="20.25" customHeight="1" x14ac:dyDescent="0.2">
      <c r="A16" t="s">
        <v>3240</v>
      </c>
      <c r="B16" t="s">
        <v>3286</v>
      </c>
      <c r="C16" t="s">
        <v>3307</v>
      </c>
      <c r="D16" s="430">
        <f>SUMIF('APONTAMENTO CREDENCIAMENTO'!$D$5:$D$3994,$A16,'APONTAMENTO CREDENCIAMENTO'!$FE$5:$FE$3994)</f>
        <v>9367.3984999999993</v>
      </c>
      <c r="E16" s="431">
        <f t="shared" si="1"/>
        <v>206.08276699999999</v>
      </c>
      <c r="F16" s="431">
        <f>$D16*'VALORES TABELA'!$B$45*'VALORES TABELA'!$B$46</f>
        <v>46.836992500000001</v>
      </c>
      <c r="G16" s="431">
        <f t="shared" si="2"/>
        <v>5620.4390999999996</v>
      </c>
      <c r="H16" s="431">
        <f>_xlfn.LET(_xlpm.base,G16,_xlpm.bruto,E16+G16,_xlpm.ir_normal,IF(_xlpm.base&lt;='VALORES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434.04</v>
      </c>
      <c r="I16" s="431">
        <f>IF($C16=$C15,($D16+$D15)*'VALORES TABELA'!$B$50-$E15,$D16*'VALORES TABELA'!$B$50)</f>
        <v>5620.4390999999996</v>
      </c>
      <c r="J16" s="431">
        <f>IF(($G16-E16)&lt;='VALORES TABELA'!$A$56,0,IF(($G16-$E16)&lt;='VALORES TABELA'!$A$57,($G16-$E16)*'VALORES TABELA'!$B$57-'VALORES TABELA'!$C$57,IF(($G16-$E16)&lt;='VALORES TABELA'!$A$58,($G16-$E16)*'VALORES TABELA'!$B$58-'VALORES TABELA'!$C$58,IF(($G16-$E16)&lt;='VALORES TABELA'!$A$59,($G16-$E16)*'VALORES TABELA'!$B$59-'VALORES TABELA'!$C$59,($G16-$E16)*'VALORES TABELA'!$B$60-'VALORES TABELA'!$C$60))))</f>
        <v>580.21799157500004</v>
      </c>
      <c r="K16" s="431">
        <f>IF(($I16-$E16)&lt;='VALORES TABELA'!$A$56,0,IF(($I16-$E16)&lt;='VALORES TABELA'!$A$57,($I16-$E16)*'VALORES TABELA'!$B$57-'VALORES TABELA'!$C$57,IF(($I16-$E16)&lt;='VALORES TABELA'!$A$58,($I16-$E16)*'VALORES TABELA'!$B$58-'VALORES TABELA'!$C$58,IF(($I16-$E16)&lt;='VALORES TABELA'!$A$59,($I16-$E16)*'VALORES TABELA'!$B$59-'VALORES TABELA'!$C$59,($I16-$E16)*'VALORES TABELA'!$B$60-'VALORES TABELA'!$C$60))))-J15</f>
        <v>-1110.3311579250001</v>
      </c>
    </row>
    <row r="17" spans="1:11" ht="20.25" customHeight="1" x14ac:dyDescent="0.2">
      <c r="A17" t="s">
        <v>3244</v>
      </c>
      <c r="B17" t="s">
        <v>3287</v>
      </c>
      <c r="C17" t="s">
        <v>3308</v>
      </c>
      <c r="D17" s="430">
        <f>SUMIF('APONTAMENTO CREDENCIAMENTO'!$D$5:$D$3994,$A17,'APONTAMENTO CREDENCIAMENTO'!$FE$5:$FE$3994)</f>
        <v>14600.18</v>
      </c>
      <c r="E17" s="431">
        <f t="shared" si="1"/>
        <v>321.20396</v>
      </c>
      <c r="F17" s="431">
        <f>$D17*'VALORES TABELA'!$B$45*'VALORES TABELA'!$B$46</f>
        <v>73.000900000000001</v>
      </c>
      <c r="G17" s="431">
        <f t="shared" si="2"/>
        <v>8760.1080000000002</v>
      </c>
      <c r="H17" s="431">
        <f>_xlfn.LET(_xlpm.base,G17,_xlpm.bruto,E17+G17,_xlpm.ir_normal,IF(_xlpm.base&lt;='VALORES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1500.29</v>
      </c>
      <c r="I17" s="431">
        <f>IF($C17=$C16,($D17+$D16)*'VALORES TABELA'!$B$50-$E16,$D17*'VALORES TABELA'!$B$50)</f>
        <v>8760.1080000000002</v>
      </c>
      <c r="J17" s="431">
        <f>IF(($G17-E17)&lt;='VALORES TABELA'!$A$56,0,IF(($G17-$E17)&lt;='VALORES TABELA'!$A$57,($G17-$E17)*'VALORES TABELA'!$B$57-'VALORES TABELA'!$C$57,IF(($G17-$E17)&lt;='VALORES TABELA'!$A$58,($G17-$E17)*'VALORES TABELA'!$B$58-'VALORES TABELA'!$C$58,IF(($G17-$E17)&lt;='VALORES TABELA'!$A$59,($G17-$E17)*'VALORES TABELA'!$B$59-'VALORES TABELA'!$C$59,($G17-$E17)*'VALORES TABELA'!$B$60-'VALORES TABELA'!$C$60))))</f>
        <v>1411.9686110000002</v>
      </c>
      <c r="K17" s="431">
        <f>IF(($I17-$E17)&lt;='VALORES TABELA'!$A$56,0,IF(($I17-$E17)&lt;='VALORES TABELA'!$A$57,($I17-$E17)*'VALORES TABELA'!$B$57-'VALORES TABELA'!$C$57,IF(($I17-$E17)&lt;='VALORES TABELA'!$A$58,($I17-$E17)*'VALORES TABELA'!$B$58-'VALORES TABELA'!$C$58,IF(($I17-$E17)&lt;='VALORES TABELA'!$A$59,($I17-$E17)*'VALORES TABELA'!$B$59-'VALORES TABELA'!$C$59,($I17-$E17)*'VALORES TABELA'!$B$60-'VALORES TABELA'!$C$60))))-J16</f>
        <v>831.7506194250002</v>
      </c>
    </row>
    <row r="18" spans="1:11" ht="20.25" customHeight="1" x14ac:dyDescent="0.2">
      <c r="A18" t="s">
        <v>3248</v>
      </c>
      <c r="B18" t="s">
        <v>3288</v>
      </c>
      <c r="C18" t="s">
        <v>3309</v>
      </c>
      <c r="D18" s="430">
        <f>SUMIF('APONTAMENTO CREDENCIAMENTO'!$D$5:$D$3994,$A18,'APONTAMENTO CREDENCIAMENTO'!$FE$5:$FE$3994)</f>
        <v>17855.54</v>
      </c>
      <c r="E18" s="431">
        <f t="shared" si="1"/>
        <v>392.82188000000002</v>
      </c>
      <c r="F18" s="431">
        <f>$D18*'VALORES TABELA'!$B$45*'VALORES TABELA'!$B$46</f>
        <v>89.27770000000001</v>
      </c>
      <c r="G18" s="431">
        <f t="shared" si="2"/>
        <v>10713.324000000001</v>
      </c>
      <c r="H18" s="431">
        <f>_xlfn.LET(_xlpm.base,G18,_xlpm.bruto,E18+G18,_xlpm.ir_normal,IF(_xlpm.base&lt;='VALORES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2037.43</v>
      </c>
      <c r="I18" s="431">
        <f>IF($C18=$C17,($D18+$D17)*'VALORES TABELA'!$B$50-$E17,$D18*'VALORES TABELA'!$B$50)</f>
        <v>10713.324000000001</v>
      </c>
      <c r="J18" s="431">
        <f>IF(($G18-E18)&lt;='VALORES TABELA'!$A$56,0,IF(($G18-$E18)&lt;='VALORES TABELA'!$A$57,($G18-$E18)*'VALORES TABELA'!$B$57-'VALORES TABELA'!$C$57,IF(($G18-$E18)&lt;='VALORES TABELA'!$A$58,($G18-$E18)*'VALORES TABELA'!$B$58-'VALORES TABELA'!$C$58,IF(($G18-$E18)&lt;='VALORES TABELA'!$A$59,($G18-$E18)*'VALORES TABELA'!$B$59-'VALORES TABELA'!$C$59,($G18-$E18)*'VALORES TABELA'!$B$60-'VALORES TABELA'!$C$60))))</f>
        <v>1929.4080830000007</v>
      </c>
      <c r="K18" s="431">
        <f>IF(($I18-$E18)&lt;='VALORES TABELA'!$A$56,0,IF(($I18-$E18)&lt;='VALORES TABELA'!$A$57,($I18-$E18)*'VALORES TABELA'!$B$57-'VALORES TABELA'!$C$57,IF(($I18-$E18)&lt;='VALORES TABELA'!$A$58,($I18-$E18)*'VALORES TABELA'!$B$58-'VALORES TABELA'!$C$58,IF(($I18-$E18)&lt;='VALORES TABELA'!$A$59,($I18-$E18)*'VALORES TABELA'!$B$59-'VALORES TABELA'!$C$59,($I18-$E18)*'VALORES TABELA'!$B$60-'VALORES TABELA'!$C$60))))-J17</f>
        <v>517.43947200000048</v>
      </c>
    </row>
    <row r="19" spans="1:11" ht="20.25" customHeight="1" x14ac:dyDescent="0.2">
      <c r="A19" t="s">
        <v>3252</v>
      </c>
      <c r="B19" t="s">
        <v>3289</v>
      </c>
      <c r="C19" t="s">
        <v>3310</v>
      </c>
      <c r="D19" s="430">
        <f>SUMIF('APONTAMENTO CREDENCIAMENTO'!$D$5:$D$3994,$A19,'APONTAMENTO CREDENCIAMENTO'!$FE$5:$FE$3994)</f>
        <v>9861.7400000000016</v>
      </c>
      <c r="E19" s="431">
        <f t="shared" si="1"/>
        <v>216.95828000000006</v>
      </c>
      <c r="F19" s="431">
        <f>$D19*'VALORES TABELA'!$B$45*'VALORES TABELA'!$B$46</f>
        <v>49.308700000000016</v>
      </c>
      <c r="G19" s="431">
        <f t="shared" si="2"/>
        <v>5917.0440000000008</v>
      </c>
      <c r="H19" s="431">
        <f>_xlfn.LET(_xlpm.base,G19,_xlpm.bruto,E19+G19,_xlpm.ir_normal,IF(_xlpm.base&lt;='VALORES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556.54</v>
      </c>
      <c r="I19" s="431">
        <f>IF($C19=$C18,($D19+$D18)*'VALORES TABELA'!$B$50-$E18,$D19*'VALORES TABELA'!$B$50)</f>
        <v>5917.0440000000008</v>
      </c>
      <c r="J19" s="431">
        <f>IF(($G19-E19)&lt;='VALORES TABELA'!$A$56,0,IF(($G19-$E19)&lt;='VALORES TABELA'!$A$57,($G19-$E19)*'VALORES TABELA'!$B$57-'VALORES TABELA'!$C$57,IF(($G19-$E19)&lt;='VALORES TABELA'!$A$58,($G19-$E19)*'VALORES TABELA'!$B$58-'VALORES TABELA'!$C$58,IF(($G19-$E19)&lt;='VALORES TABELA'!$A$59,($G19-$E19)*'VALORES TABELA'!$B$59-'VALORES TABELA'!$C$59,($G19-$E19)*'VALORES TABELA'!$B$60-'VALORES TABELA'!$C$60))))</f>
        <v>658.79357300000038</v>
      </c>
      <c r="K19" s="431">
        <f>IF(($I19-$E19)&lt;='VALORES TABELA'!$A$56,0,IF(($I19-$E19)&lt;='VALORES TABELA'!$A$57,($I19-$E19)*'VALORES TABELA'!$B$57-'VALORES TABELA'!$C$57,IF(($I19-$E19)&lt;='VALORES TABELA'!$A$58,($I19-$E19)*'VALORES TABELA'!$B$58-'VALORES TABELA'!$C$58,IF(($I19-$E19)&lt;='VALORES TABELA'!$A$59,($I19-$E19)*'VALORES TABELA'!$B$59-'VALORES TABELA'!$C$59,($I19-$E19)*'VALORES TABELA'!$B$60-'VALORES TABELA'!$C$60))))-J18</f>
        <v>-1270.6145100000003</v>
      </c>
    </row>
    <row r="20" spans="1:11" ht="20.25" customHeight="1" x14ac:dyDescent="0.2">
      <c r="A20" t="s">
        <v>3256</v>
      </c>
      <c r="B20" t="s">
        <v>3290</v>
      </c>
      <c r="C20" t="s">
        <v>3311</v>
      </c>
      <c r="D20" s="430">
        <f>SUMIF('APONTAMENTO CREDENCIAMENTO'!$D$5:$D$3994,$A20,'APONTAMENTO CREDENCIAMENTO'!$FE$5:$FE$3994)</f>
        <v>21078.298000000003</v>
      </c>
      <c r="E20" s="431">
        <f t="shared" si="1"/>
        <v>463.72255600000011</v>
      </c>
      <c r="F20" s="431">
        <f>$D20*'VALORES TABELA'!$B$45*'VALORES TABELA'!$B$46</f>
        <v>105.39149000000003</v>
      </c>
      <c r="G20" s="431">
        <f t="shared" si="2"/>
        <v>12646.978800000001</v>
      </c>
      <c r="H20" s="431">
        <f>_xlfn.LET(_xlpm.base,G20,_xlpm.bruto,E20+G20,_xlpm.ir_normal,IF(_xlpm.base&lt;='VALORES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2569.1799999999998</v>
      </c>
      <c r="I20" s="431">
        <f>IF($C20=$C19,($D20+$D19)*'VALORES TABELA'!$B$50-$E19,$D20*'VALORES TABELA'!$B$50)</f>
        <v>12646.978800000001</v>
      </c>
      <c r="J20" s="431">
        <f>IF(($G20-E20)&lt;='VALORES TABELA'!$A$56,0,IF(($G20-$E20)&lt;='VALORES TABELA'!$A$57,($G20-$E20)*'VALORES TABELA'!$B$57-'VALORES TABELA'!$C$57,IF(($G20-$E20)&lt;='VALORES TABELA'!$A$58,($G20-$E20)*'VALORES TABELA'!$B$58-'VALORES TABELA'!$C$58,IF(($G20-$E20)&lt;='VALORES TABELA'!$A$59,($G20-$E20)*'VALORES TABELA'!$B$59-'VALORES TABELA'!$C$59,($G20-$E20)*'VALORES TABELA'!$B$60-'VALORES TABELA'!$C$60))))</f>
        <v>2441.6654671000001</v>
      </c>
      <c r="K20" s="431">
        <f>IF(($I20-$E20)&lt;='VALORES TABELA'!$A$56,0,IF(($I20-$E20)&lt;='VALORES TABELA'!$A$57,($I20-$E20)*'VALORES TABELA'!$B$57-'VALORES TABELA'!$C$57,IF(($I20-$E20)&lt;='VALORES TABELA'!$A$58,($I20-$E20)*'VALORES TABELA'!$B$58-'VALORES TABELA'!$C$58,IF(($I20-$E20)&lt;='VALORES TABELA'!$A$59,($I20-$E20)*'VALORES TABELA'!$B$59-'VALORES TABELA'!$C$59,($I20-$E20)*'VALORES TABELA'!$B$60-'VALORES TABELA'!$C$60))))-J19</f>
        <v>1782.8718940999997</v>
      </c>
    </row>
    <row r="21" spans="1:11" ht="20.25" customHeight="1" x14ac:dyDescent="0.2">
      <c r="A21" t="s">
        <v>3260</v>
      </c>
      <c r="B21" t="s">
        <v>3291</v>
      </c>
      <c r="C21" t="s">
        <v>3312</v>
      </c>
      <c r="D21" s="430">
        <f>SUMIF('APONTAMENTO CREDENCIAMENTO'!$D$5:$D$3994,$A21,'APONTAMENTO CREDENCIAMENTO'!$FE$5:$FE$3994)</f>
        <v>21771.934000000005</v>
      </c>
      <c r="E21" s="431">
        <f t="shared" si="1"/>
        <v>478.98254800000012</v>
      </c>
      <c r="F21" s="431">
        <f>$D21*'VALORES TABELA'!$B$45*'VALORES TABELA'!$B$46</f>
        <v>108.85967000000004</v>
      </c>
      <c r="G21" s="431">
        <f t="shared" si="2"/>
        <v>13063.160400000002</v>
      </c>
      <c r="H21" s="431">
        <f>_xlfn.LET(_xlpm.base,G21,_xlpm.bruto,E21+G21,_xlpm.ir_normal,IF(_xlpm.base&lt;='VALORES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2683.63</v>
      </c>
      <c r="I21" s="431">
        <f>IF($C21=$C20,($D21+$D20)*'VALORES TABELA'!$B$50-$E20,$D21*'VALORES TABELA'!$B$50)</f>
        <v>13063.160400000002</v>
      </c>
      <c r="J21" s="431">
        <f>IF(($G21-E21)&lt;='VALORES TABELA'!$A$56,0,IF(($G21-$E21)&lt;='VALORES TABELA'!$A$57,($G21-$E21)*'VALORES TABELA'!$B$57-'VALORES TABELA'!$C$57,IF(($G21-$E21)&lt;='VALORES TABELA'!$A$58,($G21-$E21)*'VALORES TABELA'!$B$58-'VALORES TABELA'!$C$58,IF(($G21-$E21)&lt;='VALORES TABELA'!$A$59,($G21-$E21)*'VALORES TABELA'!$B$59-'VALORES TABELA'!$C$59,($G21-$E21)*'VALORES TABELA'!$B$60-'VALORES TABELA'!$C$60))))</f>
        <v>2551.9189093000009</v>
      </c>
      <c r="K21" s="431">
        <f>IF(($I21-$E21)&lt;='VALORES TABELA'!$A$56,0,IF(($I21-$E21)&lt;='VALORES TABELA'!$A$57,($I21-$E21)*'VALORES TABELA'!$B$57-'VALORES TABELA'!$C$57,IF(($I21-$E21)&lt;='VALORES TABELA'!$A$58,($I21-$E21)*'VALORES TABELA'!$B$58-'VALORES TABELA'!$C$58,IF(($I21-$E21)&lt;='VALORES TABELA'!$A$59,($I21-$E21)*'VALORES TABELA'!$B$59-'VALORES TABELA'!$C$59,($I21-$E21)*'VALORES TABELA'!$B$60-'VALORES TABELA'!$C$60))))-J20</f>
        <v>110.25344220000079</v>
      </c>
    </row>
    <row r="22" spans="1:11" ht="20.25" customHeight="1" x14ac:dyDescent="0.2">
      <c r="A22" t="s">
        <v>3264</v>
      </c>
      <c r="B22" t="s">
        <v>3292</v>
      </c>
      <c r="C22" t="s">
        <v>3313</v>
      </c>
      <c r="D22" s="430">
        <f>SUMIF('APONTAMENTO CREDENCIAMENTO'!$D$5:$D$3994,$A22,'APONTAMENTO CREDENCIAMENTO'!$FE$5:$FE$3994)</f>
        <v>9470.0710000000017</v>
      </c>
      <c r="E22" s="431">
        <f t="shared" si="1"/>
        <v>208.34156200000007</v>
      </c>
      <c r="F22" s="431">
        <f>$D22*'VALORES TABELA'!$B$45*'VALORES TABELA'!$B$46</f>
        <v>47.350355000000015</v>
      </c>
      <c r="G22" s="431">
        <f t="shared" si="2"/>
        <v>5682.0426000000007</v>
      </c>
      <c r="H22" s="431">
        <f>_xlfn.LET(_xlpm.base,G22,_xlpm.bruto,E22+G22,_xlpm.ir_normal,IF(_xlpm.base&lt;='VALORES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459.48</v>
      </c>
      <c r="I22" s="431">
        <f>IF($C22=$C21,($D22+$D21)*'VALORES TABELA'!$B$50-$E21,$D22*'VALORES TABELA'!$B$50)</f>
        <v>5682.0426000000007</v>
      </c>
      <c r="J22" s="431">
        <f>IF(($G22-E22)&lt;='VALORES TABELA'!$A$56,0,IF(($G22-$E22)&lt;='VALORES TABELA'!$A$57,($G22-$E22)*'VALORES TABELA'!$B$57-'VALORES TABELA'!$C$57,IF(($G22-$E22)&lt;='VALORES TABELA'!$A$58,($G22-$E22)*'VALORES TABELA'!$B$58-'VALORES TABELA'!$C$58,IF(($G22-$E22)&lt;='VALORES TABELA'!$A$59,($G22-$E22)*'VALORES TABELA'!$B$59-'VALORES TABELA'!$C$59,($G22-$E22)*'VALORES TABELA'!$B$60-'VALORES TABELA'!$C$60))))</f>
        <v>596.53778545000046</v>
      </c>
      <c r="K22" s="431">
        <f>IF(($I22-$E22)&lt;='VALORES TABELA'!$A$56,0,IF(($I22-$E22)&lt;='VALORES TABELA'!$A$57,($I22-$E22)*'VALORES TABELA'!$B$57-'VALORES TABELA'!$C$57,IF(($I22-$E22)&lt;='VALORES TABELA'!$A$58,($I22-$E22)*'VALORES TABELA'!$B$58-'VALORES TABELA'!$C$58,IF(($I22-$E22)&lt;='VALORES TABELA'!$A$59,($I22-$E22)*'VALORES TABELA'!$B$59-'VALORES TABELA'!$C$59,($I22-$E22)*'VALORES TABELA'!$B$60-'VALORES TABELA'!$C$60))))-J21</f>
        <v>-1955.3811238500004</v>
      </c>
    </row>
    <row r="23" spans="1:11" ht="20.25" customHeight="1" x14ac:dyDescent="0.2">
      <c r="A23" t="s">
        <v>3268</v>
      </c>
      <c r="B23" t="s">
        <v>3293</v>
      </c>
      <c r="C23" t="s">
        <v>3314</v>
      </c>
      <c r="D23" s="430">
        <f>SUMIF('APONTAMENTO CREDENCIAMENTO'!$D$5:$D$3994,$A23,'APONTAMENTO CREDENCIAMENTO'!$FE$5:$FE$3994)</f>
        <v>12407.866000000002</v>
      </c>
      <c r="E23" s="431">
        <f t="shared" si="1"/>
        <v>272.97305200000011</v>
      </c>
      <c r="F23" s="431">
        <f>$D23*'VALORES TABELA'!$B$45*'VALORES TABELA'!$B$46</f>
        <v>62.039330000000021</v>
      </c>
      <c r="G23" s="431">
        <f t="shared" si="2"/>
        <v>7444.7196000000004</v>
      </c>
      <c r="H23" s="431">
        <f>_xlfn.LET(_xlpm.base,G23,_xlpm.bruto,E23+G23,_xlpm.ir_normal,IF(_xlpm.base&lt;='VALORES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1138.56</v>
      </c>
      <c r="I23" s="431">
        <f>IF($C23=$C22,($D23+$D22)*'VALORES TABELA'!$B$50-$E22,$D23*'VALORES TABELA'!$B$50)</f>
        <v>7444.7196000000004</v>
      </c>
      <c r="J23" s="431">
        <f>IF(($G23-E23)&lt;='VALORES TABELA'!$A$56,0,IF(($G23-$E23)&lt;='VALORES TABELA'!$A$57,($G23-$E23)*'VALORES TABELA'!$B$57-'VALORES TABELA'!$C$57,IF(($G23-$E23)&lt;='VALORES TABELA'!$A$58,($G23-$E23)*'VALORES TABELA'!$B$58-'VALORES TABELA'!$C$58,IF(($G23-$E23)&lt;='VALORES TABELA'!$A$59,($G23-$E23)*'VALORES TABELA'!$B$59-'VALORES TABELA'!$C$59,($G23-$E23)*'VALORES TABELA'!$B$60-'VALORES TABELA'!$C$60))))</f>
        <v>1063.5003007000003</v>
      </c>
      <c r="K23" s="431">
        <f>IF(($I23-$E23)&lt;='VALORES TABELA'!$A$56,0,IF(($I23-$E23)&lt;='VALORES TABELA'!$A$57,($I23-$E23)*'VALORES TABELA'!$B$57-'VALORES TABELA'!$C$57,IF(($I23-$E23)&lt;='VALORES TABELA'!$A$58,($I23-$E23)*'VALORES TABELA'!$B$58-'VALORES TABELA'!$C$58,IF(($I23-$E23)&lt;='VALORES TABELA'!$A$59,($I23-$E23)*'VALORES TABELA'!$B$59-'VALORES TABELA'!$C$59,($I23-$E23)*'VALORES TABELA'!$B$60-'VALORES TABELA'!$C$60))))-J22</f>
        <v>466.9625152499998</v>
      </c>
    </row>
    <row r="24" spans="1:11" ht="20.25" customHeight="1" x14ac:dyDescent="0.2">
      <c r="A24" t="s">
        <v>3272</v>
      </c>
      <c r="B24" t="s">
        <v>3294</v>
      </c>
      <c r="C24" t="s">
        <v>3315</v>
      </c>
      <c r="D24" s="430">
        <f>SUMIF('APONTAMENTO CREDENCIAMENTO'!$D$5:$D$3994,$A24,'APONTAMENTO CREDENCIAMENTO'!$FE$5:$FE$3994)</f>
        <v>23589.0095</v>
      </c>
      <c r="E24" s="431">
        <f t="shared" si="1"/>
        <v>518.95820900000001</v>
      </c>
      <c r="F24" s="431">
        <f>$D24*'VALORES TABELA'!$B$45*'VALORES TABELA'!$B$46</f>
        <v>117.94504750000002</v>
      </c>
      <c r="G24" s="431">
        <f t="shared" si="2"/>
        <v>14153.405699999999</v>
      </c>
      <c r="H24" s="431">
        <f>_xlfn.LET(_xlpm.base,G24,_xlpm.bruto,E24+G24,_xlpm.ir_normal,IF(_xlpm.base&lt;='VALORES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2983.45</v>
      </c>
      <c r="I24" s="431">
        <f>IF($C24=$C23,($D24+$D23)*'VALORES TABELA'!$B$50-$E23,$D24*'VALORES TABELA'!$B$50)</f>
        <v>14153.405699999999</v>
      </c>
      <c r="J24" s="431">
        <f>IF(($G24-E24)&lt;='VALORES TABELA'!$A$56,0,IF(($G24-$E24)&lt;='VALORES TABELA'!$A$57,($G24-$E24)*'VALORES TABELA'!$B$57-'VALORES TABELA'!$C$57,IF(($G24-$E24)&lt;='VALORES TABELA'!$A$58,($G24-$E24)*'VALORES TABELA'!$B$58-'VALORES TABELA'!$C$58,IF(($G24-$E24)&lt;='VALORES TABELA'!$A$59,($G24-$E24)*'VALORES TABELA'!$B$59-'VALORES TABELA'!$C$59,($G24-$E24)*'VALORES TABELA'!$B$60-'VALORES TABELA'!$C$60))))</f>
        <v>2840.743060025</v>
      </c>
      <c r="K24" s="431">
        <f>IF(($I24-$E24)&lt;='VALORES TABELA'!$A$56,0,IF(($I24-$E24)&lt;='VALORES TABELA'!$A$57,($I24-$E24)*'VALORES TABELA'!$B$57-'VALORES TABELA'!$C$57,IF(($I24-$E24)&lt;='VALORES TABELA'!$A$58,($I24-$E24)*'VALORES TABELA'!$B$58-'VALORES TABELA'!$C$58,IF(($I24-$E24)&lt;='VALORES TABELA'!$A$59,($I24-$E24)*'VALORES TABELA'!$B$59-'VALORES TABELA'!$C$59,($I24-$E24)*'VALORES TABELA'!$B$60-'VALORES TABELA'!$C$60))))-J23</f>
        <v>1777.2427593249997</v>
      </c>
    </row>
    <row r="25" spans="1:11" ht="20.25" customHeight="1" x14ac:dyDescent="0.2">
      <c r="A25"/>
      <c r="B25"/>
      <c r="C25"/>
    </row>
    <row r="26" spans="1:11" ht="20.25" customHeight="1" x14ac:dyDescent="0.2">
      <c r="A26"/>
      <c r="B26"/>
      <c r="C26"/>
    </row>
    <row r="27" spans="1:11" ht="20.25" customHeight="1" x14ac:dyDescent="0.2">
      <c r="A27"/>
      <c r="B27"/>
      <c r="C27"/>
    </row>
    <row r="28" spans="1:11" ht="20.25" customHeight="1" x14ac:dyDescent="0.2">
      <c r="A28"/>
      <c r="B28"/>
      <c r="C28"/>
    </row>
    <row r="29" spans="1:11" ht="20.25" customHeight="1" x14ac:dyDescent="0.2">
      <c r="A29"/>
      <c r="B29"/>
      <c r="C29"/>
    </row>
    <row r="30" spans="1:11" ht="20.25" customHeight="1" x14ac:dyDescent="0.2">
      <c r="A30"/>
      <c r="B30"/>
      <c r="C30"/>
    </row>
    <row r="31" spans="1:11" ht="20.25" customHeight="1" x14ac:dyDescent="0.2">
      <c r="A31"/>
      <c r="B31"/>
      <c r="C31"/>
    </row>
    <row r="32" spans="1:11" ht="20.25" customHeight="1" x14ac:dyDescent="0.2">
      <c r="A32"/>
      <c r="B32"/>
      <c r="C32"/>
    </row>
    <row r="33" spans="1:3" ht="20.25" customHeight="1" x14ac:dyDescent="0.2">
      <c r="A33"/>
      <c r="B33"/>
      <c r="C33"/>
    </row>
    <row r="34" spans="1:3" ht="20.25" customHeight="1" x14ac:dyDescent="0.2">
      <c r="A34"/>
      <c r="B34"/>
      <c r="C34"/>
    </row>
    <row r="35" spans="1:3" ht="20.25" customHeight="1" x14ac:dyDescent="0.2">
      <c r="A35"/>
      <c r="B35"/>
      <c r="C35"/>
    </row>
    <row r="36" spans="1:3" ht="20.25" customHeight="1" x14ac:dyDescent="0.2">
      <c r="A36"/>
      <c r="B36"/>
      <c r="C36"/>
    </row>
    <row r="37" spans="1:3" ht="20.25" customHeight="1" x14ac:dyDescent="0.2">
      <c r="A37"/>
      <c r="B37"/>
      <c r="C37"/>
    </row>
    <row r="38" spans="1:3" ht="20.25" customHeight="1" x14ac:dyDescent="0.2">
      <c r="A38"/>
      <c r="B38"/>
      <c r="C38"/>
    </row>
    <row r="39" spans="1:3" ht="20.25" customHeight="1" x14ac:dyDescent="0.2">
      <c r="A39"/>
      <c r="B39"/>
      <c r="C39"/>
    </row>
    <row r="40" spans="1:3" ht="20.25" customHeight="1" x14ac:dyDescent="0.2">
      <c r="A40"/>
      <c r="B40"/>
      <c r="C40"/>
    </row>
    <row r="41" spans="1:3" ht="20.25" customHeight="1" x14ac:dyDescent="0.2">
      <c r="A41"/>
      <c r="B41"/>
      <c r="C41"/>
    </row>
    <row r="42" spans="1:3" ht="20.25" customHeight="1" x14ac:dyDescent="0.2">
      <c r="A42"/>
      <c r="B42"/>
      <c r="C42"/>
    </row>
    <row r="43" spans="1:3" ht="20.25" customHeight="1" x14ac:dyDescent="0.2">
      <c r="A43"/>
      <c r="B43"/>
      <c r="C43"/>
    </row>
    <row r="44" spans="1:3" ht="20.25" customHeight="1" x14ac:dyDescent="0.2">
      <c r="A44"/>
      <c r="B44"/>
      <c r="C44"/>
    </row>
    <row r="45" spans="1:3" ht="20.25" customHeight="1" x14ac:dyDescent="0.2">
      <c r="A45"/>
      <c r="B45"/>
      <c r="C45"/>
    </row>
    <row r="46" spans="1:3" ht="20.25" customHeight="1" x14ac:dyDescent="0.2">
      <c r="A46"/>
      <c r="B46"/>
      <c r="C46"/>
    </row>
    <row r="47" spans="1:3" ht="20.25" customHeight="1" x14ac:dyDescent="0.2">
      <c r="A47"/>
      <c r="B47"/>
      <c r="C47"/>
    </row>
    <row r="48" spans="1:3" ht="20.25" customHeight="1" x14ac:dyDescent="0.2">
      <c r="A48"/>
      <c r="B48"/>
      <c r="C48"/>
    </row>
    <row r="49" spans="1:3" ht="20.25" customHeight="1" x14ac:dyDescent="0.2">
      <c r="A49"/>
      <c r="B49"/>
      <c r="C49"/>
    </row>
    <row r="50" spans="1:3" ht="20.25" customHeight="1" x14ac:dyDescent="0.2">
      <c r="A50"/>
      <c r="B50"/>
      <c r="C50"/>
    </row>
    <row r="51" spans="1:3" ht="20.25" customHeight="1" x14ac:dyDescent="0.2">
      <c r="A51"/>
      <c r="B51"/>
      <c r="C51"/>
    </row>
    <row r="52" spans="1:3" ht="20.25" customHeight="1" x14ac:dyDescent="0.2">
      <c r="A52"/>
      <c r="B52"/>
      <c r="C52"/>
    </row>
    <row r="53" spans="1:3" ht="20.25" customHeight="1" x14ac:dyDescent="0.2">
      <c r="A53"/>
      <c r="B53"/>
      <c r="C53"/>
    </row>
    <row r="54" spans="1:3" ht="20.25" customHeight="1" x14ac:dyDescent="0.2">
      <c r="A54"/>
      <c r="B54"/>
      <c r="C54"/>
    </row>
    <row r="55" spans="1:3" ht="20.25" customHeight="1" x14ac:dyDescent="0.2">
      <c r="A55"/>
      <c r="B55"/>
      <c r="C55"/>
    </row>
    <row r="56" spans="1:3" ht="20.25" customHeight="1" x14ac:dyDescent="0.2">
      <c r="A56"/>
      <c r="B56"/>
      <c r="C56"/>
    </row>
    <row r="57" spans="1:3" ht="20.25" customHeight="1" x14ac:dyDescent="0.2">
      <c r="A57"/>
      <c r="B57"/>
      <c r="C57"/>
    </row>
    <row r="58" spans="1:3" ht="20.25" customHeight="1" x14ac:dyDescent="0.2">
      <c r="A58"/>
      <c r="B58"/>
      <c r="C58"/>
    </row>
    <row r="59" spans="1:3" ht="20.25" customHeight="1" x14ac:dyDescent="0.2">
      <c r="A59"/>
      <c r="B59"/>
      <c r="C59"/>
    </row>
    <row r="60" spans="1:3" ht="20.25" customHeight="1" x14ac:dyDescent="0.2">
      <c r="A60"/>
      <c r="B60"/>
      <c r="C60"/>
    </row>
    <row r="61" spans="1:3" ht="20.25" customHeight="1" x14ac:dyDescent="0.2">
      <c r="A61"/>
      <c r="B61"/>
      <c r="C61"/>
    </row>
    <row r="62" spans="1:3" ht="20.25" customHeight="1" x14ac:dyDescent="0.2">
      <c r="A62"/>
      <c r="B62"/>
      <c r="C62"/>
    </row>
    <row r="63" spans="1:3" ht="20.25" customHeight="1" x14ac:dyDescent="0.2">
      <c r="A63"/>
      <c r="B63"/>
      <c r="C63"/>
    </row>
    <row r="64" spans="1:3" ht="20.25" customHeight="1" x14ac:dyDescent="0.2">
      <c r="A64"/>
      <c r="B64"/>
      <c r="C64"/>
    </row>
    <row r="65" spans="1:3" ht="20.25" customHeight="1" x14ac:dyDescent="0.2">
      <c r="A65"/>
      <c r="B65"/>
      <c r="C65"/>
    </row>
    <row r="66" spans="1:3" ht="20.25" customHeight="1" x14ac:dyDescent="0.2">
      <c r="A66"/>
      <c r="B66"/>
      <c r="C66"/>
    </row>
    <row r="67" spans="1:3" ht="20.25" customHeight="1" x14ac:dyDescent="0.2">
      <c r="A67"/>
      <c r="B67"/>
      <c r="C67"/>
    </row>
    <row r="68" spans="1:3" ht="20.25" customHeight="1" x14ac:dyDescent="0.2">
      <c r="A68"/>
      <c r="B68"/>
      <c r="C68"/>
    </row>
    <row r="69" spans="1:3" ht="20.25" customHeight="1" x14ac:dyDescent="0.2">
      <c r="A69"/>
      <c r="B69"/>
      <c r="C69"/>
    </row>
    <row r="70" spans="1:3" ht="20.25" customHeight="1" x14ac:dyDescent="0.2">
      <c r="A70"/>
      <c r="B70"/>
      <c r="C70"/>
    </row>
    <row r="71" spans="1:3" ht="20.25" customHeight="1" x14ac:dyDescent="0.2">
      <c r="A71"/>
      <c r="B71"/>
      <c r="C71"/>
    </row>
    <row r="72" spans="1:3" ht="20.25" customHeight="1" x14ac:dyDescent="0.2">
      <c r="A72"/>
      <c r="B72"/>
      <c r="C72"/>
    </row>
    <row r="73" spans="1:3" ht="20.25" customHeight="1" x14ac:dyDescent="0.2">
      <c r="A73"/>
      <c r="B73"/>
      <c r="C73"/>
    </row>
    <row r="74" spans="1:3" ht="20.25" customHeight="1" x14ac:dyDescent="0.2">
      <c r="A74"/>
      <c r="B74"/>
      <c r="C74"/>
    </row>
    <row r="75" spans="1:3" ht="20.25" customHeight="1" x14ac:dyDescent="0.2">
      <c r="A75"/>
      <c r="B75"/>
      <c r="C75"/>
    </row>
    <row r="76" spans="1:3" ht="20.25" customHeight="1" x14ac:dyDescent="0.2">
      <c r="A76"/>
      <c r="B76"/>
      <c r="C76"/>
    </row>
    <row r="77" spans="1:3" ht="20.25" customHeight="1" x14ac:dyDescent="0.2">
      <c r="A77"/>
      <c r="B77"/>
      <c r="C77"/>
    </row>
    <row r="78" spans="1:3" ht="20.25" customHeight="1" x14ac:dyDescent="0.2">
      <c r="A78"/>
      <c r="B78"/>
      <c r="C78"/>
    </row>
    <row r="79" spans="1:3" ht="20.25" customHeight="1" x14ac:dyDescent="0.2">
      <c r="A79"/>
      <c r="B79"/>
      <c r="C79"/>
    </row>
    <row r="80" spans="1:3" ht="20.25" customHeight="1" x14ac:dyDescent="0.2">
      <c r="A80"/>
      <c r="B80"/>
      <c r="C80"/>
    </row>
    <row r="81" spans="1:3" ht="20.25" customHeight="1" x14ac:dyDescent="0.2">
      <c r="A81"/>
      <c r="B81"/>
      <c r="C81"/>
    </row>
    <row r="82" spans="1:3" ht="20.25" customHeight="1" x14ac:dyDescent="0.2">
      <c r="A82"/>
      <c r="B82"/>
      <c r="C82"/>
    </row>
    <row r="83" spans="1:3" ht="20.25" customHeight="1" x14ac:dyDescent="0.2">
      <c r="A83"/>
      <c r="B83"/>
      <c r="C83"/>
    </row>
    <row r="84" spans="1:3" ht="20.25" customHeight="1" x14ac:dyDescent="0.2">
      <c r="A84"/>
      <c r="B84"/>
      <c r="C84"/>
    </row>
    <row r="85" spans="1:3" ht="20.25" customHeight="1" x14ac:dyDescent="0.2">
      <c r="A85"/>
      <c r="B85"/>
      <c r="C85"/>
    </row>
    <row r="86" spans="1:3" ht="20.25" customHeight="1" x14ac:dyDescent="0.2">
      <c r="A86"/>
      <c r="B86"/>
      <c r="C86"/>
    </row>
    <row r="87" spans="1:3" ht="20.25" customHeight="1" x14ac:dyDescent="0.2">
      <c r="A87"/>
      <c r="B87"/>
      <c r="C87"/>
    </row>
    <row r="88" spans="1:3" ht="20.25" customHeight="1" x14ac:dyDescent="0.2">
      <c r="A88"/>
      <c r="B88"/>
      <c r="C88"/>
    </row>
    <row r="89" spans="1:3" ht="20.25" customHeight="1" x14ac:dyDescent="0.2">
      <c r="A89"/>
      <c r="B89"/>
      <c r="C89"/>
    </row>
    <row r="90" spans="1:3" ht="20.25" customHeight="1" x14ac:dyDescent="0.2">
      <c r="A90"/>
      <c r="B90"/>
      <c r="C90"/>
    </row>
    <row r="91" spans="1:3" ht="20.25" customHeight="1" x14ac:dyDescent="0.2">
      <c r="A91"/>
      <c r="B91"/>
      <c r="C91"/>
    </row>
    <row r="92" spans="1:3" ht="20.25" customHeight="1" x14ac:dyDescent="0.2">
      <c r="A92"/>
      <c r="B92"/>
      <c r="C92"/>
    </row>
    <row r="93" spans="1:3" ht="20.25" customHeight="1" x14ac:dyDescent="0.2">
      <c r="A93"/>
      <c r="B93"/>
      <c r="C93"/>
    </row>
    <row r="94" spans="1:3" ht="20.25" customHeight="1" x14ac:dyDescent="0.2">
      <c r="A94"/>
      <c r="B94"/>
      <c r="C94"/>
    </row>
    <row r="95" spans="1:3" ht="20.25" customHeight="1" x14ac:dyDescent="0.2">
      <c r="A95"/>
      <c r="B95"/>
      <c r="C95"/>
    </row>
    <row r="96" spans="1:3" ht="20.25" customHeight="1" x14ac:dyDescent="0.2">
      <c r="A96"/>
      <c r="B96"/>
      <c r="C96"/>
    </row>
    <row r="97" spans="1:3" ht="20.25" customHeight="1" x14ac:dyDescent="0.2">
      <c r="A97"/>
      <c r="B97"/>
      <c r="C97"/>
    </row>
    <row r="98" spans="1:3" ht="20.25" customHeight="1" x14ac:dyDescent="0.2">
      <c r="A98"/>
      <c r="B98"/>
      <c r="C98"/>
    </row>
    <row r="99" spans="1:3" ht="20.25" customHeight="1" x14ac:dyDescent="0.2">
      <c r="A99"/>
      <c r="B99"/>
      <c r="C99"/>
    </row>
    <row r="100" spans="1:3" ht="20.25" customHeight="1" x14ac:dyDescent="0.2">
      <c r="A100"/>
      <c r="B100"/>
      <c r="C100"/>
    </row>
    <row r="101" spans="1:3" ht="20.25" customHeight="1" x14ac:dyDescent="0.2">
      <c r="A101"/>
      <c r="B101"/>
      <c r="C101"/>
    </row>
    <row r="102" spans="1:3" ht="20.25" customHeight="1" x14ac:dyDescent="0.2">
      <c r="A102"/>
      <c r="B102"/>
      <c r="C102"/>
    </row>
    <row r="103" spans="1:3" ht="20.25" customHeight="1" x14ac:dyDescent="0.2">
      <c r="A103"/>
      <c r="B103"/>
      <c r="C103"/>
    </row>
    <row r="104" spans="1:3" ht="20.25" customHeight="1" x14ac:dyDescent="0.2">
      <c r="A104"/>
      <c r="B104"/>
      <c r="C104"/>
    </row>
    <row r="105" spans="1:3" ht="20.25" customHeight="1" x14ac:dyDescent="0.2">
      <c r="A105"/>
      <c r="B105"/>
      <c r="C105"/>
    </row>
    <row r="106" spans="1:3" ht="20.25" customHeight="1" x14ac:dyDescent="0.2">
      <c r="A106"/>
      <c r="B106"/>
      <c r="C106"/>
    </row>
    <row r="107" spans="1:3" ht="20.25" customHeight="1" x14ac:dyDescent="0.2">
      <c r="A107"/>
      <c r="B107"/>
      <c r="C107"/>
    </row>
    <row r="108" spans="1:3" ht="20.25" customHeight="1" x14ac:dyDescent="0.2">
      <c r="A108"/>
      <c r="B108"/>
      <c r="C108"/>
    </row>
    <row r="109" spans="1:3" ht="20.25" customHeight="1" x14ac:dyDescent="0.2">
      <c r="A109"/>
      <c r="B109"/>
      <c r="C109"/>
    </row>
    <row r="110" spans="1:3" ht="20.25" customHeight="1" x14ac:dyDescent="0.2">
      <c r="A110"/>
      <c r="B110"/>
      <c r="C110"/>
    </row>
    <row r="111" spans="1:3" ht="20.25" customHeight="1" x14ac:dyDescent="0.2">
      <c r="A111"/>
      <c r="B111"/>
      <c r="C111"/>
    </row>
    <row r="112" spans="1:3" ht="20.25" customHeight="1" x14ac:dyDescent="0.2">
      <c r="A112"/>
      <c r="B112"/>
      <c r="C112"/>
    </row>
    <row r="113" spans="1:3" ht="20.25" customHeight="1" x14ac:dyDescent="0.2">
      <c r="A113"/>
      <c r="B113"/>
      <c r="C113"/>
    </row>
    <row r="114" spans="1:3" ht="20.25" customHeight="1" x14ac:dyDescent="0.2">
      <c r="A114"/>
      <c r="B114"/>
      <c r="C114"/>
    </row>
    <row r="115" spans="1:3" ht="20.25" customHeight="1" x14ac:dyDescent="0.2">
      <c r="A115"/>
      <c r="B115"/>
      <c r="C115"/>
    </row>
    <row r="116" spans="1:3" ht="20.25" customHeight="1" x14ac:dyDescent="0.2">
      <c r="A116"/>
      <c r="B116"/>
      <c r="C116"/>
    </row>
    <row r="117" spans="1:3" ht="20.25" customHeight="1" x14ac:dyDescent="0.2">
      <c r="A117"/>
      <c r="B117"/>
      <c r="C117"/>
    </row>
    <row r="118" spans="1:3" ht="20.25" customHeight="1" x14ac:dyDescent="0.2">
      <c r="A118"/>
      <c r="B118"/>
      <c r="C118"/>
    </row>
    <row r="119" spans="1:3" ht="20.25" customHeight="1" x14ac:dyDescent="0.2">
      <c r="A119"/>
      <c r="B119"/>
      <c r="C119"/>
    </row>
    <row r="120" spans="1:3" ht="20.25" customHeight="1" x14ac:dyDescent="0.2">
      <c r="A120"/>
      <c r="B120"/>
      <c r="C120"/>
    </row>
    <row r="121" spans="1:3" ht="20.25" customHeight="1" x14ac:dyDescent="0.2">
      <c r="A121"/>
      <c r="B121"/>
      <c r="C121"/>
    </row>
    <row r="122" spans="1:3" ht="20.25" customHeight="1" x14ac:dyDescent="0.2">
      <c r="A122"/>
      <c r="B122"/>
      <c r="C122"/>
    </row>
    <row r="123" spans="1:3" ht="20.25" customHeight="1" x14ac:dyDescent="0.2">
      <c r="A123"/>
      <c r="B123"/>
      <c r="C123"/>
    </row>
    <row r="124" spans="1:3" ht="20.25" customHeight="1" x14ac:dyDescent="0.2">
      <c r="A124"/>
      <c r="B124"/>
      <c r="C124"/>
    </row>
    <row r="125" spans="1:3" ht="20.25" customHeight="1" x14ac:dyDescent="0.2">
      <c r="A125"/>
      <c r="B125"/>
      <c r="C125"/>
    </row>
    <row r="126" spans="1:3" ht="20.25" customHeight="1" x14ac:dyDescent="0.2">
      <c r="A126"/>
      <c r="B126"/>
      <c r="C126"/>
    </row>
    <row r="127" spans="1:3" ht="20.25" customHeight="1" x14ac:dyDescent="0.2">
      <c r="A127"/>
      <c r="B127"/>
      <c r="C127"/>
    </row>
    <row r="128" spans="1:3" ht="20.25" customHeight="1" x14ac:dyDescent="0.2">
      <c r="A128"/>
      <c r="B128"/>
      <c r="C128"/>
    </row>
    <row r="129" spans="1:3" ht="20.25" customHeight="1" x14ac:dyDescent="0.2">
      <c r="A129"/>
      <c r="B129"/>
      <c r="C129"/>
    </row>
    <row r="130" spans="1:3" ht="20.25" customHeight="1" x14ac:dyDescent="0.2">
      <c r="A130"/>
      <c r="B130"/>
      <c r="C130"/>
    </row>
    <row r="131" spans="1:3" ht="20.25" customHeight="1" x14ac:dyDescent="0.2">
      <c r="A131"/>
      <c r="B131"/>
      <c r="C131"/>
    </row>
    <row r="132" spans="1:3" ht="20.25" customHeight="1" x14ac:dyDescent="0.2">
      <c r="A132"/>
      <c r="B132"/>
      <c r="C132"/>
    </row>
    <row r="133" spans="1:3" ht="20.25" customHeight="1" x14ac:dyDescent="0.2">
      <c r="A133"/>
      <c r="B133"/>
      <c r="C133"/>
    </row>
    <row r="134" spans="1:3" ht="20.25" customHeight="1" x14ac:dyDescent="0.2">
      <c r="A134"/>
      <c r="B134"/>
      <c r="C134"/>
    </row>
    <row r="135" spans="1:3" ht="20.25" customHeight="1" x14ac:dyDescent="0.2">
      <c r="A135"/>
      <c r="B135"/>
      <c r="C135"/>
    </row>
    <row r="136" spans="1:3" ht="20.25" customHeight="1" x14ac:dyDescent="0.2">
      <c r="A136"/>
      <c r="B136"/>
      <c r="C136"/>
    </row>
    <row r="137" spans="1:3" ht="20.25" customHeight="1" x14ac:dyDescent="0.2">
      <c r="A137"/>
      <c r="B137"/>
      <c r="C137"/>
    </row>
    <row r="138" spans="1:3" ht="20.25" customHeight="1" x14ac:dyDescent="0.2">
      <c r="A138"/>
      <c r="B138"/>
      <c r="C138"/>
    </row>
    <row r="139" spans="1:3" ht="20.25" customHeight="1" x14ac:dyDescent="0.2">
      <c r="A139"/>
      <c r="B139"/>
      <c r="C139"/>
    </row>
    <row r="140" spans="1:3" ht="20.25" customHeight="1" x14ac:dyDescent="0.2">
      <c r="A140"/>
      <c r="B140"/>
      <c r="C140"/>
    </row>
  </sheetData>
  <sheetProtection formatCells="0" formatColumns="0" formatRows="0" autoFilter="0"/>
  <mergeCells count="10">
    <mergeCell ref="K1:K2"/>
    <mergeCell ref="G1:G2"/>
    <mergeCell ref="H1:H2"/>
    <mergeCell ref="I1:I2"/>
    <mergeCell ref="J1:J2"/>
    <mergeCell ref="C1:C2"/>
    <mergeCell ref="D1:D2"/>
    <mergeCell ref="E1:E2"/>
    <mergeCell ref="F1:F2"/>
    <mergeCell ref="A1:A2"/>
  </mergeCells>
  <conditionalFormatting sqref="A1:B3">
    <cfRule type="duplicateValues" dxfId="20" priority="129860"/>
  </conditionalFormatting>
  <conditionalFormatting sqref="A141:B1048576 A1:A3 B1:B4">
    <cfRule type="duplicateValues" dxfId="19" priority="129863"/>
  </conditionalFormatting>
  <printOptions horizontalCentered="1"/>
  <pageMargins left="0" right="0" top="0.39370078740157483" bottom="0.39370078740157483" header="0" footer="0"/>
  <pageSetup paperSize="37" scale="60" orientation="landscape" r:id="rId1"/>
  <headerFooter>
    <oddFooter>&amp;CPágina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">
    <pageSetUpPr fitToPage="1"/>
  </sheetPr>
  <dimension ref="A1:AT62"/>
  <sheetViews>
    <sheetView tabSelected="1" workbookViewId="0">
      <selection activeCell="I31" sqref="I31"/>
    </sheetView>
  </sheetViews>
  <sheetFormatPr defaultColWidth="9.140625" defaultRowHeight="12.75" x14ac:dyDescent="0.2"/>
  <cols>
    <col min="1" max="2" width="9.140625" style="50"/>
    <col min="3" max="3" width="14.42578125" style="50" customWidth="1"/>
    <col min="4" max="4" width="9.140625" style="50"/>
    <col min="5" max="5" width="14.42578125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25.28515625" style="50" customWidth="1"/>
    <col min="10" max="12" width="9.140625" style="50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6.7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6.5" thickBot="1" x14ac:dyDescent="0.3">
      <c r="A9" s="35"/>
      <c r="B9" s="765" t="s">
        <v>73</v>
      </c>
      <c r="C9" s="765"/>
      <c r="D9" s="765"/>
      <c r="E9" s="765"/>
      <c r="F9" s="765"/>
      <c r="G9" s="765"/>
      <c r="H9" s="765"/>
      <c r="I9" s="765"/>
    </row>
    <row r="10" spans="1:46" s="12" customFormat="1" ht="12.75" customHeight="1" thickBot="1" x14ac:dyDescent="0.25">
      <c r="A10" s="766" t="s">
        <v>74</v>
      </c>
      <c r="B10" s="767"/>
      <c r="C10" s="466" t="s">
        <v>11</v>
      </c>
      <c r="D10" s="767" t="s">
        <v>291</v>
      </c>
      <c r="E10" s="767"/>
      <c r="F10" s="465" t="s">
        <v>292</v>
      </c>
      <c r="G10" s="467" t="s">
        <v>290</v>
      </c>
      <c r="H10" s="465" t="s">
        <v>78</v>
      </c>
      <c r="I10" s="468" t="s">
        <v>79</v>
      </c>
    </row>
    <row r="11" spans="1:46" s="12" customFormat="1" ht="12.75" customHeight="1" x14ac:dyDescent="0.2">
      <c r="A11" s="458" t="str">
        <f>'BASE C'!B3</f>
        <v>2024/0008460</v>
      </c>
      <c r="B11" s="459"/>
      <c r="C11" s="460" t="str">
        <f>VLOOKUP(A11,ProcRel!A1:C5000,3,0)</f>
        <v>029.728-00</v>
      </c>
      <c r="D11" s="768" t="str">
        <f>VLOOKUP(A11,'APONTAMENTO CREDENCIAMENTO'!$D$6:$D$3994,1,FALSE)</f>
        <v>2024/0008460</v>
      </c>
      <c r="E11" s="768"/>
      <c r="F11" s="461">
        <f>SUMIF('APONTAMENTO CREDENCIAMENTO'!D$5:D$5097,A11,'APONTAMENTO CREDENCIAMENTO'!N$5:N$5097)</f>
        <v>0</v>
      </c>
      <c r="G11" s="462">
        <f>'EMPRESA C'!H16+'EMPRESA C'!I16+'EMPRESA C'!J16+'EMPRESA C'!K16+'EMPRESA C'!L16+'EMPRESA C'!M16</f>
        <v>38</v>
      </c>
      <c r="H11" s="463" t="str">
        <f>'BASE C'!E4</f>
        <v>ABRIL</v>
      </c>
      <c r="I11" s="464" t="str">
        <f>'BASE C'!D2</f>
        <v>BUTANTÃ</v>
      </c>
    </row>
    <row r="12" spans="1:46" s="12" customFormat="1" ht="12.75" customHeight="1" x14ac:dyDescent="0.2">
      <c r="A12" s="769" t="s">
        <v>80</v>
      </c>
      <c r="B12" s="770"/>
      <c r="C12" s="770"/>
      <c r="D12" s="770"/>
      <c r="E12" s="770"/>
      <c r="F12" s="771" t="s">
        <v>263</v>
      </c>
      <c r="G12" s="771"/>
      <c r="H12" s="771" t="s">
        <v>6</v>
      </c>
      <c r="I12" s="772"/>
    </row>
    <row r="13" spans="1:46" s="12" customFormat="1" ht="12.75" customHeight="1" thickBot="1" x14ac:dyDescent="0.25">
      <c r="A13" s="773" t="str">
        <f>VLOOKUP(A11,'APONTAMENTO CREDENCIAMENTO'!D1:J5097,6,FALSE)</f>
        <v>JACYARA DOS SANTOS SILVA</v>
      </c>
      <c r="B13" s="774"/>
      <c r="C13" s="774"/>
      <c r="D13" s="774"/>
      <c r="E13" s="775"/>
      <c r="F13" s="781" t="str">
        <f>VLOOKUP(A11,ProcRel1!E2:G5000,3,FALSE)</f>
        <v>284.997.118-98</v>
      </c>
      <c r="G13" s="781"/>
      <c r="H13" s="456" t="str">
        <f>'BASE C'!B4</f>
        <v>01/04/2026</v>
      </c>
      <c r="I13" s="457" t="str">
        <f>'BASE C'!C4</f>
        <v>30/04/2026</v>
      </c>
    </row>
    <row r="14" spans="1:46" s="12" customFormat="1" ht="12.75" customHeight="1" thickBot="1" x14ac:dyDescent="0.25">
      <c r="A14" s="776"/>
      <c r="B14" s="777"/>
      <c r="C14" s="777"/>
      <c r="D14" s="777"/>
      <c r="E14" s="777"/>
      <c r="F14" s="782" t="s">
        <v>82</v>
      </c>
      <c r="G14" s="783"/>
      <c r="H14" s="783" t="s">
        <v>83</v>
      </c>
      <c r="I14" s="784"/>
    </row>
    <row r="15" spans="1:46" s="12" customFormat="1" ht="12.75" customHeight="1" thickBot="1" x14ac:dyDescent="0.25">
      <c r="A15" s="778"/>
      <c r="B15" s="779"/>
      <c r="C15" s="779"/>
      <c r="D15" s="779"/>
      <c r="E15" s="780"/>
      <c r="F15" s="785" t="str">
        <f>VLOOKUP(A11,'APONTAMENTO CREDENCIAMENTO'!D1:O3992,12,FALSE)</f>
        <v>6020.2024/0008460-5</v>
      </c>
      <c r="G15" s="785"/>
      <c r="H15" s="786">
        <f>'VALORES TABELA'!B37</f>
        <v>46171</v>
      </c>
      <c r="I15" s="787"/>
    </row>
    <row r="16" spans="1:46" s="12" customFormat="1" ht="9.9499999999999993" customHeight="1" x14ac:dyDescent="0.2">
      <c r="A16" s="455"/>
      <c r="B16" s="455"/>
      <c r="C16" s="455"/>
      <c r="D16" s="455"/>
      <c r="E16" s="455"/>
      <c r="F16" s="455"/>
      <c r="G16" s="455"/>
      <c r="H16" s="455"/>
      <c r="I16" s="455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thickBot="1" x14ac:dyDescent="0.25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88" t="s">
        <v>85</v>
      </c>
      <c r="B19" s="789"/>
      <c r="C19" s="789"/>
      <c r="D19" s="789"/>
      <c r="E19" s="789"/>
      <c r="F19" s="789"/>
      <c r="G19" s="790"/>
      <c r="H19" s="791" t="s">
        <v>86</v>
      </c>
      <c r="I19" s="792"/>
    </row>
    <row r="20" spans="1:13" s="12" customFormat="1" ht="15" customHeight="1" x14ac:dyDescent="0.2">
      <c r="A20" s="469" t="s">
        <v>87</v>
      </c>
      <c r="B20" s="470" t="s">
        <v>289</v>
      </c>
      <c r="C20" s="471"/>
      <c r="D20" s="472"/>
      <c r="E20" s="471"/>
      <c r="F20" s="472"/>
      <c r="G20" s="471"/>
      <c r="H20" s="471"/>
      <c r="I20" s="494">
        <f>VLOOKUP(A11,'APONTAMENTO CREDENCIAMENTO'!$D$6:$EW$3994,150,FALSE)</f>
        <v>0</v>
      </c>
    </row>
    <row r="21" spans="1:13" s="12" customFormat="1" ht="15" customHeight="1" x14ac:dyDescent="0.2">
      <c r="A21" s="469" t="s">
        <v>88</v>
      </c>
      <c r="B21" s="470" t="s">
        <v>288</v>
      </c>
      <c r="C21" s="472"/>
      <c r="D21" s="472"/>
      <c r="E21" s="472"/>
      <c r="F21" s="497" t="s">
        <v>317</v>
      </c>
      <c r="G21" s="472"/>
      <c r="H21" s="472"/>
      <c r="I21" s="495">
        <f>SUMIF('APONTAMENTO CREDENCIAMENTO'!D$5:D$5097,A11,'APONTAMENTO CREDENCIAMENTO'!EX$5:EX$5097)</f>
        <v>15582.35</v>
      </c>
    </row>
    <row r="22" spans="1:13" s="12" customFormat="1" ht="15" customHeight="1" x14ac:dyDescent="0.2">
      <c r="A22" s="469" t="s">
        <v>89</v>
      </c>
      <c r="B22" s="473" t="s">
        <v>287</v>
      </c>
      <c r="C22" s="472"/>
      <c r="D22" s="474"/>
      <c r="E22" s="472"/>
      <c r="F22" s="474"/>
      <c r="G22" s="472"/>
      <c r="H22" s="472"/>
      <c r="I22" s="495">
        <f>SUMIF('APONTAMENTO CREDENCIAMENTO'!D5:D5097,A11,'APONTAMENTO CREDENCIAMENTO'!FB5:FB5097)</f>
        <v>0</v>
      </c>
      <c r="K22" s="55"/>
    </row>
    <row r="23" spans="1:13" s="12" customFormat="1" ht="15" customHeight="1" x14ac:dyDescent="0.2">
      <c r="A23" s="469" t="s">
        <v>90</v>
      </c>
      <c r="B23" s="470" t="s">
        <v>286</v>
      </c>
      <c r="C23" s="472"/>
      <c r="D23" s="472"/>
      <c r="E23" s="472"/>
      <c r="F23" s="472"/>
      <c r="G23" s="472"/>
      <c r="H23" s="472"/>
      <c r="I23" s="495">
        <f>SUMIF('APONTAMENTO CREDENCIAMENTO'!D5:D5097,A11,'APONTAMENTO CREDENCIAMENTO'!EZ5:EZ5097)</f>
        <v>179.774</v>
      </c>
      <c r="K23" s="55"/>
    </row>
    <row r="24" spans="1:13" s="12" customFormat="1" ht="15" customHeight="1" x14ac:dyDescent="0.2">
      <c r="A24" s="469" t="s">
        <v>91</v>
      </c>
      <c r="B24" s="470" t="s">
        <v>285</v>
      </c>
      <c r="C24" s="472"/>
      <c r="D24" s="472"/>
      <c r="E24" s="472"/>
      <c r="F24" s="472"/>
      <c r="G24" s="472"/>
      <c r="H24" s="472"/>
      <c r="I24" s="495">
        <f>SUMIF('APONTAMENTO CREDENCIAMENTO'!D5:D5097,A11,'APONTAMENTO CREDENCIAMENTO'!FA5:FA5097)</f>
        <v>0</v>
      </c>
      <c r="K24" s="55"/>
    </row>
    <row r="25" spans="1:13" s="12" customFormat="1" ht="15" customHeight="1" x14ac:dyDescent="0.2">
      <c r="A25" s="469" t="s">
        <v>92</v>
      </c>
      <c r="B25" s="470" t="s">
        <v>284</v>
      </c>
      <c r="C25" s="472"/>
      <c r="D25" s="472"/>
      <c r="E25" s="472"/>
      <c r="F25" s="472"/>
      <c r="G25" s="472"/>
      <c r="H25" s="472"/>
      <c r="I25" s="495">
        <f>SUMIF('APONTAMENTO CREDENCIAMENTO'!D5:D5097,A11,'APONTAMENTO CREDENCIAMENTO'!FC5:FC5097)</f>
        <v>0</v>
      </c>
      <c r="K25" s="55"/>
    </row>
    <row r="26" spans="1:13" s="12" customFormat="1" ht="15" customHeight="1" x14ac:dyDescent="0.2">
      <c r="A26" s="469" t="s">
        <v>93</v>
      </c>
      <c r="B26" s="475" t="s">
        <v>62</v>
      </c>
      <c r="C26" s="472"/>
      <c r="D26" s="476"/>
      <c r="E26" s="472"/>
      <c r="F26" s="476"/>
      <c r="G26" s="472"/>
      <c r="H26" s="472"/>
      <c r="I26" s="495">
        <f>VLOOKUP(A11,'APONTAMENTO CREDENCIAMENTO'!D5:IA5097,230,0)</f>
        <v>0</v>
      </c>
      <c r="K26" s="55"/>
      <c r="L26" s="42"/>
    </row>
    <row r="27" spans="1:13" s="12" customFormat="1" ht="15" customHeight="1" x14ac:dyDescent="0.2">
      <c r="A27" s="469" t="s">
        <v>94</v>
      </c>
      <c r="B27" s="475" t="s">
        <v>283</v>
      </c>
      <c r="C27" s="472"/>
      <c r="D27" s="476"/>
      <c r="E27" s="472"/>
      <c r="F27" s="476"/>
      <c r="G27" s="472"/>
      <c r="H27" s="472"/>
      <c r="I27" s="495">
        <f>VLOOKUP(A11,'APONTAMENTO CREDENCIAMENTO'!D5:IA5097,231,0)*-1</f>
        <v>0</v>
      </c>
      <c r="K27" s="55"/>
      <c r="M27" s="42"/>
    </row>
    <row r="28" spans="1:13" s="12" customFormat="1" ht="15" customHeight="1" x14ac:dyDescent="0.2">
      <c r="A28" s="469" t="s">
        <v>95</v>
      </c>
      <c r="B28" s="477" t="s">
        <v>282</v>
      </c>
      <c r="C28" s="472"/>
      <c r="D28" s="478"/>
      <c r="E28" s="472"/>
      <c r="F28" s="478"/>
      <c r="G28" s="472"/>
      <c r="H28" s="472"/>
      <c r="I28" s="495">
        <f>VLOOKUP(A11,'APONTAMENTO CREDENCIAMENTO'!D5:IA5097,232,0)*-1</f>
        <v>0</v>
      </c>
    </row>
    <row r="29" spans="1:13" s="12" customFormat="1" ht="15" customHeight="1" x14ac:dyDescent="0.2">
      <c r="A29" s="469" t="s">
        <v>96</v>
      </c>
      <c r="B29" s="502" t="s">
        <v>281</v>
      </c>
      <c r="C29" s="503"/>
      <c r="D29" s="498"/>
      <c r="E29" s="505">
        <f>SUMIF('APONTAMENTO CREDENCIAMENTO'!D5:D5097,A11,'APONTAMENTO CREDENCIAMENTO'!L5:L5097)</f>
        <v>28</v>
      </c>
      <c r="F29" s="506" t="s">
        <v>318</v>
      </c>
      <c r="G29" s="507">
        <f>SUMIF('APONTAMENTO CREDENCIAMENTO'!D5:D5097,A11,'APONTAMENTO CREDENCIAMENTO'!M5:M5097)</f>
        <v>0</v>
      </c>
      <c r="H29" s="504" t="s">
        <v>150</v>
      </c>
      <c r="I29" s="495">
        <f>SUMIF('APONTAMENTO CREDENCIAMENTO'!D5:D5097,A11,'APONTAMENTO CREDENCIAMENTO'!EY5:EY5097)</f>
        <v>269.92</v>
      </c>
      <c r="K29" s="55"/>
    </row>
    <row r="30" spans="1:13" s="12" customFormat="1" ht="15" customHeight="1" x14ac:dyDescent="0.2">
      <c r="A30" s="469" t="s">
        <v>280</v>
      </c>
      <c r="B30" s="499" t="s">
        <v>279</v>
      </c>
      <c r="C30" s="500"/>
      <c r="D30" s="501"/>
      <c r="E30" s="500"/>
      <c r="F30" s="501"/>
      <c r="G30" s="500"/>
      <c r="H30" s="500"/>
      <c r="I30" s="495">
        <f>SUMIF('APONTAMENTO CREDENCIAMENTO'!D5:D5097,A11,'APONTAMENTO CREDENCIAMENTO'!FD5:FD5097)</f>
        <v>0</v>
      </c>
      <c r="M30" s="55"/>
    </row>
    <row r="31" spans="1:13" s="12" customFormat="1" ht="15" customHeight="1" x14ac:dyDescent="0.2">
      <c r="A31" s="469" t="s">
        <v>97</v>
      </c>
      <c r="B31" s="480" t="s">
        <v>278</v>
      </c>
      <c r="C31" s="479"/>
      <c r="D31" s="479"/>
      <c r="E31" s="479"/>
      <c r="F31" s="479"/>
      <c r="G31" s="479"/>
      <c r="H31" s="479"/>
      <c r="I31" s="496">
        <f>(I20+I21+I22+I23+I24+I25+I26+I27+I28+I29+I30)</f>
        <v>16032.044</v>
      </c>
      <c r="L31" s="55"/>
    </row>
    <row r="32" spans="1:13" s="12" customFormat="1" ht="15" customHeight="1" x14ac:dyDescent="0.2">
      <c r="A32" s="469" t="s">
        <v>98</v>
      </c>
      <c r="B32" s="475" t="s">
        <v>277</v>
      </c>
      <c r="C32" s="481"/>
      <c r="D32" s="476"/>
      <c r="E32" s="481"/>
      <c r="F32" s="476"/>
      <c r="G32" s="481"/>
      <c r="H32" s="481"/>
      <c r="I32" s="495">
        <f>VLOOKUP(A11,'ATESTE-LIQ-FIS'!A4:K3898,5,0)*-1</f>
        <v>-352.70496800000001</v>
      </c>
    </row>
    <row r="33" spans="1:12" s="12" customFormat="1" x14ac:dyDescent="0.2">
      <c r="A33" s="469" t="s">
        <v>100</v>
      </c>
      <c r="B33" s="475" t="s">
        <v>276</v>
      </c>
      <c r="C33" s="476"/>
      <c r="D33" s="476"/>
      <c r="E33" s="476"/>
      <c r="F33" s="476"/>
      <c r="G33" s="476"/>
      <c r="H33" s="476"/>
      <c r="I33" s="495">
        <f>VLOOKUP(A11,'ATESTE-LIQ-FIS'!A4:K3898,6,0)*-1</f>
        <v>-80.16022000000001</v>
      </c>
    </row>
    <row r="34" spans="1:12" s="12" customFormat="1" x14ac:dyDescent="0.2">
      <c r="A34" s="469" t="s">
        <v>102</v>
      </c>
      <c r="B34" s="475" t="s">
        <v>103</v>
      </c>
      <c r="C34" s="476"/>
      <c r="D34" s="475"/>
      <c r="E34" s="476"/>
      <c r="F34" s="476"/>
      <c r="G34" s="476"/>
      <c r="H34" s="476"/>
      <c r="I34" s="492">
        <f>-MIN('Cálculo IRRF -Jan.2026'!D33:F33)</f>
        <v>-1569.5700000000002</v>
      </c>
    </row>
    <row r="35" spans="1:12" s="12" customFormat="1" x14ac:dyDescent="0.2">
      <c r="A35" s="469" t="s">
        <v>104</v>
      </c>
      <c r="B35" s="475" t="s">
        <v>274</v>
      </c>
      <c r="C35" s="476"/>
      <c r="D35" s="475"/>
      <c r="E35" s="476"/>
      <c r="F35" s="476"/>
      <c r="G35" s="476"/>
      <c r="H35" s="476"/>
      <c r="I35" s="492">
        <v>0</v>
      </c>
    </row>
    <row r="36" spans="1:12" s="12" customFormat="1" x14ac:dyDescent="0.2">
      <c r="A36" s="469" t="s">
        <v>275</v>
      </c>
      <c r="B36" s="480" t="s">
        <v>273</v>
      </c>
      <c r="C36" s="479"/>
      <c r="D36" s="480"/>
      <c r="E36" s="482"/>
      <c r="F36" s="479"/>
      <c r="G36" s="479"/>
      <c r="H36" s="479"/>
      <c r="I36" s="493">
        <f>SUM(H31:I35)</f>
        <v>14029.608812</v>
      </c>
    </row>
    <row r="37" spans="1:12" s="12" customFormat="1" x14ac:dyDescent="0.2">
      <c r="A37" s="793" t="s">
        <v>106</v>
      </c>
      <c r="B37" s="794">
        <f>VLOOKUP(A11,'APONTAMENTO CREDENCIAMENTO'!D1:EL3992,138,FALSE)</f>
        <v>0</v>
      </c>
      <c r="C37" s="794"/>
      <c r="D37" s="794"/>
      <c r="E37" s="794"/>
      <c r="F37" s="794"/>
      <c r="G37" s="794"/>
      <c r="H37" s="794"/>
      <c r="I37" s="795"/>
    </row>
    <row r="38" spans="1:12" s="12" customFormat="1" ht="30.75" customHeight="1" x14ac:dyDescent="0.2">
      <c r="A38" s="793"/>
      <c r="B38" s="794"/>
      <c r="C38" s="794"/>
      <c r="D38" s="794"/>
      <c r="E38" s="794"/>
      <c r="F38" s="794"/>
      <c r="G38" s="794"/>
      <c r="H38" s="794"/>
      <c r="I38" s="795"/>
    </row>
    <row r="39" spans="1:12" s="12" customFormat="1" ht="20.100000000000001" customHeight="1" x14ac:dyDescent="0.2">
      <c r="A39" s="793" t="s">
        <v>107</v>
      </c>
      <c r="B39" s="797">
        <f>VLOOKUP(A11,'APONTAMENTO CREDENCIAMENTO'!D1:EL3992,139,FALSE)</f>
        <v>0</v>
      </c>
      <c r="C39" s="798"/>
      <c r="D39" s="798"/>
      <c r="E39" s="798"/>
      <c r="F39" s="798"/>
      <c r="G39" s="798"/>
      <c r="H39" s="798"/>
      <c r="I39" s="799"/>
    </row>
    <row r="40" spans="1:12" s="12" customFormat="1" ht="20.100000000000001" customHeight="1" thickBot="1" x14ac:dyDescent="0.25">
      <c r="A40" s="796"/>
      <c r="B40" s="800"/>
      <c r="C40" s="801"/>
      <c r="D40" s="801"/>
      <c r="E40" s="801"/>
      <c r="F40" s="801"/>
      <c r="G40" s="801"/>
      <c r="H40" s="801"/>
      <c r="I40" s="802"/>
    </row>
    <row r="41" spans="1:12" s="12" customFormat="1" ht="20.100000000000001" customHeight="1" x14ac:dyDescent="0.2">
      <c r="A41" s="35"/>
      <c r="B41" s="68"/>
      <c r="C41" s="68"/>
      <c r="D41" s="68"/>
      <c r="E41" s="68"/>
      <c r="F41" s="68"/>
      <c r="G41" s="68"/>
      <c r="H41" s="68"/>
      <c r="I41" s="68"/>
      <c r="L41"/>
    </row>
    <row r="42" spans="1:12" s="12" customFormat="1" x14ac:dyDescent="0.2">
      <c r="A42" s="35"/>
      <c r="B42" s="725" t="s">
        <v>109</v>
      </c>
      <c r="C42" s="725"/>
      <c r="D42" s="725"/>
      <c r="E42" s="725"/>
      <c r="F42" s="725"/>
      <c r="G42" s="725"/>
      <c r="H42" s="725"/>
      <c r="I42" s="725"/>
    </row>
    <row r="43" spans="1:12" s="12" customFormat="1" ht="12.75" customHeight="1" thickBot="1" x14ac:dyDescent="0.25">
      <c r="A43" s="35"/>
      <c r="B43" s="112"/>
      <c r="C43" s="112"/>
      <c r="D43" s="112"/>
      <c r="E43" s="112"/>
      <c r="F43" s="112"/>
      <c r="G43" s="112"/>
      <c r="H43" s="112"/>
      <c r="I43" s="112"/>
    </row>
    <row r="44" spans="1:12" s="12" customFormat="1" ht="30" customHeight="1" x14ac:dyDescent="0.2">
      <c r="A44" s="452" t="s">
        <v>308</v>
      </c>
      <c r="B44" s="656"/>
      <c r="C44" s="453" t="s">
        <v>309</v>
      </c>
      <c r="D44" s="453"/>
      <c r="E44" s="453" t="s">
        <v>310</v>
      </c>
      <c r="F44" s="453"/>
      <c r="G44" s="453" t="s">
        <v>311</v>
      </c>
      <c r="H44" s="453"/>
      <c r="I44" s="454" t="s">
        <v>31</v>
      </c>
    </row>
    <row r="45" spans="1:12" s="12" customFormat="1" ht="20.100000000000001" customHeight="1" thickBot="1" x14ac:dyDescent="0.25">
      <c r="A45" s="483">
        <f>SUMIF('APONTAMENTO CREDENCIAMENTO'!D5:D5097,A11,'APONTAMENTO CREDENCIAMENTO'!EP5:EP5097)</f>
        <v>37</v>
      </c>
      <c r="B45" s="483"/>
      <c r="C45" s="484">
        <f>SUMIF('APONTAMENTO CREDENCIAMENTO'!D5:D5097,A11,'APONTAMENTO CREDENCIAMENTO'!ER5:ER5097)</f>
        <v>1</v>
      </c>
      <c r="D45" s="484"/>
      <c r="E45" s="484">
        <f>SUMIF('APONTAMENTO CREDENCIAMENTO'!D5:D5097,A11,'APONTAMENTO CREDENCIAMENTO'!ES5:ES5097)</f>
        <v>0</v>
      </c>
      <c r="F45" s="484"/>
      <c r="G45" s="484">
        <f>SUMIF('APONTAMENTO CREDENCIAMENTO'!D5:D5097,A11,'APONTAMENTO CREDENCIAMENTO'!EU5:EU5097)</f>
        <v>0</v>
      </c>
      <c r="H45" s="484"/>
      <c r="I45" s="485">
        <f>SUM(A45:H45)</f>
        <v>38</v>
      </c>
    </row>
    <row r="46" spans="1:12" s="12" customFormat="1" ht="20.100000000000001" customHeight="1" x14ac:dyDescent="0.2">
      <c r="A46" s="35"/>
      <c r="B46" s="68"/>
      <c r="C46" s="68"/>
      <c r="D46" s="68"/>
      <c r="E46" s="68"/>
      <c r="F46" s="68"/>
      <c r="G46" s="68"/>
      <c r="H46" s="68"/>
      <c r="I46" s="68"/>
    </row>
    <row r="47" spans="1:12" s="12" customFormat="1" ht="20.100000000000001" customHeight="1" x14ac:dyDescent="0.2">
      <c r="A47" s="35"/>
      <c r="B47" s="725" t="s">
        <v>312</v>
      </c>
      <c r="C47" s="725"/>
      <c r="D47" s="725"/>
      <c r="E47" s="725"/>
      <c r="F47" s="725"/>
      <c r="G47" s="725"/>
      <c r="H47" s="725"/>
      <c r="I47" s="725"/>
    </row>
    <row r="48" spans="1:12" s="12" customFormat="1" ht="12" customHeight="1" x14ac:dyDescent="0.2">
      <c r="A48" s="35"/>
      <c r="B48" s="112"/>
      <c r="C48" s="112"/>
      <c r="D48" s="112"/>
      <c r="E48" s="112"/>
      <c r="F48" s="112"/>
      <c r="G48" s="112"/>
      <c r="H48" s="112"/>
      <c r="I48" s="112"/>
    </row>
    <row r="49" spans="1:9" ht="15" customHeight="1" x14ac:dyDescent="0.2">
      <c r="A49" s="803" t="s">
        <v>110</v>
      </c>
      <c r="B49" s="804"/>
      <c r="C49" s="804"/>
      <c r="D49" s="804"/>
      <c r="E49" s="805"/>
      <c r="F49" s="805"/>
      <c r="G49" s="805"/>
      <c r="H49" s="805"/>
      <c r="I49" s="806"/>
    </row>
    <row r="50" spans="1:9" ht="12.75" customHeight="1" x14ac:dyDescent="0.2">
      <c r="A50" s="736" t="s">
        <v>154</v>
      </c>
      <c r="B50" s="737"/>
      <c r="C50" s="737"/>
      <c r="D50" s="737"/>
      <c r="E50" s="737"/>
      <c r="F50" s="737"/>
      <c r="G50" s="737"/>
      <c r="H50" s="737"/>
      <c r="I50" s="738"/>
    </row>
    <row r="51" spans="1:9" ht="12.75" customHeight="1" x14ac:dyDescent="0.2">
      <c r="A51" s="266" t="s">
        <v>155</v>
      </c>
      <c r="B51" s="69"/>
      <c r="C51" s="69"/>
      <c r="D51" s="69"/>
      <c r="E51" s="69"/>
      <c r="F51" s="69"/>
      <c r="G51" s="69"/>
      <c r="H51" s="69"/>
      <c r="I51" s="70"/>
    </row>
    <row r="52" spans="1:9" ht="12.75" customHeight="1" x14ac:dyDescent="0.2">
      <c r="A52" s="263" t="s">
        <v>156</v>
      </c>
      <c r="B52" s="72"/>
      <c r="C52" s="72"/>
      <c r="D52" s="72"/>
      <c r="E52" s="72"/>
      <c r="F52" s="72"/>
      <c r="G52" s="72"/>
      <c r="H52" s="72"/>
      <c r="I52" s="264"/>
    </row>
    <row r="53" spans="1:9" ht="12.75" customHeight="1" x14ac:dyDescent="0.2">
      <c r="A53" s="444" t="s">
        <v>313</v>
      </c>
      <c r="B53" s="72"/>
      <c r="C53" s="72"/>
      <c r="D53" s="72"/>
      <c r="E53" s="72"/>
      <c r="F53" s="72"/>
      <c r="G53" s="265">
        <f>$H$13+1-1</f>
        <v>46113</v>
      </c>
      <c r="H53" s="327"/>
      <c r="I53" s="77"/>
    </row>
    <row r="54" spans="1:9" ht="12.75" customHeight="1" x14ac:dyDescent="0.2">
      <c r="A54" s="444" t="s">
        <v>316</v>
      </c>
      <c r="B54" s="72"/>
      <c r="C54" s="72"/>
      <c r="D54" s="72"/>
      <c r="E54" s="72"/>
      <c r="F54" s="72"/>
      <c r="G54" s="265">
        <f>G53</f>
        <v>46113</v>
      </c>
      <c r="H54" s="72"/>
      <c r="I54" s="76"/>
    </row>
    <row r="55" spans="1:9" ht="12.75" customHeight="1" x14ac:dyDescent="0.2">
      <c r="A55" s="444" t="s">
        <v>157</v>
      </c>
      <c r="B55" s="72"/>
      <c r="C55" s="72"/>
      <c r="D55" s="72"/>
      <c r="E55" s="72"/>
      <c r="F55" s="72"/>
      <c r="H55" s="72"/>
      <c r="I55" s="77"/>
    </row>
    <row r="56" spans="1:9" ht="15.75" x14ac:dyDescent="0.2">
      <c r="A56" s="705" t="s">
        <v>111</v>
      </c>
      <c r="B56" s="706"/>
      <c r="C56" s="706"/>
      <c r="D56" s="706"/>
      <c r="E56" s="706"/>
      <c r="F56" s="706"/>
      <c r="G56" s="706"/>
      <c r="H56" s="706"/>
      <c r="I56" s="707"/>
    </row>
    <row r="57" spans="1:9" x14ac:dyDescent="0.2">
      <c r="A57" s="71"/>
      <c r="B57" s="72" t="s">
        <v>112</v>
      </c>
      <c r="C57" s="72"/>
      <c r="D57" s="72"/>
      <c r="E57" s="72" t="s">
        <v>113</v>
      </c>
      <c r="F57" s="72"/>
      <c r="G57" s="72"/>
      <c r="H57" s="72"/>
      <c r="I57" s="77"/>
    </row>
    <row r="58" spans="1:9" x14ac:dyDescent="0.2">
      <c r="A58" s="71"/>
      <c r="B58" s="72" t="s">
        <v>114</v>
      </c>
      <c r="C58" s="72"/>
      <c r="D58" s="72"/>
      <c r="E58" s="73" t="s">
        <v>115</v>
      </c>
      <c r="F58" s="72"/>
      <c r="G58" s="72"/>
      <c r="H58" s="72"/>
      <c r="I58" s="77"/>
    </row>
    <row r="59" spans="1:9" x14ac:dyDescent="0.2">
      <c r="A59" s="708" t="s">
        <v>116</v>
      </c>
      <c r="B59" s="709"/>
      <c r="C59" s="709"/>
      <c r="D59" s="709"/>
      <c r="E59" s="709"/>
      <c r="F59" s="709"/>
      <c r="G59" s="709"/>
      <c r="H59" s="709"/>
      <c r="I59" s="710"/>
    </row>
    <row r="60" spans="1:9" x14ac:dyDescent="0.2">
      <c r="A60" s="109"/>
      <c r="B60" s="72" t="s">
        <v>117</v>
      </c>
      <c r="C60" s="110"/>
      <c r="D60" s="110"/>
      <c r="E60" s="267" t="s">
        <v>118</v>
      </c>
      <c r="F60" s="110"/>
      <c r="G60" s="110"/>
      <c r="H60" s="110"/>
      <c r="I60" s="111"/>
    </row>
    <row r="61" spans="1:9" x14ac:dyDescent="0.2">
      <c r="A61" s="711" t="s">
        <v>119</v>
      </c>
      <c r="B61" s="712"/>
      <c r="C61" s="712"/>
      <c r="D61" s="712"/>
      <c r="E61" s="712"/>
      <c r="F61" s="712"/>
      <c r="G61" s="712"/>
      <c r="H61" s="712"/>
      <c r="I61" s="713"/>
    </row>
    <row r="62" spans="1:9" x14ac:dyDescent="0.2">
      <c r="A62" s="196"/>
      <c r="B62" s="194" t="s">
        <v>120</v>
      </c>
      <c r="C62" s="194"/>
      <c r="D62" s="194"/>
      <c r="E62" s="194"/>
      <c r="F62" s="194"/>
      <c r="G62" s="194"/>
      <c r="H62" s="194"/>
      <c r="I62" s="195"/>
    </row>
  </sheetData>
  <mergeCells count="31">
    <mergeCell ref="A19:G19"/>
    <mergeCell ref="H19:I19"/>
    <mergeCell ref="A61:I61"/>
    <mergeCell ref="A37:A38"/>
    <mergeCell ref="B37:I38"/>
    <mergeCell ref="A39:A40"/>
    <mergeCell ref="B39:I40"/>
    <mergeCell ref="B42:I42"/>
    <mergeCell ref="B47:I47"/>
    <mergeCell ref="A49:I49"/>
    <mergeCell ref="A50:I50"/>
    <mergeCell ref="A56:I56"/>
    <mergeCell ref="A59:I59"/>
    <mergeCell ref="H12:I12"/>
    <mergeCell ref="A13:E15"/>
    <mergeCell ref="F13:G13"/>
    <mergeCell ref="F14:G14"/>
    <mergeCell ref="H14:I14"/>
    <mergeCell ref="F15:G15"/>
    <mergeCell ref="H15:I15"/>
    <mergeCell ref="A10:B10"/>
    <mergeCell ref="D10:E10"/>
    <mergeCell ref="D11:E11"/>
    <mergeCell ref="A12:E12"/>
    <mergeCell ref="F12:G12"/>
    <mergeCell ref="B9:I9"/>
    <mergeCell ref="E2:I2"/>
    <mergeCell ref="N2:R2"/>
    <mergeCell ref="E3:I3"/>
    <mergeCell ref="N3:O3"/>
    <mergeCell ref="E4:I4"/>
  </mergeCells>
  <conditionalFormatting sqref="C37:I38 B37:B39">
    <cfRule type="cellIs" dxfId="18" priority="1" stopIfTrue="1" operator="equal">
      <formula>0</formula>
    </cfRule>
  </conditionalFormatting>
  <hyperlinks>
    <hyperlink ref="E58" r:id="rId1" xr:uid="{00000000-0004-0000-0600-000000000000}"/>
    <hyperlink ref="E60" r:id="rId2" xr:uid="{00000000-0004-0000-0600-000001000000}"/>
  </hyperlinks>
  <pageMargins left="0.23622047244094491" right="0.23622047244094491" top="0.74803149606299213" bottom="0.74803149606299213" header="0.31496062992125984" footer="0.31496062992125984"/>
  <pageSetup paperSize="9" scale="24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5">
    <tabColor indexed="26"/>
  </sheetPr>
  <dimension ref="A7:AC40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40" style="12" customWidth="1"/>
    <col min="2" max="3" width="12.7109375" style="12" bestFit="1" customWidth="1"/>
    <col min="4" max="4" width="14.28515625" style="12" customWidth="1"/>
    <col min="5" max="5" width="10.42578125" style="12" customWidth="1"/>
    <col min="6" max="6" width="1.42578125" style="12" customWidth="1"/>
    <col min="7" max="7" width="11.140625" style="12" customWidth="1"/>
    <col min="8" max="9" width="11.42578125" style="12" customWidth="1"/>
    <col min="10" max="10" width="10.28515625" style="12" customWidth="1"/>
    <col min="11" max="12" width="12" style="12" customWidth="1"/>
    <col min="13" max="13" width="11.42578125" style="12" customWidth="1"/>
    <col min="14" max="14" width="22" style="12" customWidth="1"/>
    <col min="15" max="15" width="19.7109375" style="12" customWidth="1"/>
    <col min="16" max="16" width="19.85546875" style="12" customWidth="1"/>
    <col min="17" max="17" width="21.42578125" style="12" customWidth="1"/>
    <col min="18" max="18" width="23" style="12" customWidth="1"/>
    <col min="19" max="19" width="22.140625" style="12" customWidth="1"/>
    <col min="20" max="20" width="23.7109375" style="12" customWidth="1"/>
    <col min="21" max="21" width="23.42578125" style="12" customWidth="1"/>
    <col min="22" max="22" width="22.28515625" style="12" customWidth="1"/>
    <col min="23" max="23" width="24" style="12" customWidth="1"/>
    <col min="24" max="24" width="19.140625" style="12" customWidth="1"/>
    <col min="25" max="25" width="21.42578125" style="12" customWidth="1"/>
    <col min="26" max="26" width="20.7109375" style="12" customWidth="1"/>
    <col min="27" max="27" width="20.140625" style="120" customWidth="1"/>
    <col min="28" max="28" width="20.42578125" style="12" customWidth="1"/>
    <col min="29" max="29" width="25.7109375" style="12" customWidth="1"/>
    <col min="30" max="16384" width="9.140625" style="12"/>
  </cols>
  <sheetData>
    <row r="7" spans="1:29" ht="27" customHeight="1" x14ac:dyDescent="0.2">
      <c r="B7" s="433" t="s">
        <v>183</v>
      </c>
      <c r="G7" s="434" t="str">
        <f>'BASE C'!D10</f>
        <v>JACYARA DOS SANTOS SILVA</v>
      </c>
    </row>
    <row r="8" spans="1:29" x14ac:dyDescent="0.2">
      <c r="D8" s="30"/>
      <c r="E8" s="30"/>
    </row>
    <row r="9" spans="1:29" x14ac:dyDescent="0.2">
      <c r="B9" s="30" t="s">
        <v>121</v>
      </c>
      <c r="D9" s="30" t="str">
        <f>'BASE C'!B3</f>
        <v>2024/0008460</v>
      </c>
      <c r="G9" s="30" t="s">
        <v>122</v>
      </c>
      <c r="H9" s="30" t="str">
        <f>'APONTAMENTO CREDENCIAMENTO'!A1</f>
        <v>Butantã</v>
      </c>
      <c r="I9" s="30"/>
      <c r="J9" s="30"/>
      <c r="K9" s="30"/>
      <c r="L9" s="30"/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AB9" s="30"/>
    </row>
    <row r="10" spans="1:29" ht="15" x14ac:dyDescent="0.25">
      <c r="D10" s="30" t="s">
        <v>123</v>
      </c>
      <c r="E10" s="32" t="str">
        <f>'BASE C'!E4</f>
        <v>ABRIL</v>
      </c>
      <c r="G10" s="30" t="s">
        <v>6</v>
      </c>
      <c r="H10" s="33" t="str">
        <f>'BASE C'!N3</f>
        <v>01/04/2026</v>
      </c>
      <c r="I10" s="74" t="s">
        <v>124</v>
      </c>
      <c r="J10" s="33" t="str">
        <f>'BASE C'!O3</f>
        <v>30/04/2026</v>
      </c>
      <c r="K10" s="33"/>
      <c r="L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9" x14ac:dyDescent="0.2">
      <c r="G11" s="20"/>
    </row>
    <row r="12" spans="1:29" ht="15" customHeight="1" x14ac:dyDescent="0.2">
      <c r="A12" s="814" t="s">
        <v>42</v>
      </c>
      <c r="B12" s="816" t="s">
        <v>125</v>
      </c>
      <c r="C12" s="817"/>
      <c r="D12" s="814" t="s">
        <v>11</v>
      </c>
      <c r="E12" s="820" t="s">
        <v>126</v>
      </c>
      <c r="F12" s="821"/>
      <c r="G12" s="824" t="s">
        <v>127</v>
      </c>
      <c r="H12" s="825"/>
      <c r="I12" s="825"/>
      <c r="J12" s="825"/>
      <c r="K12" s="825"/>
      <c r="L12" s="825"/>
      <c r="M12" s="826"/>
      <c r="N12" s="811" t="s">
        <v>128</v>
      </c>
      <c r="O12" s="812"/>
      <c r="P12" s="812"/>
      <c r="Q12" s="812"/>
      <c r="R12" s="812"/>
      <c r="S12" s="812"/>
      <c r="T12" s="812"/>
      <c r="U12" s="812"/>
      <c r="V12" s="812"/>
      <c r="W12" s="812"/>
      <c r="X12" s="813"/>
      <c r="Y12" s="197" t="s">
        <v>151</v>
      </c>
      <c r="Z12" s="198" t="s">
        <v>129</v>
      </c>
      <c r="AA12" s="198" t="s">
        <v>130</v>
      </c>
      <c r="AB12" s="199" t="s">
        <v>9</v>
      </c>
      <c r="AC12" s="198" t="s">
        <v>131</v>
      </c>
    </row>
    <row r="13" spans="1:29" ht="87.75" customHeight="1" x14ac:dyDescent="0.2">
      <c r="A13" s="815"/>
      <c r="B13" s="818"/>
      <c r="C13" s="819"/>
      <c r="D13" s="815"/>
      <c r="E13" s="822"/>
      <c r="F13" s="823"/>
      <c r="G13" s="200" t="s">
        <v>47</v>
      </c>
      <c r="H13" s="508" t="s">
        <v>50</v>
      </c>
      <c r="I13" s="508" t="s">
        <v>132</v>
      </c>
      <c r="J13" s="508" t="s">
        <v>51</v>
      </c>
      <c r="K13" s="509" t="s">
        <v>52</v>
      </c>
      <c r="L13" s="509" t="s">
        <v>133</v>
      </c>
      <c r="M13" s="509" t="s">
        <v>53</v>
      </c>
      <c r="N13" s="107" t="s">
        <v>55</v>
      </c>
      <c r="O13" s="107" t="str">
        <f>'APONTAMENTO CREDENCIAMENTO'!EX4</f>
        <v>Valor total alunos presenciais (30 dias)</v>
      </c>
      <c r="P13" s="107" t="str">
        <f>'APONTAMENTO CREDENCIAMENTO'!EY4</f>
        <v>Ativ.Complementar Continuada</v>
      </c>
      <c r="Q13" s="107" t="str">
        <f>'APONTAMENTO CREDENCIAMENTO'!EZ4</f>
        <v>Valor alunos presenciais (menos de 30 dias)</v>
      </c>
      <c r="R13" s="107" t="str">
        <f>'APONTAMENTO CREDENCIAMENTO'!FA4</f>
        <v>Saida de alunos ao longo do mês</v>
      </c>
      <c r="S13" s="107" t="s">
        <v>60</v>
      </c>
      <c r="T13" s="107" t="str">
        <f>'APONTAMENTO CREDENCIAMENTO'!FC4</f>
        <v xml:space="preserve">Valor km adicional
</v>
      </c>
      <c r="U13" s="153" t="s">
        <v>62</v>
      </c>
      <c r="V13" s="153" t="s">
        <v>63</v>
      </c>
      <c r="W13" s="154" t="s">
        <v>64</v>
      </c>
      <c r="X13" s="154" t="s">
        <v>152</v>
      </c>
      <c r="Y13" s="203"/>
      <c r="Z13" s="204"/>
      <c r="AA13" s="204"/>
      <c r="AB13" s="205"/>
      <c r="AC13" s="204"/>
    </row>
    <row r="14" spans="1:29" s="82" customFormat="1" ht="30" customHeight="1" x14ac:dyDescent="0.2">
      <c r="A14" s="206" t="str">
        <f>VLOOKUP(D14,'BASE C'!$C$10:$E$5000,3,0)</f>
        <v>JACYARA DOS SANTOS SILVA</v>
      </c>
      <c r="B14" s="207" t="str">
        <f>VLOOKUP(D14,'APONTAMENTO CREDENCIAMENTO'!$A$6:$F$3995,6,0)</f>
        <v>01/04/2026</v>
      </c>
      <c r="C14" s="207" t="str">
        <f>VLOOKUP(D14,'APONTAMENTO CREDENCIAMENTO'!$A$6:$G$3995,7,0)</f>
        <v>30/04/2026</v>
      </c>
      <c r="D14" s="208" t="str">
        <f>'BASE C'!C10</f>
        <v>029.728-00</v>
      </c>
      <c r="E14" s="809" t="str">
        <f>'BASE C'!H10</f>
        <v>FHQ3B39</v>
      </c>
      <c r="F14" s="810"/>
      <c r="G14" s="208">
        <f>SUMIF('APONTAMENTO CREDENCIAMENTO'!$A$6:$A$3995,'EMPRESA C'!D14,'APONTAMENTO CREDENCIAMENTO'!$N$6:$N$3995)</f>
        <v>0</v>
      </c>
      <c r="H14" s="208">
        <f>SUMIF('APONTAMENTO CREDENCIAMENTO'!$A$6:$A$3995,'EMPRESA C'!D14,'APONTAMENTO CREDENCIAMENTO'!$EP$6:$EP$3995)</f>
        <v>37</v>
      </c>
      <c r="I14" s="208">
        <f>SUMIF('APONTAMENTO CREDENCIAMENTO'!$A$6:$A$3995,'EMPRESA C'!D14,'APONTAMENTO CREDENCIAMENTO'!$EQ$6:$EQ$3995)</f>
        <v>0</v>
      </c>
      <c r="J14" s="208">
        <f>SUMIF('APONTAMENTO CREDENCIAMENTO'!$A$6:$A$3995,'EMPRESA C'!D14,'APONTAMENTO CREDENCIAMENTO'!$ER$6:$ER$3995)</f>
        <v>1</v>
      </c>
      <c r="K14" s="208">
        <f>SUMIF('APONTAMENTO CREDENCIAMENTO'!$A$6:$A$3995,'EMPRESA C'!D14,'APONTAMENTO CREDENCIAMENTO'!$ES$6:$ES$3995)</f>
        <v>0</v>
      </c>
      <c r="L14" s="208">
        <f>SUMIF('APONTAMENTO CREDENCIAMENTO'!$A$6:$A$3995,'EMPRESA C'!D14,'APONTAMENTO CREDENCIAMENTO'!$ET$6:$ET$3995)</f>
        <v>0</v>
      </c>
      <c r="M14" s="208">
        <f>SUMIF('APONTAMENTO CREDENCIAMENTO'!$A$6:$A$3995,'EMPRESA C'!D14,'APONTAMENTO CREDENCIAMENTO'!$EU$6:$EU$3995)</f>
        <v>0</v>
      </c>
      <c r="N14" s="209">
        <f>SUMIF('APONTAMENTO CREDENCIAMENTO'!$A$6:$A$3995,'EMPRESA C'!D14,'APONTAMENTO CREDENCIAMENTO'!$EW$6:$EW$3995)</f>
        <v>0</v>
      </c>
      <c r="O14" s="209">
        <f>SUMIF('APONTAMENTO CREDENCIAMENTO'!$A$6:$A$3995,'EMPRESA C'!D14,'APONTAMENTO CREDENCIAMENTO'!$EX$6:$EX$3995)</f>
        <v>15582.35</v>
      </c>
      <c r="P14" s="209">
        <f>SUMIF('APONTAMENTO CREDENCIAMENTO'!$A$5:$A$3995,'EMPRESA C'!D14,'APONTAMENTO CREDENCIAMENTO'!$EY$5:$EY$3995)</f>
        <v>269.92</v>
      </c>
      <c r="Q14" s="209">
        <f>SUMIF('APONTAMENTO CREDENCIAMENTO'!$A$5:$A$3995,'EMPRESA C'!D14,'APONTAMENTO CREDENCIAMENTO'!$EZ$5:$EZ$3995)</f>
        <v>179.774</v>
      </c>
      <c r="R14" s="209">
        <f>SUMIF('APONTAMENTO CREDENCIAMENTO'!$A$5:$A$3995,'EMPRESA C'!D14,'APONTAMENTO CREDENCIAMENTO'!$FA$5:$FA$3995)</f>
        <v>0</v>
      </c>
      <c r="S14" s="209">
        <f>SUMIF('APONTAMENTO CREDENCIAMENTO'!$A$5:$A$3995,'EMPRESA C'!D14,'APONTAMENTO CREDENCIAMENTO'!$FB$5:$FB$3995)</f>
        <v>0</v>
      </c>
      <c r="T14" s="209">
        <f>SUMIF('APONTAMENTO CREDENCIAMENTO'!$A$5:$A$3995,'EMPRESA C'!D14,'APONTAMENTO CREDENCIAMENTO'!$FC$5:$FC$3995)</f>
        <v>0</v>
      </c>
      <c r="U14" s="209">
        <f>SUMIF('APONTAMENTO CREDENCIAMENTO'!$A$5:$A$3995,'EMPRESA C'!D14,'APONTAMENTO CREDENCIAMENTO'!$HY$5:$HY$3995)</f>
        <v>0</v>
      </c>
      <c r="V14" s="209">
        <f>SUMIF('APONTAMENTO CREDENCIAMENTO'!$A$5:$A$3995,'EMPRESA C'!D14,'APONTAMENTO CREDENCIAMENTO'!$HZ$5:$HZ$3995)*-1</f>
        <v>0</v>
      </c>
      <c r="W14" s="209">
        <f>SUMIF('APONTAMENTO CREDENCIAMENTO'!$A$5:$A$3995,'EMPRESA C'!D14,'APONTAMENTO CREDENCIAMENTO'!$IA$5:$IA$3995)*-1</f>
        <v>0</v>
      </c>
      <c r="X14" s="209">
        <f>SUMIF('APONTAMENTO CREDENCIAMENTO'!$A$5:$A$3995,'EMPRESA C'!D14,'APONTAMENTO CREDENCIAMENTO'!$FD$5:$FD$3995)</f>
        <v>0</v>
      </c>
      <c r="Y14" s="209">
        <f>SUMIF('APONTAMENTO CREDENCIAMENTO'!$A$5:$A$3995,'EMPRESA C'!D14,'APONTAMENTO CREDENCIAMENTO'!$GK$5:$GK$3995)*-1</f>
        <v>0</v>
      </c>
      <c r="Z14" s="209">
        <f>(N14+O14+P14+Q14+R14+S14+T14+U14+V14+W14+X14+Y14)</f>
        <v>16032.044</v>
      </c>
      <c r="AA14" s="209">
        <f t="shared" ref="AA14" si="0">Z14</f>
        <v>16032.044</v>
      </c>
      <c r="AB14" s="209">
        <f>AA14*'BASE C'!B$7</f>
        <v>0</v>
      </c>
      <c r="AC14" s="209">
        <f t="shared" ref="AC14" si="1">AA14-AB14</f>
        <v>16032.044</v>
      </c>
    </row>
    <row r="15" spans="1:29" s="82" customFormat="1" ht="30" customHeight="1" thickBot="1" x14ac:dyDescent="0.25">
      <c r="A15" s="439"/>
      <c r="B15" s="440"/>
      <c r="C15" s="440"/>
      <c r="D15" s="441"/>
      <c r="E15" s="441"/>
      <c r="F15" s="443"/>
      <c r="G15" s="318"/>
      <c r="H15" s="318"/>
      <c r="I15" s="318"/>
      <c r="J15" s="318"/>
      <c r="K15" s="318"/>
      <c r="L15" s="318"/>
      <c r="M15" s="318"/>
      <c r="N15" s="209"/>
      <c r="O15" s="209"/>
      <c r="P15" s="319"/>
      <c r="Q15" s="319"/>
      <c r="R15" s="319"/>
      <c r="S15" s="209"/>
      <c r="T15" s="319"/>
      <c r="U15" s="319"/>
      <c r="V15" s="209"/>
      <c r="W15" s="209"/>
      <c r="X15" s="209"/>
      <c r="Y15" s="209"/>
      <c r="Z15" s="319"/>
      <c r="AA15" s="319"/>
      <c r="AB15" s="319"/>
      <c r="AC15" s="319"/>
    </row>
    <row r="16" spans="1:29" ht="30" customHeight="1" x14ac:dyDescent="0.2">
      <c r="A16" s="436"/>
      <c r="B16" s="436"/>
      <c r="C16" s="436"/>
      <c r="D16" s="437"/>
      <c r="E16" s="438"/>
      <c r="F16" s="442"/>
      <c r="G16" s="100">
        <f>SUM(G14:G15)</f>
        <v>0</v>
      </c>
      <c r="H16" s="100">
        <f>SUM(H14:H15)</f>
        <v>37</v>
      </c>
      <c r="I16" s="100">
        <f>SUM(I14:I15)</f>
        <v>0</v>
      </c>
      <c r="J16" s="100">
        <f>SUM(J14:J15)</f>
        <v>1</v>
      </c>
      <c r="K16" s="100">
        <f>SUM(K14:K15)</f>
        <v>0</v>
      </c>
      <c r="L16" s="100">
        <f>SUM(L14:L15)</f>
        <v>0</v>
      </c>
      <c r="M16" s="100">
        <f>SUM(M14:M15)</f>
        <v>0</v>
      </c>
      <c r="N16" s="326">
        <f>SUM(N14:N15)</f>
        <v>0</v>
      </c>
      <c r="O16" s="326">
        <f>SUM(O14:O15)</f>
        <v>15582.35</v>
      </c>
      <c r="P16" s="326">
        <f>SUM(P14:P15)</f>
        <v>269.92</v>
      </c>
      <c r="Q16" s="326">
        <f>SUM(Q14:Q15)</f>
        <v>179.774</v>
      </c>
      <c r="R16" s="326">
        <f>SUM(R14:R15)</f>
        <v>0</v>
      </c>
      <c r="S16" s="326">
        <f>SUM(S14:S15)</f>
        <v>0</v>
      </c>
      <c r="T16" s="326">
        <f>SUM(T14:T15)</f>
        <v>0</v>
      </c>
      <c r="U16" s="326">
        <f>SUM(U14:U15)</f>
        <v>0</v>
      </c>
      <c r="V16" s="326">
        <f>SUM(V14:V15)</f>
        <v>0</v>
      </c>
      <c r="W16" s="326">
        <f>SUM(W14:W15)</f>
        <v>0</v>
      </c>
      <c r="X16" s="326">
        <f>SUM(X14:X15)</f>
        <v>0</v>
      </c>
      <c r="Y16" s="326">
        <f>SUM(Y14:Y15)</f>
        <v>0</v>
      </c>
      <c r="Z16" s="326">
        <f>SUM(Z14:Z15)</f>
        <v>16032.044</v>
      </c>
      <c r="AA16" s="326">
        <f>SUM(AA14:AA15)</f>
        <v>16032.044</v>
      </c>
      <c r="AB16" s="326">
        <f>SUM(AB14:AB15)</f>
        <v>0</v>
      </c>
      <c r="AC16" s="326">
        <f>SUM(AC14:AC15)</f>
        <v>16032.044</v>
      </c>
    </row>
    <row r="17" spans="1:29" ht="15" customHeight="1" x14ac:dyDescent="0.2">
      <c r="AA17" s="210"/>
      <c r="AB17" s="211"/>
      <c r="AC17" s="211"/>
    </row>
    <row r="18" spans="1:29" ht="15" customHeight="1" x14ac:dyDescent="0.2">
      <c r="G18" s="15" t="s">
        <v>134</v>
      </c>
      <c r="AA18" s="121"/>
      <c r="AB18" s="24"/>
      <c r="AC18" s="24"/>
    </row>
    <row r="19" spans="1:29" x14ac:dyDescent="0.2">
      <c r="AA19" s="121"/>
      <c r="AB19" s="24"/>
      <c r="AC19" s="34"/>
    </row>
    <row r="20" spans="1:29" x14ac:dyDescent="0.2">
      <c r="Y20" s="55"/>
      <c r="AA20" s="121"/>
      <c r="AB20" s="24"/>
      <c r="AC20" s="24"/>
    </row>
    <row r="21" spans="1:29" x14ac:dyDescent="0.2">
      <c r="AA21" s="121"/>
      <c r="AB21" s="24"/>
      <c r="AC21" s="24"/>
    </row>
    <row r="22" spans="1:29" x14ac:dyDescent="0.2">
      <c r="Z22" s="15"/>
      <c r="AA22" s="121"/>
      <c r="AB22" s="24"/>
      <c r="AC22" s="24"/>
    </row>
    <row r="23" spans="1:29" x14ac:dyDescent="0.2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121"/>
      <c r="AB23" s="24"/>
      <c r="AC23" s="24"/>
    </row>
    <row r="24" spans="1:29" x14ac:dyDescent="0.2">
      <c r="C24" s="35"/>
      <c r="D24" s="36"/>
      <c r="E24" s="36"/>
      <c r="F24" s="36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121"/>
      <c r="AB24" s="24"/>
      <c r="AC24" s="24"/>
    </row>
    <row r="25" spans="1:29" x14ac:dyDescent="0.2">
      <c r="A25" s="35"/>
      <c r="B25" s="35"/>
      <c r="C25" s="35"/>
      <c r="D25" s="36"/>
      <c r="E25" s="36"/>
      <c r="F25" s="36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121"/>
      <c r="AB25" s="24"/>
      <c r="AC25" s="24"/>
    </row>
    <row r="26" spans="1:29" x14ac:dyDescent="0.2">
      <c r="A26" s="35"/>
      <c r="C26" s="35"/>
      <c r="D26" s="36"/>
      <c r="E26" s="36"/>
      <c r="F26" s="36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121"/>
      <c r="AB26" s="24"/>
      <c r="AC26" s="24"/>
    </row>
    <row r="27" spans="1:29" x14ac:dyDescent="0.2">
      <c r="A27" s="35"/>
      <c r="B27" s="35"/>
      <c r="C27" s="35"/>
      <c r="D27" s="36"/>
      <c r="E27" s="36"/>
      <c r="F27" s="36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75"/>
      <c r="Z27" s="35"/>
      <c r="AA27" s="121"/>
      <c r="AB27" s="24"/>
      <c r="AC27" s="24"/>
    </row>
    <row r="28" spans="1:29" x14ac:dyDescent="0.2">
      <c r="B28" s="35"/>
      <c r="C28" s="35"/>
      <c r="D28" s="37"/>
      <c r="E28" s="37"/>
      <c r="F28" s="37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121"/>
      <c r="AB28" s="24"/>
      <c r="AC28" s="24"/>
    </row>
    <row r="29" spans="1:29" ht="15.75" x14ac:dyDescent="0.25">
      <c r="A29" s="38"/>
      <c r="B29" s="38"/>
      <c r="C29" s="38"/>
      <c r="D29" s="39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121"/>
      <c r="AB29" s="24"/>
      <c r="AC29" s="24"/>
    </row>
    <row r="30" spans="1:29" x14ac:dyDescent="0.2">
      <c r="A30" s="35"/>
      <c r="B30" s="35"/>
      <c r="C30" s="35"/>
      <c r="D30" s="40"/>
      <c r="E30" s="40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122"/>
      <c r="AB30" s="35"/>
      <c r="AC30" s="35"/>
    </row>
    <row r="31" spans="1:29" x14ac:dyDescent="0.2">
      <c r="A31" s="15"/>
      <c r="B31" s="15"/>
      <c r="C31" s="15"/>
      <c r="D31" s="41"/>
      <c r="E31" s="42"/>
      <c r="F31" s="42"/>
      <c r="G31" s="42"/>
      <c r="H31" s="42"/>
      <c r="I31" s="42"/>
      <c r="J31" s="42"/>
      <c r="K31" s="42"/>
      <c r="L31" s="42"/>
      <c r="M31" s="30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AB31" s="30"/>
    </row>
    <row r="32" spans="1:29" x14ac:dyDescent="0.2">
      <c r="A32" s="35"/>
      <c r="B32" s="35"/>
      <c r="C32" s="35"/>
      <c r="D32" s="43"/>
      <c r="E32" s="43"/>
      <c r="F32" s="43"/>
      <c r="G32" s="43"/>
      <c r="H32" s="43"/>
      <c r="I32" s="43"/>
      <c r="J32" s="43"/>
      <c r="K32" s="43"/>
      <c r="L32" s="43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122"/>
      <c r="AB32" s="35"/>
      <c r="AC32" s="35"/>
    </row>
    <row r="33" spans="1:29" x14ac:dyDescent="0.2">
      <c r="A33" s="35"/>
      <c r="D33" s="243"/>
      <c r="E33" s="243"/>
      <c r="F33" s="24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122"/>
      <c r="AB33" s="35"/>
      <c r="AC33" s="35"/>
    </row>
    <row r="34" spans="1:29" ht="12.75" customHeight="1" x14ac:dyDescent="0.2">
      <c r="A34" s="35"/>
      <c r="B34" s="35"/>
      <c r="C34" s="35"/>
      <c r="D34" s="36"/>
      <c r="E34" s="36"/>
      <c r="F34" s="36"/>
      <c r="G34" s="35"/>
      <c r="H34" s="35"/>
      <c r="I34" s="35"/>
      <c r="J34" s="35"/>
      <c r="K34" s="35"/>
      <c r="L34" s="35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807"/>
      <c r="Z34" s="807"/>
      <c r="AA34" s="808"/>
      <c r="AB34" s="44"/>
      <c r="AC34" s="807"/>
    </row>
    <row r="35" spans="1:29" x14ac:dyDescent="0.2">
      <c r="A35" s="35"/>
      <c r="B35" s="35"/>
      <c r="C35" s="35"/>
      <c r="D35" s="36"/>
      <c r="E35" s="36"/>
      <c r="F35" s="36"/>
      <c r="G35" s="35"/>
      <c r="H35" s="35"/>
      <c r="I35" s="35"/>
      <c r="J35" s="35"/>
      <c r="K35" s="35"/>
      <c r="L35" s="3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807"/>
      <c r="Z35" s="807"/>
      <c r="AA35" s="808"/>
      <c r="AB35" s="44"/>
      <c r="AC35" s="807"/>
    </row>
    <row r="36" spans="1:29" x14ac:dyDescent="0.2">
      <c r="A36" s="38"/>
      <c r="B36" s="38"/>
      <c r="C36" s="38"/>
      <c r="D36" s="36"/>
      <c r="E36" s="36"/>
      <c r="F36" s="36"/>
      <c r="G36" s="35"/>
      <c r="H36" s="35"/>
      <c r="I36" s="35"/>
      <c r="J36" s="35"/>
      <c r="K36" s="35"/>
      <c r="L36" s="3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807"/>
      <c r="Z36" s="807"/>
      <c r="AA36" s="808"/>
      <c r="AB36" s="44"/>
      <c r="AC36" s="807"/>
    </row>
    <row r="37" spans="1:29" x14ac:dyDescent="0.2">
      <c r="A37" s="35"/>
      <c r="B37" s="35"/>
      <c r="C37" s="35"/>
      <c r="D37" s="36"/>
      <c r="E37" s="36"/>
      <c r="F37" s="36"/>
      <c r="G37" s="35"/>
      <c r="H37" s="35"/>
      <c r="I37" s="35"/>
      <c r="J37" s="35"/>
      <c r="K37" s="35"/>
      <c r="L37" s="35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807"/>
      <c r="Z37" s="807"/>
      <c r="AA37" s="808"/>
      <c r="AB37" s="44"/>
      <c r="AC37" s="807"/>
    </row>
    <row r="38" spans="1:29" x14ac:dyDescent="0.2">
      <c r="A38" s="35"/>
      <c r="B38" s="35"/>
      <c r="C38" s="35"/>
      <c r="D38" s="37"/>
      <c r="E38" s="37"/>
      <c r="F38" s="37"/>
      <c r="G38" s="35"/>
      <c r="H38" s="35"/>
      <c r="I38" s="35"/>
      <c r="J38" s="35"/>
      <c r="K38" s="35"/>
      <c r="L38" s="35"/>
      <c r="M38" s="46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7"/>
      <c r="Z38" s="47"/>
      <c r="AA38" s="47"/>
      <c r="AB38" s="46"/>
      <c r="AC38" s="47"/>
    </row>
    <row r="39" spans="1:29" ht="15.75" x14ac:dyDescent="0.25">
      <c r="A39" s="38"/>
      <c r="B39" s="38"/>
      <c r="C39" s="38"/>
      <c r="D39" s="39"/>
      <c r="E39" s="35"/>
      <c r="F39" s="35"/>
      <c r="G39" s="35"/>
      <c r="H39" s="35"/>
      <c r="I39" s="35"/>
      <c r="J39" s="35"/>
      <c r="K39" s="35"/>
      <c r="L39" s="35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9"/>
      <c r="AA39" s="48"/>
      <c r="AB39" s="48"/>
      <c r="AC39" s="48"/>
    </row>
    <row r="40" spans="1:29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122"/>
      <c r="AB40" s="35"/>
      <c r="AC40" s="35"/>
    </row>
  </sheetData>
  <sheetProtection formatCells="0" formatColumns="0" formatRows="0" selectLockedCells="1"/>
  <mergeCells count="11">
    <mergeCell ref="N12:X12"/>
    <mergeCell ref="A12:A13"/>
    <mergeCell ref="B12:C13"/>
    <mergeCell ref="D12:D13"/>
    <mergeCell ref="E12:F13"/>
    <mergeCell ref="G12:M12"/>
    <mergeCell ref="Y34:Y37"/>
    <mergeCell ref="Z34:Z37"/>
    <mergeCell ref="AA34:AA37"/>
    <mergeCell ref="AC34:AC37"/>
    <mergeCell ref="E14:F14"/>
  </mergeCells>
  <pageMargins left="0.25" right="0.25" top="0.75" bottom="0.75" header="0.3" footer="0.3"/>
  <pageSetup paperSize="9" scale="28" firstPageNumber="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>
    <tabColor indexed="26"/>
  </sheetPr>
  <dimension ref="A1:Z36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50" style="12" customWidth="1"/>
    <col min="2" max="2" width="13.42578125" style="12" customWidth="1"/>
    <col min="3" max="3" width="11.7109375" style="12" bestFit="1" customWidth="1"/>
    <col min="4" max="4" width="12.7109375" style="12" customWidth="1"/>
    <col min="5" max="11" width="15.7109375" style="12" customWidth="1"/>
    <col min="12" max="12" width="53.140625" style="12" customWidth="1"/>
    <col min="13" max="13" width="10.28515625" style="12" customWidth="1"/>
    <col min="14" max="14" width="10.5703125" style="12" customWidth="1"/>
    <col min="15" max="15" width="10.42578125" style="12" customWidth="1"/>
    <col min="16" max="16" width="7.140625" style="12" customWidth="1"/>
    <col min="17" max="17" width="47.28515625" style="13" customWidth="1"/>
    <col min="18" max="20" width="9.140625" style="12" customWidth="1"/>
    <col min="21" max="21" width="18.5703125" style="12" customWidth="1"/>
    <col min="22" max="24" width="9.140625" style="12"/>
    <col min="25" max="25" width="0" style="12" hidden="1" customWidth="1"/>
    <col min="26" max="16384" width="9.140625" style="12"/>
  </cols>
  <sheetData>
    <row r="1" spans="1:26" ht="12.75" customHeight="1" x14ac:dyDescent="0.2">
      <c r="Q1" s="14"/>
      <c r="Z1" s="83" t="e">
        <f>VLOOKUP(A14,#REF!,27,0)</f>
        <v>#REF!</v>
      </c>
    </row>
    <row r="2" spans="1:26" x14ac:dyDescent="0.2">
      <c r="Q2" s="14"/>
    </row>
    <row r="3" spans="1:26" x14ac:dyDescent="0.2">
      <c r="Q3" s="14"/>
      <c r="U3" s="15"/>
    </row>
    <row r="4" spans="1:26" x14ac:dyDescent="0.2">
      <c r="Q4" s="14"/>
      <c r="U4" s="15"/>
    </row>
    <row r="5" spans="1:26" ht="15.75" x14ac:dyDescent="0.25">
      <c r="B5" s="830"/>
      <c r="C5" s="830"/>
      <c r="D5" s="830"/>
      <c r="E5" s="830"/>
      <c r="F5" s="830"/>
      <c r="G5" s="830"/>
      <c r="H5" s="830"/>
      <c r="I5" s="830"/>
      <c r="J5" s="830"/>
      <c r="K5" s="830"/>
      <c r="L5" s="830"/>
      <c r="Q5" s="14"/>
    </row>
    <row r="6" spans="1:26" ht="26.25" customHeight="1" x14ac:dyDescent="0.25">
      <c r="B6" s="830"/>
      <c r="C6" s="830"/>
      <c r="D6" s="830"/>
      <c r="E6" s="830"/>
      <c r="F6" s="830"/>
      <c r="G6" s="830"/>
      <c r="H6" s="830"/>
      <c r="I6" s="830"/>
      <c r="J6" s="830"/>
      <c r="K6" s="830"/>
      <c r="L6" s="830"/>
      <c r="Q6" s="14"/>
    </row>
    <row r="7" spans="1:26" x14ac:dyDescent="0.2">
      <c r="B7" s="16"/>
      <c r="C7" s="16"/>
      <c r="D7" s="16"/>
      <c r="E7" s="16"/>
      <c r="Q7" s="14"/>
    </row>
    <row r="8" spans="1:26" ht="15.75" x14ac:dyDescent="0.25">
      <c r="B8" s="16"/>
      <c r="C8" s="17"/>
      <c r="D8" s="17"/>
      <c r="E8" s="17"/>
      <c r="F8" s="17"/>
      <c r="G8" s="17"/>
      <c r="H8" s="17"/>
      <c r="I8" s="17"/>
      <c r="J8" s="17"/>
      <c r="Q8" s="14"/>
    </row>
    <row r="9" spans="1:26" ht="15.75" x14ac:dyDescent="0.25">
      <c r="B9" s="16"/>
      <c r="C9" s="115"/>
      <c r="D9" s="115"/>
      <c r="E9" s="115"/>
      <c r="F9" s="115"/>
      <c r="G9" s="115"/>
      <c r="H9" s="115"/>
      <c r="I9" s="115"/>
      <c r="J9" s="115"/>
      <c r="Q9" s="14"/>
    </row>
    <row r="10" spans="1:26" ht="15.75" x14ac:dyDescent="0.25">
      <c r="B10" s="830" t="s">
        <v>135</v>
      </c>
      <c r="C10" s="830"/>
      <c r="D10" s="830"/>
      <c r="E10" s="830"/>
      <c r="F10" s="830"/>
      <c r="G10" s="830"/>
      <c r="H10" s="830"/>
      <c r="I10" s="830"/>
      <c r="J10" s="830"/>
      <c r="K10" s="830"/>
      <c r="L10" s="830"/>
      <c r="Q10" s="14"/>
    </row>
    <row r="11" spans="1:26" ht="15.75" x14ac:dyDescent="0.25">
      <c r="B11" s="115"/>
      <c r="C11" s="115"/>
      <c r="D11" s="115"/>
      <c r="E11" s="115"/>
      <c r="F11" s="115"/>
      <c r="G11" s="115"/>
      <c r="H11" s="115"/>
      <c r="I11" s="115"/>
      <c r="J11" s="115"/>
      <c r="Q11" s="14"/>
    </row>
    <row r="12" spans="1:26" ht="15" x14ac:dyDescent="0.2">
      <c r="B12" s="18"/>
      <c r="C12" s="19"/>
      <c r="Q12" s="14"/>
    </row>
    <row r="13" spans="1:26" x14ac:dyDescent="0.2">
      <c r="A13" s="212" t="s">
        <v>14</v>
      </c>
      <c r="B13" s="213" t="s">
        <v>12</v>
      </c>
      <c r="C13" s="214"/>
      <c r="D13" s="214"/>
      <c r="E13" s="831" t="s">
        <v>78</v>
      </c>
      <c r="F13" s="831"/>
      <c r="G13" s="831" t="s">
        <v>6</v>
      </c>
      <c r="H13" s="831"/>
      <c r="I13" s="831"/>
      <c r="J13" s="831"/>
      <c r="K13" s="831"/>
      <c r="L13" s="831"/>
      <c r="M13" s="215" t="s">
        <v>136</v>
      </c>
      <c r="Q13" s="14"/>
    </row>
    <row r="14" spans="1:26" s="15" customFormat="1" ht="18.75" customHeight="1" x14ac:dyDescent="0.2">
      <c r="A14" s="216" t="str">
        <f>'BASE C'!B3</f>
        <v>2024/0008460</v>
      </c>
      <c r="B14" s="217" t="str">
        <f>'BASE C'!D4</f>
        <v>JACYARA DOS SANTOS SILVA</v>
      </c>
      <c r="C14" s="218"/>
      <c r="D14" s="218"/>
      <c r="E14" s="832" t="str">
        <f>'BASE C'!E4</f>
        <v>ABRIL</v>
      </c>
      <c r="F14" s="832"/>
      <c r="G14" s="219"/>
      <c r="H14" s="220"/>
      <c r="I14" s="220"/>
      <c r="J14" s="220" t="str">
        <f>'EMPRESA C'!H10</f>
        <v>01/04/2026</v>
      </c>
      <c r="K14" s="221" t="s">
        <v>137</v>
      </c>
      <c r="L14" s="222" t="str">
        <f>'BASE C'!C4</f>
        <v>30/04/2026</v>
      </c>
      <c r="M14" s="223" t="str">
        <f>'BASE C'!C2</f>
        <v>BT</v>
      </c>
      <c r="Q14" s="14"/>
    </row>
    <row r="15" spans="1:26" x14ac:dyDescent="0.2">
      <c r="Q15" s="14"/>
      <c r="R15" s="15"/>
    </row>
    <row r="16" spans="1:26" ht="12.75" customHeight="1" x14ac:dyDescent="0.2">
      <c r="D16" s="224"/>
      <c r="E16" s="829" t="s">
        <v>138</v>
      </c>
      <c r="F16" s="829"/>
      <c r="G16" s="829"/>
      <c r="H16" s="829"/>
      <c r="I16" s="829"/>
      <c r="J16" s="829"/>
      <c r="K16" s="829"/>
      <c r="L16" s="225" t="s">
        <v>139</v>
      </c>
      <c r="M16" s="225"/>
      <c r="Q16" s="14"/>
    </row>
    <row r="17" spans="1:17" s="13" customFormat="1" ht="69.75" customHeight="1" x14ac:dyDescent="0.2">
      <c r="A17" s="226" t="s">
        <v>42</v>
      </c>
      <c r="B17" s="227" t="s">
        <v>11</v>
      </c>
      <c r="C17" s="228" t="s">
        <v>41</v>
      </c>
      <c r="D17" s="229" t="s">
        <v>47</v>
      </c>
      <c r="E17" s="201" t="s">
        <v>50</v>
      </c>
      <c r="F17" s="201" t="s">
        <v>132</v>
      </c>
      <c r="G17" s="201" t="s">
        <v>51</v>
      </c>
      <c r="H17" s="202" t="s">
        <v>52</v>
      </c>
      <c r="I17" s="202" t="s">
        <v>133</v>
      </c>
      <c r="J17" s="202" t="s">
        <v>53</v>
      </c>
      <c r="K17" s="229" t="s">
        <v>54</v>
      </c>
      <c r="L17" s="225"/>
      <c r="M17" s="225"/>
    </row>
    <row r="18" spans="1:17" s="15" customFormat="1" ht="26.25" customHeight="1" x14ac:dyDescent="0.2">
      <c r="A18" s="230" t="str">
        <f>VLOOKUP(B18,'BASE C'!$C$10:$E$5000,3,0)</f>
        <v>JACYARA DOS SANTOS SILVA</v>
      </c>
      <c r="B18" s="231" t="str">
        <f>'BASE C'!C10</f>
        <v>029.728-00</v>
      </c>
      <c r="C18" s="231" t="str">
        <f>'BASE C'!H10</f>
        <v>FHQ3B39</v>
      </c>
      <c r="D18" s="208">
        <f>SUMIF('APONTAMENTO CREDENCIAMENTO'!$A$6:$A$3995,'ATESTADO C'!B18,'APONTAMENTO CREDENCIAMENTO'!$N$6:$N$3995)</f>
        <v>0</v>
      </c>
      <c r="E18" s="208">
        <f>SUMIF('APONTAMENTO CREDENCIAMENTO'!$A$6:$A$3995,'ATESTADO C'!B18,'APONTAMENTO CREDENCIAMENTO'!$EP$6:$EP$3995)</f>
        <v>37</v>
      </c>
      <c r="F18" s="208">
        <f>SUMIF('APONTAMENTO CREDENCIAMENTO'!$A$6:$A$3995,'ATESTADO C'!B18,'APONTAMENTO CREDENCIAMENTO'!$EQ$6:$EQ$3995)</f>
        <v>0</v>
      </c>
      <c r="G18" s="208">
        <f>SUMIF('APONTAMENTO CREDENCIAMENTO'!$A$6:$A$3995,'ATESTADO C'!B18,'APONTAMENTO CREDENCIAMENTO'!$ER$6:$ER$3995)</f>
        <v>1</v>
      </c>
      <c r="H18" s="208">
        <f>SUMIF('APONTAMENTO CREDENCIAMENTO'!$A$6:$A$3995,'ATESTADO C'!B18,'APONTAMENTO CREDENCIAMENTO'!$ES$6:$ES$3995)</f>
        <v>0</v>
      </c>
      <c r="I18" s="208">
        <f>SUMIF('APONTAMENTO CREDENCIAMENTO'!$A$6:$A$3995,'ATESTADO C'!B18,'APONTAMENTO CREDENCIAMENTO'!$ET$6:$ET$3995)</f>
        <v>0</v>
      </c>
      <c r="J18" s="208">
        <f>SUMIF('APONTAMENTO CREDENCIAMENTO'!$A$6:$A$3995,'ATESTADO C'!B18,'APONTAMENTO CREDENCIAMENTO'!$EU$6:$EU$3995)</f>
        <v>0</v>
      </c>
      <c r="K18" s="232">
        <f t="shared" ref="K18" si="0">E18+F18+H18+I18+G18+J18</f>
        <v>38</v>
      </c>
      <c r="L18" s="827" t="str">
        <f>CONCATENATE(VLOOKUP(B18,'APONTAMENTO CREDENCIAMENTO'!$A$6:$EK$3995,141,0)," - ",VLOOKUP(B18,'APONTAMENTO CREDENCIAMENTO'!$A$6:$EL$3995,142,0))</f>
        <v xml:space="preserve"> - </v>
      </c>
      <c r="M18" s="828"/>
    </row>
    <row r="19" spans="1:17" s="16" customFormat="1" ht="15.75" customHeight="1" x14ac:dyDescent="0.2">
      <c r="A19" s="88"/>
      <c r="B19" s="88"/>
      <c r="C19" s="22"/>
      <c r="D19" s="28"/>
      <c r="E19" s="29"/>
      <c r="F19" s="22"/>
      <c r="G19" s="22"/>
      <c r="H19" s="22"/>
      <c r="I19" s="22"/>
      <c r="J19" s="22"/>
      <c r="K19" s="22"/>
      <c r="L19" s="27"/>
      <c r="M19" s="22"/>
      <c r="Q19" s="24"/>
    </row>
    <row r="20" spans="1:17" s="16" customFormat="1" ht="10.5" customHeight="1" x14ac:dyDescent="0.2">
      <c r="A20" s="21" t="s">
        <v>140</v>
      </c>
      <c r="B20" s="21"/>
      <c r="C20" s="22"/>
      <c r="D20" s="23" t="s">
        <v>141</v>
      </c>
      <c r="E20" s="23"/>
      <c r="F20" s="23"/>
      <c r="G20" s="23"/>
      <c r="H20" s="23"/>
      <c r="I20" s="23"/>
      <c r="J20" s="23"/>
      <c r="K20" s="23"/>
      <c r="L20" s="21" t="s">
        <v>142</v>
      </c>
      <c r="M20" s="23"/>
      <c r="Q20" s="24"/>
    </row>
    <row r="21" spans="1:17" s="16" customFormat="1" ht="15.75" customHeight="1" x14ac:dyDescent="0.2">
      <c r="A21" s="21" t="s">
        <v>143</v>
      </c>
      <c r="B21" s="21"/>
      <c r="C21" s="22"/>
      <c r="D21" s="25" t="s">
        <v>143</v>
      </c>
      <c r="E21" s="26"/>
      <c r="F21" s="22"/>
      <c r="G21" s="22"/>
      <c r="H21" s="22"/>
      <c r="I21" s="22"/>
      <c r="J21" s="22"/>
      <c r="K21" s="22"/>
      <c r="L21" s="21" t="s">
        <v>143</v>
      </c>
      <c r="M21" s="22"/>
      <c r="Q21" s="24"/>
    </row>
    <row r="22" spans="1:17" s="16" customFormat="1" ht="15.75" customHeight="1" x14ac:dyDescent="0.2">
      <c r="A22" s="21" t="s">
        <v>144</v>
      </c>
      <c r="B22" s="21"/>
      <c r="C22" s="22"/>
      <c r="D22" s="25" t="s">
        <v>144</v>
      </c>
      <c r="E22" s="26"/>
      <c r="F22" s="22"/>
      <c r="G22" s="22"/>
      <c r="H22" s="22"/>
      <c r="I22" s="22"/>
      <c r="J22" s="22"/>
      <c r="K22" s="22"/>
      <c r="L22" s="21" t="s">
        <v>144</v>
      </c>
      <c r="M22" s="22"/>
      <c r="Q22" s="24"/>
    </row>
    <row r="23" spans="1:17" s="16" customFormat="1" ht="15.75" customHeight="1" x14ac:dyDescent="0.2">
      <c r="A23" s="88" t="s">
        <v>145</v>
      </c>
      <c r="B23" s="88"/>
      <c r="C23" s="22"/>
      <c r="D23" s="28" t="s">
        <v>145</v>
      </c>
      <c r="E23" s="29"/>
      <c r="F23" s="22"/>
      <c r="G23" s="22"/>
      <c r="H23" s="22"/>
      <c r="I23" s="22"/>
      <c r="J23" s="22"/>
      <c r="K23" s="22"/>
      <c r="L23" s="27" t="s">
        <v>145</v>
      </c>
      <c r="M23" s="22"/>
      <c r="Q23" s="24"/>
    </row>
    <row r="33" spans="1:1" ht="15" x14ac:dyDescent="0.25">
      <c r="A33" s="61"/>
    </row>
    <row r="34" spans="1:1" ht="15" x14ac:dyDescent="0.25">
      <c r="A34" s="61"/>
    </row>
    <row r="35" spans="1:1" ht="15" x14ac:dyDescent="0.25">
      <c r="A35" s="61"/>
    </row>
    <row r="36" spans="1:1" ht="15" x14ac:dyDescent="0.25">
      <c r="A36" s="61"/>
    </row>
  </sheetData>
  <sheetProtection formatCells="0" formatColumns="0" formatRows="0" selectLockedCells="1"/>
  <mergeCells count="8">
    <mergeCell ref="L18:M18"/>
    <mergeCell ref="E16:K16"/>
    <mergeCell ref="B5:L5"/>
    <mergeCell ref="B6:L6"/>
    <mergeCell ref="B10:L10"/>
    <mergeCell ref="E13:F13"/>
    <mergeCell ref="G13:L13"/>
    <mergeCell ref="E14:F14"/>
  </mergeCells>
  <conditionalFormatting sqref="L18">
    <cfRule type="cellIs" dxfId="17" priority="1" stopIfTrue="1" operator="equal">
      <formula>0</formula>
    </cfRule>
  </conditionalFormatting>
  <printOptions horizontalCentered="1"/>
  <pageMargins left="0.23622047244094491" right="0.23622047244094491" top="0.11811023622047245" bottom="7.874015748031496E-2" header="0.51181102362204722" footer="0.31496062992125984"/>
  <pageSetup paperSize="9" scale="50" firstPageNumber="0" orientation="landscape" r:id="rId1"/>
  <headerFooter alignWithMargins="0">
    <oddFooter>&amp;CPágina 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2"/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C21"/>
  <sheetViews>
    <sheetView topLeftCell="A243" workbookViewId="0">
      <selection activeCell="A2" sqref="A2:C105"/>
    </sheetView>
  </sheetViews>
  <sheetFormatPr defaultRowHeight="12.75" x14ac:dyDescent="0.2"/>
  <cols>
    <col min="1" max="1" width="41.42578125" customWidth="1"/>
    <col min="2" max="2" width="68.5703125" customWidth="1"/>
    <col min="3" max="3" width="18.140625" customWidth="1"/>
    <col min="4" max="4" width="13.28515625" bestFit="1" customWidth="1"/>
    <col min="5" max="5" width="16.28515625" customWidth="1"/>
    <col min="6" max="6" width="23" customWidth="1"/>
    <col min="7" max="7" width="13.5703125" customWidth="1"/>
  </cols>
  <sheetData>
    <row r="1" spans="1:3" x14ac:dyDescent="0.2">
      <c r="A1" t="s">
        <v>3192</v>
      </c>
      <c r="B1" t="s">
        <v>336</v>
      </c>
      <c r="C1" t="s">
        <v>3190</v>
      </c>
    </row>
    <row r="2" spans="1:3" x14ac:dyDescent="0.2">
      <c r="A2" t="s">
        <v>3220</v>
      </c>
      <c r="B2" t="s">
        <v>344</v>
      </c>
      <c r="C2" t="s">
        <v>3218</v>
      </c>
    </row>
    <row r="3" spans="1:3" x14ac:dyDescent="0.2">
      <c r="A3" t="s">
        <v>3236</v>
      </c>
      <c r="B3" t="s">
        <v>348</v>
      </c>
      <c r="C3" t="s">
        <v>3234</v>
      </c>
    </row>
    <row r="4" spans="1:3" x14ac:dyDescent="0.2">
      <c r="A4" t="s">
        <v>3248</v>
      </c>
      <c r="B4" t="s">
        <v>352</v>
      </c>
      <c r="C4" t="s">
        <v>3246</v>
      </c>
    </row>
    <row r="5" spans="1:3" x14ac:dyDescent="0.2">
      <c r="A5" t="s">
        <v>3204</v>
      </c>
      <c r="B5" t="s">
        <v>339</v>
      </c>
      <c r="C5" t="s">
        <v>3202</v>
      </c>
    </row>
    <row r="6" spans="1:3" x14ac:dyDescent="0.2">
      <c r="A6" t="s">
        <v>3208</v>
      </c>
      <c r="B6" t="s">
        <v>341</v>
      </c>
      <c r="C6" t="s">
        <v>3206</v>
      </c>
    </row>
    <row r="7" spans="1:3" x14ac:dyDescent="0.2">
      <c r="A7" t="s">
        <v>3264</v>
      </c>
      <c r="B7" t="s">
        <v>358</v>
      </c>
      <c r="C7" t="s">
        <v>3262</v>
      </c>
    </row>
    <row r="8" spans="1:3" x14ac:dyDescent="0.2">
      <c r="A8" t="s">
        <v>3200</v>
      </c>
      <c r="B8" t="s">
        <v>338</v>
      </c>
      <c r="C8" t="s">
        <v>3198</v>
      </c>
    </row>
    <row r="9" spans="1:3" x14ac:dyDescent="0.2">
      <c r="A9" t="s">
        <v>3244</v>
      </c>
      <c r="B9" t="s">
        <v>351</v>
      </c>
      <c r="C9" t="s">
        <v>3242</v>
      </c>
    </row>
    <row r="10" spans="1:3" x14ac:dyDescent="0.2">
      <c r="A10" t="s">
        <v>3196</v>
      </c>
      <c r="B10" t="s">
        <v>337</v>
      </c>
      <c r="C10" t="s">
        <v>3194</v>
      </c>
    </row>
    <row r="11" spans="1:3" x14ac:dyDescent="0.2">
      <c r="A11" t="s">
        <v>3228</v>
      </c>
      <c r="B11" t="s">
        <v>346</v>
      </c>
      <c r="C11" t="s">
        <v>3226</v>
      </c>
    </row>
    <row r="12" spans="1:3" x14ac:dyDescent="0.2">
      <c r="A12" t="s">
        <v>3216</v>
      </c>
      <c r="B12" t="s">
        <v>343</v>
      </c>
      <c r="C12" t="s">
        <v>3214</v>
      </c>
    </row>
    <row r="13" spans="1:3" x14ac:dyDescent="0.2">
      <c r="A13" t="s">
        <v>3260</v>
      </c>
      <c r="B13" t="s">
        <v>357</v>
      </c>
      <c r="C13" t="s">
        <v>3258</v>
      </c>
    </row>
    <row r="14" spans="1:3" x14ac:dyDescent="0.2">
      <c r="A14" t="s">
        <v>3240</v>
      </c>
      <c r="B14" t="s">
        <v>350</v>
      </c>
      <c r="C14" t="s">
        <v>3238</v>
      </c>
    </row>
    <row r="15" spans="1:3" x14ac:dyDescent="0.2">
      <c r="A15" t="s">
        <v>3272</v>
      </c>
      <c r="B15" t="s">
        <v>361</v>
      </c>
      <c r="C15" t="s">
        <v>3270</v>
      </c>
    </row>
    <row r="16" spans="1:3" x14ac:dyDescent="0.2">
      <c r="A16" t="s">
        <v>3252</v>
      </c>
      <c r="B16" t="s">
        <v>354</v>
      </c>
      <c r="C16" t="s">
        <v>3250</v>
      </c>
    </row>
    <row r="17" spans="1:3" x14ac:dyDescent="0.2">
      <c r="A17" t="s">
        <v>3232</v>
      </c>
      <c r="B17" t="s">
        <v>347</v>
      </c>
      <c r="C17" t="s">
        <v>3230</v>
      </c>
    </row>
    <row r="18" spans="1:3" x14ac:dyDescent="0.2">
      <c r="A18" t="s">
        <v>3268</v>
      </c>
      <c r="B18" t="s">
        <v>359</v>
      </c>
      <c r="C18" t="s">
        <v>3266</v>
      </c>
    </row>
    <row r="19" spans="1:3" x14ac:dyDescent="0.2">
      <c r="A19" t="s">
        <v>3256</v>
      </c>
      <c r="B19" t="s">
        <v>356</v>
      </c>
      <c r="C19" t="s">
        <v>3254</v>
      </c>
    </row>
    <row r="20" spans="1:3" x14ac:dyDescent="0.2">
      <c r="A20" t="s">
        <v>3212</v>
      </c>
      <c r="B20" t="s">
        <v>342</v>
      </c>
      <c r="C20" t="s">
        <v>3210</v>
      </c>
    </row>
    <row r="21" spans="1:3" x14ac:dyDescent="0.2">
      <c r="A21" t="s">
        <v>3224</v>
      </c>
      <c r="B21" t="s">
        <v>345</v>
      </c>
      <c r="C21" t="s">
        <v>3222</v>
      </c>
    </row>
  </sheetData>
  <sortState xmlns:xlrd2="http://schemas.microsoft.com/office/spreadsheetml/2017/richdata2" ref="A2:C105">
    <sortCondition ref="A1:A105"/>
    <sortCondition ref="B1:B105"/>
    <sortCondition ref="C1:C105"/>
  </sortState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4"/>
  <dimension ref="E1:G22"/>
  <sheetViews>
    <sheetView workbookViewId="0">
      <selection activeCell="G1" sqref="G1:G22"/>
    </sheetView>
  </sheetViews>
  <sheetFormatPr defaultRowHeight="12.75" x14ac:dyDescent="0.2"/>
  <cols>
    <col min="2" max="2" width="13.28515625" bestFit="1" customWidth="1"/>
    <col min="3" max="3" width="17.140625" customWidth="1"/>
    <col min="4" max="4" width="27.7109375" customWidth="1"/>
    <col min="5" max="5" width="35.5703125" customWidth="1"/>
    <col min="6" max="6" width="23" customWidth="1"/>
    <col min="7" max="7" width="17.5703125" bestFit="1" customWidth="1"/>
    <col min="8" max="8" width="17.85546875" customWidth="1"/>
    <col min="11" max="11" width="35.5703125" customWidth="1"/>
  </cols>
  <sheetData>
    <row r="1" spans="5:7" x14ac:dyDescent="0.2">
      <c r="E1" t="s">
        <v>254</v>
      </c>
      <c r="F1" t="s">
        <v>168</v>
      </c>
      <c r="G1" t="s">
        <v>255</v>
      </c>
    </row>
    <row r="2" spans="5:7" x14ac:dyDescent="0.2">
      <c r="E2" t="s">
        <v>3192</v>
      </c>
      <c r="F2" t="s">
        <v>3274</v>
      </c>
      <c r="G2" t="s">
        <v>3295</v>
      </c>
    </row>
    <row r="3" spans="5:7" x14ac:dyDescent="0.2">
      <c r="E3" t="s">
        <v>3196</v>
      </c>
      <c r="F3" t="s">
        <v>3275</v>
      </c>
      <c r="G3" t="s">
        <v>3296</v>
      </c>
    </row>
    <row r="4" spans="5:7" x14ac:dyDescent="0.2">
      <c r="E4" t="s">
        <v>3200</v>
      </c>
      <c r="F4" t="s">
        <v>3276</v>
      </c>
      <c r="G4" t="s">
        <v>3297</v>
      </c>
    </row>
    <row r="5" spans="5:7" x14ac:dyDescent="0.2">
      <c r="E5" t="s">
        <v>3204</v>
      </c>
      <c r="F5" t="s">
        <v>3277</v>
      </c>
      <c r="G5" t="s">
        <v>3298</v>
      </c>
    </row>
    <row r="6" spans="5:7" x14ac:dyDescent="0.2">
      <c r="E6" t="s">
        <v>3208</v>
      </c>
      <c r="F6" t="s">
        <v>3278</v>
      </c>
      <c r="G6" t="s">
        <v>3299</v>
      </c>
    </row>
    <row r="7" spans="5:7" x14ac:dyDescent="0.2">
      <c r="E7" t="s">
        <v>3212</v>
      </c>
      <c r="F7" t="s">
        <v>3279</v>
      </c>
      <c r="G7" t="s">
        <v>3300</v>
      </c>
    </row>
    <row r="8" spans="5:7" x14ac:dyDescent="0.2">
      <c r="E8" t="s">
        <v>3216</v>
      </c>
      <c r="F8" t="s">
        <v>3280</v>
      </c>
      <c r="G8" t="s">
        <v>3301</v>
      </c>
    </row>
    <row r="9" spans="5:7" x14ac:dyDescent="0.2">
      <c r="E9" t="s">
        <v>3220</v>
      </c>
      <c r="F9" t="s">
        <v>3281</v>
      </c>
      <c r="G9" t="s">
        <v>3302</v>
      </c>
    </row>
    <row r="10" spans="5:7" x14ac:dyDescent="0.2">
      <c r="E10" t="s">
        <v>3224</v>
      </c>
      <c r="F10" t="s">
        <v>3282</v>
      </c>
      <c r="G10" t="s">
        <v>3303</v>
      </c>
    </row>
    <row r="11" spans="5:7" x14ac:dyDescent="0.2">
      <c r="E11" t="s">
        <v>3228</v>
      </c>
      <c r="F11" t="s">
        <v>3283</v>
      </c>
      <c r="G11" t="s">
        <v>3304</v>
      </c>
    </row>
    <row r="12" spans="5:7" x14ac:dyDescent="0.2">
      <c r="E12" t="s">
        <v>3232</v>
      </c>
      <c r="F12" t="s">
        <v>3284</v>
      </c>
      <c r="G12" t="s">
        <v>3305</v>
      </c>
    </row>
    <row r="13" spans="5:7" x14ac:dyDescent="0.2">
      <c r="E13" t="s">
        <v>3236</v>
      </c>
      <c r="F13" t="s">
        <v>3285</v>
      </c>
      <c r="G13" t="s">
        <v>3306</v>
      </c>
    </row>
    <row r="14" spans="5:7" x14ac:dyDescent="0.2">
      <c r="E14" t="s">
        <v>3240</v>
      </c>
      <c r="F14" t="s">
        <v>3286</v>
      </c>
      <c r="G14" t="s">
        <v>3307</v>
      </c>
    </row>
    <row r="15" spans="5:7" x14ac:dyDescent="0.2">
      <c r="E15" t="s">
        <v>3244</v>
      </c>
      <c r="F15" t="s">
        <v>3287</v>
      </c>
      <c r="G15" t="s">
        <v>3308</v>
      </c>
    </row>
    <row r="16" spans="5:7" x14ac:dyDescent="0.2">
      <c r="E16" t="s">
        <v>3248</v>
      </c>
      <c r="F16" t="s">
        <v>3288</v>
      </c>
      <c r="G16" t="s">
        <v>3309</v>
      </c>
    </row>
    <row r="17" spans="5:7" x14ac:dyDescent="0.2">
      <c r="E17" t="s">
        <v>3252</v>
      </c>
      <c r="F17" t="s">
        <v>3289</v>
      </c>
      <c r="G17" t="s">
        <v>3310</v>
      </c>
    </row>
    <row r="18" spans="5:7" x14ac:dyDescent="0.2">
      <c r="E18" t="s">
        <v>3256</v>
      </c>
      <c r="F18" t="s">
        <v>3290</v>
      </c>
      <c r="G18" t="s">
        <v>3311</v>
      </c>
    </row>
    <row r="19" spans="5:7" x14ac:dyDescent="0.2">
      <c r="E19" t="s">
        <v>3260</v>
      </c>
      <c r="F19" t="s">
        <v>3291</v>
      </c>
      <c r="G19" t="s">
        <v>3312</v>
      </c>
    </row>
    <row r="20" spans="5:7" x14ac:dyDescent="0.2">
      <c r="E20" t="s">
        <v>3264</v>
      </c>
      <c r="F20" t="s">
        <v>3292</v>
      </c>
      <c r="G20" t="s">
        <v>3313</v>
      </c>
    </row>
    <row r="21" spans="5:7" x14ac:dyDescent="0.2">
      <c r="E21" t="s">
        <v>3268</v>
      </c>
      <c r="F21" t="s">
        <v>3293</v>
      </c>
      <c r="G21" t="s">
        <v>3314</v>
      </c>
    </row>
    <row r="22" spans="5:7" x14ac:dyDescent="0.2">
      <c r="E22" t="s">
        <v>3272</v>
      </c>
      <c r="F22" t="s">
        <v>3294</v>
      </c>
      <c r="G22" t="s">
        <v>3315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>
    <pageSetUpPr fitToPage="1"/>
  </sheetPr>
  <dimension ref="A1:AF43"/>
  <sheetViews>
    <sheetView showGridLines="0" topLeftCell="AA1" zoomScale="80" zoomScaleNormal="80" workbookViewId="0">
      <pane ySplit="1" topLeftCell="A2" activePane="bottomLeft" state="frozen"/>
      <selection activeCell="AD199" sqref="AD199"/>
      <selection pane="bottomLeft" activeCell="B22" sqref="B22:AD22"/>
    </sheetView>
  </sheetViews>
  <sheetFormatPr defaultColWidth="9.140625" defaultRowHeight="20.25" customHeight="1" outlineLevelCol="1" x14ac:dyDescent="0.2"/>
  <cols>
    <col min="1" max="1" width="17.42578125" style="236" customWidth="1" outlineLevel="1"/>
    <col min="2" max="2" width="20" style="58" customWidth="1" outlineLevel="1"/>
    <col min="3" max="3" width="18.140625" style="58" customWidth="1" outlineLevel="1"/>
    <col min="4" max="4" width="20.7109375" style="58" customWidth="1" outlineLevel="1"/>
    <col min="5" max="5" width="17.85546875" style="101" customWidth="1" outlineLevel="1"/>
    <col min="6" max="6" width="13.85546875" style="60" customWidth="1" outlineLevel="1"/>
    <col min="7" max="7" width="20.140625" style="56" customWidth="1" outlineLevel="1"/>
    <col min="8" max="8" width="10.85546875" style="56" bestFit="1" customWidth="1" outlineLevel="1"/>
    <col min="9" max="9" width="43.85546875" style="58" customWidth="1" outlineLevel="1"/>
    <col min="10" max="10" width="12.28515625" style="60" customWidth="1" outlineLevel="1"/>
    <col min="11" max="11" width="16.5703125" style="60" customWidth="1" outlineLevel="1"/>
    <col min="12" max="12" width="66.140625" style="59" customWidth="1" outlineLevel="1"/>
    <col min="13" max="13" width="13.7109375" style="62" customWidth="1" outlineLevel="1"/>
    <col min="14" max="14" width="10" style="56" customWidth="1" outlineLevel="1"/>
    <col min="15" max="15" width="11.5703125" style="56" customWidth="1" outlineLevel="1"/>
    <col min="16" max="16" width="8" style="56" customWidth="1"/>
    <col min="17" max="17" width="5.140625" style="56" customWidth="1"/>
    <col min="18" max="18" width="3.5703125" style="56" customWidth="1"/>
    <col min="19" max="19" width="15.140625" style="58" customWidth="1"/>
    <col min="20" max="20" width="20.5703125" style="56" customWidth="1"/>
    <col min="21" max="21" width="13.5703125" style="56" customWidth="1"/>
    <col min="22" max="22" width="18.7109375" style="56" customWidth="1"/>
    <col min="23" max="26" width="20.85546875" style="56" customWidth="1"/>
    <col min="27" max="27" width="76.85546875" style="56" customWidth="1"/>
    <col min="28" max="28" width="63.5703125" style="56" customWidth="1"/>
    <col min="29" max="29" width="108.5703125" style="56" customWidth="1"/>
    <col min="30" max="30" width="11.42578125" style="56" customWidth="1"/>
    <col min="31" max="31" width="13.28515625" style="56" customWidth="1"/>
    <col min="32" max="32" width="13.85546875" style="56" customWidth="1"/>
    <col min="33" max="35" width="9.140625" style="56" customWidth="1"/>
    <col min="36" max="36" width="11" style="56" customWidth="1"/>
    <col min="37" max="37" width="9.85546875" style="56" customWidth="1"/>
    <col min="38" max="43" width="9.140625" style="56" customWidth="1"/>
    <col min="44" max="16384" width="9.140625" style="56"/>
  </cols>
  <sheetData>
    <row r="1" spans="1:32" ht="18.75" customHeight="1" x14ac:dyDescent="0.2">
      <c r="A1" s="128" t="s">
        <v>14</v>
      </c>
      <c r="B1" s="128" t="s">
        <v>20</v>
      </c>
      <c r="C1" s="128" t="s">
        <v>21</v>
      </c>
      <c r="D1" s="128" t="s">
        <v>13</v>
      </c>
      <c r="E1" s="128" t="s">
        <v>22</v>
      </c>
      <c r="F1" s="128" t="s">
        <v>18</v>
      </c>
      <c r="G1" s="128" t="s">
        <v>23</v>
      </c>
      <c r="H1" s="128"/>
      <c r="I1" s="128"/>
      <c r="J1" s="128" t="s">
        <v>24</v>
      </c>
      <c r="K1" s="128" t="s">
        <v>9</v>
      </c>
      <c r="L1" s="128" t="s">
        <v>12</v>
      </c>
      <c r="M1" s="128" t="s">
        <v>20</v>
      </c>
      <c r="N1" s="128" t="s">
        <v>25</v>
      </c>
      <c r="O1" s="128" t="s">
        <v>26</v>
      </c>
      <c r="P1" s="128" t="s">
        <v>27</v>
      </c>
      <c r="Q1" s="128" t="s">
        <v>28</v>
      </c>
      <c r="R1" s="128" t="s">
        <v>29</v>
      </c>
      <c r="S1" s="128" t="s">
        <v>30</v>
      </c>
      <c r="T1" s="128" t="s">
        <v>13</v>
      </c>
      <c r="U1" s="128" t="s">
        <v>31</v>
      </c>
      <c r="V1" s="128" t="s">
        <v>32</v>
      </c>
      <c r="W1" s="128" t="s">
        <v>15</v>
      </c>
      <c r="X1" s="128"/>
      <c r="Y1" s="128"/>
      <c r="Z1" s="128"/>
      <c r="AA1" s="128" t="s">
        <v>33</v>
      </c>
      <c r="AB1" s="128" t="s">
        <v>34</v>
      </c>
      <c r="AC1" s="128" t="s">
        <v>35</v>
      </c>
      <c r="AD1" s="128" t="s">
        <v>36</v>
      </c>
      <c r="AE1" s="241"/>
      <c r="AF1" s="95"/>
    </row>
    <row r="2" spans="1:32" s="57" customFormat="1" ht="20.100000000000001" customHeight="1" x14ac:dyDescent="0.25">
      <c r="A2" s="235" t="s">
        <v>3192</v>
      </c>
      <c r="B2" s="130"/>
      <c r="C2" s="131">
        <f t="shared" ref="C2" si="0">W2</f>
        <v>0</v>
      </c>
      <c r="D2" s="132" t="str">
        <f>VLOOKUP(A2,'APONTAMENTO CREDENCIAMENTO'!$D$6:$P$2968,12,0)</f>
        <v>6020.2023/0024676-0</v>
      </c>
      <c r="E2" s="133"/>
      <c r="F2" s="134">
        <f>SUMIF('APONTAMENTO CREDENCIAMENTO'!$D$6:$D$2968,'ATESTE-LIQ'!A2,'APONTAMENTO CREDENCIAMENTO'!$FE$6:$FE$2968)</f>
        <v>13065.551000000001</v>
      </c>
      <c r="G2" s="328" t="str">
        <f>VLOOKUP(A2,'APONTAMENTO CREDENCIAMENTO'!$D$6:$G$2968,3,0)</f>
        <v>01/04/2026</v>
      </c>
      <c r="H2" s="328" t="str">
        <f>VLOOKUP(A2,'APONTAMENTO CREDENCIAMENTO'!$D$6:$G$2968,4,0)</f>
        <v>30/04/2026</v>
      </c>
      <c r="I2" s="135" t="str">
        <f t="shared" ref="I2" si="1">CONCATENATE("PE - Pagto. Doc(s): ",E2," - Contrato nº ",A2)</f>
        <v>PE - Pagto. Doc(s):  - Contrato nº 2023/0024676</v>
      </c>
      <c r="J2" s="136">
        <f t="shared" ref="J2" si="2">F2</f>
        <v>13065.551000000001</v>
      </c>
      <c r="K2" s="136">
        <v>0</v>
      </c>
      <c r="L2" s="137" t="str">
        <f>VLOOKUP(A2,'APONTAMENTO CREDENCIAMENTO'!$D$6:$P$2968,5,0)</f>
        <v>CARIVALDO DE JESUS</v>
      </c>
      <c r="M2" s="138"/>
      <c r="N2" s="139"/>
      <c r="O2" s="140"/>
      <c r="P2" s="141"/>
      <c r="Q2" s="141"/>
      <c r="R2" s="141"/>
      <c r="S2" s="142"/>
      <c r="T2" s="143" t="str">
        <f t="shared" ref="T2" si="3">D2</f>
        <v>6020.2023/0024676-0</v>
      </c>
      <c r="U2" s="144">
        <f t="shared" ref="U2" si="4">F2</f>
        <v>13065.551000000001</v>
      </c>
      <c r="V2" s="145">
        <f t="shared" ref="V2" si="5">U2</f>
        <v>13065.551000000001</v>
      </c>
      <c r="W2" s="129"/>
      <c r="X2" s="129"/>
      <c r="Y2" s="129"/>
      <c r="Z2" s="129"/>
      <c r="AA2" s="146" t="str">
        <f>CONCATENATE("Prestação de Serviço e Transpor. Escolar Gratuito - TEG n. ",A2," - DRE - " &amp;'BASE C'!$C$2)</f>
        <v>Prestação de Serviço e Transpor. Escolar Gratuito - TEG n. 2023/0024676 - DRE - BT</v>
      </c>
      <c r="AB2" s="238" t="str">
        <f t="shared" ref="AB2" si="6">L2</f>
        <v>CARIVALDO DE JESUS</v>
      </c>
      <c r="AC2" s="239"/>
      <c r="AD2" s="240"/>
      <c r="AE2" s="242"/>
      <c r="AF2" s="102"/>
    </row>
    <row r="3" spans="1:32" s="57" customFormat="1" ht="20.100000000000001" customHeight="1" x14ac:dyDescent="0.25">
      <c r="A3" s="900" t="s">
        <v>3220</v>
      </c>
      <c r="B3" s="130"/>
      <c r="C3" s="131">
        <f t="shared" ref="C3:C22" si="7">W3</f>
        <v>0</v>
      </c>
      <c r="D3" s="132" t="str">
        <f>VLOOKUP(A3,'APONTAMENTO CREDENCIAMENTO'!$D$6:$P$2968,12,0)</f>
        <v>6020.2022/0025949-5</v>
      </c>
      <c r="E3" s="133"/>
      <c r="F3" s="134">
        <f>SUMIF('APONTAMENTO CREDENCIAMENTO'!$D$6:$D$2968,'ATESTE-LIQ'!A3,'APONTAMENTO CREDENCIAMENTO'!$FE$6:$FE$2968)</f>
        <v>10792.657000000001</v>
      </c>
      <c r="G3" s="328" t="str">
        <f>VLOOKUP(A3,'APONTAMENTO CREDENCIAMENTO'!$D$6:$G$2968,3,0)</f>
        <v>01/04/2026</v>
      </c>
      <c r="H3" s="328" t="str">
        <f>VLOOKUP(A3,'APONTAMENTO CREDENCIAMENTO'!$D$6:$G$2968,4,0)</f>
        <v>30/04/2026</v>
      </c>
      <c r="I3" s="135" t="str">
        <f t="shared" ref="I3:I22" si="8">CONCATENATE("PE - Pagto. Doc(s): ",E3," - Contrato nº ",A3)</f>
        <v>PE - Pagto. Doc(s):  - Contrato nº 2022/0025949</v>
      </c>
      <c r="J3" s="136">
        <f t="shared" ref="J3:J22" si="9">F3</f>
        <v>10792.657000000001</v>
      </c>
      <c r="K3" s="136">
        <v>0</v>
      </c>
      <c r="L3" s="137" t="str">
        <f>VLOOKUP(A3,'APONTAMENTO CREDENCIAMENTO'!$D$6:$P$2968,5,0)</f>
        <v>HENRIQUE DA SILVA ALFERES</v>
      </c>
      <c r="M3" s="138"/>
      <c r="N3" s="139"/>
      <c r="O3" s="140"/>
      <c r="P3" s="141"/>
      <c r="Q3" s="141"/>
      <c r="R3" s="141"/>
      <c r="S3" s="142"/>
      <c r="T3" s="143" t="str">
        <f t="shared" ref="T3:T22" si="10">D3</f>
        <v>6020.2022/0025949-5</v>
      </c>
      <c r="U3" s="144">
        <f t="shared" ref="U3:U22" si="11">F3</f>
        <v>10792.657000000001</v>
      </c>
      <c r="V3" s="145">
        <f t="shared" ref="V3:V22" si="12">U3</f>
        <v>10792.657000000001</v>
      </c>
      <c r="W3" s="129"/>
      <c r="X3" s="129"/>
      <c r="Y3" s="129"/>
      <c r="Z3" s="129"/>
      <c r="AA3" s="146" t="str">
        <f>CONCATENATE("Prestação de Serviço e Transpor. Escolar Gratuito - TEG n. ",A3," - DRE - " &amp;'BASE C'!$C$2)</f>
        <v>Prestação de Serviço e Transpor. Escolar Gratuito - TEG n. 2022/0025949 - DRE - BT</v>
      </c>
      <c r="AB3" s="238" t="str">
        <f t="shared" ref="AB3:AB22" si="13">L3</f>
        <v>HENRIQUE DA SILVA ALFERES</v>
      </c>
      <c r="AC3" s="239"/>
      <c r="AD3" s="240"/>
      <c r="AE3" s="242"/>
      <c r="AF3" s="102"/>
    </row>
    <row r="4" spans="1:32" s="57" customFormat="1" ht="20.100000000000001" customHeight="1" x14ac:dyDescent="0.25">
      <c r="A4" s="900" t="s">
        <v>3236</v>
      </c>
      <c r="B4" s="130"/>
      <c r="C4" s="131">
        <f t="shared" si="7"/>
        <v>0</v>
      </c>
      <c r="D4" s="132" t="str">
        <f>VLOOKUP(A4,'APONTAMENTO CREDENCIAMENTO'!$D$6:$P$2968,12,0)</f>
        <v>6020.2022/0026157-0</v>
      </c>
      <c r="E4" s="133"/>
      <c r="F4" s="134">
        <f>SUMIF('APONTAMENTO CREDENCIAMENTO'!$D$6:$D$2968,'ATESTE-LIQ'!A4,'APONTAMENTO CREDENCIAMENTO'!$FE$6:$FE$2968)</f>
        <v>16352.810000000001</v>
      </c>
      <c r="G4" s="328" t="str">
        <f>VLOOKUP(A4,'APONTAMENTO CREDENCIAMENTO'!$D$6:$G$2968,3,0)</f>
        <v>01/04/2026</v>
      </c>
      <c r="H4" s="328" t="str">
        <f>VLOOKUP(A4,'APONTAMENTO CREDENCIAMENTO'!$D$6:$G$2968,4,0)</f>
        <v>30/04/2026</v>
      </c>
      <c r="I4" s="135" t="str">
        <f t="shared" si="8"/>
        <v>PE - Pagto. Doc(s):  - Contrato nº 2022/0026157</v>
      </c>
      <c r="J4" s="136">
        <f t="shared" si="9"/>
        <v>16352.810000000001</v>
      </c>
      <c r="K4" s="136">
        <v>0</v>
      </c>
      <c r="L4" s="137" t="str">
        <f>VLOOKUP(A4,'APONTAMENTO CREDENCIAMENTO'!$D$6:$P$2968,5,0)</f>
        <v>JOSE ANDRE DOS SANTOS</v>
      </c>
      <c r="M4" s="138"/>
      <c r="N4" s="139"/>
      <c r="O4" s="140"/>
      <c r="P4" s="141"/>
      <c r="Q4" s="141"/>
      <c r="R4" s="141"/>
      <c r="S4" s="142"/>
      <c r="T4" s="143" t="str">
        <f t="shared" si="10"/>
        <v>6020.2022/0026157-0</v>
      </c>
      <c r="U4" s="144">
        <f t="shared" si="11"/>
        <v>16352.810000000001</v>
      </c>
      <c r="V4" s="145">
        <f t="shared" si="12"/>
        <v>16352.810000000001</v>
      </c>
      <c r="W4" s="129"/>
      <c r="X4" s="129"/>
      <c r="Y4" s="129"/>
      <c r="Z4" s="129"/>
      <c r="AA4" s="146" t="str">
        <f>CONCATENATE("Prestação de Serviço e Transpor. Escolar Gratuito - TEG n. ",A4," - DRE - " &amp;'BASE C'!$C$2)</f>
        <v>Prestação de Serviço e Transpor. Escolar Gratuito - TEG n. 2022/0026157 - DRE - BT</v>
      </c>
      <c r="AB4" s="238" t="str">
        <f t="shared" si="13"/>
        <v>JOSE ANDRE DOS SANTOS</v>
      </c>
      <c r="AC4" s="239"/>
      <c r="AD4" s="240"/>
      <c r="AE4" s="242"/>
      <c r="AF4" s="102"/>
    </row>
    <row r="5" spans="1:32" s="57" customFormat="1" ht="20.100000000000001" customHeight="1" x14ac:dyDescent="0.25">
      <c r="A5" s="900" t="s">
        <v>3248</v>
      </c>
      <c r="B5" s="130"/>
      <c r="C5" s="131">
        <f t="shared" si="7"/>
        <v>0</v>
      </c>
      <c r="D5" s="132" t="str">
        <f>VLOOKUP(A5,'APONTAMENTO CREDENCIAMENTO'!$D$6:$P$2968,12,0)</f>
        <v>6020.2022/0026930-0</v>
      </c>
      <c r="E5" s="133"/>
      <c r="F5" s="134">
        <f>SUMIF('APONTAMENTO CREDENCIAMENTO'!$D$6:$D$2968,'ATESTE-LIQ'!A5,'APONTAMENTO CREDENCIAMENTO'!$FE$6:$FE$2968)</f>
        <v>17855.54</v>
      </c>
      <c r="G5" s="328" t="str">
        <f>VLOOKUP(A5,'APONTAMENTO CREDENCIAMENTO'!$D$6:$G$2968,3,0)</f>
        <v>01/04/2026</v>
      </c>
      <c r="H5" s="328" t="str">
        <f>VLOOKUP(A5,'APONTAMENTO CREDENCIAMENTO'!$D$6:$G$2968,4,0)</f>
        <v>30/04/2026</v>
      </c>
      <c r="I5" s="135" t="str">
        <f t="shared" si="8"/>
        <v>PE - Pagto. Doc(s):  - Contrato nº 2022/0026930</v>
      </c>
      <c r="J5" s="136">
        <f t="shared" si="9"/>
        <v>17855.54</v>
      </c>
      <c r="K5" s="136">
        <v>0</v>
      </c>
      <c r="L5" s="137" t="str">
        <f>VLOOKUP(A5,'APONTAMENTO CREDENCIAMENTO'!$D$6:$P$2968,5,0)</f>
        <v>MAYKON WILKOVESKI FERREIRA</v>
      </c>
      <c r="M5" s="138"/>
      <c r="N5" s="139"/>
      <c r="O5" s="140"/>
      <c r="P5" s="141"/>
      <c r="Q5" s="141"/>
      <c r="R5" s="141"/>
      <c r="S5" s="142"/>
      <c r="T5" s="143" t="str">
        <f t="shared" si="10"/>
        <v>6020.2022/0026930-0</v>
      </c>
      <c r="U5" s="144">
        <f t="shared" si="11"/>
        <v>17855.54</v>
      </c>
      <c r="V5" s="145">
        <f t="shared" si="12"/>
        <v>17855.54</v>
      </c>
      <c r="W5" s="129"/>
      <c r="X5" s="129"/>
      <c r="Y5" s="129"/>
      <c r="Z5" s="129"/>
      <c r="AA5" s="146" t="str">
        <f>CONCATENATE("Prestação de Serviço e Transpor. Escolar Gratuito - TEG n. ",A5," - DRE - " &amp;'BASE C'!$C$2)</f>
        <v>Prestação de Serviço e Transpor. Escolar Gratuito - TEG n. 2022/0026930 - DRE - BT</v>
      </c>
      <c r="AB5" s="238" t="str">
        <f t="shared" si="13"/>
        <v>MAYKON WILKOVESKI FERREIRA</v>
      </c>
      <c r="AC5" s="239"/>
      <c r="AD5" s="240"/>
      <c r="AE5" s="242"/>
      <c r="AF5" s="102"/>
    </row>
    <row r="6" spans="1:32" s="57" customFormat="1" ht="20.100000000000001" customHeight="1" x14ac:dyDescent="0.25">
      <c r="A6" s="900" t="s">
        <v>3204</v>
      </c>
      <c r="B6" s="130"/>
      <c r="C6" s="131">
        <f t="shared" si="7"/>
        <v>0</v>
      </c>
      <c r="D6" s="132" t="str">
        <f>VLOOKUP(A6,'APONTAMENTO CREDENCIAMENTO'!$D$6:$P$2968,12,0)</f>
        <v>6020.2022/0027963-1</v>
      </c>
      <c r="E6" s="133"/>
      <c r="F6" s="134">
        <f>SUMIF('APONTAMENTO CREDENCIAMENTO'!$D$6:$D$2968,'ATESTE-LIQ'!A6,'APONTAMENTO CREDENCIAMENTO'!$FE$6:$FE$2968)</f>
        <v>10741.293</v>
      </c>
      <c r="G6" s="328" t="str">
        <f>VLOOKUP(A6,'APONTAMENTO CREDENCIAMENTO'!$D$6:$G$2968,3,0)</f>
        <v>01/04/2026</v>
      </c>
      <c r="H6" s="328" t="str">
        <f>VLOOKUP(A6,'APONTAMENTO CREDENCIAMENTO'!$D$6:$G$2968,4,0)</f>
        <v>30/04/2026</v>
      </c>
      <c r="I6" s="135" t="str">
        <f t="shared" si="8"/>
        <v>PE - Pagto. Doc(s):  - Contrato nº 2022/0027963</v>
      </c>
      <c r="J6" s="136">
        <f t="shared" si="9"/>
        <v>10741.293</v>
      </c>
      <c r="K6" s="136">
        <v>0</v>
      </c>
      <c r="L6" s="137" t="str">
        <f>VLOOKUP(A6,'APONTAMENTO CREDENCIAMENTO'!$D$6:$P$2968,5,0)</f>
        <v>ELIENE ROCHA DE SANTANA</v>
      </c>
      <c r="M6" s="138"/>
      <c r="N6" s="139"/>
      <c r="O6" s="140"/>
      <c r="P6" s="141"/>
      <c r="Q6" s="141"/>
      <c r="R6" s="141"/>
      <c r="S6" s="142"/>
      <c r="T6" s="143" t="str">
        <f t="shared" si="10"/>
        <v>6020.2022/0027963-1</v>
      </c>
      <c r="U6" s="144">
        <f t="shared" si="11"/>
        <v>10741.293</v>
      </c>
      <c r="V6" s="145">
        <f t="shared" si="12"/>
        <v>10741.293</v>
      </c>
      <c r="W6" s="129"/>
      <c r="X6" s="129"/>
      <c r="Y6" s="129"/>
      <c r="Z6" s="129"/>
      <c r="AA6" s="146" t="str">
        <f>CONCATENATE("Prestação de Serviço e Transpor. Escolar Gratuito - TEG n. ",A6," - DRE - " &amp;'BASE C'!$C$2)</f>
        <v>Prestação de Serviço e Transpor. Escolar Gratuito - TEG n. 2022/0027963 - DRE - BT</v>
      </c>
      <c r="AB6" s="238" t="str">
        <f t="shared" si="13"/>
        <v>ELIENE ROCHA DE SANTANA</v>
      </c>
      <c r="AC6" s="239"/>
      <c r="AD6" s="240"/>
      <c r="AE6" s="242"/>
      <c r="AF6" s="102"/>
    </row>
    <row r="7" spans="1:32" s="57" customFormat="1" ht="20.100000000000001" customHeight="1" x14ac:dyDescent="0.25">
      <c r="A7" s="900" t="s">
        <v>3208</v>
      </c>
      <c r="B7" s="130"/>
      <c r="C7" s="131">
        <f t="shared" si="7"/>
        <v>0</v>
      </c>
      <c r="D7" s="132" t="str">
        <f>VLOOKUP(A7,'APONTAMENTO CREDENCIAMENTO'!$D$6:$P$2968,12,0)</f>
        <v>6020.2022/0029293-0</v>
      </c>
      <c r="E7" s="133"/>
      <c r="F7" s="134">
        <f>SUMIF('APONTAMENTO CREDENCIAMENTO'!$D$6:$D$2968,'ATESTE-LIQ'!A7,'APONTAMENTO CREDENCIAMENTO'!$FE$6:$FE$2968)</f>
        <v>11819.937000000002</v>
      </c>
      <c r="G7" s="328" t="str">
        <f>VLOOKUP(A7,'APONTAMENTO CREDENCIAMENTO'!$D$6:$G$2968,3,0)</f>
        <v>01/04/2026</v>
      </c>
      <c r="H7" s="328" t="str">
        <f>VLOOKUP(A7,'APONTAMENTO CREDENCIAMENTO'!$D$6:$G$2968,4,0)</f>
        <v>30/04/2026</v>
      </c>
      <c r="I7" s="135" t="str">
        <f t="shared" si="8"/>
        <v>PE - Pagto. Doc(s):  - Contrato nº 2022/0029293</v>
      </c>
      <c r="J7" s="136">
        <f t="shared" si="9"/>
        <v>11819.937000000002</v>
      </c>
      <c r="K7" s="136">
        <v>0</v>
      </c>
      <c r="L7" s="137" t="str">
        <f>VLOOKUP(A7,'APONTAMENTO CREDENCIAMENTO'!$D$6:$P$2968,5,0)</f>
        <v>FABIO DE FAUSTO FERREIRA</v>
      </c>
      <c r="M7" s="138"/>
      <c r="N7" s="139"/>
      <c r="O7" s="140"/>
      <c r="P7" s="141"/>
      <c r="Q7" s="141"/>
      <c r="R7" s="141"/>
      <c r="S7" s="142"/>
      <c r="T7" s="143" t="str">
        <f t="shared" si="10"/>
        <v>6020.2022/0029293-0</v>
      </c>
      <c r="U7" s="144">
        <f t="shared" si="11"/>
        <v>11819.937000000002</v>
      </c>
      <c r="V7" s="145">
        <f t="shared" si="12"/>
        <v>11819.937000000002</v>
      </c>
      <c r="W7" s="129"/>
      <c r="X7" s="129"/>
      <c r="Y7" s="129"/>
      <c r="Z7" s="129"/>
      <c r="AA7" s="146" t="str">
        <f>CONCATENATE("Prestação de Serviço e Transpor. Escolar Gratuito - TEG n. ",A7," - DRE - " &amp;'BASE C'!$C$2)</f>
        <v>Prestação de Serviço e Transpor. Escolar Gratuito - TEG n. 2022/0029293 - DRE - BT</v>
      </c>
      <c r="AB7" s="238" t="str">
        <f t="shared" si="13"/>
        <v>FABIO DE FAUSTO FERREIRA</v>
      </c>
      <c r="AC7" s="239"/>
      <c r="AD7" s="240"/>
      <c r="AE7" s="242"/>
      <c r="AF7" s="102"/>
    </row>
    <row r="8" spans="1:32" s="57" customFormat="1" ht="20.100000000000001" customHeight="1" x14ac:dyDescent="0.25">
      <c r="A8" s="900" t="s">
        <v>3264</v>
      </c>
      <c r="B8" s="130"/>
      <c r="C8" s="131">
        <f t="shared" si="7"/>
        <v>0</v>
      </c>
      <c r="D8" s="132" t="str">
        <f>VLOOKUP(A8,'APONTAMENTO CREDENCIAMENTO'!$D$6:$P$2968,12,0)</f>
        <v>6020.2022/0031386-4</v>
      </c>
      <c r="E8" s="133"/>
      <c r="F8" s="134">
        <f>SUMIF('APONTAMENTO CREDENCIAMENTO'!$D$6:$D$2968,'ATESTE-LIQ'!A8,'APONTAMENTO CREDENCIAMENTO'!$FE$6:$FE$2968)</f>
        <v>9470.0710000000017</v>
      </c>
      <c r="G8" s="328" t="str">
        <f>VLOOKUP(A8,'APONTAMENTO CREDENCIAMENTO'!$D$6:$G$2968,3,0)</f>
        <v>01/04/2026</v>
      </c>
      <c r="H8" s="328" t="str">
        <f>VLOOKUP(A8,'APONTAMENTO CREDENCIAMENTO'!$D$6:$G$2968,4,0)</f>
        <v>30/04/2026</v>
      </c>
      <c r="I8" s="135" t="str">
        <f t="shared" si="8"/>
        <v>PE - Pagto. Doc(s):  - Contrato nº 2022/0031386</v>
      </c>
      <c r="J8" s="136">
        <f t="shared" si="9"/>
        <v>9470.0710000000017</v>
      </c>
      <c r="K8" s="136">
        <v>0</v>
      </c>
      <c r="L8" s="137" t="str">
        <f>VLOOKUP(A8,'APONTAMENTO CREDENCIAMENTO'!$D$6:$P$2968,5,0)</f>
        <v>VALDEMIR DE CARVALHO SANTOS</v>
      </c>
      <c r="M8" s="138"/>
      <c r="N8" s="139"/>
      <c r="O8" s="140"/>
      <c r="P8" s="141"/>
      <c r="Q8" s="141"/>
      <c r="R8" s="141"/>
      <c r="S8" s="142"/>
      <c r="T8" s="143" t="str">
        <f t="shared" si="10"/>
        <v>6020.2022/0031386-4</v>
      </c>
      <c r="U8" s="144">
        <f t="shared" si="11"/>
        <v>9470.0710000000017</v>
      </c>
      <c r="V8" s="145">
        <f t="shared" si="12"/>
        <v>9470.0710000000017</v>
      </c>
      <c r="W8" s="129"/>
      <c r="X8" s="129"/>
      <c r="Y8" s="129"/>
      <c r="Z8" s="129"/>
      <c r="AA8" s="146" t="str">
        <f>CONCATENATE("Prestação de Serviço e Transpor. Escolar Gratuito - TEG n. ",A8," - DRE - " &amp;'BASE C'!$C$2)</f>
        <v>Prestação de Serviço e Transpor. Escolar Gratuito - TEG n. 2022/0031386 - DRE - BT</v>
      </c>
      <c r="AB8" s="238" t="str">
        <f t="shared" si="13"/>
        <v>VALDEMIR DE CARVALHO SANTOS</v>
      </c>
      <c r="AC8" s="239"/>
      <c r="AD8" s="240"/>
      <c r="AE8" s="242"/>
      <c r="AF8" s="102"/>
    </row>
    <row r="9" spans="1:32" s="57" customFormat="1" ht="20.100000000000001" customHeight="1" x14ac:dyDescent="0.25">
      <c r="A9" s="900" t="s">
        <v>3200</v>
      </c>
      <c r="B9" s="130"/>
      <c r="C9" s="131">
        <f t="shared" si="7"/>
        <v>0</v>
      </c>
      <c r="D9" s="132" t="str">
        <f>VLOOKUP(A9,'APONTAMENTO CREDENCIAMENTO'!$D$6:$P$2968,12,0)</f>
        <v>6020.2022/0031551-4</v>
      </c>
      <c r="E9" s="133"/>
      <c r="F9" s="134">
        <f>SUMIF('APONTAMENTO CREDENCIAMENTO'!$D$6:$D$2968,'ATESTE-LIQ'!A9,'APONTAMENTO CREDENCIAMENTO'!$FE$6:$FE$2968)</f>
        <v>10892.591</v>
      </c>
      <c r="G9" s="328" t="str">
        <f>VLOOKUP(A9,'APONTAMENTO CREDENCIAMENTO'!$D$6:$G$2968,3,0)</f>
        <v>01/04/2026</v>
      </c>
      <c r="H9" s="328" t="str">
        <f>VLOOKUP(A9,'APONTAMENTO CREDENCIAMENTO'!$D$6:$G$2968,4,0)</f>
        <v>30/04/2026</v>
      </c>
      <c r="I9" s="135" t="str">
        <f t="shared" si="8"/>
        <v>PE - Pagto. Doc(s):  - Contrato nº 2022/0031551</v>
      </c>
      <c r="J9" s="136">
        <f t="shared" si="9"/>
        <v>10892.591</v>
      </c>
      <c r="K9" s="136">
        <v>0</v>
      </c>
      <c r="L9" s="137" t="str">
        <f>VLOOKUP(A9,'APONTAMENTO CREDENCIAMENTO'!$D$6:$P$2968,5,0)</f>
        <v>EDMILSON JOSE DE OLIVEIRA</v>
      </c>
      <c r="M9" s="138"/>
      <c r="N9" s="139"/>
      <c r="O9" s="140"/>
      <c r="P9" s="141"/>
      <c r="Q9" s="141"/>
      <c r="R9" s="141"/>
      <c r="S9" s="142"/>
      <c r="T9" s="143" t="str">
        <f t="shared" si="10"/>
        <v>6020.2022/0031551-4</v>
      </c>
      <c r="U9" s="144">
        <f t="shared" si="11"/>
        <v>10892.591</v>
      </c>
      <c r="V9" s="145">
        <f t="shared" si="12"/>
        <v>10892.591</v>
      </c>
      <c r="W9" s="129"/>
      <c r="X9" s="129"/>
      <c r="Y9" s="129"/>
      <c r="Z9" s="129"/>
      <c r="AA9" s="146" t="str">
        <f>CONCATENATE("Prestação de Serviço e Transpor. Escolar Gratuito - TEG n. ",A9," - DRE - " &amp;'BASE C'!$C$2)</f>
        <v>Prestação de Serviço e Transpor. Escolar Gratuito - TEG n. 2022/0031551 - DRE - BT</v>
      </c>
      <c r="AB9" s="238" t="str">
        <f t="shared" si="13"/>
        <v>EDMILSON JOSE DE OLIVEIRA</v>
      </c>
      <c r="AC9" s="239"/>
      <c r="AD9" s="240"/>
      <c r="AE9" s="242"/>
      <c r="AF9" s="102"/>
    </row>
    <row r="10" spans="1:32" s="57" customFormat="1" ht="20.100000000000001" customHeight="1" x14ac:dyDescent="0.25">
      <c r="A10" s="900" t="s">
        <v>3244</v>
      </c>
      <c r="B10" s="130"/>
      <c r="C10" s="131">
        <f t="shared" si="7"/>
        <v>0</v>
      </c>
      <c r="D10" s="132" t="str">
        <f>VLOOKUP(A10,'APONTAMENTO CREDENCIAMENTO'!$D$6:$P$2968,12,0)</f>
        <v>6020.2022/0032016-0</v>
      </c>
      <c r="E10" s="133"/>
      <c r="F10" s="134">
        <f>SUMIF('APONTAMENTO CREDENCIAMENTO'!$D$6:$D$2968,'ATESTE-LIQ'!A10,'APONTAMENTO CREDENCIAMENTO'!$FE$6:$FE$2968)</f>
        <v>14600.18</v>
      </c>
      <c r="G10" s="328" t="str">
        <f>VLOOKUP(A10,'APONTAMENTO CREDENCIAMENTO'!$D$6:$G$2968,3,0)</f>
        <v>01/04/2026</v>
      </c>
      <c r="H10" s="328" t="str">
        <f>VLOOKUP(A10,'APONTAMENTO CREDENCIAMENTO'!$D$6:$G$2968,4,0)</f>
        <v>30/04/2026</v>
      </c>
      <c r="I10" s="135" t="str">
        <f t="shared" si="8"/>
        <v>PE - Pagto. Doc(s):  - Contrato nº 2022/0032016</v>
      </c>
      <c r="J10" s="136">
        <f t="shared" si="9"/>
        <v>14600.18</v>
      </c>
      <c r="K10" s="136">
        <v>0</v>
      </c>
      <c r="L10" s="137" t="str">
        <f>VLOOKUP(A10,'APONTAMENTO CREDENCIAMENTO'!$D$6:$P$2968,5,0)</f>
        <v>MARIA DA PAZ COELHO FEITOSA</v>
      </c>
      <c r="M10" s="138"/>
      <c r="N10" s="139"/>
      <c r="O10" s="140"/>
      <c r="P10" s="141"/>
      <c r="Q10" s="141"/>
      <c r="R10" s="141"/>
      <c r="S10" s="142"/>
      <c r="T10" s="143" t="str">
        <f t="shared" si="10"/>
        <v>6020.2022/0032016-0</v>
      </c>
      <c r="U10" s="144">
        <f t="shared" si="11"/>
        <v>14600.18</v>
      </c>
      <c r="V10" s="145">
        <f t="shared" si="12"/>
        <v>14600.18</v>
      </c>
      <c r="W10" s="129"/>
      <c r="X10" s="129"/>
      <c r="Y10" s="129"/>
      <c r="Z10" s="129"/>
      <c r="AA10" s="146" t="str">
        <f>CONCATENATE("Prestação de Serviço e Transpor. Escolar Gratuito - TEG n. ",A10," - DRE - " &amp;'BASE C'!$C$2)</f>
        <v>Prestação de Serviço e Transpor. Escolar Gratuito - TEG n. 2022/0032016 - DRE - BT</v>
      </c>
      <c r="AB10" s="238" t="str">
        <f t="shared" si="13"/>
        <v>MARIA DA PAZ COELHO FEITOSA</v>
      </c>
      <c r="AC10" s="239"/>
      <c r="AD10" s="240"/>
      <c r="AE10" s="242"/>
      <c r="AF10" s="102"/>
    </row>
    <row r="11" spans="1:32" s="57" customFormat="1" ht="20.100000000000001" customHeight="1" x14ac:dyDescent="0.25">
      <c r="A11" s="900" t="s">
        <v>3196</v>
      </c>
      <c r="B11" s="130"/>
      <c r="C11" s="131">
        <f t="shared" si="7"/>
        <v>0</v>
      </c>
      <c r="D11" s="132" t="str">
        <f>VLOOKUP(A11,'APONTAMENTO CREDENCIAMENTO'!$D$6:$P$2968,12,0)</f>
        <v>6020.2022/0032557-9</v>
      </c>
      <c r="E11" s="133"/>
      <c r="F11" s="134">
        <f>SUMIF('APONTAMENTO CREDENCIAMENTO'!$D$6:$D$2968,'ATESTE-LIQ'!A11,'APONTAMENTO CREDENCIAMENTO'!$FE$6:$FE$2968)</f>
        <v>13270.970000000001</v>
      </c>
      <c r="G11" s="328" t="str">
        <f>VLOOKUP(A11,'APONTAMENTO CREDENCIAMENTO'!$D$6:$G$2968,3,0)</f>
        <v>01/04/2026</v>
      </c>
      <c r="H11" s="328" t="str">
        <f>VLOOKUP(A11,'APONTAMENTO CREDENCIAMENTO'!$D$6:$G$2968,4,0)</f>
        <v>30/04/2026</v>
      </c>
      <c r="I11" s="135" t="str">
        <f t="shared" si="8"/>
        <v>PE - Pagto. Doc(s):  - Contrato nº 2022/0032557</v>
      </c>
      <c r="J11" s="136">
        <f t="shared" si="9"/>
        <v>13270.970000000001</v>
      </c>
      <c r="K11" s="136">
        <v>0</v>
      </c>
      <c r="L11" s="137" t="str">
        <f>VLOOKUP(A11,'APONTAMENTO CREDENCIAMENTO'!$D$6:$P$2968,5,0)</f>
        <v>DAVID LOPES BATISTA</v>
      </c>
      <c r="M11" s="138"/>
      <c r="N11" s="139"/>
      <c r="O11" s="140"/>
      <c r="P11" s="141"/>
      <c r="Q11" s="141"/>
      <c r="R11" s="141"/>
      <c r="S11" s="142"/>
      <c r="T11" s="143" t="str">
        <f t="shared" si="10"/>
        <v>6020.2022/0032557-9</v>
      </c>
      <c r="U11" s="144">
        <f t="shared" si="11"/>
        <v>13270.970000000001</v>
      </c>
      <c r="V11" s="145">
        <f t="shared" si="12"/>
        <v>13270.970000000001</v>
      </c>
      <c r="W11" s="129"/>
      <c r="X11" s="129"/>
      <c r="Y11" s="129"/>
      <c r="Z11" s="129"/>
      <c r="AA11" s="146" t="str">
        <f>CONCATENATE("Prestação de Serviço e Transpor. Escolar Gratuito - TEG n. ",A11," - DRE - " &amp;'BASE C'!$C$2)</f>
        <v>Prestação de Serviço e Transpor. Escolar Gratuito - TEG n. 2022/0032557 - DRE - BT</v>
      </c>
      <c r="AB11" s="238" t="str">
        <f t="shared" si="13"/>
        <v>DAVID LOPES BATISTA</v>
      </c>
      <c r="AC11" s="239"/>
      <c r="AD11" s="240"/>
      <c r="AE11" s="242"/>
      <c r="AF11" s="102"/>
    </row>
    <row r="12" spans="1:32" s="57" customFormat="1" ht="20.100000000000001" customHeight="1" x14ac:dyDescent="0.25">
      <c r="A12" s="900" t="s">
        <v>3228</v>
      </c>
      <c r="B12" s="130"/>
      <c r="C12" s="131">
        <f t="shared" si="7"/>
        <v>0</v>
      </c>
      <c r="D12" s="132" t="str">
        <f>VLOOKUP(A12,'APONTAMENTO CREDENCIAMENTO'!$D$6:$P$2968,12,0)</f>
        <v>6020.2022/0033949-9</v>
      </c>
      <c r="E12" s="133"/>
      <c r="F12" s="134">
        <f>SUMIF('APONTAMENTO CREDENCIAMENTO'!$D$6:$D$2968,'ATESTE-LIQ'!A12,'APONTAMENTO CREDENCIAMENTO'!$FE$6:$FE$2968)</f>
        <v>13646.93</v>
      </c>
      <c r="G12" s="328" t="str">
        <f>VLOOKUP(A12,'APONTAMENTO CREDENCIAMENTO'!$D$6:$G$2968,3,0)</f>
        <v>01/04/2026</v>
      </c>
      <c r="H12" s="328" t="str">
        <f>VLOOKUP(A12,'APONTAMENTO CREDENCIAMENTO'!$D$6:$G$2968,4,0)</f>
        <v>30/04/2026</v>
      </c>
      <c r="I12" s="135" t="str">
        <f t="shared" si="8"/>
        <v>PE - Pagto. Doc(s):  - Contrato nº 2022/0033949</v>
      </c>
      <c r="J12" s="136">
        <f t="shared" si="9"/>
        <v>13646.93</v>
      </c>
      <c r="K12" s="136">
        <v>0</v>
      </c>
      <c r="L12" s="137" t="str">
        <f>VLOOKUP(A12,'APONTAMENTO CREDENCIAMENTO'!$D$6:$P$2968,5,0)</f>
        <v>JOAO PAULO DA SILVA</v>
      </c>
      <c r="M12" s="138"/>
      <c r="N12" s="139"/>
      <c r="O12" s="140"/>
      <c r="P12" s="141"/>
      <c r="Q12" s="141"/>
      <c r="R12" s="141"/>
      <c r="S12" s="142"/>
      <c r="T12" s="143" t="str">
        <f t="shared" si="10"/>
        <v>6020.2022/0033949-9</v>
      </c>
      <c r="U12" s="144">
        <f t="shared" si="11"/>
        <v>13646.93</v>
      </c>
      <c r="V12" s="145">
        <f t="shared" si="12"/>
        <v>13646.93</v>
      </c>
      <c r="W12" s="129"/>
      <c r="X12" s="129"/>
      <c r="Y12" s="129"/>
      <c r="Z12" s="129"/>
      <c r="AA12" s="146" t="str">
        <f>CONCATENATE("Prestação de Serviço e Transpor. Escolar Gratuito - TEG n. ",A12," - DRE - " &amp;'BASE C'!$C$2)</f>
        <v>Prestação de Serviço e Transpor. Escolar Gratuito - TEG n. 2022/0033949 - DRE - BT</v>
      </c>
      <c r="AB12" s="238" t="str">
        <f t="shared" si="13"/>
        <v>JOAO PAULO DA SILVA</v>
      </c>
      <c r="AC12" s="239"/>
      <c r="AD12" s="240"/>
      <c r="AE12" s="242"/>
      <c r="AF12" s="102"/>
    </row>
    <row r="13" spans="1:32" s="57" customFormat="1" ht="20.100000000000001" customHeight="1" x14ac:dyDescent="0.25">
      <c r="A13" s="900" t="s">
        <v>3216</v>
      </c>
      <c r="B13" s="130"/>
      <c r="C13" s="131">
        <f t="shared" si="7"/>
        <v>0</v>
      </c>
      <c r="D13" s="132" t="str">
        <f>VLOOKUP(A13,'APONTAMENTO CREDENCIAMENTO'!$D$6:$P$2968,12,0)</f>
        <v>6020.2023/0008304-6</v>
      </c>
      <c r="E13" s="133"/>
      <c r="F13" s="134">
        <f>SUMIF('APONTAMENTO CREDENCIAMENTO'!$D$6:$D$2968,'ATESTE-LIQ'!A13,'APONTAMENTO CREDENCIAMENTO'!$FE$6:$FE$2968)</f>
        <v>22131.260000000002</v>
      </c>
      <c r="G13" s="328" t="str">
        <f>VLOOKUP(A13,'APONTAMENTO CREDENCIAMENTO'!$D$6:$G$2968,3,0)</f>
        <v>01/04/2026</v>
      </c>
      <c r="H13" s="328" t="str">
        <f>VLOOKUP(A13,'APONTAMENTO CREDENCIAMENTO'!$D$6:$G$2968,4,0)</f>
        <v>30/04/2026</v>
      </c>
      <c r="I13" s="135" t="str">
        <f t="shared" si="8"/>
        <v>PE - Pagto. Doc(s):  - Contrato nº 2023/0008304</v>
      </c>
      <c r="J13" s="136">
        <f t="shared" si="9"/>
        <v>22131.260000000002</v>
      </c>
      <c r="K13" s="136">
        <v>0</v>
      </c>
      <c r="L13" s="137" t="str">
        <f>VLOOKUP(A13,'APONTAMENTO CREDENCIAMENTO'!$D$6:$P$2968,5,0)</f>
        <v>HELTON DE SOUZA LEITE</v>
      </c>
      <c r="M13" s="138"/>
      <c r="N13" s="139"/>
      <c r="O13" s="140"/>
      <c r="P13" s="141"/>
      <c r="Q13" s="141"/>
      <c r="R13" s="141"/>
      <c r="S13" s="142"/>
      <c r="T13" s="143" t="str">
        <f t="shared" si="10"/>
        <v>6020.2023/0008304-6</v>
      </c>
      <c r="U13" s="144">
        <f t="shared" si="11"/>
        <v>22131.260000000002</v>
      </c>
      <c r="V13" s="145">
        <f t="shared" si="12"/>
        <v>22131.260000000002</v>
      </c>
      <c r="W13" s="129"/>
      <c r="X13" s="129"/>
      <c r="Y13" s="129"/>
      <c r="Z13" s="129"/>
      <c r="AA13" s="146" t="str">
        <f>CONCATENATE("Prestação de Serviço e Transpor. Escolar Gratuito - TEG n. ",A13," - DRE - " &amp;'BASE C'!$C$2)</f>
        <v>Prestação de Serviço e Transpor. Escolar Gratuito - TEG n. 2023/0008304 - DRE - BT</v>
      </c>
      <c r="AB13" s="238" t="str">
        <f t="shared" si="13"/>
        <v>HELTON DE SOUZA LEITE</v>
      </c>
      <c r="AC13" s="239"/>
      <c r="AD13" s="240"/>
      <c r="AE13" s="242"/>
      <c r="AF13" s="102"/>
    </row>
    <row r="14" spans="1:32" s="57" customFormat="1" ht="20.100000000000001" customHeight="1" x14ac:dyDescent="0.25">
      <c r="A14" s="900" t="s">
        <v>3260</v>
      </c>
      <c r="B14" s="130"/>
      <c r="C14" s="131">
        <f t="shared" si="7"/>
        <v>0</v>
      </c>
      <c r="D14" s="132" t="str">
        <f>VLOOKUP(A14,'APONTAMENTO CREDENCIAMENTO'!$D$6:$P$2968,12,0)</f>
        <v>6020.2023/0008783-1</v>
      </c>
      <c r="E14" s="133"/>
      <c r="F14" s="134">
        <f>SUMIF('APONTAMENTO CREDENCIAMENTO'!$D$6:$D$2968,'ATESTE-LIQ'!A14,'APONTAMENTO CREDENCIAMENTO'!$FE$6:$FE$2968)</f>
        <v>21771.934000000005</v>
      </c>
      <c r="G14" s="328" t="str">
        <f>VLOOKUP(A14,'APONTAMENTO CREDENCIAMENTO'!$D$6:$G$2968,3,0)</f>
        <v>01/04/2026</v>
      </c>
      <c r="H14" s="328" t="str">
        <f>VLOOKUP(A14,'APONTAMENTO CREDENCIAMENTO'!$D$6:$G$2968,4,0)</f>
        <v>30/04/2026</v>
      </c>
      <c r="I14" s="135" t="str">
        <f t="shared" si="8"/>
        <v>PE - Pagto. Doc(s):  - Contrato nº 2023/0008783</v>
      </c>
      <c r="J14" s="136">
        <f t="shared" si="9"/>
        <v>21771.934000000005</v>
      </c>
      <c r="K14" s="136">
        <v>0</v>
      </c>
      <c r="L14" s="137" t="str">
        <f>VLOOKUP(A14,'APONTAMENTO CREDENCIAMENTO'!$D$6:$P$2968,5,0)</f>
        <v>TARCISIO DE ALMEIDA SANCHO</v>
      </c>
      <c r="M14" s="138"/>
      <c r="N14" s="139"/>
      <c r="O14" s="140"/>
      <c r="P14" s="141"/>
      <c r="Q14" s="141"/>
      <c r="R14" s="141"/>
      <c r="S14" s="142"/>
      <c r="T14" s="143" t="str">
        <f t="shared" si="10"/>
        <v>6020.2023/0008783-1</v>
      </c>
      <c r="U14" s="144">
        <f t="shared" si="11"/>
        <v>21771.934000000005</v>
      </c>
      <c r="V14" s="145">
        <f t="shared" si="12"/>
        <v>21771.934000000005</v>
      </c>
      <c r="W14" s="129"/>
      <c r="X14" s="129"/>
      <c r="Y14" s="129"/>
      <c r="Z14" s="129"/>
      <c r="AA14" s="146" t="str">
        <f>CONCATENATE("Prestação de Serviço e Transpor. Escolar Gratuito - TEG n. ",A14," - DRE - " &amp;'BASE C'!$C$2)</f>
        <v>Prestação de Serviço e Transpor. Escolar Gratuito - TEG n. 2023/0008783 - DRE - BT</v>
      </c>
      <c r="AB14" s="238" t="str">
        <f t="shared" si="13"/>
        <v>TARCISIO DE ALMEIDA SANCHO</v>
      </c>
      <c r="AC14" s="239"/>
      <c r="AD14" s="240"/>
      <c r="AE14" s="242"/>
      <c r="AF14" s="102"/>
    </row>
    <row r="15" spans="1:32" s="57" customFormat="1" ht="20.100000000000001" customHeight="1" x14ac:dyDescent="0.25">
      <c r="A15" s="900" t="s">
        <v>3240</v>
      </c>
      <c r="B15" s="130"/>
      <c r="C15" s="131">
        <f t="shared" si="7"/>
        <v>0</v>
      </c>
      <c r="D15" s="132" t="str">
        <f>VLOOKUP(A15,'APONTAMENTO CREDENCIAMENTO'!$D$6:$P$2968,12,0)</f>
        <v>6020.2023/0009829-9</v>
      </c>
      <c r="E15" s="133"/>
      <c r="F15" s="134">
        <f>SUMIF('APONTAMENTO CREDENCIAMENTO'!$D$6:$D$2968,'ATESTE-LIQ'!A15,'APONTAMENTO CREDENCIAMENTO'!$FE$6:$FE$2968)</f>
        <v>9367.3984999999993</v>
      </c>
      <c r="G15" s="328" t="str">
        <f>VLOOKUP(A15,'APONTAMENTO CREDENCIAMENTO'!$D$6:$G$2968,3,0)</f>
        <v>01/04/2026</v>
      </c>
      <c r="H15" s="328" t="str">
        <f>VLOOKUP(A15,'APONTAMENTO CREDENCIAMENTO'!$D$6:$G$2968,4,0)</f>
        <v>30/04/2026</v>
      </c>
      <c r="I15" s="135" t="str">
        <f t="shared" si="8"/>
        <v>PE - Pagto. Doc(s):  - Contrato nº 2023/0009829</v>
      </c>
      <c r="J15" s="136">
        <f t="shared" si="9"/>
        <v>9367.3984999999993</v>
      </c>
      <c r="K15" s="136">
        <v>0</v>
      </c>
      <c r="L15" s="137" t="str">
        <f>VLOOKUP(A15,'APONTAMENTO CREDENCIAMENTO'!$D$6:$P$2968,5,0)</f>
        <v>MARCIO JOSE SANTANA</v>
      </c>
      <c r="M15" s="138"/>
      <c r="N15" s="139"/>
      <c r="O15" s="140"/>
      <c r="P15" s="141"/>
      <c r="Q15" s="141"/>
      <c r="R15" s="141"/>
      <c r="S15" s="142"/>
      <c r="T15" s="143" t="str">
        <f t="shared" si="10"/>
        <v>6020.2023/0009829-9</v>
      </c>
      <c r="U15" s="144">
        <f t="shared" si="11"/>
        <v>9367.3984999999993</v>
      </c>
      <c r="V15" s="145">
        <f t="shared" si="12"/>
        <v>9367.3984999999993</v>
      </c>
      <c r="W15" s="129"/>
      <c r="X15" s="129"/>
      <c r="Y15" s="129"/>
      <c r="Z15" s="129"/>
      <c r="AA15" s="146" t="str">
        <f>CONCATENATE("Prestação de Serviço e Transpor. Escolar Gratuito - TEG n. ",A15," - DRE - " &amp;'BASE C'!$C$2)</f>
        <v>Prestação de Serviço e Transpor. Escolar Gratuito - TEG n. 2023/0009829 - DRE - BT</v>
      </c>
      <c r="AB15" s="238" t="str">
        <f t="shared" si="13"/>
        <v>MARCIO JOSE SANTANA</v>
      </c>
      <c r="AC15" s="239"/>
      <c r="AD15" s="240"/>
      <c r="AE15" s="242"/>
      <c r="AF15" s="102"/>
    </row>
    <row r="16" spans="1:32" s="57" customFormat="1" ht="20.100000000000001" customHeight="1" x14ac:dyDescent="0.25">
      <c r="A16" s="900" t="s">
        <v>3272</v>
      </c>
      <c r="B16" s="130"/>
      <c r="C16" s="131">
        <f t="shared" si="7"/>
        <v>0</v>
      </c>
      <c r="D16" s="132" t="str">
        <f>VLOOKUP(A16,'APONTAMENTO CREDENCIAMENTO'!$D$6:$P$2968,12,0)</f>
        <v>6020.2023/0012621-7</v>
      </c>
      <c r="E16" s="133"/>
      <c r="F16" s="134">
        <f>SUMIF('APONTAMENTO CREDENCIAMENTO'!$D$6:$D$2968,'ATESTE-LIQ'!A16,'APONTAMENTO CREDENCIAMENTO'!$FE$6:$FE$2968)</f>
        <v>23589.0095</v>
      </c>
      <c r="G16" s="328" t="str">
        <f>VLOOKUP(A16,'APONTAMENTO CREDENCIAMENTO'!$D$6:$G$2968,3,0)</f>
        <v>01/04/2026</v>
      </c>
      <c r="H16" s="328" t="str">
        <f>VLOOKUP(A16,'APONTAMENTO CREDENCIAMENTO'!$D$6:$G$2968,4,0)</f>
        <v>30/04/2026</v>
      </c>
      <c r="I16" s="135" t="str">
        <f t="shared" si="8"/>
        <v>PE - Pagto. Doc(s):  - Contrato nº 2023/0012621</v>
      </c>
      <c r="J16" s="136">
        <f t="shared" si="9"/>
        <v>23589.0095</v>
      </c>
      <c r="K16" s="136">
        <v>0</v>
      </c>
      <c r="L16" s="137" t="str">
        <f>VLOOKUP(A16,'APONTAMENTO CREDENCIAMENTO'!$D$6:$P$2968,5,0)</f>
        <v>WILLIAN MACHADO DA SILVA</v>
      </c>
      <c r="M16" s="138"/>
      <c r="N16" s="139"/>
      <c r="O16" s="140"/>
      <c r="P16" s="141"/>
      <c r="Q16" s="141"/>
      <c r="R16" s="141"/>
      <c r="S16" s="142"/>
      <c r="T16" s="143" t="str">
        <f t="shared" si="10"/>
        <v>6020.2023/0012621-7</v>
      </c>
      <c r="U16" s="144">
        <f t="shared" si="11"/>
        <v>23589.0095</v>
      </c>
      <c r="V16" s="145">
        <f t="shared" si="12"/>
        <v>23589.0095</v>
      </c>
      <c r="W16" s="129"/>
      <c r="X16" s="129"/>
      <c r="Y16" s="129"/>
      <c r="Z16" s="129"/>
      <c r="AA16" s="146" t="str">
        <f>CONCATENATE("Prestação de Serviço e Transpor. Escolar Gratuito - TEG n. ",A16," - DRE - " &amp;'BASE C'!$C$2)</f>
        <v>Prestação de Serviço e Transpor. Escolar Gratuito - TEG n. 2023/0012621 - DRE - BT</v>
      </c>
      <c r="AB16" s="238" t="str">
        <f t="shared" si="13"/>
        <v>WILLIAN MACHADO DA SILVA</v>
      </c>
      <c r="AC16" s="239"/>
      <c r="AD16" s="240"/>
      <c r="AE16" s="242"/>
      <c r="AF16" s="102"/>
    </row>
    <row r="17" spans="1:32" s="57" customFormat="1" ht="20.100000000000001" customHeight="1" x14ac:dyDescent="0.25">
      <c r="A17" s="900" t="s">
        <v>3252</v>
      </c>
      <c r="B17" s="130"/>
      <c r="C17" s="131">
        <f t="shared" si="7"/>
        <v>0</v>
      </c>
      <c r="D17" s="132" t="str">
        <f>VLOOKUP(A17,'APONTAMENTO CREDENCIAMENTO'!$D$6:$P$2968,12,0)</f>
        <v>6020.2023/0014199-2</v>
      </c>
      <c r="E17" s="133"/>
      <c r="F17" s="134">
        <f>SUMIF('APONTAMENTO CREDENCIAMENTO'!$D$6:$D$2968,'ATESTE-LIQ'!A17,'APONTAMENTO CREDENCIAMENTO'!$FE$6:$FE$2968)</f>
        <v>9861.7400000000016</v>
      </c>
      <c r="G17" s="328" t="str">
        <f>VLOOKUP(A17,'APONTAMENTO CREDENCIAMENTO'!$D$6:$G$2968,3,0)</f>
        <v>01/04/2026</v>
      </c>
      <c r="H17" s="328" t="str">
        <f>VLOOKUP(A17,'APONTAMENTO CREDENCIAMENTO'!$D$6:$G$2968,4,0)</f>
        <v>30/04/2026</v>
      </c>
      <c r="I17" s="135" t="str">
        <f t="shared" si="8"/>
        <v>PE - Pagto. Doc(s):  - Contrato nº 2023/0014199</v>
      </c>
      <c r="J17" s="136">
        <f t="shared" si="9"/>
        <v>9861.7400000000016</v>
      </c>
      <c r="K17" s="136">
        <v>0</v>
      </c>
      <c r="L17" s="137" t="str">
        <f>VLOOKUP(A17,'APONTAMENTO CREDENCIAMENTO'!$D$6:$P$2968,5,0)</f>
        <v>RAFAEL MARTINS DE LIMA</v>
      </c>
      <c r="M17" s="138"/>
      <c r="N17" s="139"/>
      <c r="O17" s="140"/>
      <c r="P17" s="141"/>
      <c r="Q17" s="141"/>
      <c r="R17" s="141"/>
      <c r="S17" s="142"/>
      <c r="T17" s="143" t="str">
        <f t="shared" si="10"/>
        <v>6020.2023/0014199-2</v>
      </c>
      <c r="U17" s="144">
        <f t="shared" si="11"/>
        <v>9861.7400000000016</v>
      </c>
      <c r="V17" s="145">
        <f t="shared" si="12"/>
        <v>9861.7400000000016</v>
      </c>
      <c r="W17" s="129"/>
      <c r="X17" s="129"/>
      <c r="Y17" s="129"/>
      <c r="Z17" s="129"/>
      <c r="AA17" s="146" t="str">
        <f>CONCATENATE("Prestação de Serviço e Transpor. Escolar Gratuito - TEG n. ",A17," - DRE - " &amp;'BASE C'!$C$2)</f>
        <v>Prestação de Serviço e Transpor. Escolar Gratuito - TEG n. 2023/0014199 - DRE - BT</v>
      </c>
      <c r="AB17" s="238" t="str">
        <f t="shared" si="13"/>
        <v>RAFAEL MARTINS DE LIMA</v>
      </c>
      <c r="AC17" s="239"/>
      <c r="AD17" s="240"/>
      <c r="AE17" s="242"/>
      <c r="AF17" s="102"/>
    </row>
    <row r="18" spans="1:32" s="57" customFormat="1" ht="20.100000000000001" customHeight="1" x14ac:dyDescent="0.25">
      <c r="A18" s="900" t="s">
        <v>3232</v>
      </c>
      <c r="B18" s="130"/>
      <c r="C18" s="131">
        <f t="shared" si="7"/>
        <v>0</v>
      </c>
      <c r="D18" s="132" t="str">
        <f>VLOOKUP(A18,'APONTAMENTO CREDENCIAMENTO'!$D$6:$P$2968,12,0)</f>
        <v>6020.2023/0017820-9</v>
      </c>
      <c r="E18" s="133"/>
      <c r="F18" s="134">
        <f>SUMIF('APONTAMENTO CREDENCIAMENTO'!$D$6:$D$2968,'ATESTE-LIQ'!A18,'APONTAMENTO CREDENCIAMENTO'!$FE$6:$FE$2968)</f>
        <v>21612.18</v>
      </c>
      <c r="G18" s="328" t="str">
        <f>VLOOKUP(A18,'APONTAMENTO CREDENCIAMENTO'!$D$6:$G$2968,3,0)</f>
        <v>01/04/2026</v>
      </c>
      <c r="H18" s="328" t="str">
        <f>VLOOKUP(A18,'APONTAMENTO CREDENCIAMENTO'!$D$6:$G$2968,4,0)</f>
        <v>30/04/2026</v>
      </c>
      <c r="I18" s="135" t="str">
        <f t="shared" si="8"/>
        <v>PE - Pagto. Doc(s):  - Contrato nº 2023/0017820</v>
      </c>
      <c r="J18" s="136">
        <f t="shared" si="9"/>
        <v>21612.18</v>
      </c>
      <c r="K18" s="136">
        <v>0</v>
      </c>
      <c r="L18" s="137" t="str">
        <f>VLOOKUP(A18,'APONTAMENTO CREDENCIAMENTO'!$D$6:$P$2968,5,0)</f>
        <v>JOEL DE SOUZA FLORENCIO</v>
      </c>
      <c r="M18" s="138"/>
      <c r="N18" s="139"/>
      <c r="O18" s="140"/>
      <c r="P18" s="141"/>
      <c r="Q18" s="141"/>
      <c r="R18" s="141"/>
      <c r="S18" s="142"/>
      <c r="T18" s="143" t="str">
        <f t="shared" si="10"/>
        <v>6020.2023/0017820-9</v>
      </c>
      <c r="U18" s="144">
        <f t="shared" si="11"/>
        <v>21612.18</v>
      </c>
      <c r="V18" s="145">
        <f t="shared" si="12"/>
        <v>21612.18</v>
      </c>
      <c r="W18" s="129"/>
      <c r="X18" s="129"/>
      <c r="Y18" s="129"/>
      <c r="Z18" s="129"/>
      <c r="AA18" s="146" t="str">
        <f>CONCATENATE("Prestação de Serviço e Transpor. Escolar Gratuito - TEG n. ",A18," - DRE - " &amp;'BASE C'!$C$2)</f>
        <v>Prestação de Serviço e Transpor. Escolar Gratuito - TEG n. 2023/0017820 - DRE - BT</v>
      </c>
      <c r="AB18" s="238" t="str">
        <f t="shared" si="13"/>
        <v>JOEL DE SOUZA FLORENCIO</v>
      </c>
      <c r="AC18" s="239"/>
      <c r="AD18" s="240"/>
      <c r="AE18" s="242"/>
      <c r="AF18" s="102"/>
    </row>
    <row r="19" spans="1:32" s="57" customFormat="1" ht="20.100000000000001" customHeight="1" x14ac:dyDescent="0.25">
      <c r="A19" s="900" t="s">
        <v>3268</v>
      </c>
      <c r="B19" s="130"/>
      <c r="C19" s="131">
        <f t="shared" si="7"/>
        <v>0</v>
      </c>
      <c r="D19" s="132" t="str">
        <f>VLOOKUP(A19,'APONTAMENTO CREDENCIAMENTO'!$D$6:$P$2968,12,0)</f>
        <v>6020.2023/0027928-5</v>
      </c>
      <c r="E19" s="133"/>
      <c r="F19" s="134">
        <f>SUMIF('APONTAMENTO CREDENCIAMENTO'!$D$6:$D$2968,'ATESTE-LIQ'!A19,'APONTAMENTO CREDENCIAMENTO'!$FE$6:$FE$2968)</f>
        <v>12407.866000000002</v>
      </c>
      <c r="G19" s="328" t="str">
        <f>VLOOKUP(A19,'APONTAMENTO CREDENCIAMENTO'!$D$6:$G$2968,3,0)</f>
        <v>01/04/2026</v>
      </c>
      <c r="H19" s="328" t="str">
        <f>VLOOKUP(A19,'APONTAMENTO CREDENCIAMENTO'!$D$6:$G$2968,4,0)</f>
        <v>30/04/2026</v>
      </c>
      <c r="I19" s="135" t="str">
        <f t="shared" si="8"/>
        <v>PE - Pagto. Doc(s):  - Contrato nº 2023/0027928</v>
      </c>
      <c r="J19" s="136">
        <f t="shared" si="9"/>
        <v>12407.866000000002</v>
      </c>
      <c r="K19" s="136">
        <v>0</v>
      </c>
      <c r="L19" s="137" t="str">
        <f>VLOOKUP(A19,'APONTAMENTO CREDENCIAMENTO'!$D$6:$P$2968,5,0)</f>
        <v>VALDEMIR DE FAUSTO FERREIRA</v>
      </c>
      <c r="M19" s="138"/>
      <c r="N19" s="139"/>
      <c r="O19" s="140"/>
      <c r="P19" s="141"/>
      <c r="Q19" s="141"/>
      <c r="R19" s="141"/>
      <c r="S19" s="142"/>
      <c r="T19" s="143" t="str">
        <f t="shared" si="10"/>
        <v>6020.2023/0027928-5</v>
      </c>
      <c r="U19" s="144">
        <f t="shared" si="11"/>
        <v>12407.866000000002</v>
      </c>
      <c r="V19" s="145">
        <f t="shared" si="12"/>
        <v>12407.866000000002</v>
      </c>
      <c r="W19" s="129"/>
      <c r="X19" s="129"/>
      <c r="Y19" s="129"/>
      <c r="Z19" s="129"/>
      <c r="AA19" s="146" t="str">
        <f>CONCATENATE("Prestação de Serviço e Transpor. Escolar Gratuito - TEG n. ",A19," - DRE - " &amp;'BASE C'!$C$2)</f>
        <v>Prestação de Serviço e Transpor. Escolar Gratuito - TEG n. 2023/0027928 - DRE - BT</v>
      </c>
      <c r="AB19" s="238" t="str">
        <f t="shared" si="13"/>
        <v>VALDEMIR DE FAUSTO FERREIRA</v>
      </c>
      <c r="AC19" s="239"/>
      <c r="AD19" s="240"/>
      <c r="AE19" s="242"/>
      <c r="AF19" s="102"/>
    </row>
    <row r="20" spans="1:32" s="57" customFormat="1" ht="20.100000000000001" customHeight="1" x14ac:dyDescent="0.25">
      <c r="A20" s="900" t="s">
        <v>3256</v>
      </c>
      <c r="B20" s="130"/>
      <c r="C20" s="131">
        <f t="shared" si="7"/>
        <v>0</v>
      </c>
      <c r="D20" s="132" t="str">
        <f>VLOOKUP(A20,'APONTAMENTO CREDENCIAMENTO'!$D$6:$P$2968,12,0)</f>
        <v>6020.2023/0030966-4</v>
      </c>
      <c r="E20" s="133"/>
      <c r="F20" s="134">
        <f>SUMIF('APONTAMENTO CREDENCIAMENTO'!$D$6:$D$2968,'ATESTE-LIQ'!A20,'APONTAMENTO CREDENCIAMENTO'!$FE$6:$FE$2968)</f>
        <v>21078.298000000003</v>
      </c>
      <c r="G20" s="328" t="str">
        <f>VLOOKUP(A20,'APONTAMENTO CREDENCIAMENTO'!$D$6:$G$2968,3,0)</f>
        <v>01/04/2026</v>
      </c>
      <c r="H20" s="328" t="str">
        <f>VLOOKUP(A20,'APONTAMENTO CREDENCIAMENTO'!$D$6:$G$2968,4,0)</f>
        <v>30/04/2026</v>
      </c>
      <c r="I20" s="135" t="str">
        <f t="shared" si="8"/>
        <v>PE - Pagto. Doc(s):  - Contrato nº 2023/0030966</v>
      </c>
      <c r="J20" s="136">
        <f t="shared" si="9"/>
        <v>21078.298000000003</v>
      </c>
      <c r="K20" s="136">
        <v>0</v>
      </c>
      <c r="L20" s="137" t="str">
        <f>VLOOKUP(A20,'APONTAMENTO CREDENCIAMENTO'!$D$6:$P$2968,5,0)</f>
        <v>ROGERIO SIQUEIRA DA SILVA</v>
      </c>
      <c r="M20" s="138"/>
      <c r="N20" s="139"/>
      <c r="O20" s="140"/>
      <c r="P20" s="141"/>
      <c r="Q20" s="141"/>
      <c r="R20" s="141"/>
      <c r="S20" s="142"/>
      <c r="T20" s="143" t="str">
        <f t="shared" si="10"/>
        <v>6020.2023/0030966-4</v>
      </c>
      <c r="U20" s="144">
        <f t="shared" si="11"/>
        <v>21078.298000000003</v>
      </c>
      <c r="V20" s="145">
        <f t="shared" si="12"/>
        <v>21078.298000000003</v>
      </c>
      <c r="W20" s="129"/>
      <c r="X20" s="129"/>
      <c r="Y20" s="129"/>
      <c r="Z20" s="129"/>
      <c r="AA20" s="146" t="str">
        <f>CONCATENATE("Prestação de Serviço e Transpor. Escolar Gratuito - TEG n. ",A20," - DRE - " &amp;'BASE C'!$C$2)</f>
        <v>Prestação de Serviço e Transpor. Escolar Gratuito - TEG n. 2023/0030966 - DRE - BT</v>
      </c>
      <c r="AB20" s="238" t="str">
        <f t="shared" si="13"/>
        <v>ROGERIO SIQUEIRA DA SILVA</v>
      </c>
      <c r="AC20" s="239"/>
      <c r="AD20" s="240"/>
      <c r="AE20" s="242"/>
      <c r="AF20" s="102"/>
    </row>
    <row r="21" spans="1:32" s="57" customFormat="1" ht="20.100000000000001" customHeight="1" x14ac:dyDescent="0.25">
      <c r="A21" s="900" t="s">
        <v>3212</v>
      </c>
      <c r="B21" s="130"/>
      <c r="C21" s="131">
        <f t="shared" si="7"/>
        <v>0</v>
      </c>
      <c r="D21" s="132" t="str">
        <f>VLOOKUP(A21,'APONTAMENTO CREDENCIAMENTO'!$D$6:$P$2968,12,0)</f>
        <v>6020.2023/0050738-5</v>
      </c>
      <c r="E21" s="133"/>
      <c r="F21" s="134">
        <f>SUMIF('APONTAMENTO CREDENCIAMENTO'!$D$6:$D$2968,'ATESTE-LIQ'!A21,'APONTAMENTO CREDENCIAMENTO'!$FE$6:$FE$2968)</f>
        <v>17230.567999999999</v>
      </c>
      <c r="G21" s="328" t="str">
        <f>VLOOKUP(A21,'APONTAMENTO CREDENCIAMENTO'!$D$6:$G$2968,3,0)</f>
        <v>01/04/2026</v>
      </c>
      <c r="H21" s="328" t="str">
        <f>VLOOKUP(A21,'APONTAMENTO CREDENCIAMENTO'!$D$6:$G$2968,4,0)</f>
        <v>30/04/2026</v>
      </c>
      <c r="I21" s="135" t="str">
        <f t="shared" si="8"/>
        <v>PE - Pagto. Doc(s):  - Contrato nº 2023/0050738</v>
      </c>
      <c r="J21" s="136">
        <f t="shared" si="9"/>
        <v>17230.567999999999</v>
      </c>
      <c r="K21" s="136">
        <v>0</v>
      </c>
      <c r="L21" s="137" t="str">
        <f>VLOOKUP(A21,'APONTAMENTO CREDENCIAMENTO'!$D$6:$P$2968,5,0)</f>
        <v>GILDSLAINE CANUTO</v>
      </c>
      <c r="M21" s="138"/>
      <c r="N21" s="139"/>
      <c r="O21" s="140"/>
      <c r="P21" s="141"/>
      <c r="Q21" s="141"/>
      <c r="R21" s="141"/>
      <c r="S21" s="142"/>
      <c r="T21" s="143" t="str">
        <f t="shared" si="10"/>
        <v>6020.2023/0050738-5</v>
      </c>
      <c r="U21" s="144">
        <f t="shared" si="11"/>
        <v>17230.567999999999</v>
      </c>
      <c r="V21" s="145">
        <f t="shared" si="12"/>
        <v>17230.567999999999</v>
      </c>
      <c r="W21" s="129"/>
      <c r="X21" s="129"/>
      <c r="Y21" s="129"/>
      <c r="Z21" s="129"/>
      <c r="AA21" s="146" t="str">
        <f>CONCATENATE("Prestação de Serviço e Transpor. Escolar Gratuito - TEG n. ",A21," - DRE - " &amp;'BASE C'!$C$2)</f>
        <v>Prestação de Serviço e Transpor. Escolar Gratuito - TEG n. 2023/0050738 - DRE - BT</v>
      </c>
      <c r="AB21" s="238" t="str">
        <f t="shared" si="13"/>
        <v>GILDSLAINE CANUTO</v>
      </c>
      <c r="AC21" s="239"/>
      <c r="AD21" s="240"/>
      <c r="AE21" s="242"/>
      <c r="AF21" s="102"/>
    </row>
    <row r="22" spans="1:32" s="57" customFormat="1" ht="20.100000000000001" customHeight="1" x14ac:dyDescent="0.25">
      <c r="A22" s="900" t="s">
        <v>3224</v>
      </c>
      <c r="B22" s="130"/>
      <c r="C22" s="131">
        <f t="shared" si="7"/>
        <v>0</v>
      </c>
      <c r="D22" s="132" t="str">
        <f>VLOOKUP(A22,'APONTAMENTO CREDENCIAMENTO'!$D$6:$P$2968,12,0)</f>
        <v>6020.2024/0008460-5</v>
      </c>
      <c r="E22" s="133"/>
      <c r="F22" s="134">
        <f>SUMIF('APONTAMENTO CREDENCIAMENTO'!$D$6:$D$2968,'ATESTE-LIQ'!A22,'APONTAMENTO CREDENCIAMENTO'!$FE$6:$FE$2968)</f>
        <v>16032.044</v>
      </c>
      <c r="G22" s="328" t="str">
        <f>VLOOKUP(A22,'APONTAMENTO CREDENCIAMENTO'!$D$6:$G$2968,3,0)</f>
        <v>01/04/2026</v>
      </c>
      <c r="H22" s="328" t="str">
        <f>VLOOKUP(A22,'APONTAMENTO CREDENCIAMENTO'!$D$6:$G$2968,4,0)</f>
        <v>30/04/2026</v>
      </c>
      <c r="I22" s="135" t="str">
        <f t="shared" si="8"/>
        <v>PE - Pagto. Doc(s):  - Contrato nº 2024/0008460</v>
      </c>
      <c r="J22" s="136">
        <f t="shared" si="9"/>
        <v>16032.044</v>
      </c>
      <c r="K22" s="136">
        <v>0</v>
      </c>
      <c r="L22" s="137" t="str">
        <f>VLOOKUP(A22,'APONTAMENTO CREDENCIAMENTO'!$D$6:$P$2968,5,0)</f>
        <v>JACYARA DOS SANTOS SILVA</v>
      </c>
      <c r="M22" s="138"/>
      <c r="N22" s="139"/>
      <c r="O22" s="140"/>
      <c r="P22" s="141"/>
      <c r="Q22" s="141"/>
      <c r="R22" s="141"/>
      <c r="S22" s="142"/>
      <c r="T22" s="143" t="str">
        <f t="shared" si="10"/>
        <v>6020.2024/0008460-5</v>
      </c>
      <c r="U22" s="144">
        <f t="shared" si="11"/>
        <v>16032.044</v>
      </c>
      <c r="V22" s="145">
        <f t="shared" si="12"/>
        <v>16032.044</v>
      </c>
      <c r="W22" s="129"/>
      <c r="X22" s="129"/>
      <c r="Y22" s="129"/>
      <c r="Z22" s="129"/>
      <c r="AA22" s="146" t="str">
        <f>CONCATENATE("Prestação de Serviço e Transpor. Escolar Gratuito - TEG n. ",A22," - DRE - " &amp;'BASE C'!$C$2)</f>
        <v>Prestação de Serviço e Transpor. Escolar Gratuito - TEG n. 2024/0008460 - DRE - BT</v>
      </c>
      <c r="AB22" s="238" t="str">
        <f t="shared" si="13"/>
        <v>JACYARA DOS SANTOS SILVA</v>
      </c>
      <c r="AC22" s="239"/>
      <c r="AD22" s="240"/>
      <c r="AE22" s="242"/>
      <c r="AF22" s="102"/>
    </row>
    <row r="24" spans="1:32" ht="20.25" customHeight="1" x14ac:dyDescent="0.2">
      <c r="A24" s="237"/>
      <c r="F24" s="60">
        <f>SUM(F2:F23)</f>
        <v>317590.82799999998</v>
      </c>
      <c r="J24" s="60">
        <f>SUM(J2:J23)</f>
        <v>317590.82799999998</v>
      </c>
    </row>
    <row r="25" spans="1:32" ht="20.25" customHeight="1" x14ac:dyDescent="0.2">
      <c r="A25" s="237"/>
    </row>
    <row r="26" spans="1:32" ht="20.25" customHeight="1" x14ac:dyDescent="0.2">
      <c r="A26" s="237"/>
    </row>
    <row r="27" spans="1:32" ht="20.25" customHeight="1" x14ac:dyDescent="0.2">
      <c r="A27" s="237"/>
    </row>
    <row r="28" spans="1:32" ht="20.25" customHeight="1" x14ac:dyDescent="0.2">
      <c r="A28" s="237"/>
    </row>
    <row r="29" spans="1:32" ht="20.25" customHeight="1" x14ac:dyDescent="0.2">
      <c r="A29" s="237"/>
    </row>
    <row r="30" spans="1:32" ht="20.25" customHeight="1" x14ac:dyDescent="0.2">
      <c r="A30" s="237"/>
    </row>
    <row r="31" spans="1:32" ht="20.25" customHeight="1" x14ac:dyDescent="0.2">
      <c r="A31" s="237"/>
    </row>
    <row r="32" spans="1:32" ht="20.25" customHeight="1" x14ac:dyDescent="0.2">
      <c r="A32" s="237"/>
    </row>
    <row r="33" spans="1:1" ht="20.25" customHeight="1" x14ac:dyDescent="0.2">
      <c r="A33" s="237"/>
    </row>
    <row r="34" spans="1:1" ht="20.25" customHeight="1" x14ac:dyDescent="0.2">
      <c r="A34" s="237"/>
    </row>
    <row r="35" spans="1:1" ht="20.25" customHeight="1" x14ac:dyDescent="0.2">
      <c r="A35" s="237"/>
    </row>
    <row r="36" spans="1:1" ht="20.25" customHeight="1" x14ac:dyDescent="0.2">
      <c r="A36" s="237"/>
    </row>
    <row r="37" spans="1:1" ht="20.25" customHeight="1" x14ac:dyDescent="0.2">
      <c r="A37" s="237"/>
    </row>
    <row r="38" spans="1:1" ht="20.25" customHeight="1" x14ac:dyDescent="0.2">
      <c r="A38" s="237"/>
    </row>
    <row r="39" spans="1:1" ht="20.25" customHeight="1" x14ac:dyDescent="0.2">
      <c r="A39" s="237"/>
    </row>
    <row r="40" spans="1:1" ht="20.25" customHeight="1" x14ac:dyDescent="0.2">
      <c r="A40" s="237"/>
    </row>
    <row r="41" spans="1:1" ht="20.25" customHeight="1" x14ac:dyDescent="0.2">
      <c r="A41" s="237"/>
    </row>
    <row r="42" spans="1:1" ht="20.25" customHeight="1" x14ac:dyDescent="0.2">
      <c r="A42" s="237"/>
    </row>
    <row r="43" spans="1:1" ht="20.25" customHeight="1" x14ac:dyDescent="0.2">
      <c r="A43" s="237"/>
    </row>
  </sheetData>
  <sheetProtection formatCells="0" formatColumns="0" formatRows="0" selectLockedCells="1"/>
  <sortState xmlns:xlrd2="http://schemas.microsoft.com/office/spreadsheetml/2017/richdata2" ref="B23:B55">
    <sortCondition ref="B23:B55"/>
  </sortState>
  <conditionalFormatting sqref="C1 E1:AE1">
    <cfRule type="duplicateValues" dxfId="16" priority="48"/>
  </conditionalFormatting>
  <conditionalFormatting sqref="D2:D22">
    <cfRule type="expression" dxfId="15" priority="143" stopIfTrue="1">
      <formula>AND(COUNTIF($D:$D,D2)&gt;1,NOT(ISBLANK(D2)))</formula>
    </cfRule>
  </conditionalFormatting>
  <conditionalFormatting sqref="S2:S22">
    <cfRule type="expression" dxfId="14" priority="2499" stopIfTrue="1">
      <formula>AND(COUNTIF($S$2:$S$2,S2)&gt;1,NOT(ISBLANK(S2)))</formula>
    </cfRule>
  </conditionalFormatting>
  <conditionalFormatting sqref="S24:S1048576 S2:S22">
    <cfRule type="duplicateValues" dxfId="13" priority="2503"/>
  </conditionalFormatting>
  <conditionalFormatting sqref="A1:A22">
    <cfRule type="duplicateValues" dxfId="12" priority="165900"/>
  </conditionalFormatting>
  <conditionalFormatting sqref="B2:B22">
    <cfRule type="duplicateValues" dxfId="11" priority="165901"/>
    <cfRule type="duplicateValues" dxfId="10" priority="165902"/>
    <cfRule type="duplicateValues" dxfId="9" priority="165903"/>
    <cfRule type="duplicateValues" dxfId="8" priority="165904"/>
    <cfRule type="duplicateValues" dxfId="7" priority="165905"/>
  </conditionalFormatting>
  <conditionalFormatting sqref="C2:C22">
    <cfRule type="duplicateValues" dxfId="6" priority="165906"/>
  </conditionalFormatting>
  <pageMargins left="0.51180555555555551" right="0.51180555555555551" top="0.78749999999999998" bottom="0.78749999999999998" header="0.51180555555555551" footer="0.51180555555555551"/>
  <pageSetup paperSize="9" scale="20" firstPageNumber="0" fitToHeight="0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6"/>
  <dimension ref="A1:M60"/>
  <sheetViews>
    <sheetView workbookViewId="0">
      <selection activeCell="B38" sqref="B38"/>
    </sheetView>
  </sheetViews>
  <sheetFormatPr defaultRowHeight="12.75" x14ac:dyDescent="0.2"/>
  <cols>
    <col min="1" max="1" width="18.42578125" style="56" customWidth="1"/>
    <col min="2" max="2" width="10.140625" style="324" bestFit="1" customWidth="1"/>
    <col min="3" max="3" width="10.140625" style="56" bestFit="1" customWidth="1"/>
    <col min="4" max="9" width="9.140625" style="56"/>
    <col min="10" max="10" width="13.85546875" style="56" bestFit="1" customWidth="1"/>
    <col min="11" max="16384" width="9.140625" style="56"/>
  </cols>
  <sheetData>
    <row r="1" spans="1:13" x14ac:dyDescent="0.2">
      <c r="A1" s="273" t="s">
        <v>85</v>
      </c>
      <c r="B1" s="320" t="s">
        <v>158</v>
      </c>
      <c r="D1" s="269" t="s">
        <v>161</v>
      </c>
      <c r="E1" s="269"/>
      <c r="F1" s="269" t="s">
        <v>162</v>
      </c>
      <c r="J1" s="534">
        <v>2428.8000000000002</v>
      </c>
      <c r="K1" s="533">
        <v>0</v>
      </c>
      <c r="L1"/>
      <c r="M1" s="533" t="s">
        <v>3094</v>
      </c>
    </row>
    <row r="2" spans="1:13" x14ac:dyDescent="0.2">
      <c r="A2" s="364" t="s">
        <v>163</v>
      </c>
      <c r="B2" s="321">
        <v>385.23</v>
      </c>
      <c r="D2" s="270">
        <v>350.21</v>
      </c>
      <c r="E2" s="269"/>
      <c r="F2" s="269">
        <v>333.82</v>
      </c>
      <c r="J2" s="534">
        <v>2826.65</v>
      </c>
      <c r="K2" s="533">
        <v>7.4999999999999997E-2</v>
      </c>
      <c r="L2" s="533">
        <v>182.16</v>
      </c>
      <c r="M2" s="533" t="s">
        <v>3095</v>
      </c>
    </row>
    <row r="3" spans="1:13" x14ac:dyDescent="0.2">
      <c r="A3" s="364" t="s">
        <v>19</v>
      </c>
      <c r="B3" s="321">
        <v>7492.52</v>
      </c>
      <c r="D3" s="269">
        <v>6811.38</v>
      </c>
      <c r="E3" s="269"/>
      <c r="F3" s="269">
        <v>6492.53</v>
      </c>
      <c r="J3" s="534">
        <v>3751.05</v>
      </c>
      <c r="K3" s="533">
        <v>0.15</v>
      </c>
      <c r="L3" s="533">
        <v>394.16</v>
      </c>
      <c r="M3" s="533" t="s">
        <v>3096</v>
      </c>
    </row>
    <row r="4" spans="1:13" x14ac:dyDescent="0.2">
      <c r="A4" s="364" t="s">
        <v>150</v>
      </c>
      <c r="B4" s="321">
        <v>2043.65</v>
      </c>
      <c r="D4" s="269">
        <v>2043.65</v>
      </c>
      <c r="E4" s="269"/>
      <c r="F4" s="269">
        <v>1947.98</v>
      </c>
      <c r="J4" s="534">
        <v>4664.68</v>
      </c>
      <c r="K4" s="533">
        <v>0.22500000000000001</v>
      </c>
      <c r="L4" s="533">
        <v>675.49</v>
      </c>
      <c r="M4" s="533" t="s">
        <v>3097</v>
      </c>
    </row>
    <row r="5" spans="1:13" x14ac:dyDescent="0.2">
      <c r="A5" s="364" t="s">
        <v>164</v>
      </c>
      <c r="B5" s="321">
        <v>621.14</v>
      </c>
      <c r="D5" s="269">
        <v>564.66999999999996</v>
      </c>
      <c r="E5" s="269"/>
      <c r="F5" s="269">
        <v>538.24</v>
      </c>
      <c r="J5" s="534">
        <v>999999999</v>
      </c>
      <c r="K5" s="533">
        <v>0.27500000000000002</v>
      </c>
      <c r="L5" s="533">
        <v>908.73</v>
      </c>
      <c r="M5" s="533" t="s">
        <v>3098</v>
      </c>
    </row>
    <row r="6" spans="1:13" x14ac:dyDescent="0.2">
      <c r="A6" s="364" t="s">
        <v>165</v>
      </c>
      <c r="B6" s="321">
        <v>11465.63</v>
      </c>
      <c r="D6" s="269">
        <v>10423.299999999999</v>
      </c>
      <c r="E6" s="269"/>
      <c r="F6" s="269">
        <v>9935.3700000000008</v>
      </c>
      <c r="J6" s="533">
        <v>5000</v>
      </c>
      <c r="K6" s="56">
        <v>7350</v>
      </c>
      <c r="L6" s="56">
        <v>978.62</v>
      </c>
      <c r="M6" s="533">
        <v>0.13314500000000001</v>
      </c>
    </row>
    <row r="7" spans="1:13" x14ac:dyDescent="0.2">
      <c r="A7" s="364" t="s">
        <v>159</v>
      </c>
      <c r="B7" s="321">
        <v>1.28</v>
      </c>
      <c r="D7" s="269">
        <v>1.1599999999999999</v>
      </c>
      <c r="E7" s="269"/>
      <c r="F7" s="269">
        <v>1.08</v>
      </c>
    </row>
    <row r="8" spans="1:13" x14ac:dyDescent="0.2">
      <c r="A8" s="364" t="s">
        <v>160</v>
      </c>
      <c r="B8" s="322">
        <v>9.64</v>
      </c>
      <c r="D8" s="271">
        <v>8.7552500000000002</v>
      </c>
      <c r="E8" s="269"/>
      <c r="F8" s="272">
        <v>8.35</v>
      </c>
      <c r="G8" s="268"/>
      <c r="J8" s="833" t="s">
        <v>3099</v>
      </c>
      <c r="K8" s="833"/>
      <c r="L8" s="833"/>
      <c r="M8" s="833"/>
    </row>
    <row r="9" spans="1:13" x14ac:dyDescent="0.2">
      <c r="A9" s="364" t="s">
        <v>166</v>
      </c>
      <c r="B9" s="322">
        <v>56.200375000000001</v>
      </c>
      <c r="D9" s="271">
        <v>51.091250000000002</v>
      </c>
      <c r="E9" s="269"/>
      <c r="F9" s="272">
        <v>48.7</v>
      </c>
      <c r="G9" s="268"/>
    </row>
    <row r="10" spans="1:13" x14ac:dyDescent="0.2">
      <c r="A10" s="269"/>
      <c r="B10" s="323"/>
      <c r="C10" s="269"/>
      <c r="D10" s="269"/>
      <c r="E10" s="269"/>
      <c r="F10" s="269"/>
    </row>
    <row r="11" spans="1:13" x14ac:dyDescent="0.2">
      <c r="A11" s="359" t="s">
        <v>212</v>
      </c>
      <c r="B11" s="362">
        <v>46113</v>
      </c>
      <c r="C11" s="363">
        <v>46142</v>
      </c>
    </row>
    <row r="13" spans="1:13" x14ac:dyDescent="0.2">
      <c r="A13" s="359" t="s">
        <v>40</v>
      </c>
      <c r="B13" s="359">
        <f>VLOOKUP(B11,A24:B34,2)</f>
        <v>19</v>
      </c>
    </row>
    <row r="16" spans="1:13" x14ac:dyDescent="0.2">
      <c r="A16" s="359" t="s">
        <v>170</v>
      </c>
      <c r="B16" s="359"/>
    </row>
    <row r="17" spans="1:5" x14ac:dyDescent="0.2">
      <c r="A17" s="364" t="s">
        <v>171</v>
      </c>
      <c r="B17" s="325">
        <v>1.4999999999999999E-2</v>
      </c>
      <c r="D17" s="361"/>
      <c r="E17" s="95" t="s">
        <v>213</v>
      </c>
    </row>
    <row r="18" spans="1:5" x14ac:dyDescent="0.2">
      <c r="A18" s="364" t="s">
        <v>172</v>
      </c>
      <c r="B18" s="325">
        <v>2.4E-2</v>
      </c>
    </row>
    <row r="22" spans="1:5" x14ac:dyDescent="0.2">
      <c r="A22" s="359" t="s">
        <v>211</v>
      </c>
      <c r="B22" s="359"/>
    </row>
    <row r="23" spans="1:5" x14ac:dyDescent="0.2">
      <c r="A23" s="360">
        <v>46023</v>
      </c>
      <c r="B23" s="361">
        <v>0</v>
      </c>
    </row>
    <row r="24" spans="1:5" x14ac:dyDescent="0.2">
      <c r="A24" s="360">
        <v>46054</v>
      </c>
      <c r="B24" s="361">
        <v>16</v>
      </c>
    </row>
    <row r="25" spans="1:5" x14ac:dyDescent="0.2">
      <c r="A25" s="360">
        <v>46082</v>
      </c>
      <c r="B25" s="361">
        <v>22</v>
      </c>
    </row>
    <row r="26" spans="1:5" x14ac:dyDescent="0.2">
      <c r="A26" s="360">
        <v>46113</v>
      </c>
      <c r="B26" s="361">
        <v>19</v>
      </c>
    </row>
    <row r="27" spans="1:5" x14ac:dyDescent="0.2">
      <c r="A27" s="360">
        <v>46143</v>
      </c>
      <c r="B27" s="361">
        <v>20</v>
      </c>
    </row>
    <row r="28" spans="1:5" x14ac:dyDescent="0.2">
      <c r="A28" s="360">
        <v>46174</v>
      </c>
      <c r="B28" s="361">
        <v>20</v>
      </c>
    </row>
    <row r="29" spans="1:5" x14ac:dyDescent="0.2">
      <c r="A29" s="360">
        <v>46204</v>
      </c>
      <c r="B29" s="361"/>
    </row>
    <row r="30" spans="1:5" x14ac:dyDescent="0.2">
      <c r="A30" s="360">
        <v>46235</v>
      </c>
      <c r="B30" s="361"/>
    </row>
    <row r="31" spans="1:5" x14ac:dyDescent="0.2">
      <c r="A31" s="360">
        <v>46266</v>
      </c>
      <c r="B31" s="361"/>
    </row>
    <row r="32" spans="1:5" x14ac:dyDescent="0.2">
      <c r="A32" s="360">
        <v>46296</v>
      </c>
      <c r="B32" s="361"/>
    </row>
    <row r="33" spans="1:2" x14ac:dyDescent="0.2">
      <c r="A33" s="360">
        <v>46327</v>
      </c>
      <c r="B33" s="361"/>
    </row>
    <row r="34" spans="1:2" x14ac:dyDescent="0.2">
      <c r="A34" s="360">
        <v>46357</v>
      </c>
      <c r="B34" s="361"/>
    </row>
    <row r="37" spans="1:2" x14ac:dyDescent="0.2">
      <c r="A37" s="398" t="s">
        <v>256</v>
      </c>
      <c r="B37" s="362">
        <v>46171</v>
      </c>
    </row>
    <row r="40" spans="1:2" x14ac:dyDescent="0.2">
      <c r="A40" s="56" t="s">
        <v>293</v>
      </c>
    </row>
    <row r="41" spans="1:2" x14ac:dyDescent="0.2">
      <c r="A41" s="56" t="s">
        <v>294</v>
      </c>
      <c r="B41" s="521">
        <v>0.2</v>
      </c>
    </row>
    <row r="42" spans="1:2" x14ac:dyDescent="0.2">
      <c r="A42" s="56" t="s">
        <v>295</v>
      </c>
      <c r="B42" s="521">
        <v>0.11</v>
      </c>
    </row>
    <row r="44" spans="1:2" x14ac:dyDescent="0.2">
      <c r="A44" s="56" t="s">
        <v>296</v>
      </c>
    </row>
    <row r="45" spans="1:2" x14ac:dyDescent="0.2">
      <c r="A45" s="56" t="s">
        <v>294</v>
      </c>
      <c r="B45" s="521">
        <v>0.2</v>
      </c>
    </row>
    <row r="46" spans="1:2" x14ac:dyDescent="0.2">
      <c r="A46" s="56" t="s">
        <v>295</v>
      </c>
      <c r="B46" s="521">
        <v>2.5000000000000001E-2</v>
      </c>
    </row>
    <row r="50" spans="1:6" x14ac:dyDescent="0.2">
      <c r="A50" s="56" t="s">
        <v>297</v>
      </c>
      <c r="B50" s="521">
        <v>0.6</v>
      </c>
    </row>
    <row r="54" spans="1:6" x14ac:dyDescent="0.2">
      <c r="A54" s="837" t="s">
        <v>272</v>
      </c>
      <c r="B54" s="838"/>
      <c r="C54" s="839"/>
      <c r="D54" s="840" t="s">
        <v>85</v>
      </c>
      <c r="E54" s="841"/>
      <c r="F54" s="842"/>
    </row>
    <row r="55" spans="1:6" x14ac:dyDescent="0.2">
      <c r="A55" s="408" t="s">
        <v>271</v>
      </c>
      <c r="B55" s="408" t="s">
        <v>270</v>
      </c>
      <c r="C55" s="408" t="s">
        <v>269</v>
      </c>
      <c r="D55" s="843"/>
      <c r="E55" s="844"/>
      <c r="F55" s="845"/>
    </row>
    <row r="56" spans="1:6" x14ac:dyDescent="0.2">
      <c r="A56" s="407">
        <v>2428.8000000000002</v>
      </c>
      <c r="B56" s="405">
        <v>0</v>
      </c>
      <c r="C56" s="404">
        <v>0</v>
      </c>
      <c r="D56" s="846" t="s">
        <v>268</v>
      </c>
      <c r="E56" s="847"/>
      <c r="F56" s="848"/>
    </row>
    <row r="57" spans="1:6" x14ac:dyDescent="0.2">
      <c r="A57" s="406">
        <v>2826.65</v>
      </c>
      <c r="B57" s="405">
        <v>7.4999999999999997E-2</v>
      </c>
      <c r="C57" s="404">
        <v>182.16</v>
      </c>
      <c r="D57" s="834" t="s">
        <v>267</v>
      </c>
      <c r="E57" s="835"/>
      <c r="F57" s="836"/>
    </row>
    <row r="58" spans="1:6" x14ac:dyDescent="0.2">
      <c r="A58" s="406">
        <v>3751.05</v>
      </c>
      <c r="B58" s="405">
        <v>0.15</v>
      </c>
      <c r="C58" s="404">
        <v>394.16</v>
      </c>
      <c r="D58" s="834" t="s">
        <v>266</v>
      </c>
      <c r="E58" s="835"/>
      <c r="F58" s="836"/>
    </row>
    <row r="59" spans="1:6" x14ac:dyDescent="0.2">
      <c r="A59" s="406">
        <v>4664.68</v>
      </c>
      <c r="B59" s="405">
        <v>0.22500000000000001</v>
      </c>
      <c r="C59" s="404">
        <v>675.49</v>
      </c>
      <c r="D59" s="834" t="s">
        <v>265</v>
      </c>
      <c r="E59" s="835"/>
      <c r="F59" s="836"/>
    </row>
    <row r="60" spans="1:6" x14ac:dyDescent="0.2">
      <c r="A60" s="406">
        <v>4664.6899999999996</v>
      </c>
      <c r="B60" s="405">
        <v>0.27500000000000002</v>
      </c>
      <c r="C60" s="404">
        <v>908.73</v>
      </c>
      <c r="D60" s="834" t="s">
        <v>264</v>
      </c>
      <c r="E60" s="835"/>
      <c r="F60" s="836"/>
    </row>
  </sheetData>
  <mergeCells count="8">
    <mergeCell ref="J8:M8"/>
    <mergeCell ref="D58:F58"/>
    <mergeCell ref="D59:F59"/>
    <mergeCell ref="D60:F60"/>
    <mergeCell ref="A54:C54"/>
    <mergeCell ref="D54:F55"/>
    <mergeCell ref="D56:F56"/>
    <mergeCell ref="D57:F57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"/>
  <dimension ref="A1:B14"/>
  <sheetViews>
    <sheetView workbookViewId="0">
      <selection activeCell="A18" sqref="A18"/>
    </sheetView>
  </sheetViews>
  <sheetFormatPr defaultRowHeight="12.75" x14ac:dyDescent="0.2"/>
  <sheetData>
    <row r="1" spans="1:2" x14ac:dyDescent="0.2">
      <c r="A1" t="s">
        <v>184</v>
      </c>
      <c r="B1" t="s">
        <v>185</v>
      </c>
    </row>
    <row r="2" spans="1:2" x14ac:dyDescent="0.2">
      <c r="A2" t="s">
        <v>186</v>
      </c>
      <c r="B2" t="s">
        <v>187</v>
      </c>
    </row>
    <row r="3" spans="1:2" x14ac:dyDescent="0.2">
      <c r="B3" t="s">
        <v>188</v>
      </c>
    </row>
    <row r="4" spans="1:2" x14ac:dyDescent="0.2">
      <c r="B4" t="s">
        <v>189</v>
      </c>
    </row>
    <row r="6" spans="1:2" x14ac:dyDescent="0.2">
      <c r="A6" t="s">
        <v>206</v>
      </c>
      <c r="B6" t="s">
        <v>207</v>
      </c>
    </row>
    <row r="8" spans="1:2" x14ac:dyDescent="0.2">
      <c r="A8" t="s">
        <v>210</v>
      </c>
      <c r="B8" t="s">
        <v>208</v>
      </c>
    </row>
    <row r="9" spans="1:2" x14ac:dyDescent="0.2">
      <c r="B9" s="358" t="s">
        <v>209</v>
      </c>
    </row>
    <row r="11" spans="1:2" x14ac:dyDescent="0.2">
      <c r="A11" s="531">
        <v>45978</v>
      </c>
      <c r="B11" t="s">
        <v>3090</v>
      </c>
    </row>
    <row r="13" spans="1:2" x14ac:dyDescent="0.2">
      <c r="A13" t="s">
        <v>3092</v>
      </c>
    </row>
    <row r="14" spans="1:2" x14ac:dyDescent="0.2">
      <c r="A14" s="531">
        <v>45993</v>
      </c>
      <c r="B14" t="s">
        <v>3091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7"/>
  <dimension ref="A1:B18"/>
  <sheetViews>
    <sheetView workbookViewId="0">
      <selection activeCell="F19" sqref="F19"/>
    </sheetView>
  </sheetViews>
  <sheetFormatPr defaultRowHeight="12.75" x14ac:dyDescent="0.2"/>
  <cols>
    <col min="1" max="1" width="22.5703125" customWidth="1"/>
    <col min="2" max="2" width="8.140625" bestFit="1" customWidth="1"/>
  </cols>
  <sheetData>
    <row r="1" spans="1:2" x14ac:dyDescent="0.2">
      <c r="A1" s="532"/>
    </row>
    <row r="2" spans="1:2" x14ac:dyDescent="0.2">
      <c r="A2" s="533"/>
    </row>
    <row r="3" spans="1:2" x14ac:dyDescent="0.2">
      <c r="A3" s="533"/>
    </row>
    <row r="4" spans="1:2" x14ac:dyDescent="0.2">
      <c r="A4" s="533"/>
    </row>
    <row r="5" spans="1:2" x14ac:dyDescent="0.2">
      <c r="A5" s="533"/>
    </row>
    <row r="6" spans="1:2" x14ac:dyDescent="0.2">
      <c r="A6" s="533"/>
      <c r="B6" s="533"/>
    </row>
    <row r="7" spans="1:2" x14ac:dyDescent="0.2">
      <c r="A7" s="533"/>
      <c r="B7" s="533"/>
    </row>
    <row r="8" spans="1:2" x14ac:dyDescent="0.2">
      <c r="A8" s="533"/>
      <c r="B8" s="533"/>
    </row>
    <row r="9" spans="1:2" x14ac:dyDescent="0.2">
      <c r="A9" s="533"/>
      <c r="B9" s="533"/>
    </row>
    <row r="10" spans="1:2" x14ac:dyDescent="0.2">
      <c r="A10" s="533"/>
      <c r="B10" s="533"/>
    </row>
    <row r="11" spans="1:2" x14ac:dyDescent="0.2">
      <c r="A11" s="533"/>
      <c r="B11" s="533"/>
    </row>
    <row r="12" spans="1:2" x14ac:dyDescent="0.2">
      <c r="A12" s="533"/>
      <c r="B12" s="533"/>
    </row>
    <row r="13" spans="1:2" x14ac:dyDescent="0.2">
      <c r="A13" s="533"/>
      <c r="B13" s="533"/>
    </row>
    <row r="14" spans="1:2" x14ac:dyDescent="0.2">
      <c r="A14" s="533"/>
      <c r="B14" s="533"/>
    </row>
    <row r="15" spans="1:2" x14ac:dyDescent="0.2">
      <c r="A15" s="533"/>
      <c r="B15" s="533"/>
    </row>
    <row r="16" spans="1:2" x14ac:dyDescent="0.2">
      <c r="A16" s="533"/>
      <c r="B16" s="533"/>
    </row>
    <row r="17" spans="1:2" x14ac:dyDescent="0.2">
      <c r="A17" s="533"/>
      <c r="B17" s="533"/>
    </row>
    <row r="18" spans="1:2" x14ac:dyDescent="0.2">
      <c r="A18" s="533"/>
      <c r="B18" s="53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F011-DC05-4E5E-9088-B8D63784EA2C}">
  <sheetPr>
    <tabColor rgb="FFFFC000"/>
    <pageSetUpPr fitToPage="1"/>
  </sheetPr>
  <dimension ref="B1:H60"/>
  <sheetViews>
    <sheetView showGridLines="0" topLeftCell="A7" zoomScale="80" zoomScaleNormal="80" workbookViewId="0">
      <selection activeCell="H20" sqref="H20"/>
    </sheetView>
  </sheetViews>
  <sheetFormatPr defaultRowHeight="15" x14ac:dyDescent="0.25"/>
  <cols>
    <col min="1" max="1" width="3.28515625" style="535" customWidth="1"/>
    <col min="2" max="2" width="2.5703125" style="535" customWidth="1"/>
    <col min="3" max="3" width="35.85546875" style="535" customWidth="1"/>
    <col min="4" max="4" width="22.140625" style="536" customWidth="1"/>
    <col min="5" max="5" width="45.7109375" style="536" customWidth="1"/>
    <col min="6" max="6" width="23.140625" style="535" customWidth="1"/>
    <col min="7" max="7" width="3" style="535" customWidth="1"/>
    <col min="8" max="8" width="29.42578125" style="536" customWidth="1"/>
    <col min="9" max="9" width="55.5703125" style="535" customWidth="1"/>
    <col min="10" max="16384" width="9.140625" style="535"/>
  </cols>
  <sheetData>
    <row r="1" spans="2:8" ht="13.5" customHeight="1" x14ac:dyDescent="0.25"/>
    <row r="2" spans="2:8" ht="105.95" customHeight="1" x14ac:dyDescent="0.25">
      <c r="B2" s="859" t="s">
        <v>3100</v>
      </c>
      <c r="C2" s="859"/>
      <c r="D2" s="859"/>
      <c r="E2" s="859"/>
      <c r="F2" s="859"/>
      <c r="G2" s="859"/>
    </row>
    <row r="3" spans="2:8" ht="11.1" customHeight="1" thickBot="1" x14ac:dyDescent="0.3"/>
    <row r="4" spans="2:8" x14ac:dyDescent="0.25">
      <c r="B4" s="537"/>
      <c r="C4" s="538"/>
      <c r="D4" s="539"/>
      <c r="E4" s="539"/>
      <c r="F4" s="538"/>
      <c r="G4" s="540"/>
    </row>
    <row r="5" spans="2:8" ht="18.600000000000001" customHeight="1" x14ac:dyDescent="0.3">
      <c r="B5" s="541"/>
      <c r="C5" s="860" t="s">
        <v>3101</v>
      </c>
      <c r="D5" s="860"/>
      <c r="E5" s="860"/>
      <c r="F5" s="860"/>
      <c r="G5" s="542"/>
    </row>
    <row r="6" spans="2:8" x14ac:dyDescent="0.25">
      <c r="B6" s="541"/>
      <c r="C6" s="861" t="s">
        <v>3102</v>
      </c>
      <c r="D6" s="861"/>
      <c r="E6" s="861"/>
      <c r="F6" s="861"/>
      <c r="G6" s="542"/>
      <c r="H6" s="536" t="s">
        <v>4</v>
      </c>
    </row>
    <row r="7" spans="2:8" ht="14.45" customHeight="1" x14ac:dyDescent="0.25">
      <c r="B7" s="541"/>
      <c r="C7" s="543"/>
      <c r="D7" s="544"/>
      <c r="E7" s="544"/>
      <c r="G7" s="542"/>
    </row>
    <row r="8" spans="2:8" ht="21.95" customHeight="1" x14ac:dyDescent="0.25">
      <c r="B8" s="541"/>
      <c r="C8" s="862" t="s">
        <v>3103</v>
      </c>
      <c r="D8" s="862"/>
      <c r="E8" s="544"/>
      <c r="G8" s="542"/>
      <c r="H8" s="536" t="str">
        <f>'BASE C'!B3</f>
        <v>2024/0008460</v>
      </c>
    </row>
    <row r="9" spans="2:8" ht="9.6" customHeight="1" thickBot="1" x14ac:dyDescent="0.3">
      <c r="B9" s="541"/>
      <c r="C9" s="544"/>
      <c r="D9" s="544"/>
      <c r="E9" s="544"/>
      <c r="G9" s="542"/>
    </row>
    <row r="10" spans="2:8" ht="24.95" customHeight="1" thickBot="1" x14ac:dyDescent="0.3">
      <c r="B10" s="541"/>
      <c r="C10" s="863" t="s">
        <v>3104</v>
      </c>
      <c r="D10" s="864"/>
      <c r="E10" s="544"/>
      <c r="G10" s="542"/>
    </row>
    <row r="11" spans="2:8" ht="24.95" customHeight="1" thickBot="1" x14ac:dyDescent="0.3">
      <c r="B11" s="541"/>
      <c r="C11" s="545" t="s">
        <v>3105</v>
      </c>
      <c r="D11" s="546">
        <f>VLOOKUP(H8,'ATESTE-LIQ-FIS'!A:D,4,0)*60%</f>
        <v>9619.2263999999996</v>
      </c>
      <c r="E11" s="547"/>
      <c r="F11" s="547"/>
      <c r="G11" s="542"/>
    </row>
    <row r="12" spans="2:8" ht="24.95" customHeight="1" thickTop="1" thickBot="1" x14ac:dyDescent="0.3">
      <c r="B12" s="541"/>
      <c r="C12" s="548" t="s">
        <v>3106</v>
      </c>
      <c r="D12" s="549"/>
      <c r="E12" s="547"/>
      <c r="F12" s="547"/>
      <c r="G12" s="542"/>
    </row>
    <row r="13" spans="2:8" ht="24.95" customHeight="1" thickBot="1" x14ac:dyDescent="0.3">
      <c r="B13" s="541"/>
      <c r="C13" s="550" t="s">
        <v>3107</v>
      </c>
      <c r="D13" s="551">
        <f>SUM(D11:D12)</f>
        <v>9619.2263999999996</v>
      </c>
      <c r="E13" s="547"/>
      <c r="F13" s="547"/>
      <c r="G13" s="542"/>
    </row>
    <row r="14" spans="2:8" ht="10.5" customHeight="1" thickBot="1" x14ac:dyDescent="0.3">
      <c r="B14" s="541"/>
      <c r="C14" s="552"/>
      <c r="D14" s="553"/>
      <c r="E14" s="547"/>
      <c r="F14" s="547"/>
      <c r="G14" s="542"/>
    </row>
    <row r="15" spans="2:8" ht="24.95" customHeight="1" thickBot="1" x14ac:dyDescent="0.3">
      <c r="B15" s="541"/>
      <c r="C15" s="865" t="s">
        <v>3108</v>
      </c>
      <c r="D15" s="866"/>
      <c r="E15" s="547"/>
      <c r="F15" s="547"/>
      <c r="G15" s="542"/>
    </row>
    <row r="16" spans="2:8" ht="15" customHeight="1" thickBot="1" x14ac:dyDescent="0.3">
      <c r="B16" s="541"/>
      <c r="C16" s="554"/>
      <c r="D16" s="554"/>
      <c r="E16" s="547"/>
      <c r="F16" s="547"/>
      <c r="G16" s="542"/>
    </row>
    <row r="17" spans="2:8" ht="24.95" customHeight="1" thickBot="1" x14ac:dyDescent="0.3">
      <c r="B17" s="541"/>
      <c r="C17" s="867" t="s">
        <v>3109</v>
      </c>
      <c r="D17" s="868"/>
      <c r="E17" s="547"/>
      <c r="F17" s="547"/>
      <c r="G17" s="542"/>
    </row>
    <row r="18" spans="2:8" ht="24.95" customHeight="1" thickBot="1" x14ac:dyDescent="0.3">
      <c r="B18" s="541"/>
      <c r="C18" s="548" t="s">
        <v>3110</v>
      </c>
      <c r="D18" s="555"/>
      <c r="E18" s="547"/>
      <c r="F18" s="547"/>
      <c r="G18" s="542"/>
    </row>
    <row r="19" spans="2:8" ht="15" customHeight="1" thickBot="1" x14ac:dyDescent="0.3">
      <c r="B19" s="541"/>
      <c r="D19" s="544"/>
      <c r="E19" s="544"/>
      <c r="G19" s="542"/>
    </row>
    <row r="20" spans="2:8" ht="24.95" customHeight="1" thickBot="1" x14ac:dyDescent="0.3">
      <c r="B20" s="541"/>
      <c r="C20" s="863" t="s">
        <v>3111</v>
      </c>
      <c r="D20" s="864"/>
      <c r="E20" s="556"/>
      <c r="G20" s="557"/>
      <c r="H20" s="556"/>
    </row>
    <row r="21" spans="2:8" ht="15" customHeight="1" thickBot="1" x14ac:dyDescent="0.3">
      <c r="B21" s="541"/>
      <c r="C21" s="558"/>
      <c r="D21" s="559"/>
      <c r="E21" s="556"/>
      <c r="G21" s="557"/>
      <c r="H21" s="556"/>
    </row>
    <row r="22" spans="2:8" ht="24.95" customHeight="1" thickBot="1" x14ac:dyDescent="0.3">
      <c r="B22" s="541"/>
      <c r="C22" s="560" t="s">
        <v>3112</v>
      </c>
      <c r="D22" s="559"/>
      <c r="E22" s="556"/>
      <c r="G22" s="557"/>
      <c r="H22" s="556"/>
    </row>
    <row r="23" spans="2:8" ht="24.95" customHeight="1" thickBot="1" x14ac:dyDescent="0.3">
      <c r="B23" s="541"/>
      <c r="C23" s="545" t="s">
        <v>3113</v>
      </c>
      <c r="D23" s="561">
        <f>VLOOKUP(H8,'ATESTE-LIQ-FIS'!A:E,5,0)</f>
        <v>352.70496800000001</v>
      </c>
      <c r="E23" s="544"/>
      <c r="G23" s="542"/>
    </row>
    <row r="24" spans="2:8" ht="24.95" customHeight="1" thickBot="1" x14ac:dyDescent="0.3">
      <c r="B24" s="541"/>
      <c r="C24" s="545" t="s">
        <v>3114</v>
      </c>
      <c r="D24" s="562">
        <v>0</v>
      </c>
      <c r="E24" s="544"/>
      <c r="G24" s="563"/>
    </row>
    <row r="25" spans="2:8" ht="24.95" customHeight="1" thickBot="1" x14ac:dyDescent="0.3">
      <c r="B25" s="541"/>
      <c r="C25" s="545"/>
      <c r="D25" s="564">
        <f>D24*189.59</f>
        <v>0</v>
      </c>
      <c r="E25" s="544"/>
      <c r="G25" s="563"/>
    </row>
    <row r="26" spans="2:8" ht="24.95" customHeight="1" thickBot="1" x14ac:dyDescent="0.3">
      <c r="B26" s="541"/>
      <c r="C26" s="548" t="s">
        <v>3115</v>
      </c>
      <c r="D26" s="561">
        <v>0</v>
      </c>
      <c r="E26" s="544"/>
      <c r="G26" s="563"/>
    </row>
    <row r="27" spans="2:8" ht="44.1" customHeight="1" thickBot="1" x14ac:dyDescent="0.3">
      <c r="B27" s="541"/>
      <c r="C27" s="565" t="s">
        <v>3116</v>
      </c>
      <c r="D27" s="561">
        <v>0</v>
      </c>
      <c r="E27" s="566"/>
      <c r="F27" s="567"/>
      <c r="G27" s="568"/>
    </row>
    <row r="28" spans="2:8" ht="15" customHeight="1" thickBot="1" x14ac:dyDescent="0.3">
      <c r="B28" s="541"/>
      <c r="C28" s="569"/>
      <c r="D28" s="570"/>
      <c r="E28" s="566"/>
      <c r="F28" s="567"/>
      <c r="G28" s="568"/>
    </row>
    <row r="29" spans="2:8" ht="24.95" customHeight="1" thickBot="1" x14ac:dyDescent="0.3">
      <c r="B29" s="541"/>
      <c r="C29" s="571" t="s">
        <v>3117</v>
      </c>
      <c r="D29" s="564">
        <v>607.20000000000005</v>
      </c>
      <c r="E29" s="544"/>
      <c r="F29" s="567"/>
      <c r="G29" s="568"/>
    </row>
    <row r="30" spans="2:8" ht="15" customHeight="1" thickBot="1" x14ac:dyDescent="0.3">
      <c r="B30" s="541"/>
      <c r="D30" s="544"/>
      <c r="E30" s="544"/>
      <c r="G30" s="542"/>
    </row>
    <row r="31" spans="2:8" ht="24.95" customHeight="1" thickBot="1" x14ac:dyDescent="0.3">
      <c r="B31" s="541"/>
      <c r="C31" s="869" t="s">
        <v>3118</v>
      </c>
      <c r="D31" s="869"/>
      <c r="E31" s="870" t="s">
        <v>3119</v>
      </c>
      <c r="F31" s="870"/>
      <c r="G31" s="542"/>
    </row>
    <row r="32" spans="2:8" ht="24.95" customHeight="1" thickBot="1" x14ac:dyDescent="0.3">
      <c r="B32" s="541"/>
      <c r="C32" s="572" t="s">
        <v>3120</v>
      </c>
      <c r="D32" s="573">
        <f>'IR Deduções Legais-Maio.2025'!F30</f>
        <v>1639.56</v>
      </c>
      <c r="E32" s="572" t="s">
        <v>3120</v>
      </c>
      <c r="F32" s="573">
        <f>'IR Desc. Simplificado-Maio.2025'!F30</f>
        <v>1569.5700000000002</v>
      </c>
      <c r="G32" s="542"/>
    </row>
    <row r="33" spans="2:8" ht="24.95" customHeight="1" thickBot="1" x14ac:dyDescent="0.3">
      <c r="B33" s="541"/>
      <c r="C33" s="572" t="s">
        <v>3121</v>
      </c>
      <c r="D33" s="573">
        <f>D32-D18</f>
        <v>1639.56</v>
      </c>
      <c r="E33" s="572" t="s">
        <v>3121</v>
      </c>
      <c r="F33" s="573">
        <f>F32-D18</f>
        <v>1569.5700000000002</v>
      </c>
      <c r="G33" s="542"/>
    </row>
    <row r="34" spans="2:8" ht="15" customHeight="1" thickBot="1" x14ac:dyDescent="0.3">
      <c r="B34" s="541"/>
      <c r="D34" s="544"/>
      <c r="E34" s="544"/>
      <c r="G34" s="542"/>
    </row>
    <row r="35" spans="2:8" ht="24.95" customHeight="1" thickBot="1" x14ac:dyDescent="0.3">
      <c r="B35" s="541"/>
      <c r="C35" s="871" t="s">
        <v>3122</v>
      </c>
      <c r="D35" s="872"/>
      <c r="E35" s="544"/>
      <c r="G35" s="542"/>
    </row>
    <row r="36" spans="2:8" ht="24.95" customHeight="1" thickBot="1" x14ac:dyDescent="0.3">
      <c r="B36" s="541"/>
      <c r="C36" s="574" t="str">
        <f>IF(D32&lt;F32,"Deduções Legais","Desconto Simplificado")</f>
        <v>Desconto Simplificado</v>
      </c>
      <c r="D36" s="575">
        <f>TRUNC(SMALL(D32:F32,1),2)</f>
        <v>1569.57</v>
      </c>
      <c r="E36" s="544"/>
      <c r="G36" s="542"/>
    </row>
    <row r="37" spans="2:8" ht="24.95" customHeight="1" thickTop="1" thickBot="1" x14ac:dyDescent="0.3">
      <c r="B37" s="541"/>
      <c r="C37" s="576" t="s">
        <v>3121</v>
      </c>
      <c r="D37" s="577">
        <f>TRUNC(IF(F32&lt;=D32,F33,D33),2)</f>
        <v>1569.57</v>
      </c>
      <c r="E37" s="544"/>
      <c r="F37" s="578"/>
      <c r="G37" s="542"/>
    </row>
    <row r="38" spans="2:8" ht="19.5" customHeight="1" thickBot="1" x14ac:dyDescent="0.3">
      <c r="B38" s="579"/>
      <c r="C38" s="580"/>
      <c r="D38" s="581"/>
      <c r="E38" s="581"/>
      <c r="F38" s="580"/>
      <c r="G38" s="582"/>
    </row>
    <row r="39" spans="2:8" ht="24.95" customHeight="1" x14ac:dyDescent="0.25">
      <c r="B39" s="537"/>
      <c r="C39" s="583" t="s">
        <v>3123</v>
      </c>
      <c r="D39" s="584"/>
      <c r="E39" s="584"/>
      <c r="F39" s="584"/>
      <c r="G39" s="585"/>
    </row>
    <row r="40" spans="2:8" ht="9.9499999999999993" customHeight="1" x14ac:dyDescent="0.25">
      <c r="B40" s="541"/>
      <c r="C40" s="586"/>
      <c r="D40" s="587"/>
      <c r="E40" s="587"/>
      <c r="F40" s="587"/>
      <c r="G40" s="588"/>
    </row>
    <row r="41" spans="2:8" ht="30.95" customHeight="1" x14ac:dyDescent="0.25">
      <c r="B41" s="541"/>
      <c r="C41" s="854" t="s">
        <v>3124</v>
      </c>
      <c r="D41" s="854"/>
      <c r="E41" s="854"/>
      <c r="F41" s="854"/>
      <c r="G41" s="589"/>
    </row>
    <row r="42" spans="2:8" ht="27.95" customHeight="1" x14ac:dyDescent="0.25">
      <c r="B42" s="590"/>
      <c r="C42" s="854" t="s">
        <v>3125</v>
      </c>
      <c r="D42" s="854"/>
      <c r="E42" s="854"/>
      <c r="F42" s="854"/>
      <c r="G42" s="591"/>
    </row>
    <row r="43" spans="2:8" ht="15" customHeight="1" x14ac:dyDescent="0.25">
      <c r="B43" s="590"/>
      <c r="C43" s="592"/>
      <c r="D43" s="592"/>
      <c r="E43" s="592"/>
      <c r="F43" s="592"/>
      <c r="G43" s="591"/>
    </row>
    <row r="44" spans="2:8" ht="30.6" customHeight="1" x14ac:dyDescent="0.25">
      <c r="B44" s="541"/>
      <c r="C44" s="855" t="s">
        <v>3126</v>
      </c>
      <c r="D44" s="856"/>
      <c r="E44" s="857" t="s">
        <v>3127</v>
      </c>
      <c r="F44" s="857"/>
      <c r="G44" s="594"/>
      <c r="H44" s="544"/>
    </row>
    <row r="45" spans="2:8" ht="25.5" customHeight="1" x14ac:dyDescent="0.25">
      <c r="B45" s="541"/>
      <c r="C45" s="593" t="s">
        <v>3128</v>
      </c>
      <c r="D45" s="595" t="s">
        <v>3129</v>
      </c>
      <c r="E45" s="857" t="s">
        <v>3130</v>
      </c>
      <c r="F45" s="857"/>
      <c r="G45" s="594"/>
      <c r="H45" s="544"/>
    </row>
    <row r="46" spans="2:8" ht="35.1" customHeight="1" x14ac:dyDescent="0.25">
      <c r="B46" s="541"/>
      <c r="C46" s="596">
        <v>0</v>
      </c>
      <c r="D46" s="596">
        <v>5000</v>
      </c>
      <c r="E46" s="858" t="s">
        <v>3131</v>
      </c>
      <c r="F46" s="858"/>
      <c r="G46" s="597"/>
      <c r="H46" s="544"/>
    </row>
    <row r="47" spans="2:8" ht="54" customHeight="1" x14ac:dyDescent="0.25">
      <c r="B47" s="541"/>
      <c r="C47" s="596">
        <v>5000.01</v>
      </c>
      <c r="D47" s="596">
        <v>7350</v>
      </c>
      <c r="E47" s="858" t="s">
        <v>3132</v>
      </c>
      <c r="F47" s="858"/>
      <c r="G47" s="597"/>
      <c r="H47" s="544"/>
    </row>
    <row r="48" spans="2:8" x14ac:dyDescent="0.25">
      <c r="B48" s="541"/>
      <c r="C48" s="849" t="s">
        <v>3133</v>
      </c>
      <c r="D48" s="849"/>
      <c r="E48" s="849"/>
      <c r="F48" s="849"/>
      <c r="G48" s="597"/>
      <c r="H48" s="544"/>
    </row>
    <row r="49" spans="2:8" x14ac:dyDescent="0.25">
      <c r="B49" s="541"/>
      <c r="C49" s="598"/>
      <c r="D49" s="598"/>
      <c r="E49" s="598"/>
      <c r="F49" s="598"/>
      <c r="G49" s="597"/>
      <c r="H49" s="544"/>
    </row>
    <row r="50" spans="2:8" x14ac:dyDescent="0.25">
      <c r="B50" s="541"/>
      <c r="C50" s="850" t="s">
        <v>3134</v>
      </c>
      <c r="D50" s="851"/>
      <c r="E50" s="851"/>
      <c r="F50" s="852"/>
      <c r="G50" s="597"/>
      <c r="H50" s="544"/>
    </row>
    <row r="51" spans="2:8" x14ac:dyDescent="0.25">
      <c r="B51" s="541"/>
      <c r="C51" s="599"/>
      <c r="D51" s="599"/>
      <c r="E51" s="599"/>
      <c r="F51" s="599"/>
      <c r="G51" s="597"/>
      <c r="H51" s="600"/>
    </row>
    <row r="52" spans="2:8" ht="16.5" thickBot="1" x14ac:dyDescent="0.3">
      <c r="B52" s="541"/>
      <c r="C52" s="601" t="s">
        <v>3135</v>
      </c>
      <c r="D52" s="602"/>
      <c r="E52" s="603"/>
      <c r="F52" s="603"/>
      <c r="G52" s="597"/>
      <c r="H52" s="544"/>
    </row>
    <row r="53" spans="2:8" ht="16.5" thickBot="1" x14ac:dyDescent="0.3">
      <c r="B53" s="541"/>
      <c r="C53" s="604" t="s">
        <v>3136</v>
      </c>
      <c r="D53" s="604" t="s">
        <v>3137</v>
      </c>
      <c r="E53" s="604" t="s">
        <v>3138</v>
      </c>
      <c r="F53" s="603"/>
      <c r="G53" s="597"/>
      <c r="H53" s="544"/>
    </row>
    <row r="54" spans="2:8" ht="16.5" thickBot="1" x14ac:dyDescent="0.3">
      <c r="B54" s="541"/>
      <c r="C54" s="605" t="s">
        <v>3139</v>
      </c>
      <c r="D54" s="606">
        <v>0</v>
      </c>
      <c r="E54" s="606">
        <v>0</v>
      </c>
      <c r="F54" s="603"/>
      <c r="G54" s="597"/>
      <c r="H54" s="544"/>
    </row>
    <row r="55" spans="2:8" ht="16.5" thickBot="1" x14ac:dyDescent="0.3">
      <c r="B55" s="541"/>
      <c r="C55" s="607" t="s">
        <v>3140</v>
      </c>
      <c r="D55" s="608">
        <v>7.5</v>
      </c>
      <c r="E55" s="608">
        <v>182.16</v>
      </c>
      <c r="F55" s="603"/>
      <c r="G55" s="597"/>
      <c r="H55" s="544"/>
    </row>
    <row r="56" spans="2:8" ht="16.5" thickBot="1" x14ac:dyDescent="0.3">
      <c r="B56" s="541"/>
      <c r="C56" s="605" t="s">
        <v>3141</v>
      </c>
      <c r="D56" s="606">
        <v>15</v>
      </c>
      <c r="E56" s="606">
        <v>394.16</v>
      </c>
      <c r="F56" s="603"/>
      <c r="G56" s="597"/>
      <c r="H56" s="544"/>
    </row>
    <row r="57" spans="2:8" ht="16.5" thickBot="1" x14ac:dyDescent="0.3">
      <c r="B57" s="541"/>
      <c r="C57" s="607" t="s">
        <v>3142</v>
      </c>
      <c r="D57" s="608">
        <v>22.5</v>
      </c>
      <c r="E57" s="608">
        <v>675.49</v>
      </c>
      <c r="F57" s="603"/>
      <c r="G57" s="597"/>
      <c r="H57" s="544"/>
    </row>
    <row r="58" spans="2:8" ht="16.5" thickBot="1" x14ac:dyDescent="0.3">
      <c r="B58" s="541"/>
      <c r="C58" s="605" t="s">
        <v>3143</v>
      </c>
      <c r="D58" s="606">
        <v>27.5</v>
      </c>
      <c r="E58" s="606">
        <v>908.73</v>
      </c>
      <c r="F58" s="603"/>
      <c r="G58" s="597"/>
      <c r="H58" s="544"/>
    </row>
    <row r="59" spans="2:8" x14ac:dyDescent="0.25">
      <c r="B59" s="541"/>
      <c r="C59" s="853" t="s">
        <v>3144</v>
      </c>
      <c r="D59" s="853"/>
      <c r="E59" s="853"/>
      <c r="F59" s="603"/>
      <c r="G59" s="597"/>
      <c r="H59" s="544"/>
    </row>
    <row r="60" spans="2:8" ht="15.75" thickBot="1" x14ac:dyDescent="0.3">
      <c r="B60" s="579"/>
      <c r="C60" s="609"/>
      <c r="D60" s="609"/>
      <c r="E60" s="610"/>
      <c r="F60" s="610"/>
      <c r="G60" s="611"/>
      <c r="H60" s="544"/>
    </row>
  </sheetData>
  <sheetProtection selectLockedCells="1"/>
  <mergeCells count="21">
    <mergeCell ref="C41:F41"/>
    <mergeCell ref="B2:G2"/>
    <mergeCell ref="C5:F5"/>
    <mergeCell ref="C6:F6"/>
    <mergeCell ref="C8:D8"/>
    <mergeCell ref="C10:D10"/>
    <mergeCell ref="C15:D15"/>
    <mergeCell ref="C17:D17"/>
    <mergeCell ref="C20:D20"/>
    <mergeCell ref="C31:D31"/>
    <mergeCell ref="E31:F31"/>
    <mergeCell ref="C35:D35"/>
    <mergeCell ref="C48:F48"/>
    <mergeCell ref="C50:F50"/>
    <mergeCell ref="C59:E59"/>
    <mergeCell ref="C42:F42"/>
    <mergeCell ref="C44:D44"/>
    <mergeCell ref="E44:F44"/>
    <mergeCell ref="E45:F45"/>
    <mergeCell ref="E46:F46"/>
    <mergeCell ref="E47:F47"/>
  </mergeCells>
  <conditionalFormatting sqref="C32:C33">
    <cfRule type="cellIs" dxfId="5" priority="8" operator="lessThan">
      <formula>$F$32</formula>
    </cfRule>
  </conditionalFormatting>
  <conditionalFormatting sqref="C37">
    <cfRule type="cellIs" dxfId="4" priority="1" operator="lessThan">
      <formula>$F$32</formula>
    </cfRule>
  </conditionalFormatting>
  <conditionalFormatting sqref="D32:D33">
    <cfRule type="cellIs" dxfId="3" priority="6" operator="lessThan">
      <formula>$F$32</formula>
    </cfRule>
  </conditionalFormatting>
  <conditionalFormatting sqref="E32:E33">
    <cfRule type="cellIs" dxfId="2" priority="5" operator="lessThan">
      <formula>$F$32</formula>
    </cfRule>
  </conditionalFormatting>
  <conditionalFormatting sqref="F32:F33">
    <cfRule type="cellIs" dxfId="1" priority="7" operator="lessThan">
      <formula>$D$32</formula>
    </cfRule>
  </conditionalFormatting>
  <conditionalFormatting sqref="F33">
    <cfRule type="cellIs" dxfId="0" priority="2" operator="lessThan">
      <formula>$D$33</formula>
    </cfRule>
    <cfRule type="cellIs" priority="3" operator="lessThan">
      <formula>"d28"</formula>
    </cfRule>
    <cfRule type="cellIs" priority="4" operator="lessThan">
      <formula>$D$33</formula>
    </cfRule>
  </conditionalFormatting>
  <printOptions horizontalCentered="1" verticalCentered="1"/>
  <pageMargins left="0.39370078740157483" right="0.39370078740157483" top="0.39370078740157483" bottom="0.39370078740157483" header="0" footer="0"/>
  <pageSetup paperSize="9" scale="61" orientation="portrait" horizontalDpi="4294967292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C63C-9A63-4671-A0C8-949CAEAEF334}">
  <dimension ref="B2:I51"/>
  <sheetViews>
    <sheetView topLeftCell="A16" workbookViewId="0">
      <selection activeCell="I25" sqref="I25"/>
    </sheetView>
  </sheetViews>
  <sheetFormatPr defaultRowHeight="15" x14ac:dyDescent="0.25"/>
  <cols>
    <col min="1" max="1" width="9.140625" style="535"/>
    <col min="2" max="2" width="24.42578125" style="535" customWidth="1"/>
    <col min="3" max="3" width="17.5703125" style="535" customWidth="1"/>
    <col min="4" max="4" width="14.140625" style="535" customWidth="1"/>
    <col min="5" max="5" width="12.140625" style="535" bestFit="1" customWidth="1"/>
    <col min="6" max="6" width="15.5703125" style="535" customWidth="1"/>
    <col min="7" max="7" width="14.7109375" style="535" bestFit="1" customWidth="1"/>
    <col min="8" max="8" width="17.7109375" style="535" bestFit="1" customWidth="1"/>
    <col min="9" max="9" width="13" style="535" customWidth="1"/>
    <col min="10" max="16384" width="9.140625" style="535"/>
  </cols>
  <sheetData>
    <row r="2" spans="2:9" x14ac:dyDescent="0.25">
      <c r="B2" s="887" t="s">
        <v>3145</v>
      </c>
      <c r="C2" s="887"/>
      <c r="D2" s="887"/>
      <c r="E2" s="887"/>
      <c r="F2" s="887"/>
    </row>
    <row r="3" spans="2:9" x14ac:dyDescent="0.25">
      <c r="B3" s="888">
        <f>'Cálculo IRRF -Jan.2026'!D13</f>
        <v>9619.2263999999996</v>
      </c>
      <c r="C3" s="888"/>
      <c r="D3" s="888"/>
      <c r="E3" s="888"/>
      <c r="F3" s="888"/>
      <c r="G3" s="613"/>
      <c r="H3" s="614"/>
    </row>
    <row r="4" spans="2:9" x14ac:dyDescent="0.25">
      <c r="G4" s="613"/>
    </row>
    <row r="5" spans="2:9" x14ac:dyDescent="0.25">
      <c r="B5" s="615"/>
      <c r="C5" s="615"/>
      <c r="D5" s="615"/>
      <c r="E5" s="615"/>
      <c r="F5" s="615"/>
    </row>
    <row r="6" spans="2:9" x14ac:dyDescent="0.25">
      <c r="B6" s="616"/>
      <c r="C6" s="616"/>
      <c r="D6" s="617"/>
      <c r="E6" s="616"/>
      <c r="F6" s="616"/>
    </row>
    <row r="7" spans="2:9" x14ac:dyDescent="0.25">
      <c r="B7" s="616"/>
      <c r="C7" s="616"/>
      <c r="D7" s="617"/>
      <c r="E7" s="616"/>
      <c r="F7" s="616"/>
      <c r="H7" s="889"/>
      <c r="I7" s="889"/>
    </row>
    <row r="8" spans="2:9" x14ac:dyDescent="0.25">
      <c r="B8" s="616"/>
      <c r="C8" s="616"/>
      <c r="D8" s="617"/>
      <c r="E8" s="616"/>
      <c r="F8" s="616"/>
    </row>
    <row r="9" spans="2:9" x14ac:dyDescent="0.25">
      <c r="B9" s="616"/>
      <c r="C9" s="616"/>
      <c r="D9" s="617"/>
      <c r="E9" s="616"/>
      <c r="F9" s="616"/>
    </row>
    <row r="10" spans="2:9" x14ac:dyDescent="0.25">
      <c r="B10" s="881" t="s">
        <v>3146</v>
      </c>
      <c r="C10" s="881"/>
      <c r="D10" s="881"/>
      <c r="E10" s="881"/>
      <c r="F10" s="618">
        <f>'Cálculo IRRF -Jan.2026'!D23</f>
        <v>352.70496800000001</v>
      </c>
      <c r="G10" s="613"/>
      <c r="I10" s="556"/>
    </row>
    <row r="11" spans="2:9" x14ac:dyDescent="0.25">
      <c r="B11" s="881"/>
      <c r="C11" s="881"/>
      <c r="D11" s="881"/>
      <c r="E11" s="881"/>
      <c r="F11" s="619"/>
      <c r="G11" s="613"/>
      <c r="I11" s="620"/>
    </row>
    <row r="12" spans="2:9" x14ac:dyDescent="0.25">
      <c r="I12" s="620"/>
    </row>
    <row r="13" spans="2:9" x14ac:dyDescent="0.25">
      <c r="B13" s="887" t="s">
        <v>3147</v>
      </c>
      <c r="C13" s="887"/>
      <c r="D13" s="887"/>
      <c r="E13" s="887"/>
      <c r="F13" s="887"/>
      <c r="I13" s="620"/>
    </row>
    <row r="14" spans="2:9" x14ac:dyDescent="0.25">
      <c r="B14" s="875" t="s">
        <v>3148</v>
      </c>
      <c r="C14" s="875"/>
      <c r="D14" s="875"/>
      <c r="E14" s="876">
        <f>'Cálculo IRRF -Jan.2026'!D24</f>
        <v>0</v>
      </c>
      <c r="F14" s="877"/>
    </row>
    <row r="15" spans="2:9" x14ac:dyDescent="0.25">
      <c r="B15" s="875" t="s">
        <v>3149</v>
      </c>
      <c r="C15" s="875"/>
      <c r="D15" s="875"/>
      <c r="E15" s="878">
        <v>189.59</v>
      </c>
      <c r="F15" s="878"/>
      <c r="H15" s="621" t="s">
        <v>3150</v>
      </c>
      <c r="I15" s="616">
        <f>F10+I17+I18+(E14*E15)</f>
        <v>352.70496800000001</v>
      </c>
    </row>
    <row r="16" spans="2:9" x14ac:dyDescent="0.25">
      <c r="B16" s="875" t="s">
        <v>3151</v>
      </c>
      <c r="C16" s="875"/>
      <c r="D16" s="875"/>
      <c r="E16" s="879">
        <f>B3-I17-I18-F10-(E14*E15)</f>
        <v>9266.5214319999995</v>
      </c>
      <c r="F16" s="880"/>
      <c r="H16" s="622"/>
      <c r="I16" s="622"/>
    </row>
    <row r="17" spans="2:9" x14ac:dyDescent="0.25">
      <c r="H17" s="621" t="s">
        <v>3152</v>
      </c>
      <c r="I17" s="623">
        <f>'Cálculo IRRF -Jan.2026'!D26</f>
        <v>0</v>
      </c>
    </row>
    <row r="18" spans="2:9" x14ac:dyDescent="0.25">
      <c r="B18" s="615" t="s">
        <v>3153</v>
      </c>
      <c r="C18" s="615" t="s">
        <v>3154</v>
      </c>
      <c r="D18" s="615" t="s">
        <v>3155</v>
      </c>
      <c r="E18" s="615" t="s">
        <v>3156</v>
      </c>
      <c r="F18" s="615" t="s">
        <v>3157</v>
      </c>
      <c r="H18" s="621" t="s">
        <v>3158</v>
      </c>
      <c r="I18" s="623">
        <f>'Cálculo IRRF -Jan.2026'!D27</f>
        <v>0</v>
      </c>
    </row>
    <row r="19" spans="2:9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9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>
        <f>TRUNC(IF(AND($E$16&gt;B20,$E$16&lt;C20),$E$16*D20-E20,0),2)</f>
        <v>0</v>
      </c>
    </row>
    <row r="21" spans="2:9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>
        <f t="shared" ref="F21:F23" si="0">TRUNC(IF(AND($E$16&gt;B21,$E$16&lt;C21),$E$16*D21-E21,0),2)</f>
        <v>0</v>
      </c>
    </row>
    <row r="22" spans="2:9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12">
        <f t="shared" si="0"/>
        <v>0</v>
      </c>
      <c r="H22" s="626"/>
      <c r="I22" s="578"/>
    </row>
    <row r="23" spans="2:9" ht="15.75" thickBot="1" x14ac:dyDescent="0.3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27">
        <f t="shared" si="0"/>
        <v>1639.56</v>
      </c>
      <c r="I23" s="578"/>
    </row>
    <row r="24" spans="2:9" ht="16.5" thickTop="1" thickBot="1" x14ac:dyDescent="0.3">
      <c r="B24" s="881" t="s">
        <v>3159</v>
      </c>
      <c r="C24" s="881"/>
      <c r="D24" s="881"/>
      <c r="E24" s="882"/>
      <c r="F24" s="628">
        <f>SUM(F19:F23)</f>
        <v>1639.56</v>
      </c>
    </row>
    <row r="25" spans="2:9" ht="16.5" thickTop="1" thickBot="1" x14ac:dyDescent="0.3">
      <c r="F25" s="556"/>
    </row>
    <row r="26" spans="2:9" ht="16.5" thickTop="1" thickBot="1" x14ac:dyDescent="0.3">
      <c r="B26" s="883" t="s">
        <v>3160</v>
      </c>
      <c r="C26" s="883"/>
      <c r="D26" s="883"/>
      <c r="E26" s="883"/>
      <c r="F26" s="629">
        <f>IF(B3&lt;=C50,0,F24)</f>
        <v>1639.56</v>
      </c>
    </row>
    <row r="27" spans="2:9" ht="16.5" thickTop="1" thickBot="1" x14ac:dyDescent="0.3">
      <c r="B27" s="884"/>
      <c r="C27" s="884"/>
      <c r="D27" s="884"/>
      <c r="E27" s="884"/>
      <c r="F27" s="884"/>
    </row>
    <row r="28" spans="2:9" ht="27.95" customHeight="1" thickBot="1" x14ac:dyDescent="0.3">
      <c r="B28" s="885" t="s">
        <v>3161</v>
      </c>
      <c r="C28" s="885"/>
      <c r="D28" s="885"/>
      <c r="E28" s="885"/>
      <c r="F28" s="631">
        <f>IF(AND($B$3&gt;C50,$B$3&lt;=C51),F24-E39,IF($B$3&lt;=C50,F26,F24))</f>
        <v>1639.56</v>
      </c>
    </row>
    <row r="29" spans="2:9" x14ac:dyDescent="0.25">
      <c r="B29" s="630"/>
      <c r="C29" s="630"/>
      <c r="D29" s="630"/>
      <c r="E29" s="630"/>
      <c r="F29" s="630"/>
    </row>
    <row r="30" spans="2:9" x14ac:dyDescent="0.25">
      <c r="B30" s="886" t="s">
        <v>3162</v>
      </c>
      <c r="C30" s="886"/>
      <c r="D30" s="886"/>
      <c r="E30" s="886"/>
      <c r="F30" s="632">
        <f>MIN(F24,F26,F28)</f>
        <v>1639.56</v>
      </c>
    </row>
    <row r="31" spans="2:9" x14ac:dyDescent="0.25">
      <c r="B31" s="630"/>
      <c r="C31" s="630"/>
      <c r="D31" s="630"/>
      <c r="E31" s="630"/>
      <c r="F31" s="630"/>
    </row>
    <row r="32" spans="2:9" ht="33.6" customHeight="1" x14ac:dyDescent="0.25">
      <c r="B32" s="874" t="s">
        <v>3163</v>
      </c>
      <c r="C32" s="874"/>
    </row>
    <row r="33" spans="2:6" ht="23.45" customHeight="1" x14ac:dyDescent="0.25">
      <c r="B33" s="633"/>
      <c r="C33" s="633"/>
    </row>
    <row r="34" spans="2:6" ht="30" x14ac:dyDescent="0.25">
      <c r="B34" s="634" t="s">
        <v>3164</v>
      </c>
      <c r="C34" s="635">
        <f>IF(B3&gt;7350,7350,B3)</f>
        <v>7350</v>
      </c>
    </row>
    <row r="35" spans="2:6" ht="30" x14ac:dyDescent="0.25">
      <c r="B35" s="634" t="s">
        <v>3165</v>
      </c>
      <c r="C35" s="636">
        <v>0.13314500000000001</v>
      </c>
    </row>
    <row r="36" spans="2:6" ht="28.5" customHeight="1" x14ac:dyDescent="0.25">
      <c r="B36" s="637" t="s">
        <v>3166</v>
      </c>
      <c r="C36" s="635">
        <v>978.62</v>
      </c>
    </row>
    <row r="38" spans="2:6" ht="75" x14ac:dyDescent="0.25">
      <c r="B38" s="638" t="s">
        <v>3166</v>
      </c>
      <c r="C38" s="634" t="s">
        <v>3167</v>
      </c>
      <c r="D38" s="639" t="s">
        <v>3168</v>
      </c>
      <c r="E38" s="639" t="s">
        <v>3169</v>
      </c>
    </row>
    <row r="39" spans="2:6" x14ac:dyDescent="0.25">
      <c r="B39" s="623">
        <v>978.62</v>
      </c>
      <c r="C39" s="623">
        <f>C34</f>
        <v>7350</v>
      </c>
      <c r="D39" s="622">
        <v>0.13314500000000001</v>
      </c>
      <c r="E39" s="640">
        <f>TRUNC(B39-(C39*D39),2)</f>
        <v>0</v>
      </c>
    </row>
    <row r="42" spans="2:6" ht="30" x14ac:dyDescent="0.25">
      <c r="B42" s="641" t="s">
        <v>3170</v>
      </c>
      <c r="C42" s="642">
        <f>F24</f>
        <v>1639.56</v>
      </c>
    </row>
    <row r="43" spans="2:6" x14ac:dyDescent="0.25">
      <c r="B43" s="641" t="s">
        <v>3171</v>
      </c>
      <c r="C43" s="643">
        <f>E39</f>
        <v>0</v>
      </c>
    </row>
    <row r="44" spans="2:6" ht="51.6" customHeight="1" x14ac:dyDescent="0.25">
      <c r="B44" s="644" t="s">
        <v>3172</v>
      </c>
      <c r="C44" s="645">
        <f>C42-C43</f>
        <v>1639.56</v>
      </c>
    </row>
    <row r="46" spans="2:6" x14ac:dyDescent="0.25">
      <c r="F46" s="646"/>
    </row>
    <row r="47" spans="2:6" x14ac:dyDescent="0.25">
      <c r="B47" s="647" t="s">
        <v>3173</v>
      </c>
      <c r="D47" s="592"/>
      <c r="E47" s="592"/>
    </row>
    <row r="48" spans="2:6" ht="27.95" customHeight="1" x14ac:dyDescent="0.25">
      <c r="B48" s="857" t="s">
        <v>3126</v>
      </c>
      <c r="C48" s="857"/>
      <c r="D48" s="857" t="s">
        <v>3127</v>
      </c>
      <c r="E48" s="857"/>
      <c r="F48" s="857"/>
    </row>
    <row r="49" spans="2:6" x14ac:dyDescent="0.25">
      <c r="B49" s="593" t="s">
        <v>3128</v>
      </c>
      <c r="C49" s="648" t="s">
        <v>3129</v>
      </c>
      <c r="D49" s="855" t="s">
        <v>3130</v>
      </c>
      <c r="E49" s="873"/>
      <c r="F49" s="856"/>
    </row>
    <row r="50" spans="2:6" ht="29.45" customHeight="1" x14ac:dyDescent="0.25">
      <c r="B50" s="649">
        <v>0</v>
      </c>
      <c r="C50" s="635">
        <v>5000</v>
      </c>
      <c r="D50" s="858" t="s">
        <v>3131</v>
      </c>
      <c r="E50" s="858"/>
      <c r="F50" s="858"/>
    </row>
    <row r="51" spans="2:6" ht="67.5" customHeight="1" x14ac:dyDescent="0.25">
      <c r="B51" s="649">
        <v>5000.01</v>
      </c>
      <c r="C51" s="635">
        <v>7350</v>
      </c>
      <c r="D51" s="858" t="s">
        <v>3132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B9579073-7D2B-470A-8910-0409FEE251A9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D295-09D7-4863-951A-1DB77FBF831B}">
  <dimension ref="B2:J51"/>
  <sheetViews>
    <sheetView topLeftCell="A35" workbookViewId="0">
      <selection activeCell="I25" sqref="I25"/>
    </sheetView>
  </sheetViews>
  <sheetFormatPr defaultRowHeight="15" x14ac:dyDescent="0.25"/>
  <cols>
    <col min="1" max="1" width="9.140625" style="535"/>
    <col min="2" max="2" width="20.140625" style="535" customWidth="1"/>
    <col min="3" max="3" width="16" style="535" bestFit="1" customWidth="1"/>
    <col min="4" max="4" width="8.5703125" style="535" bestFit="1" customWidth="1"/>
    <col min="5" max="5" width="12.140625" style="535" bestFit="1" customWidth="1"/>
    <col min="6" max="6" width="20.85546875" style="535" customWidth="1"/>
    <col min="7" max="7" width="12.140625" style="535" bestFit="1" customWidth="1"/>
    <col min="8" max="8" width="9.5703125" style="535" customWidth="1"/>
    <col min="9" max="9" width="13" style="535" customWidth="1"/>
    <col min="10" max="10" width="11.5703125" style="535" bestFit="1" customWidth="1"/>
    <col min="11" max="16384" width="9.140625" style="535"/>
  </cols>
  <sheetData>
    <row r="2" spans="2:10" x14ac:dyDescent="0.25">
      <c r="B2" s="887" t="s">
        <v>3145</v>
      </c>
      <c r="C2" s="887"/>
      <c r="D2" s="887"/>
      <c r="E2" s="887"/>
      <c r="F2" s="887"/>
    </row>
    <row r="3" spans="2:10" x14ac:dyDescent="0.25">
      <c r="B3" s="888">
        <f>'Cálculo IRRF -Jan.2026'!D13</f>
        <v>9619.2263999999996</v>
      </c>
      <c r="C3" s="888"/>
      <c r="D3" s="888"/>
      <c r="E3" s="888"/>
      <c r="F3" s="888"/>
      <c r="G3" s="613"/>
      <c r="H3" s="614"/>
    </row>
    <row r="4" spans="2:10" x14ac:dyDescent="0.25">
      <c r="G4" s="613"/>
    </row>
    <row r="5" spans="2:10" x14ac:dyDescent="0.25">
      <c r="B5" s="615"/>
      <c r="C5" s="615"/>
      <c r="D5" s="615"/>
      <c r="E5" s="615"/>
      <c r="F5" s="615"/>
    </row>
    <row r="6" spans="2:10" x14ac:dyDescent="0.25">
      <c r="B6" s="616"/>
      <c r="C6" s="616"/>
      <c r="D6" s="617"/>
      <c r="E6" s="616"/>
      <c r="F6" s="616"/>
    </row>
    <row r="7" spans="2:10" x14ac:dyDescent="0.25">
      <c r="B7" s="616"/>
      <c r="C7" s="616"/>
      <c r="D7" s="617"/>
      <c r="E7" s="616"/>
      <c r="F7" s="616"/>
      <c r="H7" s="889"/>
      <c r="I7" s="889"/>
    </row>
    <row r="8" spans="2:10" x14ac:dyDescent="0.25">
      <c r="B8" s="616"/>
      <c r="C8" s="616"/>
      <c r="D8" s="617"/>
      <c r="E8" s="616"/>
      <c r="F8" s="616"/>
    </row>
    <row r="9" spans="2:10" x14ac:dyDescent="0.25">
      <c r="B9" s="616"/>
      <c r="C9" s="616"/>
      <c r="D9" s="617"/>
      <c r="E9" s="616"/>
      <c r="F9" s="616"/>
    </row>
    <row r="10" spans="2:10" x14ac:dyDescent="0.25">
      <c r="B10" s="881" t="s">
        <v>3146</v>
      </c>
      <c r="C10" s="881"/>
      <c r="D10" s="881"/>
      <c r="E10" s="881"/>
      <c r="F10" s="618">
        <f>'Cálculo IRRF -Jan.2026'!D23</f>
        <v>352.70496800000001</v>
      </c>
      <c r="G10" s="613"/>
      <c r="J10" s="613"/>
    </row>
    <row r="11" spans="2:10" x14ac:dyDescent="0.25">
      <c r="B11" s="881"/>
      <c r="C11" s="881"/>
      <c r="D11" s="881"/>
      <c r="E11" s="881"/>
      <c r="F11" s="619"/>
      <c r="G11" s="613"/>
      <c r="I11" s="556"/>
      <c r="J11" s="613"/>
    </row>
    <row r="12" spans="2:10" x14ac:dyDescent="0.25">
      <c r="I12" s="620"/>
      <c r="J12" s="650"/>
    </row>
    <row r="13" spans="2:10" x14ac:dyDescent="0.25">
      <c r="B13" s="887" t="s">
        <v>3174</v>
      </c>
      <c r="C13" s="887"/>
      <c r="D13" s="887"/>
      <c r="E13" s="887"/>
      <c r="F13" s="887"/>
      <c r="I13" s="620"/>
      <c r="J13" s="613"/>
    </row>
    <row r="14" spans="2:10" x14ac:dyDescent="0.25">
      <c r="B14" s="875" t="s">
        <v>3175</v>
      </c>
      <c r="C14" s="875"/>
      <c r="D14" s="875"/>
      <c r="E14" s="890">
        <f>B3</f>
        <v>9619.2263999999996</v>
      </c>
      <c r="F14" s="891"/>
      <c r="I14" s="620"/>
    </row>
    <row r="15" spans="2:10" x14ac:dyDescent="0.25">
      <c r="B15" s="875" t="s">
        <v>3176</v>
      </c>
      <c r="C15" s="875"/>
      <c r="D15" s="875"/>
      <c r="E15" s="892">
        <v>607.20000000000005</v>
      </c>
      <c r="F15" s="892"/>
    </row>
    <row r="16" spans="2:10" x14ac:dyDescent="0.25">
      <c r="B16" s="875" t="s">
        <v>3151</v>
      </c>
      <c r="C16" s="875"/>
      <c r="D16" s="875"/>
      <c r="E16" s="893">
        <f>'Cálculo IRRF -Jan.2026'!D13-'Cálculo IRRF -Jan.2026'!D29</f>
        <v>9012.0263999999988</v>
      </c>
      <c r="F16" s="894"/>
    </row>
    <row r="18" spans="2:6" x14ac:dyDescent="0.25">
      <c r="B18" s="615" t="s">
        <v>3153</v>
      </c>
      <c r="C18" s="615" t="s">
        <v>3154</v>
      </c>
      <c r="D18" s="615" t="s">
        <v>3155</v>
      </c>
      <c r="E18" s="615" t="s">
        <v>3156</v>
      </c>
      <c r="F18" s="615" t="s">
        <v>3157</v>
      </c>
    </row>
    <row r="19" spans="2:6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6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>
        <f>IF(AND($E$16&gt;B20,$E$16&lt;C20),TRUNC($E$16*D20,2)-E20,0)</f>
        <v>0</v>
      </c>
    </row>
    <row r="21" spans="2:6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>
        <f>IF(AND($E$16&gt;B21,$E$16&lt;C21),TRUNC($E$16*D21,2)-E21,0)</f>
        <v>0</v>
      </c>
    </row>
    <row r="22" spans="2:6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51">
        <f>IF(AND($E$16&gt;B22,$E$16&lt;C22),TRUNC($E$16*D22,2)-E22,0)</f>
        <v>0</v>
      </c>
    </row>
    <row r="23" spans="2:6" x14ac:dyDescent="0.25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12">
        <f>IF(AND($E$16&gt;B23,$E$16&lt;C23),TRUNC($E$16*D23,2)-E23,0)</f>
        <v>1569.5700000000002</v>
      </c>
    </row>
    <row r="24" spans="2:6" x14ac:dyDescent="0.25">
      <c r="B24" s="881" t="s">
        <v>3159</v>
      </c>
      <c r="C24" s="881"/>
      <c r="D24" s="881"/>
      <c r="E24" s="881"/>
      <c r="F24" s="652">
        <f>SUM(F19:F23)</f>
        <v>1569.5700000000002</v>
      </c>
    </row>
    <row r="25" spans="2:6" ht="15.75" thickBot="1" x14ac:dyDescent="0.3"/>
    <row r="26" spans="2:6" ht="16.5" thickTop="1" thickBot="1" x14ac:dyDescent="0.3">
      <c r="B26" s="883" t="s">
        <v>3160</v>
      </c>
      <c r="C26" s="883"/>
      <c r="D26" s="883"/>
      <c r="E26" s="883"/>
      <c r="F26" s="629">
        <f>IF($B$3&lt;=$C$50,0,$F$24)</f>
        <v>1569.5700000000002</v>
      </c>
    </row>
    <row r="27" spans="2:6" ht="16.5" thickTop="1" thickBot="1" x14ac:dyDescent="0.3">
      <c r="B27" s="884"/>
      <c r="C27" s="884"/>
      <c r="D27" s="884"/>
      <c r="E27" s="884"/>
      <c r="F27" s="884"/>
    </row>
    <row r="28" spans="2:6" ht="15.75" thickBot="1" x14ac:dyDescent="0.3">
      <c r="B28" s="885" t="s">
        <v>3161</v>
      </c>
      <c r="C28" s="885"/>
      <c r="D28" s="885"/>
      <c r="E28" s="885"/>
      <c r="F28" s="653">
        <f>IF(AND($B$3&gt;C50,$B$3&lt;=C51),F24-E39,IF($B$3&lt;=C50,F26,F24))</f>
        <v>1569.5700000000002</v>
      </c>
    </row>
    <row r="29" spans="2:6" x14ac:dyDescent="0.25">
      <c r="B29" s="654"/>
      <c r="C29" s="654"/>
      <c r="D29" s="654"/>
      <c r="E29" s="654"/>
      <c r="F29" s="630"/>
    </row>
    <row r="30" spans="2:6" x14ac:dyDescent="0.25">
      <c r="B30" s="886" t="s">
        <v>3162</v>
      </c>
      <c r="C30" s="886"/>
      <c r="D30" s="886"/>
      <c r="E30" s="886"/>
      <c r="F30" s="632">
        <f>MIN(F24,F26,F28)</f>
        <v>1569.5700000000002</v>
      </c>
    </row>
    <row r="32" spans="2:6" ht="29.1" customHeight="1" x14ac:dyDescent="0.25">
      <c r="B32" s="874" t="s">
        <v>3163</v>
      </c>
      <c r="C32" s="874"/>
    </row>
    <row r="33" spans="2:6" x14ac:dyDescent="0.25">
      <c r="B33" s="633"/>
      <c r="C33" s="633"/>
    </row>
    <row r="34" spans="2:6" ht="30" x14ac:dyDescent="0.25">
      <c r="B34" s="634" t="s">
        <v>3164</v>
      </c>
      <c r="C34" s="635">
        <f>IF($B$3&gt;7350,7350,$B$3)</f>
        <v>7350</v>
      </c>
    </row>
    <row r="35" spans="2:6" ht="45" x14ac:dyDescent="0.25">
      <c r="B35" s="634" t="s">
        <v>3165</v>
      </c>
      <c r="C35" s="636">
        <v>0.13314500000000001</v>
      </c>
    </row>
    <row r="36" spans="2:6" ht="30" x14ac:dyDescent="0.25">
      <c r="B36" s="637" t="s">
        <v>3166</v>
      </c>
      <c r="C36" s="635">
        <v>978.62</v>
      </c>
    </row>
    <row r="38" spans="2:6" ht="75" x14ac:dyDescent="0.25">
      <c r="B38" s="638" t="s">
        <v>3166</v>
      </c>
      <c r="C38" s="634" t="s">
        <v>3167</v>
      </c>
      <c r="D38" s="639" t="s">
        <v>3168</v>
      </c>
      <c r="E38" s="639" t="s">
        <v>3169</v>
      </c>
    </row>
    <row r="39" spans="2:6" ht="20.100000000000001" customHeight="1" x14ac:dyDescent="0.25">
      <c r="B39" s="623">
        <v>978.62</v>
      </c>
      <c r="C39" s="623">
        <f>$B$3</f>
        <v>9619.2263999999996</v>
      </c>
      <c r="D39" s="622">
        <v>0.13314500000000001</v>
      </c>
      <c r="E39" s="655">
        <f>TRUNC($B$39-($C$39*$D$39),2)</f>
        <v>-302.13</v>
      </c>
    </row>
    <row r="42" spans="2:6" ht="30" x14ac:dyDescent="0.25">
      <c r="B42" s="641" t="s">
        <v>3170</v>
      </c>
      <c r="C42" s="642">
        <f>$F$24</f>
        <v>1569.5700000000002</v>
      </c>
    </row>
    <row r="43" spans="2:6" ht="30" x14ac:dyDescent="0.25">
      <c r="B43" s="641" t="s">
        <v>3171</v>
      </c>
      <c r="C43" s="643">
        <f>$E$39</f>
        <v>-302.13</v>
      </c>
    </row>
    <row r="44" spans="2:6" ht="60" x14ac:dyDescent="0.25">
      <c r="B44" s="644" t="s">
        <v>3172</v>
      </c>
      <c r="C44" s="645">
        <f>$C$42-$C$43</f>
        <v>1871.7000000000003</v>
      </c>
    </row>
    <row r="46" spans="2:6" x14ac:dyDescent="0.25">
      <c r="F46" s="646"/>
    </row>
    <row r="47" spans="2:6" x14ac:dyDescent="0.25">
      <c r="B47" s="647" t="s">
        <v>3173</v>
      </c>
      <c r="D47" s="592"/>
      <c r="E47" s="592"/>
    </row>
    <row r="48" spans="2:6" ht="29.1" customHeight="1" x14ac:dyDescent="0.25">
      <c r="B48" s="857" t="s">
        <v>3126</v>
      </c>
      <c r="C48" s="857"/>
      <c r="D48" s="857" t="s">
        <v>3127</v>
      </c>
      <c r="E48" s="857"/>
      <c r="F48" s="857"/>
    </row>
    <row r="49" spans="2:6" x14ac:dyDescent="0.25">
      <c r="B49" s="593" t="s">
        <v>3128</v>
      </c>
      <c r="C49" s="648" t="s">
        <v>3129</v>
      </c>
      <c r="D49" s="855" t="s">
        <v>3130</v>
      </c>
      <c r="E49" s="873"/>
      <c r="F49" s="856"/>
    </row>
    <row r="50" spans="2:6" ht="35.450000000000003" customHeight="1" x14ac:dyDescent="0.25">
      <c r="B50" s="649">
        <v>0</v>
      </c>
      <c r="C50" s="635">
        <v>5000</v>
      </c>
      <c r="D50" s="858" t="s">
        <v>3131</v>
      </c>
      <c r="E50" s="858"/>
      <c r="F50" s="858"/>
    </row>
    <row r="51" spans="2:6" ht="37.5" customHeight="1" x14ac:dyDescent="0.25">
      <c r="B51" s="649">
        <v>5000.01</v>
      </c>
      <c r="C51" s="635">
        <v>7350</v>
      </c>
      <c r="D51" s="858" t="s">
        <v>3132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D0620C33-5AB3-4B70-9BEC-58D61950C00A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51</vt:i4>
      </vt:variant>
    </vt:vector>
  </HeadingPairs>
  <TitlesOfParts>
    <vt:vector size="70" baseType="lpstr">
      <vt:lpstr>APONTAMENTO CREDENCIAMENTO</vt:lpstr>
      <vt:lpstr>APELIDOS</vt:lpstr>
      <vt:lpstr>CONTINUA</vt:lpstr>
      <vt:lpstr>BASE C</vt:lpstr>
      <vt:lpstr>DEMO C</vt:lpstr>
      <vt:lpstr>ATESTE-LIQ-FIS</vt:lpstr>
      <vt:lpstr>DEMO FIS</vt:lpstr>
      <vt:lpstr>EMPRESA C</vt:lpstr>
      <vt:lpstr>ATESTADO C</vt:lpstr>
      <vt:lpstr>Planilha1</vt:lpstr>
      <vt:lpstr>ProcRel</vt:lpstr>
      <vt:lpstr>ProcRel1</vt:lpstr>
      <vt:lpstr>ATESTE-LIQ</vt:lpstr>
      <vt:lpstr>VALORES TABELA</vt:lpstr>
      <vt:lpstr>REVISAO</vt:lpstr>
      <vt:lpstr>Plan1</vt:lpstr>
      <vt:lpstr>Cálculo IRRF -Jan.2026</vt:lpstr>
      <vt:lpstr>IR Deduções Legais-Maio.2025</vt:lpstr>
      <vt:lpstr>IR Desc. Simplificado-Maio.2025</vt:lpstr>
      <vt:lpstr>ADAPTADO</vt:lpstr>
      <vt:lpstr>ApagaAtesteFis</vt:lpstr>
      <vt:lpstr>ApagaBaseC</vt:lpstr>
      <vt:lpstr>ApagaDadosA</vt:lpstr>
      <vt:lpstr>ApagaDadosC</vt:lpstr>
      <vt:lpstr>ApagaRegistroA</vt:lpstr>
      <vt:lpstr>ApagaRegistroC</vt:lpstr>
      <vt:lpstr>'APONTAMENTO CREDENCIAMENTO'!Area_de_impressao</vt:lpstr>
      <vt:lpstr>'ATESTADO C'!Area_de_impressao</vt:lpstr>
      <vt:lpstr>'Cálculo IRRF -Jan.2026'!Area_de_impressao</vt:lpstr>
      <vt:lpstr>CONTINUA!Area_de_impressao</vt:lpstr>
      <vt:lpstr>'DEMO C'!Area_de_impressao</vt:lpstr>
      <vt:lpstr>'DEMO FIS'!Area_de_impressao</vt:lpstr>
      <vt:lpstr>baseCalculo</vt:lpstr>
      <vt:lpstr>Cadeirante</vt:lpstr>
      <vt:lpstr>Cadeirantee</vt:lpstr>
      <vt:lpstr>CopiaDados</vt:lpstr>
      <vt:lpstr>CopiaDadosC</vt:lpstr>
      <vt:lpstr>CopiaFormula</vt:lpstr>
      <vt:lpstr>CopiaFormulaA</vt:lpstr>
      <vt:lpstr>CopiaFormulaA1</vt:lpstr>
      <vt:lpstr>CopiaFormulaC</vt:lpstr>
      <vt:lpstr>CopiaSomaA</vt:lpstr>
      <vt:lpstr>CopiaSomaC</vt:lpstr>
      <vt:lpstr>CRECHE</vt:lpstr>
      <vt:lpstr>Crechee</vt:lpstr>
      <vt:lpstr>DataF</vt:lpstr>
      <vt:lpstr>DataFinal</vt:lpstr>
      <vt:lpstr>DataI</vt:lpstr>
      <vt:lpstr>Datainicial</vt:lpstr>
      <vt:lpstr>DiasFinais</vt:lpstr>
      <vt:lpstr>DiasMes</vt:lpstr>
      <vt:lpstr>DiasMesC</vt:lpstr>
      <vt:lpstr>DRE</vt:lpstr>
      <vt:lpstr>ESPECIAL</vt:lpstr>
      <vt:lpstr>Especiall</vt:lpstr>
      <vt:lpstr>'ATESTE-LIQ'!Excel_BuiltIn__FilterDatabase</vt:lpstr>
      <vt:lpstr>Fixo</vt:lpstr>
      <vt:lpstr>FormulaAtestadoC</vt:lpstr>
      <vt:lpstr>FormulaAtesteFis</vt:lpstr>
      <vt:lpstr>FormulaAtesteLiq</vt:lpstr>
      <vt:lpstr>FormulaBaseC</vt:lpstr>
      <vt:lpstr>FormulaEmpresaC</vt:lpstr>
      <vt:lpstr>km</vt:lpstr>
      <vt:lpstr>NomeDRE</vt:lpstr>
      <vt:lpstr>NORMAL</vt:lpstr>
      <vt:lpstr>Percapita</vt:lpstr>
      <vt:lpstr>PontoA</vt:lpstr>
      <vt:lpstr>PontoC</vt:lpstr>
      <vt:lpstr>PontoFormula</vt:lpstr>
      <vt:lpstr>regular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Carlos de Moraes</dc:creator>
  <cp:lastModifiedBy>Cintia da Silva e Silva</cp:lastModifiedBy>
  <cp:revision/>
  <cp:lastPrinted>2026-05-11T14:51:24Z</cp:lastPrinted>
  <dcterms:created xsi:type="dcterms:W3CDTF">2019-02-08T16:49:11Z</dcterms:created>
  <dcterms:modified xsi:type="dcterms:W3CDTF">2026-05-11T14:51:29Z</dcterms:modified>
</cp:coreProperties>
</file>