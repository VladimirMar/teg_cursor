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7033A932-0A52-417E-B028-4768D1502CF8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CREDENCIAMENTO'!$A$5:$IC$202</definedName>
    <definedName name="_xlnm._FilterDatabase" localSheetId="8" hidden="1">'ATESTADO C'!$A$17:$Z$17</definedName>
    <definedName name="_xlnm._FilterDatabase" localSheetId="12" hidden="1">'ATESTE-LIQ'!$A$1:$AT$42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'ATESTE-LIQ-FIS'!$A$4:$K$3898</definedName>
    <definedName name="ApagaBaseC">'BASE C'!$A$11:$N$4950</definedName>
    <definedName name="ApagaDadosA">'APONTAMENTO CREDENCIAMENTO'!$Q$6:$EL$3059</definedName>
    <definedName name="ApagaDadosC">CONTINUA!$L$6:$BU$3077</definedName>
    <definedName name="ApagarDadosDigitados">#REF!</definedName>
    <definedName name="ApagaRegistroA">'APONTAMENTO CREDENCIAMENTO'!$A$6:$K$3059</definedName>
    <definedName name="ApagaRegistroC">CONTINUA!$A$6:$K$3077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CREDENCIAMENTO'!$M$201</definedName>
    <definedName name="CopiaSomaC" localSheetId="5">[1]CONTINUA!#REF!</definedName>
    <definedName name="CopiaSomaC">CONTINUA!$BV$202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CREDENCIAMENTO'!$DY$4:$EJ$3314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3" l="1"/>
  <c r="L40" i="13"/>
  <c r="AB40" i="13" s="1"/>
  <c r="I40" i="13"/>
  <c r="H40" i="13"/>
  <c r="G40" i="13"/>
  <c r="F40" i="13"/>
  <c r="J40" i="13" s="1"/>
  <c r="D40" i="13"/>
  <c r="T40" i="13" s="1"/>
  <c r="C40" i="13"/>
  <c r="AA39" i="13"/>
  <c r="L39" i="13"/>
  <c r="AB39" i="13" s="1"/>
  <c r="I39" i="13"/>
  <c r="H39" i="13"/>
  <c r="G39" i="13"/>
  <c r="F39" i="13"/>
  <c r="J39" i="13" s="1"/>
  <c r="D39" i="13"/>
  <c r="T39" i="13" s="1"/>
  <c r="C39" i="13"/>
  <c r="AA38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AA37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AA36" i="13"/>
  <c r="L36" i="13"/>
  <c r="AB36" i="13" s="1"/>
  <c r="I36" i="13"/>
  <c r="H36" i="13"/>
  <c r="G36" i="13"/>
  <c r="F36" i="13"/>
  <c r="J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AA33" i="13"/>
  <c r="L33" i="13"/>
  <c r="AB33" i="13" s="1"/>
  <c r="I33" i="13"/>
  <c r="H33" i="13"/>
  <c r="G33" i="13"/>
  <c r="F33" i="13"/>
  <c r="J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U31" i="13" s="1"/>
  <c r="V31" i="13" s="1"/>
  <c r="D31" i="13"/>
  <c r="T31" i="13" s="1"/>
  <c r="C31" i="13"/>
  <c r="AA30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AA29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AA25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AA24" i="13"/>
  <c r="L24" i="13"/>
  <c r="AB24" i="13" s="1"/>
  <c r="I24" i="13"/>
  <c r="H24" i="13"/>
  <c r="G24" i="13"/>
  <c r="F24" i="13"/>
  <c r="U24" i="13" s="1"/>
  <c r="V24" i="13" s="1"/>
  <c r="D24" i="13"/>
  <c r="T24" i="13" s="1"/>
  <c r="C24" i="13"/>
  <c r="AA23" i="13"/>
  <c r="L23" i="13"/>
  <c r="AB23" i="13" s="1"/>
  <c r="I23" i="13"/>
  <c r="H23" i="13"/>
  <c r="G23" i="13"/>
  <c r="F23" i="13"/>
  <c r="J23" i="13" s="1"/>
  <c r="D23" i="13"/>
  <c r="T23" i="13" s="1"/>
  <c r="C23" i="13"/>
  <c r="AA22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AA19" i="13"/>
  <c r="L19" i="13"/>
  <c r="AB19" i="13" s="1"/>
  <c r="I19" i="13"/>
  <c r="H19" i="13"/>
  <c r="G19" i="13"/>
  <c r="F19" i="13"/>
  <c r="J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U11" i="13" s="1"/>
  <c r="V11" i="13" s="1"/>
  <c r="D11" i="13"/>
  <c r="T11" i="13" s="1"/>
  <c r="C11" i="13"/>
  <c r="AA10" i="13"/>
  <c r="L10" i="13"/>
  <c r="AB10" i="13" s="1"/>
  <c r="I10" i="13"/>
  <c r="H10" i="13"/>
  <c r="G10" i="13"/>
  <c r="F10" i="13"/>
  <c r="U10" i="13" s="1"/>
  <c r="V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U5" i="13" s="1"/>
  <c r="V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U3" i="13" s="1"/>
  <c r="V3" i="13" s="1"/>
  <c r="D3" i="13"/>
  <c r="T3" i="13" s="1"/>
  <c r="C3" i="13"/>
  <c r="D42" i="87"/>
  <c r="G42" i="87" s="1"/>
  <c r="D41" i="87"/>
  <c r="G41" i="87" s="1"/>
  <c r="D40" i="87"/>
  <c r="G40" i="87" s="1"/>
  <c r="D39" i="87"/>
  <c r="G39" i="87" s="1"/>
  <c r="D38" i="87"/>
  <c r="G38" i="87" s="1"/>
  <c r="D37" i="87"/>
  <c r="G37" i="87" s="1"/>
  <c r="D36" i="87"/>
  <c r="G36" i="87" s="1"/>
  <c r="D35" i="87"/>
  <c r="G35" i="87" s="1"/>
  <c r="D34" i="87"/>
  <c r="G34" i="87" s="1"/>
  <c r="D33" i="87"/>
  <c r="G33" i="87" s="1"/>
  <c r="D32" i="87"/>
  <c r="G32" i="87" s="1"/>
  <c r="D31" i="87"/>
  <c r="G31" i="87" s="1"/>
  <c r="D30" i="87"/>
  <c r="G30" i="87" s="1"/>
  <c r="D29" i="87"/>
  <c r="G29" i="87" s="1"/>
  <c r="D28" i="87"/>
  <c r="G28" i="87" s="1"/>
  <c r="D27" i="87"/>
  <c r="D26" i="87"/>
  <c r="D25" i="87"/>
  <c r="D24" i="87"/>
  <c r="D23" i="87"/>
  <c r="D22" i="87"/>
  <c r="D21" i="87"/>
  <c r="D20" i="87"/>
  <c r="D19" i="87"/>
  <c r="D18" i="87"/>
  <c r="D17" i="87"/>
  <c r="D16" i="87"/>
  <c r="D15" i="87"/>
  <c r="D14" i="87"/>
  <c r="D13" i="87"/>
  <c r="D12" i="87"/>
  <c r="D11" i="87"/>
  <c r="D10" i="87"/>
  <c r="D9" i="87"/>
  <c r="D8" i="87"/>
  <c r="D7" i="87"/>
  <c r="D6" i="87"/>
  <c r="D5" i="87"/>
  <c r="U40" i="13" l="1"/>
  <c r="V40" i="13" s="1"/>
  <c r="U39" i="13"/>
  <c r="V39" i="13" s="1"/>
  <c r="J38" i="13"/>
  <c r="J37" i="13"/>
  <c r="U36" i="13"/>
  <c r="V36" i="13" s="1"/>
  <c r="J35" i="13"/>
  <c r="J34" i="13"/>
  <c r="U33" i="13"/>
  <c r="V33" i="13" s="1"/>
  <c r="U32" i="13"/>
  <c r="V32" i="13" s="1"/>
  <c r="J31" i="13"/>
  <c r="J30" i="13"/>
  <c r="J29" i="13"/>
  <c r="J28" i="13"/>
  <c r="U27" i="13"/>
  <c r="V27" i="13" s="1"/>
  <c r="J26" i="13"/>
  <c r="J25" i="13"/>
  <c r="J24" i="13"/>
  <c r="U23" i="13"/>
  <c r="V23" i="13" s="1"/>
  <c r="J22" i="13"/>
  <c r="U21" i="13"/>
  <c r="V21" i="13" s="1"/>
  <c r="J20" i="13"/>
  <c r="U19" i="13"/>
  <c r="V19" i="13" s="1"/>
  <c r="J18" i="13"/>
  <c r="U17" i="13"/>
  <c r="V17" i="13" s="1"/>
  <c r="J16" i="13"/>
  <c r="J15" i="13"/>
  <c r="J14" i="13"/>
  <c r="U13" i="13"/>
  <c r="V13" i="13" s="1"/>
  <c r="U12" i="13"/>
  <c r="V12" i="13" s="1"/>
  <c r="J11" i="13"/>
  <c r="J10" i="13"/>
  <c r="U9" i="13"/>
  <c r="V9" i="13" s="1"/>
  <c r="U8" i="13"/>
  <c r="V8" i="13" s="1"/>
  <c r="U7" i="13"/>
  <c r="V7" i="13" s="1"/>
  <c r="U6" i="13"/>
  <c r="V6" i="13" s="1"/>
  <c r="J5" i="13"/>
  <c r="U4" i="13"/>
  <c r="V4" i="13" s="1"/>
  <c r="J3" i="13"/>
  <c r="G5" i="87"/>
  <c r="F5" i="87"/>
  <c r="I5" i="87"/>
  <c r="E5" i="87"/>
  <c r="H5" i="87" s="1"/>
  <c r="G9" i="87"/>
  <c r="F9" i="87"/>
  <c r="I9" i="87"/>
  <c r="E9" i="87"/>
  <c r="H9" i="87" s="1"/>
  <c r="G11" i="87"/>
  <c r="F11" i="87"/>
  <c r="I11" i="87"/>
  <c r="E11" i="87"/>
  <c r="H11" i="87" s="1"/>
  <c r="G13" i="87"/>
  <c r="F13" i="87"/>
  <c r="I13" i="87"/>
  <c r="E13" i="87"/>
  <c r="H13" i="87" s="1"/>
  <c r="G15" i="87"/>
  <c r="F15" i="87"/>
  <c r="I15" i="87"/>
  <c r="E15" i="87"/>
  <c r="H15" i="87" s="1"/>
  <c r="G17" i="87"/>
  <c r="F17" i="87"/>
  <c r="I17" i="87"/>
  <c r="E17" i="87"/>
  <c r="H17" i="87" s="1"/>
  <c r="G19" i="87"/>
  <c r="F19" i="87"/>
  <c r="I19" i="87"/>
  <c r="E19" i="87"/>
  <c r="H19" i="87" s="1"/>
  <c r="G21" i="87"/>
  <c r="F21" i="87"/>
  <c r="I21" i="87"/>
  <c r="E21" i="87"/>
  <c r="H21" i="87" s="1"/>
  <c r="G23" i="87"/>
  <c r="F23" i="87"/>
  <c r="I23" i="87"/>
  <c r="E23" i="87"/>
  <c r="H23" i="87" s="1"/>
  <c r="G25" i="87"/>
  <c r="F25" i="87"/>
  <c r="I25" i="87"/>
  <c r="E25" i="87"/>
  <c r="H25" i="87" s="1"/>
  <c r="G27" i="87"/>
  <c r="F27" i="87"/>
  <c r="I27" i="87"/>
  <c r="E27" i="87"/>
  <c r="H27" i="87" s="1"/>
  <c r="G7" i="87"/>
  <c r="J7" i="87" s="1"/>
  <c r="F7" i="87"/>
  <c r="I7" i="87"/>
  <c r="E7" i="87"/>
  <c r="G6" i="87"/>
  <c r="J6" i="87" s="1"/>
  <c r="F6" i="87"/>
  <c r="I6" i="87"/>
  <c r="E6" i="87"/>
  <c r="G8" i="87"/>
  <c r="J8" i="87" s="1"/>
  <c r="F8" i="87"/>
  <c r="I8" i="87"/>
  <c r="E8" i="87"/>
  <c r="G10" i="87"/>
  <c r="J10" i="87" s="1"/>
  <c r="F10" i="87"/>
  <c r="I10" i="87"/>
  <c r="E10" i="87"/>
  <c r="G12" i="87"/>
  <c r="J12" i="87" s="1"/>
  <c r="F12" i="87"/>
  <c r="I12" i="87"/>
  <c r="E12" i="87"/>
  <c r="G14" i="87"/>
  <c r="J14" i="87" s="1"/>
  <c r="F14" i="87"/>
  <c r="I14" i="87"/>
  <c r="E14" i="87"/>
  <c r="G16" i="87"/>
  <c r="J16" i="87" s="1"/>
  <c r="F16" i="87"/>
  <c r="I16" i="87"/>
  <c r="E16" i="87"/>
  <c r="G18" i="87"/>
  <c r="J18" i="87" s="1"/>
  <c r="F18" i="87"/>
  <c r="I18" i="87"/>
  <c r="E18" i="87"/>
  <c r="G20" i="87"/>
  <c r="J20" i="87" s="1"/>
  <c r="F20" i="87"/>
  <c r="I20" i="87"/>
  <c r="E20" i="87"/>
  <c r="G22" i="87"/>
  <c r="J22" i="87" s="1"/>
  <c r="F22" i="87"/>
  <c r="I22" i="87"/>
  <c r="E22" i="87"/>
  <c r="G24" i="87"/>
  <c r="J24" i="87" s="1"/>
  <c r="F24" i="87"/>
  <c r="I24" i="87"/>
  <c r="E24" i="87"/>
  <c r="G26" i="87"/>
  <c r="J26" i="87" s="1"/>
  <c r="F26" i="87"/>
  <c r="I26" i="87"/>
  <c r="E26" i="87"/>
  <c r="J29" i="87"/>
  <c r="E28" i="87"/>
  <c r="H28" i="87" s="1"/>
  <c r="I28" i="87"/>
  <c r="E29" i="87"/>
  <c r="H29" i="87" s="1"/>
  <c r="I29" i="87"/>
  <c r="E30" i="87"/>
  <c r="H30" i="87" s="1"/>
  <c r="I30" i="87"/>
  <c r="E31" i="87"/>
  <c r="H31" i="87" s="1"/>
  <c r="I31" i="87"/>
  <c r="E32" i="87"/>
  <c r="H32" i="87" s="1"/>
  <c r="I32" i="87"/>
  <c r="E33" i="87"/>
  <c r="H33" i="87" s="1"/>
  <c r="I33" i="87"/>
  <c r="E34" i="87"/>
  <c r="H34" i="87" s="1"/>
  <c r="I34" i="87"/>
  <c r="E35" i="87"/>
  <c r="H35" i="87" s="1"/>
  <c r="I35" i="87"/>
  <c r="E36" i="87"/>
  <c r="H36" i="87" s="1"/>
  <c r="I36" i="87"/>
  <c r="E37" i="87"/>
  <c r="H37" i="87" s="1"/>
  <c r="I37" i="87"/>
  <c r="E38" i="87"/>
  <c r="H38" i="87" s="1"/>
  <c r="I38" i="87"/>
  <c r="E39" i="87"/>
  <c r="H39" i="87" s="1"/>
  <c r="I39" i="87"/>
  <c r="E40" i="87"/>
  <c r="H40" i="87" s="1"/>
  <c r="I40" i="87"/>
  <c r="E41" i="87"/>
  <c r="H41" i="87" s="1"/>
  <c r="I41" i="87"/>
  <c r="E42" i="87"/>
  <c r="H42" i="87" s="1"/>
  <c r="I42" i="87"/>
  <c r="F28" i="87"/>
  <c r="F29" i="87"/>
  <c r="F30" i="87"/>
  <c r="F31" i="87"/>
  <c r="F32" i="87"/>
  <c r="F33" i="87"/>
  <c r="F34" i="87"/>
  <c r="F35" i="87"/>
  <c r="F36" i="87"/>
  <c r="F37" i="87"/>
  <c r="F38" i="87"/>
  <c r="F39" i="87"/>
  <c r="F40" i="87"/>
  <c r="F41" i="87"/>
  <c r="F42" i="87"/>
  <c r="J30" i="87" l="1"/>
  <c r="J28" i="87"/>
  <c r="K29" i="87" s="1"/>
  <c r="K31" i="87"/>
  <c r="J42" i="87"/>
  <c r="J41" i="87"/>
  <c r="H26" i="87"/>
  <c r="H24" i="87"/>
  <c r="H22" i="87"/>
  <c r="H20" i="87"/>
  <c r="H18" i="87"/>
  <c r="H16" i="87"/>
  <c r="H14" i="87"/>
  <c r="H12" i="87"/>
  <c r="H10" i="87"/>
  <c r="H8" i="87"/>
  <c r="H6" i="87"/>
  <c r="J40" i="87"/>
  <c r="K41" i="87" s="1"/>
  <c r="H7" i="87"/>
  <c r="J39" i="87"/>
  <c r="K27" i="87"/>
  <c r="K25" i="87"/>
  <c r="K23" i="87"/>
  <c r="K21" i="87"/>
  <c r="K19" i="87"/>
  <c r="K17" i="87"/>
  <c r="K15" i="87"/>
  <c r="K13" i="87"/>
  <c r="K11" i="87"/>
  <c r="K9" i="87"/>
  <c r="K5" i="87"/>
  <c r="J38" i="87"/>
  <c r="K39" i="87" s="1"/>
  <c r="J37" i="87"/>
  <c r="K38" i="87" s="1"/>
  <c r="K24" i="87"/>
  <c r="K16" i="87"/>
  <c r="K8" i="87"/>
  <c r="J36" i="87"/>
  <c r="K37" i="87" s="1"/>
  <c r="K7" i="87"/>
  <c r="J35" i="87"/>
  <c r="K42" i="87"/>
  <c r="K40" i="87"/>
  <c r="K36" i="87"/>
  <c r="K30" i="87"/>
  <c r="K28" i="87"/>
  <c r="J34" i="87"/>
  <c r="K35" i="87" s="1"/>
  <c r="J33" i="87"/>
  <c r="K34" i="87" s="1"/>
  <c r="J32" i="87"/>
  <c r="K33" i="87" s="1"/>
  <c r="J31" i="87"/>
  <c r="K32" i="87" s="1"/>
  <c r="J27" i="87"/>
  <c r="J25" i="87"/>
  <c r="K26" i="87" s="1"/>
  <c r="J23" i="87"/>
  <c r="J21" i="87"/>
  <c r="K22" i="87" s="1"/>
  <c r="J19" i="87"/>
  <c r="K20" i="87" s="1"/>
  <c r="J17" i="87"/>
  <c r="K18" i="87" s="1"/>
  <c r="J15" i="87"/>
  <c r="J13" i="87"/>
  <c r="K14" i="87" s="1"/>
  <c r="J11" i="87"/>
  <c r="K12" i="87" s="1"/>
  <c r="J9" i="87"/>
  <c r="K10" i="87" s="1"/>
  <c r="J5" i="87"/>
  <c r="K6" i="87" s="1"/>
  <c r="BU202" i="59" l="1"/>
  <c r="BT202" i="59"/>
  <c r="BS202" i="59"/>
  <c r="BR202" i="59"/>
  <c r="BQ202" i="59"/>
  <c r="BP202" i="59"/>
  <c r="BO202" i="59"/>
  <c r="BN202" i="59"/>
  <c r="BM202" i="59"/>
  <c r="BL202" i="59"/>
  <c r="BK202" i="59"/>
  <c r="BJ202" i="59"/>
  <c r="BI202" i="59"/>
  <c r="BH202" i="59"/>
  <c r="BG202" i="59"/>
  <c r="BF202" i="59"/>
  <c r="BE202" i="59"/>
  <c r="BD202" i="59"/>
  <c r="BC202" i="59"/>
  <c r="BB202" i="59"/>
  <c r="BA202" i="59"/>
  <c r="AZ202" i="59"/>
  <c r="AY202" i="59"/>
  <c r="AX202" i="59"/>
  <c r="AW202" i="59"/>
  <c r="AV202" i="59"/>
  <c r="AU202" i="59"/>
  <c r="AT202" i="59"/>
  <c r="AS202" i="59"/>
  <c r="AR202" i="59"/>
  <c r="AQ202" i="59"/>
  <c r="AP202" i="59"/>
  <c r="AO202" i="59"/>
  <c r="AN202" i="59"/>
  <c r="AM202" i="59"/>
  <c r="AL202" i="59"/>
  <c r="AK202" i="59"/>
  <c r="AJ202" i="59"/>
  <c r="AI202" i="59"/>
  <c r="AH202" i="59"/>
  <c r="AG202" i="59"/>
  <c r="AF202" i="59"/>
  <c r="AE202" i="59"/>
  <c r="AD202" i="59"/>
  <c r="AC202" i="59"/>
  <c r="AB202" i="59"/>
  <c r="AA202" i="59"/>
  <c r="Z202" i="59"/>
  <c r="Y202" i="59"/>
  <c r="X202" i="59"/>
  <c r="W202" i="59"/>
  <c r="V202" i="59"/>
  <c r="U202" i="59"/>
  <c r="T202" i="59"/>
  <c r="S202" i="59"/>
  <c r="R202" i="59"/>
  <c r="Q202" i="59"/>
  <c r="P202" i="59"/>
  <c r="O202" i="59"/>
  <c r="N202" i="59"/>
  <c r="M202" i="59"/>
  <c r="L202" i="59"/>
  <c r="BW200" i="59"/>
  <c r="BV200" i="59"/>
  <c r="BW199" i="59"/>
  <c r="BV199" i="59"/>
  <c r="L199" i="64" s="1"/>
  <c r="BW198" i="59"/>
  <c r="BV198" i="59"/>
  <c r="BW197" i="59"/>
  <c r="BV197" i="59"/>
  <c r="L197" i="64" s="1"/>
  <c r="EY197" i="64" s="1"/>
  <c r="BW196" i="59"/>
  <c r="BV196" i="59"/>
  <c r="BW195" i="59"/>
  <c r="BV195" i="59"/>
  <c r="BW194" i="59"/>
  <c r="BV194" i="59"/>
  <c r="BW193" i="59"/>
  <c r="BV193" i="59"/>
  <c r="BW192" i="59"/>
  <c r="BV192" i="59"/>
  <c r="BW191" i="59"/>
  <c r="BV191" i="59"/>
  <c r="BW190" i="59"/>
  <c r="BV190" i="59"/>
  <c r="BW189" i="59"/>
  <c r="BV189" i="59"/>
  <c r="L189" i="64" s="1"/>
  <c r="EY189" i="64" s="1"/>
  <c r="BW188" i="59"/>
  <c r="BV188" i="59"/>
  <c r="BW187" i="59"/>
  <c r="BV187" i="59"/>
  <c r="L187" i="64" s="1"/>
  <c r="EY187" i="64" s="1"/>
  <c r="BW186" i="59"/>
  <c r="BV186" i="59"/>
  <c r="BW185" i="59"/>
  <c r="BV185" i="59"/>
  <c r="BW184" i="59"/>
  <c r="BV184" i="59"/>
  <c r="L184" i="64" s="1"/>
  <c r="EY184" i="64" s="1"/>
  <c r="BW183" i="59"/>
  <c r="BV183" i="59"/>
  <c r="BW182" i="59"/>
  <c r="BV182" i="59"/>
  <c r="L182" i="64" s="1"/>
  <c r="BW181" i="59"/>
  <c r="BV181" i="59"/>
  <c r="BW180" i="59"/>
  <c r="BV180" i="59"/>
  <c r="BW179" i="59"/>
  <c r="BV179" i="59"/>
  <c r="BW178" i="59"/>
  <c r="BV178" i="59"/>
  <c r="BW177" i="59"/>
  <c r="BV177" i="59"/>
  <c r="BW176" i="59"/>
  <c r="BV176" i="59"/>
  <c r="BW175" i="59"/>
  <c r="BV175" i="59"/>
  <c r="BW174" i="59"/>
  <c r="BV174" i="59"/>
  <c r="L174" i="64" s="1"/>
  <c r="EY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BW168" i="59"/>
  <c r="BV168" i="59"/>
  <c r="BW167" i="59"/>
  <c r="BV167" i="59"/>
  <c r="BW166" i="59"/>
  <c r="BV166" i="59"/>
  <c r="BW165" i="59"/>
  <c r="BV165" i="59"/>
  <c r="BW164" i="59"/>
  <c r="M164" i="64" s="1"/>
  <c r="BV164" i="59"/>
  <c r="L164" i="64" s="1"/>
  <c r="BW163" i="59"/>
  <c r="BV163" i="59"/>
  <c r="BW162" i="59"/>
  <c r="BV162" i="59"/>
  <c r="L162" i="64" s="1"/>
  <c r="BW161" i="59"/>
  <c r="BV161" i="59"/>
  <c r="BW160" i="59"/>
  <c r="BV160" i="59"/>
  <c r="BW159" i="59"/>
  <c r="BV159" i="59"/>
  <c r="BW158" i="59"/>
  <c r="BV158" i="59"/>
  <c r="BW157" i="59"/>
  <c r="BV157" i="59"/>
  <c r="BW156" i="59"/>
  <c r="BV156" i="59"/>
  <c r="BW155" i="59"/>
  <c r="BV155" i="59"/>
  <c r="BW154" i="59"/>
  <c r="BV154" i="59"/>
  <c r="L154" i="64" s="1"/>
  <c r="EY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BW148" i="59"/>
  <c r="BV148" i="59"/>
  <c r="BW147" i="59"/>
  <c r="BV147" i="59"/>
  <c r="BW146" i="59"/>
  <c r="BV146" i="59"/>
  <c r="BW145" i="59"/>
  <c r="BV145" i="59"/>
  <c r="BW144" i="59"/>
  <c r="BV144" i="59"/>
  <c r="L144" i="64" s="1"/>
  <c r="EY144" i="64" s="1"/>
  <c r="BW143" i="59"/>
  <c r="BV143" i="59"/>
  <c r="BW142" i="59"/>
  <c r="BV142" i="59"/>
  <c r="L142" i="64" s="1"/>
  <c r="BW141" i="59"/>
  <c r="BV141" i="59"/>
  <c r="BW140" i="59"/>
  <c r="BV140" i="59"/>
  <c r="BW139" i="59"/>
  <c r="BV139" i="59"/>
  <c r="BW138" i="59"/>
  <c r="BV138" i="59"/>
  <c r="BW137" i="59"/>
  <c r="BV137" i="59"/>
  <c r="BW136" i="59"/>
  <c r="BV136" i="59"/>
  <c r="BW135" i="59"/>
  <c r="BV135" i="59"/>
  <c r="BW134" i="59"/>
  <c r="BV134" i="59"/>
  <c r="L134" i="64" s="1"/>
  <c r="EY134" i="64" s="1"/>
  <c r="BW133" i="59"/>
  <c r="BV133" i="59"/>
  <c r="BW132" i="59"/>
  <c r="BV132" i="59"/>
  <c r="L132" i="64" s="1"/>
  <c r="BW131" i="59"/>
  <c r="BV131" i="59"/>
  <c r="BW130" i="59"/>
  <c r="BV130" i="59"/>
  <c r="BW129" i="59"/>
  <c r="BV129" i="59"/>
  <c r="BW128" i="59"/>
  <c r="BV128" i="59"/>
  <c r="BW127" i="59"/>
  <c r="BV127" i="59"/>
  <c r="BW126" i="59"/>
  <c r="BV126" i="59"/>
  <c r="BW125" i="59"/>
  <c r="BV125" i="59"/>
  <c r="BW124" i="59"/>
  <c r="BV124" i="59"/>
  <c r="BW123" i="59"/>
  <c r="BV123" i="59"/>
  <c r="BW122" i="59"/>
  <c r="BV122" i="59"/>
  <c r="BW121" i="59"/>
  <c r="BV121" i="59"/>
  <c r="BW120" i="59"/>
  <c r="BV120" i="59"/>
  <c r="BW119" i="59"/>
  <c r="BV119" i="59"/>
  <c r="L119" i="64" s="1"/>
  <c r="EY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EY112" i="64" s="1"/>
  <c r="BW111" i="59"/>
  <c r="BV111" i="59"/>
  <c r="BW110" i="59"/>
  <c r="BV110" i="59"/>
  <c r="BW109" i="59"/>
  <c r="BV109" i="59"/>
  <c r="L109" i="64" s="1"/>
  <c r="BW108" i="59"/>
  <c r="BV108" i="59"/>
  <c r="BW107" i="59"/>
  <c r="BV107" i="59"/>
  <c r="L107" i="64" s="1"/>
  <c r="EY107" i="64" s="1"/>
  <c r="BW106" i="59"/>
  <c r="BV106" i="59"/>
  <c r="BW105" i="59"/>
  <c r="BV105" i="59"/>
  <c r="BW104" i="59"/>
  <c r="BV104" i="59"/>
  <c r="L104" i="64" s="1"/>
  <c r="BW103" i="59"/>
  <c r="BV103" i="59"/>
  <c r="BW102" i="59"/>
  <c r="BV102" i="59"/>
  <c r="L102" i="64" s="1"/>
  <c r="EY102" i="64" s="1"/>
  <c r="BW101" i="59"/>
  <c r="BV101" i="59"/>
  <c r="BW100" i="59"/>
  <c r="BV100" i="59"/>
  <c r="BW99" i="59"/>
  <c r="BV99" i="59"/>
  <c r="L99" i="64" s="1"/>
  <c r="EY99" i="64" s="1"/>
  <c r="BW98" i="59"/>
  <c r="BV98" i="59"/>
  <c r="BW97" i="59"/>
  <c r="BV97" i="59"/>
  <c r="L97" i="64" s="1"/>
  <c r="EY97" i="64" s="1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EY92" i="64" s="1"/>
  <c r="BW91" i="59"/>
  <c r="BV91" i="59"/>
  <c r="BW90" i="59"/>
  <c r="BV90" i="59"/>
  <c r="BW89" i="59"/>
  <c r="BV89" i="59"/>
  <c r="L89" i="64" s="1"/>
  <c r="EY89" i="64" s="1"/>
  <c r="BW88" i="59"/>
  <c r="BV88" i="59"/>
  <c r="BW87" i="59"/>
  <c r="BV87" i="59"/>
  <c r="L87" i="64" s="1"/>
  <c r="EY87" i="64" s="1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EY82" i="64" s="1"/>
  <c r="BW81" i="59"/>
  <c r="BV81" i="59"/>
  <c r="BW80" i="59"/>
  <c r="BV80" i="59"/>
  <c r="BW79" i="59"/>
  <c r="M79" i="64" s="1"/>
  <c r="BV79" i="59"/>
  <c r="L79" i="64" s="1"/>
  <c r="BW78" i="59"/>
  <c r="BV78" i="59"/>
  <c r="BW77" i="59"/>
  <c r="M77" i="64" s="1"/>
  <c r="BV77" i="59"/>
  <c r="L77" i="64" s="1"/>
  <c r="BW76" i="59"/>
  <c r="BV76" i="59"/>
  <c r="BW75" i="59"/>
  <c r="BV75" i="59"/>
  <c r="BW74" i="59"/>
  <c r="BV74" i="59"/>
  <c r="L74" i="64" s="1"/>
  <c r="BW73" i="59"/>
  <c r="BV73" i="59"/>
  <c r="BW72" i="59"/>
  <c r="BV72" i="59"/>
  <c r="L72" i="64" s="1"/>
  <c r="EY72" i="64" s="1"/>
  <c r="BW71" i="59"/>
  <c r="BV71" i="59"/>
  <c r="BW70" i="59"/>
  <c r="BV70" i="59"/>
  <c r="BW69" i="59"/>
  <c r="M69" i="64" s="1"/>
  <c r="BV69" i="59"/>
  <c r="L69" i="64" s="1"/>
  <c r="EY69" i="64" s="1"/>
  <c r="BW68" i="59"/>
  <c r="BV68" i="59"/>
  <c r="BW67" i="59"/>
  <c r="M67" i="64" s="1"/>
  <c r="BV67" i="59"/>
  <c r="L67" i="64" s="1"/>
  <c r="EY67" i="64" s="1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EY62" i="64" s="1"/>
  <c r="BW61" i="59"/>
  <c r="BV61" i="59"/>
  <c r="BW60" i="59"/>
  <c r="BV60" i="59"/>
  <c r="BW59" i="59"/>
  <c r="BV59" i="59"/>
  <c r="BW58" i="59"/>
  <c r="BV58" i="59"/>
  <c r="BW57" i="59"/>
  <c r="BV57" i="59"/>
  <c r="BW56" i="59"/>
  <c r="BV56" i="59"/>
  <c r="BW55" i="59"/>
  <c r="BV55" i="59"/>
  <c r="BW54" i="59"/>
  <c r="BV54" i="59"/>
  <c r="L54" i="64" s="1"/>
  <c r="EY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BW48" i="59"/>
  <c r="BV48" i="59"/>
  <c r="BW47" i="59"/>
  <c r="BV47" i="59"/>
  <c r="BW46" i="59"/>
  <c r="BV46" i="59"/>
  <c r="BW45" i="59"/>
  <c r="BV45" i="59"/>
  <c r="BW44" i="59"/>
  <c r="BV44" i="59"/>
  <c r="L44" i="64" s="1"/>
  <c r="EY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BW38" i="59"/>
  <c r="BV38" i="59"/>
  <c r="BW37" i="59"/>
  <c r="BV37" i="59"/>
  <c r="BW36" i="59"/>
  <c r="BV36" i="59"/>
  <c r="BW35" i="59"/>
  <c r="BV35" i="59"/>
  <c r="BW34" i="59"/>
  <c r="BV34" i="59"/>
  <c r="L34" i="64" s="1"/>
  <c r="EY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M24" i="64" s="1"/>
  <c r="BV24" i="59"/>
  <c r="L24" i="64" s="1"/>
  <c r="EY24" i="64" s="1"/>
  <c r="BW23" i="59"/>
  <c r="BV23" i="59"/>
  <c r="BW22" i="59"/>
  <c r="M22" i="64" s="1"/>
  <c r="BV22" i="59"/>
  <c r="L22" i="64" s="1"/>
  <c r="EY22" i="64" s="1"/>
  <c r="BW21" i="59"/>
  <c r="BV21" i="59"/>
  <c r="BW20" i="59"/>
  <c r="BV20" i="59"/>
  <c r="BW19" i="59"/>
  <c r="BV19" i="59"/>
  <c r="BW18" i="59"/>
  <c r="BV18" i="59"/>
  <c r="BW17" i="59"/>
  <c r="BV17" i="59"/>
  <c r="BW16" i="59"/>
  <c r="BV16" i="59"/>
  <c r="BW15" i="59"/>
  <c r="BV15" i="59"/>
  <c r="BW14" i="59"/>
  <c r="BV14" i="59"/>
  <c r="BW13" i="59"/>
  <c r="BV13" i="59"/>
  <c r="BW12" i="59"/>
  <c r="BV12" i="59"/>
  <c r="BW11" i="59"/>
  <c r="BV11" i="59"/>
  <c r="Q202" i="64"/>
  <c r="R202" i="64" s="1"/>
  <c r="S202" i="64" s="1"/>
  <c r="T202" i="64" s="1"/>
  <c r="U202" i="64" s="1"/>
  <c r="V202" i="64" s="1"/>
  <c r="W202" i="64" s="1"/>
  <c r="X202" i="64" s="1"/>
  <c r="Y202" i="64" s="1"/>
  <c r="Z202" i="64" s="1"/>
  <c r="AA202" i="64" s="1"/>
  <c r="AB202" i="64" s="1"/>
  <c r="AC202" i="64" s="1"/>
  <c r="AD202" i="64" s="1"/>
  <c r="AE202" i="64" s="1"/>
  <c r="AF202" i="64" s="1"/>
  <c r="AG202" i="64" s="1"/>
  <c r="AH202" i="64" s="1"/>
  <c r="AI202" i="64" s="1"/>
  <c r="AJ202" i="64" s="1"/>
  <c r="AK202" i="64" s="1"/>
  <c r="AL202" i="64" s="1"/>
  <c r="AM202" i="64" s="1"/>
  <c r="AN202" i="64" s="1"/>
  <c r="AO202" i="64" s="1"/>
  <c r="AP202" i="64" s="1"/>
  <c r="AQ202" i="64" s="1"/>
  <c r="AR202" i="64" s="1"/>
  <c r="AS202" i="64" s="1"/>
  <c r="AT202" i="64" s="1"/>
  <c r="AU202" i="64" s="1"/>
  <c r="AV202" i="64" s="1"/>
  <c r="AW202" i="64" s="1"/>
  <c r="AX202" i="64" s="1"/>
  <c r="AY202" i="64" s="1"/>
  <c r="AZ202" i="64" s="1"/>
  <c r="BA202" i="64" s="1"/>
  <c r="BB202" i="64" s="1"/>
  <c r="BC202" i="64" s="1"/>
  <c r="BD202" i="64" s="1"/>
  <c r="BE202" i="64" s="1"/>
  <c r="BF202" i="64" s="1"/>
  <c r="BG202" i="64" s="1"/>
  <c r="BH202" i="64" s="1"/>
  <c r="BI202" i="64" s="1"/>
  <c r="BJ202" i="64" s="1"/>
  <c r="BK202" i="64" s="1"/>
  <c r="BL202" i="64" s="1"/>
  <c r="BM202" i="64" s="1"/>
  <c r="BN202" i="64" s="1"/>
  <c r="BO202" i="64" s="1"/>
  <c r="BP202" i="64" s="1"/>
  <c r="BQ202" i="64" s="1"/>
  <c r="BR202" i="64" s="1"/>
  <c r="BS202" i="64" s="1"/>
  <c r="BT202" i="64" s="1"/>
  <c r="BU202" i="64" s="1"/>
  <c r="BV202" i="64" s="1"/>
  <c r="BW202" i="64" s="1"/>
  <c r="BX202" i="64" s="1"/>
  <c r="BY202" i="64" s="1"/>
  <c r="BZ202" i="64" s="1"/>
  <c r="CA202" i="64" s="1"/>
  <c r="CB202" i="64" s="1"/>
  <c r="CC202" i="64" s="1"/>
  <c r="CD202" i="64" s="1"/>
  <c r="CE202" i="64" s="1"/>
  <c r="CF202" i="64" s="1"/>
  <c r="CG202" i="64" s="1"/>
  <c r="CH202" i="64" s="1"/>
  <c r="CI202" i="64" s="1"/>
  <c r="CJ202" i="64" s="1"/>
  <c r="CK202" i="64" s="1"/>
  <c r="CL202" i="64" s="1"/>
  <c r="CM202" i="64" s="1"/>
  <c r="CN202" i="64" s="1"/>
  <c r="CO202" i="64" s="1"/>
  <c r="CP202" i="64" s="1"/>
  <c r="CQ202" i="64" s="1"/>
  <c r="CR202" i="64" s="1"/>
  <c r="CS202" i="64" s="1"/>
  <c r="CT202" i="64" s="1"/>
  <c r="CU202" i="64" s="1"/>
  <c r="CV202" i="64" s="1"/>
  <c r="CW202" i="64" s="1"/>
  <c r="CX202" i="64" s="1"/>
  <c r="CY202" i="64" s="1"/>
  <c r="CZ202" i="64" s="1"/>
  <c r="DA202" i="64" s="1"/>
  <c r="DB202" i="64" s="1"/>
  <c r="DC202" i="64" s="1"/>
  <c r="DD202" i="64" s="1"/>
  <c r="DE202" i="64" s="1"/>
  <c r="DF202" i="64" s="1"/>
  <c r="DG202" i="64" s="1"/>
  <c r="DH202" i="64" s="1"/>
  <c r="DI202" i="64" s="1"/>
  <c r="DJ202" i="64" s="1"/>
  <c r="DK202" i="64" s="1"/>
  <c r="DL202" i="64" s="1"/>
  <c r="DM202" i="64" s="1"/>
  <c r="DN202" i="64" s="1"/>
  <c r="DO202" i="64" s="1"/>
  <c r="DP202" i="64" s="1"/>
  <c r="DQ202" i="64" s="1"/>
  <c r="DR202" i="64" s="1"/>
  <c r="DS202" i="64" s="1"/>
  <c r="DT202" i="64" s="1"/>
  <c r="DU202" i="64" s="1"/>
  <c r="DV202" i="64" s="1"/>
  <c r="DW202" i="64" s="1"/>
  <c r="DX202" i="64" s="1"/>
  <c r="DY202" i="64" s="1"/>
  <c r="DZ202" i="64" s="1"/>
  <c r="EA202" i="64" s="1"/>
  <c r="EB202" i="64" s="1"/>
  <c r="EC202" i="64" s="1"/>
  <c r="ED202" i="64" s="1"/>
  <c r="EE202" i="64" s="1"/>
  <c r="EF202" i="64" s="1"/>
  <c r="EG202" i="64" s="1"/>
  <c r="EH202" i="64" s="1"/>
  <c r="EI202" i="64" s="1"/>
  <c r="EJ202" i="64" s="1"/>
  <c r="EK202" i="64" s="1"/>
  <c r="EL202" i="64" s="1"/>
  <c r="EM202" i="64" s="1"/>
  <c r="EN202" i="64" s="1"/>
  <c r="EO202" i="64" s="1"/>
  <c r="EP202" i="64" s="1"/>
  <c r="EQ202" i="64" s="1"/>
  <c r="M200" i="64"/>
  <c r="L200" i="64"/>
  <c r="M199" i="64"/>
  <c r="M198" i="64"/>
  <c r="L198" i="64"/>
  <c r="M197" i="64"/>
  <c r="M196" i="64"/>
  <c r="EY196" i="64" s="1"/>
  <c r="L196" i="64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Y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G196" i="64"/>
  <c r="FF196" i="64"/>
  <c r="FD196" i="64"/>
  <c r="FC196" i="64"/>
  <c r="EX196" i="64"/>
  <c r="EW196" i="64"/>
  <c r="EU196" i="64"/>
  <c r="ET196" i="64"/>
  <c r="ES196" i="64"/>
  <c r="ER196" i="64"/>
  <c r="EQ196" i="64"/>
  <c r="EP196" i="64"/>
  <c r="M195" i="64"/>
  <c r="L195" i="64"/>
  <c r="M194" i="64"/>
  <c r="L194" i="64"/>
  <c r="EY194" i="64" s="1"/>
  <c r="M193" i="64"/>
  <c r="L193" i="64"/>
  <c r="M192" i="64"/>
  <c r="L192" i="64"/>
  <c r="EY192" i="64" s="1"/>
  <c r="M191" i="64"/>
  <c r="L191" i="64"/>
  <c r="EY191" i="64" s="1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EU195" i="64"/>
  <c r="ET195" i="64"/>
  <c r="ES195" i="64"/>
  <c r="ER195" i="64"/>
  <c r="EQ195" i="64"/>
  <c r="EV195" i="64" s="1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/>
  <c r="FC193" i="64"/>
  <c r="FA193" i="64"/>
  <c r="EZ193" i="64"/>
  <c r="EY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G191" i="64"/>
  <c r="FF191" i="64"/>
  <c r="FD191" i="64"/>
  <c r="FC191" i="64"/>
  <c r="EX191" i="64"/>
  <c r="EW191" i="64"/>
  <c r="EU191" i="64"/>
  <c r="ET191" i="64"/>
  <c r="ES191" i="64"/>
  <c r="ER191" i="64"/>
  <c r="EQ191" i="64"/>
  <c r="EP191" i="64"/>
  <c r="M190" i="64"/>
  <c r="L190" i="64"/>
  <c r="M189" i="64"/>
  <c r="M188" i="64"/>
  <c r="L188" i="64"/>
  <c r="M187" i="64"/>
  <c r="M186" i="64"/>
  <c r="L186" i="64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FF186" i="64"/>
  <c r="FD186" i="64"/>
  <c r="FC186" i="64"/>
  <c r="EY186" i="64"/>
  <c r="EX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EY183" i="64" s="1"/>
  <c r="M182" i="64"/>
  <c r="M181" i="64"/>
  <c r="L181" i="64"/>
  <c r="EY181" i="64" s="1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FB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FD181" i="64" s="1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G181" i="64"/>
  <c r="FF181" i="64"/>
  <c r="EX181" i="64" s="1"/>
  <c r="FC181" i="64"/>
  <c r="FA181" i="64"/>
  <c r="EW181" i="64"/>
  <c r="EU181" i="64"/>
  <c r="ET181" i="64"/>
  <c r="ES181" i="64"/>
  <c r="ER181" i="64"/>
  <c r="EQ181" i="64"/>
  <c r="EP181" i="64"/>
  <c r="EV181" i="64" s="1"/>
  <c r="M180" i="64"/>
  <c r="L180" i="64"/>
  <c r="M179" i="64"/>
  <c r="L179" i="64"/>
  <c r="M178" i="64"/>
  <c r="L178" i="64"/>
  <c r="M177" i="64"/>
  <c r="L177" i="64"/>
  <c r="M176" i="64"/>
  <c r="L176" i="64"/>
  <c r="EY176" i="64" s="1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FB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Y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A176" i="64" s="1"/>
  <c r="FG176" i="64"/>
  <c r="FF176" i="64"/>
  <c r="EX176" i="64" s="1"/>
  <c r="FD176" i="64"/>
  <c r="FC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EY173" i="64" s="1"/>
  <c r="M172" i="64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F171" i="64"/>
  <c r="FD171" i="64"/>
  <c r="FC171" i="64"/>
  <c r="EX171" i="64"/>
  <c r="EW171" i="64"/>
  <c r="EU171" i="64"/>
  <c r="ET171" i="64"/>
  <c r="ES171" i="64"/>
  <c r="ER171" i="64"/>
  <c r="EQ171" i="64"/>
  <c r="EP171" i="64"/>
  <c r="M170" i="64"/>
  <c r="L170" i="64"/>
  <c r="M169" i="64"/>
  <c r="L169" i="64"/>
  <c r="EY169" i="64" s="1"/>
  <c r="M168" i="64"/>
  <c r="L168" i="64"/>
  <c r="M167" i="64"/>
  <c r="L167" i="64"/>
  <c r="EY167" i="64" s="1"/>
  <c r="M166" i="64"/>
  <c r="EY166" i="64" s="1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 s="1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F166" i="64"/>
  <c r="FD166" i="64"/>
  <c r="FC166" i="64"/>
  <c r="EX166" i="64"/>
  <c r="EW166" i="64"/>
  <c r="EU166" i="64"/>
  <c r="ET166" i="64"/>
  <c r="ES166" i="64"/>
  <c r="ER166" i="64"/>
  <c r="EQ166" i="64"/>
  <c r="EP166" i="64"/>
  <c r="M165" i="64"/>
  <c r="L165" i="64"/>
  <c r="M163" i="64"/>
  <c r="L163" i="64"/>
  <c r="M162" i="64"/>
  <c r="M161" i="64"/>
  <c r="L161" i="64"/>
  <c r="EY161" i="64" s="1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 s="1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F161" i="64"/>
  <c r="FD161" i="64"/>
  <c r="FC161" i="64"/>
  <c r="EX161" i="64"/>
  <c r="EW161" i="64"/>
  <c r="EU161" i="64"/>
  <c r="ET161" i="64"/>
  <c r="ES161" i="64"/>
  <c r="ER161" i="64"/>
  <c r="EQ161" i="64"/>
  <c r="EP161" i="64"/>
  <c r="M160" i="64"/>
  <c r="L160" i="64"/>
  <c r="M159" i="64"/>
  <c r="L159" i="64"/>
  <c r="EY159" i="64" s="1"/>
  <c r="M158" i="64"/>
  <c r="L158" i="64"/>
  <c r="M157" i="64"/>
  <c r="L157" i="64"/>
  <c r="EY157" i="64" s="1"/>
  <c r="M156" i="64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Y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 s="1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FD156" i="64"/>
  <c r="FC156" i="64"/>
  <c r="EY156" i="64"/>
  <c r="EX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EY153" i="64" s="1"/>
  <c r="M152" i="64"/>
  <c r="M151" i="64"/>
  <c r="L151" i="64"/>
  <c r="EY151" i="64" s="1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F151" i="64"/>
  <c r="FD151" i="64"/>
  <c r="FC151" i="64"/>
  <c r="EX151" i="64"/>
  <c r="EW151" i="64"/>
  <c r="EU151" i="64"/>
  <c r="ET151" i="64"/>
  <c r="ES151" i="64"/>
  <c r="ER151" i="64"/>
  <c r="EQ151" i="64"/>
  <c r="EP151" i="64"/>
  <c r="M150" i="64"/>
  <c r="L150" i="64"/>
  <c r="M149" i="64"/>
  <c r="L149" i="64"/>
  <c r="EY149" i="64" s="1"/>
  <c r="M148" i="64"/>
  <c r="EY148" i="64" s="1"/>
  <c r="L148" i="64"/>
  <c r="M147" i="64"/>
  <c r="L147" i="64"/>
  <c r="EY147" i="64" s="1"/>
  <c r="M146" i="64"/>
  <c r="EY146" i="64" s="1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F146" i="64"/>
  <c r="FD146" i="64"/>
  <c r="FC146" i="64"/>
  <c r="EX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EY143" i="64" s="1"/>
  <c r="M142" i="64"/>
  <c r="M141" i="64"/>
  <c r="L141" i="64"/>
  <c r="EY141" i="64" s="1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FD141" i="64"/>
  <c r="FC141" i="64"/>
  <c r="EX141" i="64"/>
  <c r="EW141" i="64"/>
  <c r="EU141" i="64"/>
  <c r="ET141" i="64"/>
  <c r="ES141" i="64"/>
  <c r="ER141" i="64"/>
  <c r="EQ141" i="64"/>
  <c r="EP141" i="64"/>
  <c r="M140" i="64"/>
  <c r="L140" i="64"/>
  <c r="M139" i="64"/>
  <c r="L139" i="64"/>
  <c r="EY139" i="64" s="1"/>
  <c r="M138" i="64"/>
  <c r="L138" i="64"/>
  <c r="EY138" i="64" s="1"/>
  <c r="M137" i="64"/>
  <c r="L137" i="64"/>
  <c r="EY137" i="64" s="1"/>
  <c r="M136" i="64"/>
  <c r="L136" i="64"/>
  <c r="EY136" i="64" s="1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F136" i="64"/>
  <c r="FD136" i="64"/>
  <c r="FC136" i="64"/>
  <c r="EX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L133" i="64"/>
  <c r="EY133" i="64" s="1"/>
  <c r="M132" i="64"/>
  <c r="M131" i="64"/>
  <c r="L131" i="64"/>
  <c r="EY131" i="64" s="1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 s="1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F131" i="64"/>
  <c r="FD131" i="64"/>
  <c r="FC131" i="64"/>
  <c r="EX131" i="64"/>
  <c r="EW131" i="64"/>
  <c r="EU131" i="64"/>
  <c r="ET131" i="64"/>
  <c r="ES131" i="64"/>
  <c r="ER131" i="64"/>
  <c r="EQ131" i="64"/>
  <c r="EP131" i="64"/>
  <c r="M130" i="64"/>
  <c r="L130" i="64"/>
  <c r="M129" i="64"/>
  <c r="L129" i="64"/>
  <c r="EY129" i="64" s="1"/>
  <c r="M128" i="64"/>
  <c r="L128" i="64"/>
  <c r="M127" i="64"/>
  <c r="L127" i="64"/>
  <c r="EY127" i="64" s="1"/>
  <c r="M126" i="64"/>
  <c r="EY126" i="64" s="1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Y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FD126" i="64" s="1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F126" i="64"/>
  <c r="EX126" i="64" s="1"/>
  <c r="FC126" i="64"/>
  <c r="EW126" i="64"/>
  <c r="EU126" i="64"/>
  <c r="ET126" i="64"/>
  <c r="ES126" i="64"/>
  <c r="ER126" i="64"/>
  <c r="EQ126" i="64"/>
  <c r="EP126" i="64"/>
  <c r="M125" i="64"/>
  <c r="L125" i="64"/>
  <c r="M124" i="64"/>
  <c r="L124" i="64"/>
  <c r="EY124" i="64" s="1"/>
  <c r="M123" i="64"/>
  <c r="EY123" i="64" s="1"/>
  <c r="L123" i="64"/>
  <c r="M122" i="64"/>
  <c r="L122" i="64"/>
  <c r="EY122" i="64" s="1"/>
  <c r="M121" i="64"/>
  <c r="EY121" i="64" s="1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FD121" i="64"/>
  <c r="FC121" i="64"/>
  <c r="EX121" i="64"/>
  <c r="EW121" i="64"/>
  <c r="EU121" i="64"/>
  <c r="ET121" i="64"/>
  <c r="ES121" i="64"/>
  <c r="ER121" i="64"/>
  <c r="EQ121" i="64"/>
  <c r="EP121" i="64"/>
  <c r="M120" i="64"/>
  <c r="L120" i="64"/>
  <c r="M119" i="64"/>
  <c r="M118" i="64"/>
  <c r="L118" i="64"/>
  <c r="EY118" i="64" s="1"/>
  <c r="M117" i="64"/>
  <c r="M116" i="64"/>
  <c r="L116" i="64"/>
  <c r="EY116" i="64" s="1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V120" i="64" s="1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FD116" i="64"/>
  <c r="FC116" i="64"/>
  <c r="EX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M112" i="64"/>
  <c r="M111" i="64"/>
  <c r="EY111" i="64" s="1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Y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FD111" i="64"/>
  <c r="FC111" i="64"/>
  <c r="EX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M107" i="64"/>
  <c r="M106" i="64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F106" i="64"/>
  <c r="FD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EY103" i="64" s="1"/>
  <c r="L103" i="64"/>
  <c r="M102" i="64"/>
  <c r="M101" i="64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FD101" i="64"/>
  <c r="FC101" i="64"/>
  <c r="EX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L98" i="64"/>
  <c r="M97" i="64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A96" i="64" s="1"/>
  <c r="FF96" i="64"/>
  <c r="FD96" i="64"/>
  <c r="FC96" i="64"/>
  <c r="EX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M92" i="64"/>
  <c r="M91" i="64"/>
  <c r="EY91" i="64" s="1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Y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X86" i="64"/>
  <c r="EW86" i="64"/>
  <c r="EU86" i="64"/>
  <c r="ET86" i="64"/>
  <c r="ES86" i="64"/>
  <c r="ER86" i="64"/>
  <c r="EQ86" i="64"/>
  <c r="EP86" i="64"/>
  <c r="M85" i="64"/>
  <c r="L85" i="64"/>
  <c r="M84" i="64"/>
  <c r="M83" i="64"/>
  <c r="EY83" i="64" s="1"/>
  <c r="L83" i="64"/>
  <c r="M82" i="64"/>
  <c r="M81" i="64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8" i="64"/>
  <c r="L78" i="64"/>
  <c r="M76" i="64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M72" i="64"/>
  <c r="M71" i="64"/>
  <c r="EY71" i="64" s="1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Y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8" i="64"/>
  <c r="L68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FD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M62" i="64"/>
  <c r="M61" i="64"/>
  <c r="EY61" i="64" s="1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Y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FD61" i="64"/>
  <c r="FC61" i="64"/>
  <c r="EX61" i="64"/>
  <c r="EW61" i="64"/>
  <c r="EU61" i="64"/>
  <c r="ET61" i="64"/>
  <c r="ES61" i="64"/>
  <c r="ER61" i="64"/>
  <c r="EQ61" i="64"/>
  <c r="EP61" i="64"/>
  <c r="M60" i="64"/>
  <c r="L60" i="64"/>
  <c r="M59" i="64"/>
  <c r="L59" i="64"/>
  <c r="EY59" i="64" s="1"/>
  <c r="M58" i="64"/>
  <c r="L58" i="64"/>
  <c r="M57" i="64"/>
  <c r="L57" i="64"/>
  <c r="EY57" i="64" s="1"/>
  <c r="M56" i="64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Y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D56" i="64"/>
  <c r="FC56" i="64"/>
  <c r="EY56" i="64"/>
  <c r="EX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EY53" i="64" s="1"/>
  <c r="M52" i="64"/>
  <c r="M51" i="64"/>
  <c r="L51" i="64"/>
  <c r="EY51" i="64" s="1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L49" i="64"/>
  <c r="EY49" i="64" s="1"/>
  <c r="M48" i="64"/>
  <c r="L48" i="64"/>
  <c r="M47" i="64"/>
  <c r="L47" i="64"/>
  <c r="EY47" i="64" s="1"/>
  <c r="M46" i="64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Y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FD46" i="64"/>
  <c r="FC46" i="64"/>
  <c r="EY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EY43" i="64" s="1"/>
  <c r="M42" i="64"/>
  <c r="M41" i="64"/>
  <c r="L41" i="64"/>
  <c r="EY41" i="64" s="1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EX41" i="64" s="1"/>
  <c r="FD41" i="64"/>
  <c r="FC41" i="64"/>
  <c r="EW41" i="64"/>
  <c r="EU41" i="64"/>
  <c r="ET41" i="64"/>
  <c r="ES41" i="64"/>
  <c r="ER41" i="64"/>
  <c r="EQ41" i="64"/>
  <c r="EP41" i="64"/>
  <c r="M40" i="64"/>
  <c r="L40" i="64"/>
  <c r="M39" i="64"/>
  <c r="L39" i="64"/>
  <c r="EY39" i="64" s="1"/>
  <c r="M38" i="64"/>
  <c r="L38" i="64"/>
  <c r="M37" i="64"/>
  <c r="L37" i="64"/>
  <c r="EY37" i="64" s="1"/>
  <c r="M36" i="64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Y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F36" i="64"/>
  <c r="FD36" i="64"/>
  <c r="FC36" i="64"/>
  <c r="EY36" i="64"/>
  <c r="EX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EY33" i="64" s="1"/>
  <c r="M32" i="64"/>
  <c r="M31" i="64"/>
  <c r="L31" i="64"/>
  <c r="EY31" i="64" s="1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FD31" i="64"/>
  <c r="FC31" i="64"/>
  <c r="EX31" i="64"/>
  <c r="EW31" i="64"/>
  <c r="EU31" i="64"/>
  <c r="ET31" i="64"/>
  <c r="ES31" i="64"/>
  <c r="ER31" i="64"/>
  <c r="EQ31" i="64"/>
  <c r="EP31" i="64"/>
  <c r="M30" i="64"/>
  <c r="L30" i="64"/>
  <c r="M29" i="64"/>
  <c r="L29" i="64"/>
  <c r="EY29" i="64" s="1"/>
  <c r="M28" i="64"/>
  <c r="L28" i="64"/>
  <c r="M27" i="64"/>
  <c r="L27" i="64"/>
  <c r="EY27" i="64" s="1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Y28" i="64"/>
  <c r="EX28" i="64"/>
  <c r="EU28" i="64"/>
  <c r="ET28" i="64"/>
  <c r="ES28" i="64"/>
  <c r="EV28" i="64" s="1"/>
  <c r="ER28" i="64"/>
  <c r="EQ28" i="64"/>
  <c r="EP28" i="64"/>
  <c r="IA27" i="64"/>
  <c r="HZ27" i="64"/>
  <c r="HY27" i="64"/>
  <c r="GL27" i="64"/>
  <c r="FD27" i="64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Y26" i="64"/>
  <c r="EX26" i="64"/>
  <c r="EW26" i="64"/>
  <c r="EU26" i="64"/>
  <c r="ET26" i="64"/>
  <c r="ES26" i="64"/>
  <c r="ER26" i="64"/>
  <c r="EQ26" i="64"/>
  <c r="EP26" i="64"/>
  <c r="M25" i="64"/>
  <c r="L25" i="64"/>
  <c r="M23" i="64"/>
  <c r="L23" i="64"/>
  <c r="EY23" i="64" s="1"/>
  <c r="M21" i="64"/>
  <c r="L21" i="64"/>
  <c r="EY21" i="64" s="1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V23" i="64" s="1"/>
  <c r="ER23" i="64"/>
  <c r="EQ23" i="64"/>
  <c r="EP23" i="64"/>
  <c r="IA22" i="64"/>
  <c r="HZ22" i="64"/>
  <c r="HY22" i="64"/>
  <c r="GL22" i="64"/>
  <c r="FD22" i="64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FD21" i="64" s="1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C21" i="64"/>
  <c r="EX21" i="64"/>
  <c r="EW21" i="64"/>
  <c r="EU21" i="64"/>
  <c r="ET21" i="64"/>
  <c r="ES21" i="64"/>
  <c r="ER21" i="64"/>
  <c r="EQ21" i="64"/>
  <c r="EP21" i="64"/>
  <c r="M20" i="64"/>
  <c r="L20" i="64"/>
  <c r="M19" i="64"/>
  <c r="L19" i="64"/>
  <c r="EY19" i="64" s="1"/>
  <c r="M18" i="64"/>
  <c r="L18" i="64"/>
  <c r="M17" i="64"/>
  <c r="L17" i="64"/>
  <c r="EY17" i="64" s="1"/>
  <c r="M16" i="64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Y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EX16" i="64" s="1"/>
  <c r="FC16" i="64"/>
  <c r="EY16" i="64"/>
  <c r="EW16" i="64"/>
  <c r="EU16" i="64"/>
  <c r="ET16" i="64"/>
  <c r="ES16" i="64"/>
  <c r="ER16" i="64"/>
  <c r="EQ16" i="64"/>
  <c r="EP16" i="64"/>
  <c r="M15" i="64"/>
  <c r="L15" i="64"/>
  <c r="M14" i="64"/>
  <c r="L14" i="64"/>
  <c r="EY14" i="64" s="1"/>
  <c r="M13" i="64"/>
  <c r="L13" i="64"/>
  <c r="EY13" i="64" s="1"/>
  <c r="M12" i="64"/>
  <c r="L12" i="64"/>
  <c r="EY12" i="64" s="1"/>
  <c r="M11" i="64"/>
  <c r="L11" i="64"/>
  <c r="EY11" i="64" s="1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FD11" i="64" s="1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F11" i="64"/>
  <c r="FC11" i="64"/>
  <c r="EX11" i="64"/>
  <c r="EW11" i="64"/>
  <c r="EU11" i="64"/>
  <c r="ET11" i="64"/>
  <c r="ES11" i="64"/>
  <c r="ER11" i="64"/>
  <c r="EQ11" i="64"/>
  <c r="EP11" i="64"/>
  <c r="EY199" i="64" l="1"/>
  <c r="EY188" i="64"/>
  <c r="EY182" i="64"/>
  <c r="EY177" i="64"/>
  <c r="EY179" i="64"/>
  <c r="EY172" i="64"/>
  <c r="EY171" i="64"/>
  <c r="EY168" i="64"/>
  <c r="EY164" i="64"/>
  <c r="EY162" i="64"/>
  <c r="EY163" i="64"/>
  <c r="EY152" i="64"/>
  <c r="EY142" i="64"/>
  <c r="EY132" i="64"/>
  <c r="EY117" i="64"/>
  <c r="EY114" i="64"/>
  <c r="EY108" i="64"/>
  <c r="EY109" i="64"/>
  <c r="EY106" i="64"/>
  <c r="EY101" i="64"/>
  <c r="EY104" i="64"/>
  <c r="EY98" i="64"/>
  <c r="EY96" i="64"/>
  <c r="EY94" i="64"/>
  <c r="EY88" i="64"/>
  <c r="EY86" i="64"/>
  <c r="EY81" i="64"/>
  <c r="EY84" i="64"/>
  <c r="EY77" i="64"/>
  <c r="EY76" i="64"/>
  <c r="EY79" i="64"/>
  <c r="EY78" i="64"/>
  <c r="EY74" i="64"/>
  <c r="EY66" i="64"/>
  <c r="EY68" i="64"/>
  <c r="EY64" i="64"/>
  <c r="EY52" i="64"/>
  <c r="EY42" i="64"/>
  <c r="EY32" i="64"/>
  <c r="EV197" i="64"/>
  <c r="FB200" i="64"/>
  <c r="EV198" i="64"/>
  <c r="EV196" i="64"/>
  <c r="FA196" i="64"/>
  <c r="EV199" i="64"/>
  <c r="EV200" i="64"/>
  <c r="EZ196" i="64"/>
  <c r="FE196" i="64" s="1"/>
  <c r="IB196" i="64" s="1"/>
  <c r="EV193" i="64"/>
  <c r="EV192" i="64"/>
  <c r="EV191" i="64"/>
  <c r="FA191" i="64"/>
  <c r="EV194" i="64"/>
  <c r="FB195" i="64"/>
  <c r="EZ191" i="64"/>
  <c r="EV187" i="64"/>
  <c r="FB190" i="64"/>
  <c r="EV188" i="64"/>
  <c r="EV186" i="64"/>
  <c r="FA186" i="64"/>
  <c r="EV189" i="64"/>
  <c r="EV190" i="64"/>
  <c r="EZ186" i="64"/>
  <c r="FE186" i="64" s="1"/>
  <c r="IB186" i="64" s="1"/>
  <c r="EV184" i="64"/>
  <c r="EZ181" i="64"/>
  <c r="EV182" i="64"/>
  <c r="EV185" i="64"/>
  <c r="EV183" i="64"/>
  <c r="FE181" i="64"/>
  <c r="IB181" i="64" s="1"/>
  <c r="EV179" i="64"/>
  <c r="EZ176" i="64"/>
  <c r="FE176" i="64" s="1"/>
  <c r="IB176" i="64" s="1"/>
  <c r="EV177" i="64"/>
  <c r="EV180" i="64"/>
  <c r="EV176" i="64"/>
  <c r="EV178" i="64"/>
  <c r="EV173" i="64"/>
  <c r="EV172" i="64"/>
  <c r="FB175" i="64"/>
  <c r="EV171" i="64"/>
  <c r="FA171" i="64"/>
  <c r="EV174" i="64"/>
  <c r="EV175" i="64"/>
  <c r="EZ171" i="64"/>
  <c r="FE171" i="64" s="1"/>
  <c r="IB171" i="64" s="1"/>
  <c r="EV168" i="64"/>
  <c r="EV167" i="64"/>
  <c r="FB170" i="64"/>
  <c r="EV166" i="64"/>
  <c r="FA166" i="64"/>
  <c r="EV169" i="64"/>
  <c r="EV170" i="64"/>
  <c r="EZ166" i="64"/>
  <c r="FE166" i="64" s="1"/>
  <c r="IB166" i="64" s="1"/>
  <c r="EV163" i="64"/>
  <c r="EV162" i="64"/>
  <c r="FB165" i="64"/>
  <c r="EV161" i="64"/>
  <c r="FA161" i="64"/>
  <c r="EV164" i="64"/>
  <c r="EV165" i="64"/>
  <c r="EZ161" i="64"/>
  <c r="EV158" i="64"/>
  <c r="EV157" i="64"/>
  <c r="FB160" i="64"/>
  <c r="EV156" i="64"/>
  <c r="FA156" i="64"/>
  <c r="EV159" i="64"/>
  <c r="EV160" i="64"/>
  <c r="EZ156" i="64"/>
  <c r="FE156" i="64" s="1"/>
  <c r="IB156" i="64" s="1"/>
  <c r="EV153" i="64"/>
  <c r="EV152" i="64"/>
  <c r="FB155" i="64"/>
  <c r="EV151" i="64"/>
  <c r="FA151" i="64"/>
  <c r="EV154" i="64"/>
  <c r="EV155" i="64"/>
  <c r="EZ151" i="64"/>
  <c r="FE151" i="64" s="1"/>
  <c r="IB151" i="64" s="1"/>
  <c r="EV148" i="64"/>
  <c r="EV147" i="64"/>
  <c r="FB150" i="64"/>
  <c r="EV146" i="64"/>
  <c r="FA146" i="64"/>
  <c r="EV149" i="64"/>
  <c r="EV150" i="64"/>
  <c r="EZ146" i="64"/>
  <c r="FE146" i="64" s="1"/>
  <c r="IB146" i="64" s="1"/>
  <c r="EV143" i="64"/>
  <c r="EV142" i="64"/>
  <c r="FB145" i="64"/>
  <c r="EV141" i="64"/>
  <c r="FA141" i="64"/>
  <c r="EV144" i="64"/>
  <c r="EV145" i="64"/>
  <c r="EZ141" i="64"/>
  <c r="FE141" i="64" s="1"/>
  <c r="IB141" i="64" s="1"/>
  <c r="EV138" i="64"/>
  <c r="EV137" i="64"/>
  <c r="FB140" i="64"/>
  <c r="EV136" i="64"/>
  <c r="FA136" i="64"/>
  <c r="EV139" i="64"/>
  <c r="EV140" i="64"/>
  <c r="EZ136" i="64"/>
  <c r="FE136" i="64" s="1"/>
  <c r="IB136" i="64" s="1"/>
  <c r="EV133" i="64"/>
  <c r="EV132" i="64"/>
  <c r="FB135" i="64"/>
  <c r="EV131" i="64"/>
  <c r="FA131" i="64"/>
  <c r="EV134" i="64"/>
  <c r="EV135" i="64"/>
  <c r="EZ131" i="64"/>
  <c r="FE131" i="64" s="1"/>
  <c r="IB131" i="64" s="1"/>
  <c r="EV128" i="64"/>
  <c r="EV126" i="64"/>
  <c r="EV127" i="64"/>
  <c r="FB130" i="64"/>
  <c r="FA126" i="64"/>
  <c r="EV129" i="64"/>
  <c r="EV130" i="64"/>
  <c r="EZ126" i="64"/>
  <c r="FE126" i="64" s="1"/>
  <c r="IB126" i="64" s="1"/>
  <c r="EV123" i="64"/>
  <c r="EV122" i="64"/>
  <c r="FB125" i="64"/>
  <c r="EV121" i="64"/>
  <c r="FA121" i="64"/>
  <c r="EV124" i="64"/>
  <c r="EV125" i="64"/>
  <c r="EZ121" i="64"/>
  <c r="FE121" i="64" s="1"/>
  <c r="IB121" i="64" s="1"/>
  <c r="EV118" i="64"/>
  <c r="EV117" i="64"/>
  <c r="EV116" i="64"/>
  <c r="FA116" i="64"/>
  <c r="EV119" i="64"/>
  <c r="FB120" i="64"/>
  <c r="EZ116" i="64"/>
  <c r="EV113" i="64"/>
  <c r="EV112" i="64"/>
  <c r="FB115" i="64"/>
  <c r="EV111" i="64"/>
  <c r="FA111" i="64"/>
  <c r="EV114" i="64"/>
  <c r="EV115" i="64"/>
  <c r="EZ111" i="64"/>
  <c r="FE111" i="64" s="1"/>
  <c r="IB111" i="64" s="1"/>
  <c r="EV108" i="64"/>
  <c r="EV107" i="64"/>
  <c r="FB110" i="64"/>
  <c r="EV106" i="64"/>
  <c r="FA106" i="64"/>
  <c r="EV109" i="64"/>
  <c r="EV110" i="64"/>
  <c r="EZ106" i="64"/>
  <c r="FE106" i="64" s="1"/>
  <c r="IB106" i="64" s="1"/>
  <c r="EV103" i="64"/>
  <c r="EV102" i="64"/>
  <c r="FB105" i="64"/>
  <c r="EV101" i="64"/>
  <c r="FA101" i="64"/>
  <c r="EV104" i="64"/>
  <c r="EV105" i="64"/>
  <c r="EZ101" i="64"/>
  <c r="FE101" i="64" s="1"/>
  <c r="IB101" i="64" s="1"/>
  <c r="EV98" i="64"/>
  <c r="EV96" i="64"/>
  <c r="FB100" i="64"/>
  <c r="EV97" i="64"/>
  <c r="EV99" i="64"/>
  <c r="EV100" i="64"/>
  <c r="EZ96" i="64"/>
  <c r="FE96" i="64" s="1"/>
  <c r="IB96" i="64" s="1"/>
  <c r="EV93" i="64"/>
  <c r="EV92" i="64"/>
  <c r="FB95" i="64"/>
  <c r="EV91" i="64"/>
  <c r="FA91" i="64"/>
  <c r="EV94" i="64"/>
  <c r="EV95" i="64"/>
  <c r="EZ91" i="64"/>
  <c r="FE91" i="64" s="1"/>
  <c r="IB91" i="64" s="1"/>
  <c r="EV88" i="64"/>
  <c r="EV87" i="64"/>
  <c r="FB90" i="64"/>
  <c r="EV86" i="64"/>
  <c r="FA86" i="64"/>
  <c r="EV89" i="64"/>
  <c r="EV90" i="64"/>
  <c r="EZ86" i="64"/>
  <c r="FE86" i="64" s="1"/>
  <c r="IB86" i="64" s="1"/>
  <c r="EV83" i="64"/>
  <c r="EV82" i="64"/>
  <c r="FB85" i="64"/>
  <c r="EV81" i="64"/>
  <c r="FA81" i="64"/>
  <c r="EV84" i="64"/>
  <c r="EV85" i="64"/>
  <c r="EZ81" i="64"/>
  <c r="FE81" i="64" s="1"/>
  <c r="IB81" i="64" s="1"/>
  <c r="EV78" i="64"/>
  <c r="EV77" i="64"/>
  <c r="FB80" i="64"/>
  <c r="EV76" i="64"/>
  <c r="FA76" i="64"/>
  <c r="EV79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FE71" i="64" s="1"/>
  <c r="IB71" i="64" s="1"/>
  <c r="EV68" i="64"/>
  <c r="EV67" i="64"/>
  <c r="FB70" i="64"/>
  <c r="EV66" i="64"/>
  <c r="FA66" i="64"/>
  <c r="EV69" i="64"/>
  <c r="EV70" i="64"/>
  <c r="EZ66" i="64"/>
  <c r="FE66" i="64" s="1"/>
  <c r="IB66" i="64" s="1"/>
  <c r="EV63" i="64"/>
  <c r="EV62" i="64"/>
  <c r="EV61" i="64"/>
  <c r="FA61" i="64"/>
  <c r="EV64" i="64"/>
  <c r="EV65" i="64"/>
  <c r="FB65" i="64"/>
  <c r="EZ61" i="64"/>
  <c r="FE61" i="64" s="1"/>
  <c r="IB61" i="64" s="1"/>
  <c r="EV58" i="64"/>
  <c r="EV57" i="64"/>
  <c r="FB60" i="64"/>
  <c r="EV56" i="64"/>
  <c r="FA56" i="64"/>
  <c r="EV59" i="64"/>
  <c r="EV60" i="64"/>
  <c r="EZ56" i="64"/>
  <c r="FE56" i="64" s="1"/>
  <c r="IB56" i="64" s="1"/>
  <c r="EV53" i="64"/>
  <c r="EV52" i="64"/>
  <c r="FB55" i="64"/>
  <c r="EV51" i="64"/>
  <c r="FA51" i="64"/>
  <c r="EV54" i="64"/>
  <c r="EV55" i="64"/>
  <c r="EZ51" i="64"/>
  <c r="FE51" i="64" s="1"/>
  <c r="IB51" i="64" s="1"/>
  <c r="EV48" i="64"/>
  <c r="EV47" i="64"/>
  <c r="FB50" i="64"/>
  <c r="EV46" i="64"/>
  <c r="FA46" i="64"/>
  <c r="EV49" i="64"/>
  <c r="EV50" i="64"/>
  <c r="EZ46" i="64"/>
  <c r="FE46" i="64" s="1"/>
  <c r="IB46" i="64" s="1"/>
  <c r="EV43" i="64"/>
  <c r="EV42" i="64"/>
  <c r="FA41" i="64"/>
  <c r="EV41" i="64"/>
  <c r="EV44" i="64"/>
  <c r="FB45" i="64"/>
  <c r="EV45" i="64"/>
  <c r="EZ41" i="64"/>
  <c r="FE41" i="64" s="1"/>
  <c r="IB41" i="64" s="1"/>
  <c r="EV38" i="64"/>
  <c r="EV37" i="64"/>
  <c r="FB40" i="64"/>
  <c r="EV36" i="64"/>
  <c r="FA36" i="64"/>
  <c r="EV39" i="64"/>
  <c r="EV40" i="64"/>
  <c r="EZ36" i="64"/>
  <c r="FE36" i="64" s="1"/>
  <c r="IB36" i="64" s="1"/>
  <c r="EV33" i="64"/>
  <c r="EV32" i="64"/>
  <c r="FB35" i="64"/>
  <c r="EV31" i="64"/>
  <c r="FA31" i="64"/>
  <c r="EV34" i="64"/>
  <c r="EV35" i="64"/>
  <c r="EZ31" i="64"/>
  <c r="FE31" i="64" s="1"/>
  <c r="IB31" i="64" s="1"/>
  <c r="EV27" i="64"/>
  <c r="EV29" i="64"/>
  <c r="FB30" i="64"/>
  <c r="EV26" i="64"/>
  <c r="FA26" i="64"/>
  <c r="EV30" i="64"/>
  <c r="EZ26" i="64"/>
  <c r="FE26" i="64" s="1"/>
  <c r="IB26" i="64" s="1"/>
  <c r="EV22" i="64"/>
  <c r="EV24" i="64"/>
  <c r="FB25" i="64"/>
  <c r="EV21" i="64"/>
  <c r="FA21" i="64"/>
  <c r="EV25" i="64"/>
  <c r="EZ21" i="64"/>
  <c r="FE21" i="64" s="1"/>
  <c r="IB21" i="64" s="1"/>
  <c r="EV16" i="64"/>
  <c r="EV17" i="64"/>
  <c r="EV18" i="64"/>
  <c r="EV19" i="64"/>
  <c r="FB20" i="64"/>
  <c r="FA16" i="64"/>
  <c r="EV20" i="64"/>
  <c r="EZ16" i="64"/>
  <c r="FE16" i="64" s="1"/>
  <c r="IB16" i="64" s="1"/>
  <c r="EV12" i="64"/>
  <c r="FA11" i="64"/>
  <c r="EV13" i="64"/>
  <c r="EV14" i="64"/>
  <c r="FB15" i="64"/>
  <c r="EV11" i="64"/>
  <c r="EV15" i="64"/>
  <c r="EZ11" i="64"/>
  <c r="FE11" i="64" s="1"/>
  <c r="IB11" i="64" s="1"/>
  <c r="FE161" i="64" l="1"/>
  <c r="IB161" i="64" s="1"/>
  <c r="FE191" i="64"/>
  <c r="IB191" i="64" s="1"/>
  <c r="FE116" i="64"/>
  <c r="IB116" i="64" s="1"/>
  <c r="GN6" i="64"/>
  <c r="H8" i="89"/>
  <c r="D23" i="89" s="1"/>
  <c r="I18" i="90"/>
  <c r="I17" i="90"/>
  <c r="E14" i="90"/>
  <c r="D25" i="89"/>
  <c r="D11" i="89" l="1"/>
  <c r="D13" i="89" s="1"/>
  <c r="E16" i="91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8" i="91" l="1"/>
  <c r="F26" i="91"/>
  <c r="C44" i="91"/>
  <c r="F24" i="90"/>
  <c r="F30" i="91" l="1"/>
  <c r="F32" i="89" s="1"/>
  <c r="F33" i="89" s="1"/>
  <c r="C42" i="90"/>
  <c r="C44" i="90" s="1"/>
  <c r="F26" i="90"/>
  <c r="F28" i="90"/>
  <c r="F30" i="90" l="1"/>
  <c r="D32" i="89" s="1"/>
  <c r="C36" i="89" s="1"/>
  <c r="D36" i="89" l="1"/>
  <c r="D33" i="89"/>
  <c r="I34" i="86" s="1"/>
  <c r="D37" i="89"/>
  <c r="D4" i="87"/>
  <c r="G4" i="87" s="1"/>
  <c r="I4" i="87" l="1"/>
  <c r="E4" i="87"/>
  <c r="J4" i="87" l="1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202" i="64"/>
  <c r="M202" i="64" s="1"/>
  <c r="N202" i="64" s="1"/>
  <c r="O202" i="64" s="1"/>
  <c r="P202" i="64" s="1"/>
  <c r="I26" i="86" l="1"/>
  <c r="I28" i="86"/>
  <c r="I27" i="86"/>
  <c r="B37" i="86"/>
  <c r="B39" i="86"/>
  <c r="D11" i="86"/>
  <c r="ER202" i="64"/>
  <c r="ES202" i="64" s="1"/>
  <c r="ET202" i="64" s="1"/>
  <c r="EU202" i="64" s="1"/>
  <c r="EV202" i="64" s="1"/>
  <c r="EW202" i="64" s="1"/>
  <c r="EX202" i="64" s="1"/>
  <c r="EY202" i="64" s="1"/>
  <c r="EZ202" i="64" s="1"/>
  <c r="FA202" i="64" s="1"/>
  <c r="FB202" i="64" s="1"/>
  <c r="FC202" i="64" s="1"/>
  <c r="FD202" i="64" s="1"/>
  <c r="FE202" i="64" s="1"/>
  <c r="FF202" i="64" s="1"/>
  <c r="FG202" i="64" s="1"/>
  <c r="FH202" i="64" s="1"/>
  <c r="FI202" i="64" s="1"/>
  <c r="FJ202" i="64" s="1"/>
  <c r="FK202" i="64" s="1"/>
  <c r="FL202" i="64" s="1"/>
  <c r="FM202" i="64" s="1"/>
  <c r="FN202" i="64" s="1"/>
  <c r="FO202" i="64" s="1"/>
  <c r="FP202" i="64" s="1"/>
  <c r="FQ202" i="64" s="1"/>
  <c r="FR202" i="64" s="1"/>
  <c r="FS202" i="64" s="1"/>
  <c r="FT202" i="64" s="1"/>
  <c r="FU202" i="64" s="1"/>
  <c r="FV202" i="64" s="1"/>
  <c r="FW202" i="64" s="1"/>
  <c r="FX202" i="64" s="1"/>
  <c r="FY202" i="64" s="1"/>
  <c r="F11" i="86"/>
  <c r="I20" i="86"/>
  <c r="C11" i="86"/>
  <c r="A11" i="68"/>
  <c r="F15" i="68" l="1"/>
  <c r="B35" i="68"/>
  <c r="B37" i="68"/>
  <c r="J3" i="87"/>
  <c r="K4" i="87" s="1"/>
  <c r="I3" i="87" l="1"/>
  <c r="K3" i="87" s="1"/>
  <c r="L201" i="64" l="1"/>
  <c r="M201" i="64" s="1"/>
  <c r="N201" i="64" s="1"/>
  <c r="O201" i="64" s="1"/>
  <c r="P201" i="64" s="1"/>
  <c r="EM201" i="64" s="1"/>
  <c r="EN201" i="64" s="1"/>
  <c r="EO201" i="64" s="1"/>
  <c r="EP201" i="64" s="1"/>
  <c r="EQ201" i="64" s="1"/>
  <c r="ER201" i="64" l="1"/>
  <c r="ES201" i="64" s="1"/>
  <c r="ET201" i="64" s="1"/>
  <c r="EU201" i="64" s="1"/>
  <c r="EV201" i="64" s="1"/>
  <c r="EW201" i="64" s="1"/>
  <c r="EX201" i="64" s="1"/>
  <c r="EY201" i="64" s="1"/>
  <c r="EZ201" i="64" s="1"/>
  <c r="FA201" i="64" s="1"/>
  <c r="FB201" i="64" s="1"/>
  <c r="FC201" i="64" s="1"/>
  <c r="FD201" i="64" s="1"/>
  <c r="FE201" i="64" s="1"/>
  <c r="FF201" i="64" s="1"/>
  <c r="FG201" i="64" s="1"/>
  <c r="FH201" i="64" s="1"/>
  <c r="FI201" i="64" s="1"/>
  <c r="FJ201" i="64" s="1"/>
  <c r="FK201" i="64" s="1"/>
  <c r="FL201" i="64" s="1"/>
  <c r="FM201" i="64" s="1"/>
  <c r="FN201" i="64" s="1"/>
  <c r="FO201" i="64" s="1"/>
  <c r="FP201" i="64" s="1"/>
  <c r="FQ201" i="64" s="1"/>
  <c r="FR201" i="64" s="1"/>
  <c r="FS201" i="64" s="1"/>
  <c r="FT201" i="64" s="1"/>
  <c r="FU201" i="64" s="1"/>
  <c r="FV201" i="64" s="1"/>
  <c r="FW201" i="64" s="1"/>
  <c r="FX201" i="64" s="1"/>
  <c r="FY201" i="64" s="1"/>
  <c r="FZ201" i="64" s="1"/>
  <c r="GA201" i="64" s="1"/>
  <c r="GB201" i="64" s="1"/>
  <c r="GC201" i="64" s="1"/>
  <c r="GD201" i="64" s="1"/>
  <c r="GE201" i="64" s="1"/>
  <c r="GF201" i="64" s="1"/>
  <c r="GG201" i="64" s="1"/>
  <c r="GH201" i="64" s="1"/>
  <c r="GI201" i="64" s="1"/>
  <c r="GJ201" i="64" s="1"/>
  <c r="GK201" i="64" s="1"/>
  <c r="GL201" i="64" s="1"/>
  <c r="GM201" i="64" s="1"/>
  <c r="GN201" i="64" s="1"/>
  <c r="GO201" i="64" s="1"/>
  <c r="GP201" i="64" s="1"/>
  <c r="GQ201" i="64" s="1"/>
  <c r="GR201" i="64" s="1"/>
  <c r="GS201" i="64" s="1"/>
  <c r="GT201" i="64" s="1"/>
  <c r="GU201" i="64" s="1"/>
  <c r="GV201" i="64" s="1"/>
  <c r="GW201" i="64" s="1"/>
  <c r="GX201" i="64" s="1"/>
  <c r="GY201" i="64" s="1"/>
  <c r="GZ201" i="64" s="1"/>
  <c r="HA201" i="64" s="1"/>
  <c r="HB201" i="64" s="1"/>
  <c r="HC201" i="64" s="1"/>
  <c r="HD201" i="64" s="1"/>
  <c r="HE201" i="64" s="1"/>
  <c r="HF201" i="64" s="1"/>
  <c r="HG201" i="64" s="1"/>
  <c r="HH201" i="64" s="1"/>
  <c r="HI201" i="64" s="1"/>
  <c r="HJ201" i="64" s="1"/>
  <c r="HK201" i="64" s="1"/>
  <c r="HL201" i="64" s="1"/>
  <c r="HM201" i="64" s="1"/>
  <c r="HN201" i="64" s="1"/>
  <c r="HO201" i="64" s="1"/>
  <c r="HP201" i="64" s="1"/>
  <c r="HQ201" i="64" s="1"/>
  <c r="HR201" i="64" s="1"/>
  <c r="HS201" i="64" s="1"/>
  <c r="HT201" i="64" s="1"/>
  <c r="HU201" i="64" s="1"/>
  <c r="HV201" i="64" s="1"/>
  <c r="HW201" i="64" s="1"/>
  <c r="HX201" i="64" s="1"/>
  <c r="HY201" i="64" s="1"/>
  <c r="HZ201" i="64" s="1"/>
  <c r="IA20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202" i="59"/>
  <c r="L6" i="64"/>
  <c r="E29" i="86" s="1"/>
  <c r="BV20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T16" i="66"/>
  <c r="V16" i="66"/>
  <c r="U16" i="66"/>
  <c r="X16" i="66"/>
  <c r="I31" i="86" l="1"/>
  <c r="I16" i="66"/>
  <c r="M16" i="66"/>
  <c r="J16" i="66"/>
  <c r="L16" i="66"/>
  <c r="H16" i="66"/>
  <c r="K16" i="66"/>
  <c r="H30" i="68"/>
  <c r="H26" i="68"/>
  <c r="H27" i="68"/>
  <c r="H28" i="68"/>
  <c r="G11" i="86" l="1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42" i="13"/>
  <c r="J2" i="13"/>
  <c r="J42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<sst xmlns="http://schemas.openxmlformats.org/spreadsheetml/2006/main" count="13228" uniqueCount="3427">
  <si>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</si>
  <si>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</si>
  <si>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</si>
  <si>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</si>
  <si>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</si>
  <si>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</si>
  <si>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</si>
  <si>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</si>
  <si>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</si>
  <si>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</si>
  <si>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</si>
  <si>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</si>
  <si>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</si>
  <si>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</si>
  <si>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</si>
  <si>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</si>
  <si>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</si>
  <si>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</si>
  <si>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</si>
  <si>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</si>
  <si>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</si>
  <si>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</si>
  <si>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</si>
  <si>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</si>
  <si>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</si>
  <si>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</si>
  <si>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</si>
  <si>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</si>
  <si>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</si>
  <si>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</si>
  <si>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</si>
  <si>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</si>
  <si>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</si>
  <si>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</si>
  <si>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</si>
  <si>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</si>
  <si>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</si>
  <si>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</si>
  <si>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</si>
  <si>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</si>
  <si>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</si>
  <si>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</si>
  <si>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</si>
  <si>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</si>
  <si>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</si>
  <si>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</si>
  <si>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</si>
  <si>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</si>
  <si>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</si>
  <si>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</si>
  <si>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</si>
  <si>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</si>
  <si>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</si>
  <si>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</si>
  <si>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</si>
  <si>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</si>
  <si>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</si>
  <si>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</si>
  <si>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</si>
  <si>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</si>
  <si>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</si>
  <si>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</si>
  <si>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</si>
  <si>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</si>
  <si>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</si>
  <si>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</si>
  <si>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</si>
  <si>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</si>
  <si>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</si>
  <si>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</si>
  <si>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</si>
  <si>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</si>
  <si>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</si>
  <si>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</si>
  <si>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</si>
  <si>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</si>
  <si>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</si>
  <si>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</si>
  <si>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</si>
  <si>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</si>
  <si>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</si>
  <si>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</si>
  <si>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</si>
  <si>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</si>
  <si>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</si>
  <si>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</si>
  <si>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</si>
  <si>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</si>
  <si>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</si>
  <si>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</si>
  <si>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</si>
  <si>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</si>
  <si>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</si>
  <si>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</si>
  <si>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</si>
  <si>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</si>
  <si>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</si>
  <si>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</si>
  <si>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</si>
  <si>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</si>
  <si>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</si>
  <si>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</si>
  <si>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</si>
  <si>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</si>
  <si>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</si>
  <si>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</si>
  <si>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</si>
  <si>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</si>
  <si>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</si>
  <si>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</si>
  <si>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</si>
  <si>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</si>
  <si>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</si>
  <si>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</si>
  <si>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</si>
  <si>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</si>
  <si>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</si>
  <si>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</si>
  <si>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</si>
  <si>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</si>
  <si>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</si>
  <si>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</si>
  <si>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</si>
  <si>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</si>
  <si>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</si>
  <si>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</si>
  <si>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</si>
  <si>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</si>
  <si>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</si>
  <si>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</si>
  <si>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</si>
  <si>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</si>
  <si>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</si>
  <si>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</si>
  <si>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</si>
  <si>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</si>
  <si>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</si>
  <si>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</si>
  <si>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</si>
  <si>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</si>
  <si>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</si>
  <si>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</si>
  <si>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</si>
  <si>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</si>
  <si>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</si>
  <si>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</si>
  <si>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</si>
  <si>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</si>
  <si>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</si>
  <si>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</si>
  <si>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</si>
  <si>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</si>
  <si>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</si>
  <si>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</si>
  <si>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</si>
  <si>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</si>
  <si>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</si>
  <si>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</si>
  <si>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</si>
  <si>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</si>
  <si>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</si>
  <si>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</si>
  <si>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</si>
  <si>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</si>
  <si>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</si>
  <si>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</si>
  <si>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</si>
  <si>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</si>
  <si>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</si>
  <si>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</si>
  <si>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</si>
  <si>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</si>
  <si>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</si>
  <si>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</si>
  <si>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</si>
  <si>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</si>
  <si>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</si>
  <si>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</si>
  <si>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</si>
  <si>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</si>
  <si>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</si>
  <si>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</si>
  <si>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</si>
  <si>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</si>
  <si>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</si>
  <si>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</si>
  <si>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</si>
  <si>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</si>
  <si>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</si>
  <si>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</si>
  <si>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</si>
  <si>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</si>
  <si>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</si>
  <si>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</si>
  <si>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</si>
  <si>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</si>
  <si>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</si>
  <si>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</si>
  <si>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</si>
  <si>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</si>
  <si>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</si>
  <si>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</si>
  <si>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</si>
  <si>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</si>
  <si>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</si>
  <si>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</si>
  <si>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</si>
  <si>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</si>
  <si>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</si>
  <si>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</si>
  <si>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</si>
  <si>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</si>
  <si>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</si>
  <si>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</si>
  <si>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</si>
  <si>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</si>
  <si>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</si>
  <si>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</si>
  <si>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</si>
  <si>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</si>
  <si>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</si>
  <si>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</si>
  <si>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</si>
  <si>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</si>
  <si>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</si>
  <si>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</si>
  <si>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</si>
  <si>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</si>
  <si>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</si>
  <si>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</si>
  <si>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</si>
  <si>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</si>
  <si>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</si>
  <si>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</si>
  <si>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</si>
  <si>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</si>
  <si>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</si>
  <si>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</si>
  <si>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</si>
  <si>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</si>
  <si>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</si>
  <si>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</si>
  <si>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</si>
  <si>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</si>
  <si>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</si>
  <si>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</si>
  <si>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</si>
  <si>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</si>
  <si>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</si>
  <si>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</si>
  <si>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</si>
  <si>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</si>
  <si>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</si>
  <si>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</si>
  <si>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</si>
  <si>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</si>
  <si>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</si>
  <si>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</si>
  <si>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</si>
  <si>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</si>
  <si>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</si>
  <si>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</si>
  <si>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</si>
  <si>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</si>
  <si>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</si>
  <si>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</si>
  <si>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</si>
  <si>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</si>
  <si>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</si>
  <si>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</si>
  <si>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</si>
  <si>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</si>
  <si>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</si>
  <si>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</si>
  <si>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</si>
  <si>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</si>
  <si>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</si>
  <si>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</si>
  <si>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</si>
  <si>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</si>
  <si>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</si>
  <si>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</si>
  <si>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</si>
  <si>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</si>
  <si>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</si>
  <si>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</si>
  <si>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</si>
  <si>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</si>
  <si>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</si>
  <si>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</si>
  <si>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</si>
  <si>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</si>
  <si>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</si>
  <si>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</si>
  <si>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</si>
  <si>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</si>
  <si>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</si>
  <si>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</si>
  <si>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</si>
  <si>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</si>
  <si>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</si>
  <si>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</si>
  <si>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</si>
  <si>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</si>
  <si>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</si>
  <si>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</si>
  <si>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</si>
  <si>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</si>
  <si>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</si>
  <si>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</si>
  <si>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</si>
  <si>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</si>
  <si>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</si>
  <si>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</si>
  <si>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</si>
  <si>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</si>
  <si>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</si>
  <si>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</si>
  <si>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</si>
  <si>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</si>
  <si>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</si>
  <si>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</si>
  <si>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</si>
  <si>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</si>
  <si>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</si>
  <si>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</si>
  <si>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</si>
  <si>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</si>
  <si>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</si>
  <si>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</si>
  <si>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</si>
  <si>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</si>
  <si>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</si>
  <si>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</si>
  <si>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</si>
  <si>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</si>
  <si>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</si>
  <si>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</si>
  <si>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</si>
  <si>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</si>
  <si>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</si>
  <si>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</si>
  <si>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</si>
  <si>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</si>
  <si>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</si>
  <si>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</si>
  <si>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</si>
  <si>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</si>
  <si>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</si>
  <si>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</si>
  <si>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</si>
  <si>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</si>
  <si>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</si>
  <si>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</si>
  <si>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</si>
  <si>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</si>
  <si>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</si>
  <si>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</si>
  <si>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</si>
  <si>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</si>
  <si>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</si>
  <si>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</si>
  <si>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</si>
  <si>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</si>
  <si>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</si>
  <si>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</si>
  <si>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</si>
  <si>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</si>
  <si>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</si>
  <si>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</si>
  <si>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</si>
  <si>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</si>
  <si>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</si>
  <si>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</si>
  <si>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</si>
  <si>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</si>
  <si>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</si>
  <si>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</si>
  <si>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</si>
  <si>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</si>
  <si>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</si>
  <si>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</si>
  <si>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</si>
  <si>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</si>
  <si>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</si>
  <si>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</si>
  <si>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</si>
  <si>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</si>
  <si>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</si>
  <si>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</si>
  <si>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</si>
  <si>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</si>
  <si>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</si>
  <si>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</si>
  <si>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</si>
  <si>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</si>
  <si>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</si>
  <si>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</si>
  <si>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</si>
  <si>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</si>
  <si>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</si>
  <si>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</si>
  <si>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</si>
  <si>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</si>
  <si>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</si>
  <si>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</si>
  <si>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</si>
  <si>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</si>
  <si>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</si>
  <si>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</si>
  <si>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</si>
  <si>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</si>
  <si>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</si>
  <si>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</si>
  <si>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</si>
  <si>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</si>
  <si>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</si>
  <si>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</si>
  <si>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</si>
  <si>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</si>
  <si>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</si>
  <si>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</si>
  <si>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</si>
  <si>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</si>
  <si>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</si>
  <si>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</si>
  <si>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</si>
  <si>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</si>
  <si>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</si>
  <si>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</si>
  <si>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</si>
  <si>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</si>
  <si>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</si>
  <si>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</si>
  <si>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</si>
  <si>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</si>
  <si>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</si>
  <si>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</si>
  <si>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</si>
  <si>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</si>
  <si>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</si>
  <si>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</si>
  <si>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</si>
  <si>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</si>
  <si>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</si>
  <si>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</si>
  <si>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</si>
  <si>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</si>
  <si>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</si>
  <si>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</si>
  <si>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</si>
  <si>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</si>
  <si>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</si>
  <si>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</si>
  <si>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</si>
  <si>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</si>
  <si>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</si>
  <si>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</si>
  <si>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</si>
  <si>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</si>
  <si>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</si>
  <si>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</si>
  <si>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</si>
  <si>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</si>
  <si>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</si>
  <si>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</si>
  <si>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</si>
  <si>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</si>
  <si>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</si>
  <si>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</si>
  <si>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</si>
  <si>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</si>
  <si>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</si>
  <si>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</si>
  <si>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</si>
  <si>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</si>
  <si>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</si>
  <si>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</si>
  <si>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</si>
  <si>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</si>
  <si>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</si>
  <si>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</si>
  <si>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</si>
  <si>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</si>
  <si>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</si>
  <si>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</si>
  <si>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</si>
  <si>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</si>
  <si>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</si>
  <si>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</si>
  <si>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</si>
  <si>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</si>
  <si>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</si>
  <si>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</si>
  <si>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</si>
  <si>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</si>
  <si>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</si>
  <si>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</si>
  <si>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</si>
  <si>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</si>
  <si>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</si>
  <si>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</si>
  <si>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</si>
  <si>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</si>
  <si>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</si>
  <si>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</si>
  <si>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</si>
  <si>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</si>
  <si>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</si>
  <si>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</si>
  <si>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</si>
  <si>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</si>
  <si>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</si>
  <si>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</si>
  <si>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</si>
  <si>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</si>
  <si>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</si>
  <si>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</si>
  <si>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</si>
  <si>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</si>
  <si>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</si>
  <si>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</si>
  <si>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</si>
  <si>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</si>
  <si>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</si>
  <si>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</si>
  <si>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</si>
  <si>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</si>
  <si>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</si>
  <si>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</si>
  <si>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</si>
  <si>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</si>
  <si>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</si>
  <si>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</si>
  <si>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</si>
  <si>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</si>
  <si>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</si>
  <si>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</si>
  <si>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</si>
  <si>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</si>
  <si>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</si>
  <si>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</si>
  <si>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</si>
  <si>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</si>
  <si>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</si>
  <si>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</si>
  <si>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</si>
  <si>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</si>
  <si>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</si>
  <si>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</si>
  <si>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</si>
  <si>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</si>
  <si>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</si>
  <si>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</si>
  <si>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</si>
  <si>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</si>
  <si>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</si>
  <si>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</si>
  <si>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</si>
  <si>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</si>
  <si>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</si>
  <si>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</si>
  <si>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</si>
  <si>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</si>
  <si>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</si>
  <si>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</si>
  <si>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</si>
  <si>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</si>
  <si>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</si>
  <si>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</si>
  <si>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</si>
  <si>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</si>
  <si>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</si>
  <si>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</si>
  <si>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</si>
  <si>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</si>
  <si>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</si>
  <si>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</si>
  <si>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</si>
  <si>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</si>
  <si>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</si>
  <si>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</si>
  <si>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</si>
  <si>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</si>
  <si>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</si>
  <si>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</si>
  <si>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</si>
  <si>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</si>
  <si>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</si>
  <si>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</si>
  <si>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</si>
  <si>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</si>
  <si>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</si>
  <si>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</si>
  <si>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</si>
  <si>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</si>
  <si>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</si>
  <si>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</si>
  <si>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</si>
  <si>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</si>
  <si>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</si>
  <si>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</si>
  <si>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</si>
  <si>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</si>
  <si>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</si>
  <si>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</si>
  <si>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</si>
  <si>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</si>
  <si>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</si>
  <si>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</si>
  <si>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</si>
  <si>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</si>
  <si>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</si>
  <si>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</si>
  <si>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</si>
  <si>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</si>
  <si>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</si>
  <si>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</si>
  <si>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</si>
  <si>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</si>
  <si>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</si>
  <si>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</si>
  <si>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</si>
  <si>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</si>
  <si>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</si>
  <si>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</si>
  <si>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</si>
  <si>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</si>
  <si>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</si>
  <si>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</si>
  <si>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</si>
  <si>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</si>
  <si>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</si>
  <si>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</si>
  <si>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</si>
  <si>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</si>
  <si>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</si>
  <si>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</si>
  <si>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</si>
  <si>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</si>
  <si>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</si>
  <si>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</si>
  <si>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</si>
  <si>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</si>
  <si>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</si>
  <si>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</si>
  <si>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</si>
  <si>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</si>
  <si>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</si>
  <si>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</si>
  <si>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</si>
  <si>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</si>
  <si>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</si>
  <si>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</si>
  <si>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</si>
  <si>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</si>
  <si>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</si>
  <si>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</si>
  <si>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</si>
  <si>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</si>
  <si>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</si>
  <si>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</si>
  <si>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</si>
  <si>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</si>
  <si>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</si>
  <si>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</si>
  <si>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</si>
  <si>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</si>
  <si>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</si>
  <si>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</si>
  <si>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</si>
  <si>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</si>
  <si>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</si>
  <si>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</si>
  <si>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</si>
  <si>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</si>
  <si>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</si>
  <si>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</si>
  <si>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</si>
  <si>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</si>
  <si>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</si>
  <si>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</si>
  <si>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</si>
  <si>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</si>
  <si>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</si>
  <si>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</si>
  <si>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</si>
  <si>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</si>
  <si>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</si>
  <si>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</si>
  <si>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</si>
  <si>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</si>
  <si>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</si>
  <si>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</si>
  <si>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</si>
  <si>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</si>
  <si>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</si>
  <si>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</si>
  <si>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</si>
  <si>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</si>
  <si>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</si>
  <si>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</si>
  <si>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</si>
  <si>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</si>
  <si>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</si>
  <si>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</si>
  <si>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</si>
  <si>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</si>
  <si>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</si>
  <si>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</si>
  <si>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</si>
  <si>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</si>
  <si>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</si>
  <si>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</si>
  <si>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</si>
  <si>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</si>
  <si>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</si>
  <si>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</si>
  <si>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</si>
  <si>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</si>
  <si>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</si>
  <si>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</si>
  <si>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</si>
  <si>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</si>
  <si>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</si>
  <si>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</si>
  <si>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</si>
  <si>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</si>
  <si>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</si>
  <si>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</si>
  <si>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</si>
  <si>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</si>
  <si>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</si>
  <si>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</si>
  <si>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</si>
  <si>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</si>
  <si>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</si>
  <si>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</si>
  <si>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</si>
  <si>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</si>
  <si>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</si>
  <si>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</si>
  <si>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</si>
  <si>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</si>
  <si>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</si>
  <si>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</si>
  <si>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</si>
  <si>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</si>
  <si>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</si>
  <si>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</si>
  <si>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</si>
  <si>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</si>
  <si>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</si>
  <si>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</si>
  <si>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</si>
  <si>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</si>
  <si>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</si>
  <si>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</si>
  <si>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</si>
  <si>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</si>
  <si>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</si>
  <si>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</si>
  <si>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</si>
  <si>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</si>
  <si>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</si>
  <si>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</si>
  <si>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</si>
  <si>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</si>
  <si>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</si>
  <si>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</si>
  <si>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</si>
  <si>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</si>
  <si>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</si>
  <si>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</si>
  <si>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</si>
  <si>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</si>
  <si>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</si>
  <si>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</si>
  <si>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</si>
  <si>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</si>
  <si>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</si>
  <si>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</si>
  <si>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</si>
  <si>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</si>
  <si>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</si>
  <si>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</si>
  <si>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</si>
  <si>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</si>
  <si>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</si>
  <si>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</si>
  <si>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</si>
  <si>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</si>
  <si>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</si>
  <si>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</si>
  <si>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</si>
  <si>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</si>
  <si>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</si>
  <si>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</si>
  <si>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</si>
  <si>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</si>
  <si>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</si>
  <si>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</si>
  <si>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</si>
  <si>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</si>
  <si>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</si>
  <si>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</si>
  <si>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</si>
  <si>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</si>
  <si>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</si>
  <si>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</si>
  <si>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</si>
  <si>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</si>
  <si>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</si>
  <si>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</si>
  <si>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</si>
  <si>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</si>
  <si>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</si>
  <si>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</si>
  <si>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</si>
  <si>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</si>
  <si>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</si>
  <si>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</si>
  <si>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</si>
  <si>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</si>
  <si>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</si>
  <si>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</si>
  <si>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</si>
  <si>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</si>
  <si>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</si>
  <si>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</si>
  <si>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</si>
  <si>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</si>
  <si>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</si>
  <si>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</si>
  <si>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</si>
  <si>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</si>
  <si>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</si>
  <si>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</si>
  <si>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</si>
  <si>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</si>
  <si>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</si>
  <si>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</si>
  <si>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</si>
  <si>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</si>
  <si>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</si>
  <si>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</si>
  <si>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</si>
  <si>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</si>
  <si>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</si>
  <si>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</si>
  <si>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</si>
  <si>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</si>
  <si>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</si>
  <si>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</si>
  <si>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</si>
  <si>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</si>
  <si>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</si>
  <si>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</si>
  <si>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</si>
  <si>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</si>
  <si>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</si>
  <si>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</si>
  <si>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</si>
  <si>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</si>
  <si>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</si>
  <si>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</si>
  <si>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</si>
  <si>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</si>
  <si>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</si>
  <si>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</si>
  <si>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</si>
  <si>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</si>
  <si>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</si>
  <si>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</si>
  <si>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</si>
  <si>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</si>
  <si>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</si>
  <si>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</si>
  <si>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</si>
  <si>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</si>
  <si>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</si>
  <si>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</si>
  <si>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</si>
  <si>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</si>
  <si>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</si>
  <si>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</si>
  <si>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</si>
  <si>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</si>
  <si>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</si>
  <si>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</si>
  <si>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</si>
  <si>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</si>
  <si>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</si>
  <si>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</si>
  <si>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</si>
  <si>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</si>
  <si>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</si>
  <si>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</si>
  <si>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</si>
  <si>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</si>
  <si>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</si>
  <si>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</si>
  <si>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</si>
  <si>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</si>
  <si>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</si>
  <si>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</si>
  <si>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</si>
  <si>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</si>
  <si>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</si>
  <si>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</si>
  <si>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</si>
  <si>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</si>
  <si>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</si>
  <si>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</si>
  <si>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</si>
  <si>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</si>
  <si>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</si>
  <si>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</si>
  <si>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</si>
  <si>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</si>
  <si>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</si>
  <si>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</si>
  <si>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</si>
  <si>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</si>
  <si>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</si>
  <si>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</si>
  <si>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</si>
  <si>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</si>
  <si>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</si>
  <si>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</si>
  <si>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</si>
  <si>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</si>
  <si>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</si>
  <si>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</si>
  <si>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</si>
  <si>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</si>
  <si>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</si>
  <si>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</si>
  <si>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</si>
  <si>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</si>
  <si>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</si>
  <si>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</si>
  <si>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</si>
  <si>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</si>
  <si>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</si>
  <si>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</si>
  <si>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</si>
  <si>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</si>
  <si>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</si>
  <si>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</si>
  <si>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</si>
  <si>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</si>
  <si>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</si>
  <si>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</si>
  <si>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</si>
  <si>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</si>
  <si>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</si>
  <si>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</si>
  <si>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</si>
  <si>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</si>
  <si>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</si>
  <si>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</si>
  <si>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</si>
  <si>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</si>
  <si>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</si>
  <si>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</si>
  <si>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</si>
  <si>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</si>
  <si>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</si>
  <si>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</si>
  <si>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</si>
  <si>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</si>
  <si>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</si>
  <si>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</si>
  <si>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</si>
  <si>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</si>
  <si>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</si>
  <si>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</si>
  <si>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</si>
  <si>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</si>
  <si>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</si>
  <si>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</si>
  <si>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</si>
  <si>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</si>
  <si>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</si>
  <si>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</si>
  <si>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</si>
  <si>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</si>
  <si>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</si>
  <si>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</si>
  <si>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</si>
  <si>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</si>
  <si>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</si>
  <si>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</si>
  <si>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</si>
  <si>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</si>
  <si>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</si>
  <si>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</si>
  <si>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</si>
  <si>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</si>
  <si>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</si>
  <si>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</si>
  <si>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</si>
  <si>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</si>
  <si>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</si>
  <si>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</si>
  <si>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</si>
  <si>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</si>
  <si>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</si>
  <si>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</si>
  <si>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</si>
  <si>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</si>
  <si>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</si>
  <si>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</si>
  <si>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</si>
  <si>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</si>
  <si>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</si>
  <si>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</si>
  <si>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</si>
  <si>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</si>
  <si>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</si>
  <si>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</si>
  <si>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</si>
  <si>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</si>
  <si>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</si>
  <si>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</si>
  <si>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</si>
  <si>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</si>
  <si>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</si>
  <si>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</si>
  <si>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</si>
  <si>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</si>
  <si>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</si>
  <si>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</si>
  <si>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</si>
  <si>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</si>
  <si>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</si>
  <si>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</si>
  <si>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</si>
  <si>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</si>
  <si>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</si>
  <si>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</si>
  <si>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</si>
  <si>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</si>
  <si>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</si>
  <si>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</si>
  <si>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</si>
  <si>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</si>
  <si>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</si>
  <si>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</si>
  <si>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</si>
  <si>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</si>
  <si>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</si>
  <si>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</si>
  <si>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</si>
  <si>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</si>
  <si>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</si>
  <si>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</si>
  <si>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</si>
  <si>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</si>
  <si>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</si>
  <si>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</si>
  <si>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</si>
  <si>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</si>
  <si>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</si>
  <si>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</si>
  <si>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</si>
  <si>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</si>
  <si>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</si>
  <si>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</si>
  <si>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</si>
  <si>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</si>
  <si>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</si>
  <si>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</si>
  <si>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</si>
  <si>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</si>
  <si>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</si>
  <si>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</si>
  <si>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</si>
  <si>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</si>
  <si>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</si>
  <si>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</si>
  <si>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</si>
  <si>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</si>
  <si>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</si>
  <si>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</si>
  <si>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</si>
  <si>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</si>
  <si>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</si>
  <si>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</si>
  <si>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</si>
  <si>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</si>
  <si>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</si>
  <si>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</si>
  <si>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</si>
  <si>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</si>
  <si>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</si>
  <si>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</si>
  <si>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</si>
  <si>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</si>
  <si>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</si>
  <si>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</si>
  <si>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</si>
  <si>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</si>
  <si>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</si>
  <si>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</si>
  <si>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</si>
  <si>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</si>
  <si>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</si>
  <si>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</si>
  <si>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</si>
  <si>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</si>
  <si>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</si>
  <si>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</si>
  <si>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</si>
  <si>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</si>
  <si>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</si>
  <si>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</si>
  <si>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</si>
  <si>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</si>
  <si>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</si>
  <si>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</si>
  <si>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</si>
  <si>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</si>
  <si>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</si>
  <si>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</si>
  <si>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</si>
  <si>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</si>
  <si>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</si>
  <si>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</si>
  <si>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</si>
  <si>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</si>
  <si>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</si>
  <si>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</si>
  <si>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</si>
  <si>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</si>
  <si>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</si>
  <si>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</si>
  <si>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</si>
  <si>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</si>
  <si>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</si>
  <si>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</si>
  <si>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</si>
  <si>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</si>
  <si>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</si>
  <si>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</si>
  <si>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</si>
  <si>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</si>
  <si>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</si>
  <si>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</si>
  <si>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</si>
  <si>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</si>
  <si>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</si>
  <si>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</si>
  <si>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</si>
  <si>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</si>
  <si>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</si>
  <si>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</si>
  <si>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</si>
  <si>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</si>
  <si>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</si>
  <si>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</si>
  <si>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</si>
  <si>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</si>
  <si>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</si>
  <si>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</si>
  <si>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</si>
  <si>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</si>
  <si>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</si>
  <si>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</si>
  <si>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</si>
  <si>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</si>
  <si>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</si>
  <si>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</si>
  <si>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</si>
  <si>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</si>
  <si>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</si>
  <si>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</si>
  <si>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</si>
  <si>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</si>
  <si>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</si>
  <si>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</si>
  <si>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</si>
  <si>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</si>
  <si>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</si>
  <si>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</si>
  <si>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</si>
  <si>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</si>
  <si>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</si>
  <si>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</si>
  <si>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</si>
  <si>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</si>
  <si>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</si>
  <si>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</si>
  <si>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</si>
  <si>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</si>
  <si>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</si>
  <si>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</si>
  <si>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</si>
  <si>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</si>
  <si>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</si>
  <si>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</si>
  <si>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</si>
  <si>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</si>
  <si>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</si>
  <si>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</si>
  <si>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</si>
  <si>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</si>
  <si>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</si>
  <si>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</si>
  <si>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</si>
  <si>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</si>
  <si>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</si>
  <si>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</si>
  <si>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</si>
  <si>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</si>
  <si>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</si>
  <si>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</si>
  <si>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</si>
  <si>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</si>
  <si>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</si>
  <si>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</si>
  <si>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</si>
  <si>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</si>
  <si>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</si>
  <si>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</si>
  <si>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</si>
  <si>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</si>
  <si>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</si>
  <si>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</si>
  <si>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</si>
  <si>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</si>
  <si>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</si>
  <si>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</si>
  <si>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</si>
  <si>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</si>
  <si>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</si>
  <si>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</si>
  <si>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</si>
  <si>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</si>
  <si>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</si>
  <si>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</si>
  <si>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</si>
  <si>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</si>
  <si>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</si>
  <si>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</si>
  <si>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</si>
  <si>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</si>
  <si>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</si>
  <si>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</si>
  <si>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</si>
  <si>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</si>
  <si>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</si>
  <si>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</si>
  <si>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</si>
  <si>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</si>
  <si>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</si>
  <si>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</si>
  <si>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</si>
  <si>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</si>
  <si>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</si>
  <si>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</si>
  <si>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</si>
  <si>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</si>
  <si>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</si>
  <si>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</si>
  <si>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</si>
  <si>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</si>
  <si>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</si>
  <si>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</si>
  <si>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</si>
  <si>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</si>
  <si>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</si>
  <si>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</si>
  <si>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</si>
  <si>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</si>
  <si>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</si>
  <si>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</si>
  <si>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</si>
  <si>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</si>
  <si>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</si>
  <si>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</si>
  <si>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</si>
  <si>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</si>
  <si>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</si>
  <si>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</si>
  <si>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</si>
  <si>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</si>
  <si>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</si>
  <si>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</si>
  <si>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</si>
  <si>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</si>
  <si>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</si>
  <si>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</si>
  <si>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</si>
  <si>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</si>
  <si>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</si>
  <si>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</si>
  <si>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</si>
  <si>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</si>
  <si>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</si>
  <si>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</si>
  <si>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</si>
  <si>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</si>
  <si>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</si>
  <si>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</si>
  <si>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</si>
  <si>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</si>
  <si>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</si>
  <si>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</si>
  <si>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</si>
  <si>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</si>
  <si>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</si>
  <si>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</si>
  <si>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</si>
  <si>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</si>
  <si>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</si>
  <si>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</si>
  <si>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</si>
  <si>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</si>
  <si>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</si>
  <si>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</si>
  <si>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</si>
  <si>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</si>
  <si>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</si>
  <si>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</si>
  <si>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</si>
  <si>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</si>
  <si>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</si>
  <si>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</si>
  <si>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</si>
  <si>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</si>
  <si>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</si>
  <si>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</si>
  <si>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</si>
  <si>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</si>
  <si>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</si>
  <si>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</si>
  <si>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</si>
  <si>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</si>
  <si>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</si>
  <si>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</si>
  <si>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</si>
  <si>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</si>
  <si>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</si>
  <si>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</si>
  <si>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</si>
  <si>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</si>
  <si>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</si>
  <si>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</si>
  <si>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</si>
  <si>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</si>
  <si>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</si>
  <si>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</si>
  <si>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</si>
  <si>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</si>
  <si>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</si>
  <si>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</si>
  <si>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</si>
  <si>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</si>
  <si>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</si>
  <si>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</si>
  <si>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</si>
  <si>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</si>
  <si>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</si>
  <si>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</si>
  <si>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</si>
  <si>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</si>
  <si>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</si>
  <si>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</si>
  <si>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</si>
  <si>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</si>
  <si>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</si>
  <si>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</si>
  <si>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</si>
  <si>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</si>
  <si>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</si>
  <si>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</si>
  <si>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</si>
  <si>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</si>
  <si>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</si>
  <si>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</si>
  <si>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</si>
  <si>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</si>
  <si>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</si>
  <si>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</si>
  <si>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</si>
  <si>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</si>
  <si>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</si>
  <si>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</si>
  <si>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</si>
  <si>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</si>
  <si>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</si>
  <si>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</si>
  <si>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</si>
  <si>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</si>
  <si>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</si>
  <si>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</si>
  <si>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</si>
  <si>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</si>
  <si>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</si>
  <si>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</si>
  <si>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</si>
  <si>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</si>
  <si>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</si>
  <si>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</si>
  <si>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</si>
  <si>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</si>
  <si>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</si>
  <si>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</si>
  <si>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</si>
  <si>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</si>
  <si>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</si>
  <si>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</si>
  <si>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</si>
  <si>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</si>
  <si>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</si>
  <si>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</si>
  <si>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</si>
  <si>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</si>
  <si>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</si>
  <si>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</si>
  <si>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</si>
  <si>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</si>
  <si>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</si>
  <si>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</si>
  <si>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</si>
  <si>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</si>
  <si>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</si>
  <si>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</si>
  <si>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</si>
  <si>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</si>
  <si>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</si>
  <si>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</si>
  <si>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</si>
  <si>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</si>
  <si>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</si>
  <si>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</si>
  <si>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</si>
  <si>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</si>
  <si>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</si>
  <si>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</si>
  <si>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</si>
  <si>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</si>
  <si>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</si>
  <si>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</si>
  <si>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</si>
  <si>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</si>
  <si>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</si>
  <si>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</si>
  <si>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</si>
  <si>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</si>
  <si>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</si>
  <si>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</si>
  <si>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</si>
  <si>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</si>
  <si>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</si>
  <si>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</si>
  <si>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</si>
  <si>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</si>
  <si>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</si>
  <si>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</si>
  <si>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</si>
  <si>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</si>
  <si>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</si>
  <si>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</si>
  <si>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</si>
  <si>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</si>
  <si>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</si>
  <si>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</si>
  <si>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</si>
  <si>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</si>
  <si>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</si>
  <si>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</si>
  <si>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</si>
  <si>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</si>
  <si>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</si>
  <si>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</si>
  <si>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</si>
  <si>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</si>
  <si>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</si>
  <si>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</si>
  <si>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</si>
  <si>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</si>
  <si>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</si>
  <si>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</si>
  <si>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</si>
  <si>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</si>
  <si>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</si>
  <si>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</si>
  <si>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</si>
  <si>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</si>
  <si>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</si>
  <si>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</si>
  <si>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</si>
  <si>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</si>
  <si>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</si>
  <si>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</si>
  <si>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</si>
  <si>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</si>
  <si>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</si>
  <si>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</si>
  <si>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</si>
  <si>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</si>
  <si>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</si>
  <si>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</si>
  <si>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</si>
  <si>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</si>
  <si>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</si>
  <si>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</si>
  <si>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</si>
  <si>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</si>
  <si>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</si>
  <si>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</si>
  <si>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</si>
  <si>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</si>
  <si>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</si>
  <si>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</si>
  <si>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</si>
  <si>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</si>
  <si>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</si>
  <si>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</si>
  <si>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</si>
  <si>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</si>
  <si>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</si>
  <si>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</si>
  <si>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</si>
  <si>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</si>
  <si>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</si>
  <si>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</si>
  <si>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</si>
  <si>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</si>
  <si>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</si>
  <si>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</si>
  <si>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</si>
  <si>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</si>
  <si>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</si>
  <si>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</si>
  <si>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</si>
  <si>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</si>
  <si>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</si>
  <si>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</si>
  <si>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</si>
  <si>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</si>
  <si>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</si>
  <si>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</si>
  <si>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</si>
  <si>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</si>
  <si>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</si>
  <si>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</si>
  <si>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</si>
  <si>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</si>
  <si>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</si>
  <si>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</si>
  <si>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</si>
  <si>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</si>
  <si>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</si>
  <si>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</si>
  <si>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</si>
  <si>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</si>
  <si>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</si>
  <si>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</si>
  <si>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</si>
  <si>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</si>
  <si>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</si>
  <si>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</si>
  <si>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</si>
  <si>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</si>
  <si>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</si>
  <si>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</si>
  <si>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</si>
  <si>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</si>
  <si>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</si>
  <si>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</si>
  <si>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</si>
  <si>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</si>
  <si>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</si>
  <si>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</si>
  <si>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</si>
  <si>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</si>
  <si>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</si>
  <si>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</si>
  <si>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</si>
  <si>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</si>
  <si>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</si>
  <si>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</si>
  <si>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</si>
  <si>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</si>
  <si>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</si>
  <si>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</si>
  <si>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</si>
  <si>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</si>
  <si>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</si>
  <si>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</si>
  <si>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</si>
  <si>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</si>
  <si>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</si>
  <si>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</si>
  <si>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</si>
  <si>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</si>
  <si>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</si>
  <si>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</si>
  <si>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</si>
  <si>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</si>
  <si>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</si>
  <si>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</si>
  <si>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</si>
  <si>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</si>
  <si>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</si>
  <si>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</si>
  <si>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</si>
  <si>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</si>
  <si>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</si>
  <si>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</si>
  <si>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</si>
  <si>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</si>
  <si>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</si>
  <si>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</si>
  <si>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</si>
  <si>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</si>
  <si>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</si>
  <si>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</si>
  <si>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</si>
  <si>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</si>
  <si>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</si>
  <si>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</si>
  <si>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</si>
  <si>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</si>
  <si>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</si>
  <si>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</si>
  <si>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</si>
  <si>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</si>
  <si>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</si>
  <si>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</si>
  <si>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</si>
  <si>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</si>
  <si>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</si>
  <si>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</si>
  <si>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</si>
  <si>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</si>
  <si>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</si>
  <si>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</si>
  <si>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</si>
  <si>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</si>
  <si>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</si>
  <si>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</si>
  <si>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</si>
  <si>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</si>
  <si>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</si>
  <si>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</si>
  <si>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</si>
  <si>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</si>
  <si>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</si>
  <si>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</si>
  <si>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</si>
  <si>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</si>
  <si>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</si>
  <si>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</si>
  <si>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</si>
  <si>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</si>
  <si>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</si>
  <si>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</si>
  <si>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</si>
  <si>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</si>
  <si>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</si>
  <si>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</si>
  <si>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</si>
  <si>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</si>
  <si>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</si>
  <si>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</si>
  <si>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</si>
  <si>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</si>
  <si>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</si>
  <si>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</si>
  <si>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</si>
  <si>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</si>
  <si>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</si>
  <si>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</si>
  <si>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</si>
  <si>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</si>
  <si>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</si>
  <si>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</si>
  <si>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</si>
  <si>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</si>
  <si>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</si>
  <si>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</si>
  <si>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</si>
  <si>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</si>
  <si>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</si>
  <si>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</si>
  <si>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</si>
  <si>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</si>
  <si>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</si>
  <si>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</si>
  <si>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</si>
  <si>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</si>
  <si>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</si>
  <si>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</si>
  <si>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</si>
  <si>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</si>
  <si>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</si>
  <si>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</si>
  <si>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</si>
  <si>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</si>
  <si>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</si>
  <si>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</si>
  <si>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</si>
  <si>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</si>
  <si>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</si>
  <si>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</si>
  <si>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</si>
  <si>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</si>
  <si>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</si>
  <si>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</si>
  <si>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</si>
  <si>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</si>
  <si>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</si>
  <si>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</si>
  <si>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</si>
  <si>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</si>
  <si>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</si>
  <si>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</si>
  <si>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</si>
  <si>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</si>
  <si>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</si>
  <si>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</si>
  <si>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</si>
  <si>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</si>
  <si>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</si>
  <si>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</si>
  <si>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</si>
  <si>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</si>
  <si>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</si>
  <si>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</si>
  <si>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</si>
  <si>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</si>
  <si>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</si>
  <si>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</si>
  <si>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</si>
  <si>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</si>
  <si>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</si>
  <si>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</si>
  <si>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</si>
  <si>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</si>
  <si>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</si>
  <si>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</si>
  <si>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</si>
  <si>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</si>
  <si>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</si>
  <si>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</si>
  <si>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</si>
  <si>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</si>
  <si>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</si>
  <si>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</si>
  <si>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</si>
  <si>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</si>
  <si>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</si>
  <si>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</si>
  <si>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</si>
  <si>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</si>
  <si>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</si>
  <si>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</si>
  <si>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</si>
  <si>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</si>
  <si>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</si>
  <si>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</si>
  <si>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</si>
  <si>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</si>
  <si>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</si>
  <si>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</si>
  <si>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</si>
  <si>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</si>
  <si>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</si>
  <si>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</si>
  <si>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</si>
  <si>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</si>
  <si>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</si>
  <si>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</si>
  <si>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</si>
  <si>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</si>
  <si>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</si>
  <si>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</si>
  <si>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</si>
  <si>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</si>
  <si>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</si>
  <si>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</si>
  <si>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</si>
  <si>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</si>
  <si>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</si>
  <si>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</si>
  <si>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</si>
  <si>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</si>
  <si>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</si>
  <si>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</si>
  <si>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</si>
  <si>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</si>
  <si>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</si>
  <si>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</si>
  <si>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</si>
  <si>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</si>
  <si>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</si>
  <si>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</si>
  <si>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</si>
  <si>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</si>
  <si>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</si>
  <si>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</si>
  <si>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</si>
  <si>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</si>
  <si>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</si>
  <si>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</si>
  <si>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</si>
  <si>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</si>
  <si>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</si>
  <si>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</si>
  <si>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</si>
  <si>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</si>
  <si>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</si>
  <si>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</si>
  <si>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</si>
  <si>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</si>
  <si>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</si>
  <si>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</si>
  <si>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</si>
  <si>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</si>
  <si>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</si>
  <si>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</si>
  <si>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</si>
  <si>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</si>
  <si>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</si>
  <si>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</si>
  <si>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</si>
  <si>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</si>
  <si>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</si>
  <si>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</si>
  <si>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</si>
  <si>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</si>
  <si>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</si>
  <si>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</si>
  <si>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</si>
  <si>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</si>
  <si>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</si>
  <si>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</si>
  <si>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</si>
  <si>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</si>
  <si>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</si>
  <si>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</si>
  <si>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</si>
  <si>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</si>
  <si>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</si>
  <si>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</si>
  <si>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</si>
  <si>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</si>
  <si>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</si>
  <si>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</si>
  <si>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</si>
  <si>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</si>
  <si>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</si>
  <si>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</si>
  <si>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</si>
  <si>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</si>
  <si>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</si>
  <si>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</si>
  <si>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</si>
  <si>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</si>
  <si>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</si>
  <si>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</si>
  <si>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</si>
  <si>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</si>
  <si>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</si>
  <si>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</si>
  <si>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</si>
  <si>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</si>
  <si>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</si>
  <si>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</si>
  <si>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</si>
  <si>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</si>
  <si>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</si>
  <si>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</si>
  <si>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</si>
  <si>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</si>
  <si>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</si>
  <si>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</si>
  <si>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</si>
  <si>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</si>
  <si>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</si>
  <si>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</si>
  <si>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</si>
  <si>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</si>
  <si>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</si>
  <si>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</si>
  <si>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</si>
  <si>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</si>
  <si>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</si>
  <si>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</si>
  <si>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</si>
  <si>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</si>
  <si>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</si>
  <si>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</si>
  <si>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</si>
  <si>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</si>
  <si>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</si>
  <si>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</si>
  <si>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</si>
  <si>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</si>
  <si>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</si>
  <si>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</si>
  <si>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</si>
  <si>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</si>
  <si>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</si>
  <si>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</si>
  <si>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</si>
  <si>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</si>
  <si>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</si>
  <si>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</si>
  <si>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</si>
  <si>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</si>
  <si>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</si>
  <si>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</si>
  <si>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</si>
  <si>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</si>
  <si>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</si>
  <si>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</si>
  <si>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</si>
  <si>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</si>
  <si>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</si>
  <si>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</si>
  <si>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</si>
  <si>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</si>
  <si>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</si>
  <si>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</si>
  <si>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</si>
  <si>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</si>
  <si>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</si>
  <si>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</si>
  <si>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</si>
  <si>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</si>
  <si>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</si>
  <si>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</si>
  <si>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</si>
  <si>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</si>
  <si>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</si>
  <si>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</si>
  <si>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</si>
  <si>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</si>
  <si>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</si>
  <si>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</si>
  <si>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</si>
  <si>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</si>
  <si>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</si>
  <si>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</si>
  <si>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</si>
  <si>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</si>
  <si>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</si>
  <si>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</si>
  <si>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</si>
  <si>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</si>
  <si>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</si>
  <si>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</si>
  <si>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</si>
  <si>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</si>
  <si>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</si>
  <si>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</si>
  <si>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</si>
  <si>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</si>
  <si>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</si>
  <si>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</si>
  <si>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</si>
  <si>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</si>
  <si>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</si>
  <si>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</si>
  <si>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</si>
  <si>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</si>
  <si>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</si>
  <si>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</si>
  <si>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</si>
  <si>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</si>
  <si>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</si>
  <si>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</si>
  <si>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</si>
  <si>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</si>
  <si>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</si>
  <si>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</si>
  <si>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</si>
  <si>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</si>
  <si>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</si>
  <si>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</si>
  <si>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</si>
  <si>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</si>
  <si>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</si>
  <si>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</si>
  <si>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</si>
  <si>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</si>
  <si>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</si>
  <si>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</si>
  <si>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</si>
  <si>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</si>
  <si>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</si>
  <si>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</si>
  <si>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</si>
  <si>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</si>
  <si>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</si>
  <si>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</si>
  <si>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</si>
  <si>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</si>
  <si>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</si>
  <si>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</si>
  <si>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</si>
  <si>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</si>
  <si>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</si>
  <si>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</si>
  <si>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</si>
  <si>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</si>
  <si>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</si>
  <si>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</si>
  <si>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</si>
  <si>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</si>
  <si>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</si>
  <si>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</si>
  <si>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</si>
  <si>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</si>
  <si>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</si>
  <si>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</si>
  <si>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</si>
  <si>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</si>
  <si>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</si>
  <si>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</si>
  <si>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</si>
  <si>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</si>
  <si>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</si>
  <si>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</si>
  <si>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</si>
  <si>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</si>
  <si>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</si>
  <si>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</si>
  <si>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</si>
  <si>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</si>
  <si>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</si>
  <si>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</si>
  <si>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</si>
  <si>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</si>
  <si>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</si>
  <si>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</si>
  <si>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</si>
  <si>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</si>
  <si>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</si>
  <si>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</si>
  <si>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</si>
  <si>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</si>
  <si>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</si>
  <si>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</si>
  <si>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</si>
  <si>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</si>
  <si>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</si>
  <si>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</si>
  <si>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</si>
  <si>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</si>
  <si>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</si>
  <si>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</si>
  <si>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</si>
  <si>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</si>
  <si>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</si>
  <si>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</si>
  <si>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</si>
  <si>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</si>
  <si>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</si>
  <si>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</si>
  <si>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</si>
  <si>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</si>
  <si>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</si>
  <si>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</si>
  <si>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</si>
  <si>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</si>
  <si>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</si>
  <si>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</si>
  <si>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</si>
  <si>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</si>
  <si>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</si>
  <si>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</si>
  <si>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</si>
  <si>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</si>
  <si>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</si>
  <si>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</si>
  <si>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</si>
  <si>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</si>
  <si>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</si>
  <si>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</si>
  <si>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</si>
  <si>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</si>
  <si>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</si>
  <si>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</si>
  <si>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</si>
  <si>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</si>
  <si>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</si>
  <si>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</si>
  <si>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</si>
  <si>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</si>
  <si>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</si>
  <si>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</si>
  <si>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</si>
  <si>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</si>
  <si>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</si>
  <si>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</si>
  <si>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</si>
  <si>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</si>
  <si>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</si>
  <si>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</si>
  <si>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</si>
  <si>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</si>
  <si>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</si>
  <si>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</si>
  <si>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</si>
  <si>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</si>
  <si>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</si>
  <si>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</si>
  <si>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</si>
  <si>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</si>
  <si>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</si>
  <si>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</si>
  <si>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</si>
  <si>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</si>
  <si>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</si>
  <si>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</si>
  <si>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</si>
  <si>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</si>
  <si>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</si>
  <si>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</si>
  <si>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</si>
  <si>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</si>
  <si>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</si>
  <si>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</si>
  <si>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</si>
  <si>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</si>
  <si>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</si>
  <si>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</si>
  <si>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</si>
  <si>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</si>
  <si>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</si>
  <si>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</si>
  <si>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</si>
  <si>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</si>
  <si>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</si>
  <si>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</si>
  <si>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</si>
  <si>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</si>
  <si>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</si>
  <si>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</si>
  <si>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</si>
  <si>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</si>
  <si>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</si>
  <si>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</si>
  <si>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</si>
  <si>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</si>
  <si>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</si>
  <si>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</si>
  <si>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</si>
  <si>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</si>
  <si>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</si>
  <si>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</si>
  <si>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</si>
  <si>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</si>
  <si>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</si>
  <si>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</si>
  <si>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</si>
  <si>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</si>
  <si>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</si>
  <si>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</si>
  <si>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</si>
  <si>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</si>
  <si>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</si>
  <si>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</si>
  <si>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</si>
  <si>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</si>
  <si>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</si>
  <si>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</si>
  <si>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</si>
  <si>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</si>
  <si>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</si>
  <si>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</si>
  <si>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</si>
  <si>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</si>
  <si>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</si>
  <si>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</si>
  <si>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</si>
  <si>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</si>
  <si>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</si>
  <si>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</si>
  <si>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</si>
  <si>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</si>
  <si>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</si>
  <si>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</si>
  <si>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</si>
  <si>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</si>
  <si>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</si>
  <si>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</si>
  <si>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</si>
  <si>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</si>
  <si>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</si>
  <si>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</si>
  <si>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</si>
  <si>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</si>
  <si>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</si>
  <si>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</si>
  <si>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</si>
  <si>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</si>
  <si>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</si>
  <si>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</si>
  <si>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</si>
  <si>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</si>
  <si>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</si>
  <si>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</si>
  <si>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</si>
  <si>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</si>
  <si>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</si>
  <si>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</si>
  <si>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</si>
  <si>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</si>
  <si>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</si>
  <si>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</si>
  <si>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</si>
  <si>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</si>
  <si>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</si>
  <si>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</si>
  <si>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</si>
  <si>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</si>
  <si>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</si>
  <si>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</si>
  <si>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</si>
  <si>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</si>
  <si>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</si>
  <si>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</si>
  <si>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</si>
  <si>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</si>
  <si>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</si>
  <si>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</si>
  <si>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</si>
  <si>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</si>
  <si>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</si>
  <si>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</si>
  <si>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</si>
  <si>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</si>
  <si>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</si>
  <si>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</si>
  <si>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</si>
  <si>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</si>
  <si>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</si>
  <si>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</si>
  <si>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</si>
  <si>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</si>
  <si>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</si>
  <si>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</si>
  <si>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</si>
  <si>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</si>
  <si>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</si>
  <si>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</si>
  <si>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</si>
  <si>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</si>
  <si>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</si>
  <si>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</si>
  <si>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</si>
  <si>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</si>
  <si>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</si>
  <si>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</si>
  <si>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</si>
  <si>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</si>
  <si>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</si>
  <si>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</si>
  <si>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</si>
  <si>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</si>
  <si>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</si>
  <si>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</si>
  <si>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</si>
  <si>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</si>
  <si>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</si>
  <si>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</si>
  <si>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</si>
  <si>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</si>
  <si>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</si>
  <si>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</si>
  <si>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</si>
  <si>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</si>
  <si>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</si>
  <si>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</si>
  <si>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</si>
  <si>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</si>
  <si>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</si>
  <si>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</si>
  <si>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</si>
  <si>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</si>
  <si>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</si>
  <si>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</si>
  <si>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</si>
  <si>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</si>
  <si>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</si>
  <si>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</si>
  <si>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</si>
  <si>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</si>
  <si>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</si>
  <si>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</si>
  <si>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</si>
  <si>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</si>
  <si>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</si>
  <si>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</si>
  <si>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</si>
  <si>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</si>
  <si>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</si>
  <si>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</si>
  <si>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</si>
  <si>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</si>
  <si>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</si>
  <si>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</si>
  <si>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</si>
  <si>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</si>
  <si>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</si>
  <si>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</si>
  <si>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</si>
  <si>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</si>
  <si>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</si>
  <si>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</si>
  <si>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</si>
  <si>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</si>
  <si>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</si>
  <si>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</si>
  <si>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</si>
  <si>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</si>
  <si>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</si>
  <si>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</si>
  <si>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</si>
  <si>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</si>
  <si>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</si>
  <si>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</si>
  <si>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</si>
  <si>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</si>
  <si>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</si>
  <si>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</si>
  <si>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</si>
  <si>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</si>
  <si>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</si>
  <si>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</si>
  <si>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</si>
  <si>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</si>
  <si>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</si>
  <si>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</si>
  <si>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</si>
  <si>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</si>
  <si>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</si>
  <si>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</si>
  <si>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</si>
  <si>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</si>
  <si>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</si>
  <si>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</si>
  <si>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</si>
  <si>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</si>
  <si>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</si>
  <si>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</si>
  <si>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</si>
  <si>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</si>
  <si>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</si>
  <si>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</si>
  <si>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</si>
  <si>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</si>
  <si>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</si>
  <si>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</si>
  <si>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</si>
  <si>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</si>
  <si>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</si>
  <si>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</si>
  <si>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</si>
  <si>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</si>
  <si>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</si>
  <si>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</si>
  <si>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</si>
  <si>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</si>
  <si>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</si>
  <si>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</si>
  <si>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</si>
  <si>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</si>
  <si>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</si>
  <si>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</si>
  <si>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</si>
  <si>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</si>
  <si>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</si>
  <si>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</si>
  <si>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</si>
  <si>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</si>
  <si>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</si>
  <si>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</si>
  <si>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</si>
  <si>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</si>
  <si>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</si>
  <si>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</si>
  <si>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</si>
  <si>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</si>
  <si>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</si>
  <si>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</si>
  <si>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</si>
  <si>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</si>
  <si>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</si>
  <si>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</si>
  <si>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</si>
  <si>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</si>
  <si>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</si>
  <si>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</si>
  <si>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</si>
  <si>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</si>
  <si>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</si>
  <si>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</si>
  <si>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</si>
  <si>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</si>
  <si>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</si>
  <si>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</si>
  <si>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</si>
  <si>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</si>
  <si>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</si>
  <si>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</si>
  <si>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</si>
  <si>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</si>
  <si>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</si>
  <si>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</si>
  <si>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</si>
  <si>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</si>
  <si>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</si>
  <si>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</si>
  <si>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</si>
  <si>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</si>
  <si>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</si>
  <si>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</si>
  <si>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</si>
  <si>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</si>
  <si>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</si>
  <si>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</si>
  <si>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</si>
  <si>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</si>
  <si>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</si>
  <si>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</si>
  <si>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</si>
  <si>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</si>
  <si>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</si>
  <si>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</si>
  <si>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</si>
  <si>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</si>
  <si>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</si>
  <si>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</si>
  <si>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</si>
  <si>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</si>
  <si>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</si>
  <si>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</si>
  <si>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</si>
  <si>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</si>
  <si>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</si>
  <si>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</si>
  <si>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</si>
  <si>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</si>
  <si>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</si>
  <si>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</si>
  <si>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</si>
  <si>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</si>
  <si>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</si>
  <si>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</si>
  <si>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</si>
  <si>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</si>
  <si>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</si>
  <si>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</si>
  <si>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</si>
  <si>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</si>
  <si>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</si>
  <si>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</si>
  <si>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</si>
  <si>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</si>
  <si>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</si>
  <si>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</si>
  <si>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</si>
  <si>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</si>
  <si>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</si>
  <si>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</si>
  <si>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</si>
  <si>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</si>
  <si>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</si>
  <si>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</si>
  <si>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</si>
  <si>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</si>
  <si>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</si>
  <si>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</si>
  <si>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</si>
  <si>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</si>
  <si>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</si>
  <si>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</si>
  <si>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</si>
  <si>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</si>
  <si>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</si>
  <si>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</si>
  <si>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</si>
  <si>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</si>
  <si>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</si>
  <si>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</si>
  <si>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</si>
  <si>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</si>
  <si>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</si>
  <si>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</si>
  <si>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</si>
  <si>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</si>
  <si>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</si>
  <si>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</si>
  <si>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</si>
  <si>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</si>
  <si>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</si>
  <si>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</si>
  <si>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</si>
  <si>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</si>
  <si>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</si>
  <si>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</si>
  <si>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</si>
  <si>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</si>
  <si>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</si>
  <si>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</si>
  <si>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</si>
  <si>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</si>
  <si>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</si>
  <si>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</si>
  <si>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</si>
  <si>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</si>
  <si>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</si>
  <si>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</si>
  <si>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</si>
  <si>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</si>
  <si>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</si>
  <si>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</si>
  <si>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</si>
  <si>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</si>
  <si>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</si>
  <si>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</si>
  <si>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</si>
  <si>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</si>
  <si>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</si>
  <si>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</si>
  <si>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</si>
  <si>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</si>
  <si>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</si>
  <si>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</si>
  <si>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</si>
  <si>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</si>
  <si>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</si>
  <si>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</si>
  <si>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</si>
  <si>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</si>
  <si>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</si>
  <si>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</si>
  <si>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</si>
  <si>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</si>
  <si>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</si>
  <si>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</si>
  <si>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</si>
  <si>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</si>
  <si>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</si>
  <si>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</si>
  <si>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</si>
  <si>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</si>
  <si>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</si>
  <si>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</si>
  <si>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</si>
  <si>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</si>
  <si>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</si>
  <si>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</si>
  <si>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</si>
  <si>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</si>
  <si>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</si>
  <si>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</si>
  <si>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</si>
  <si>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</si>
  <si>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</si>
  <si>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</si>
  <si>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</si>
  <si>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</si>
  <si>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</si>
  <si>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</si>
  <si>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</si>
  <si>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</si>
  <si>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</si>
  <si>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</si>
  <si>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</si>
  <si>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</si>
  <si>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</si>
  <si>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</si>
  <si>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</si>
  <si>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</si>
  <si>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</si>
  <si>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</si>
  <si>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</si>
  <si>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</si>
  <si>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</si>
  <si>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</si>
  <si>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</si>
  <si>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</si>
  <si>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</si>
  <si>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</si>
  <si>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</si>
  <si>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</si>
  <si>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</si>
  <si>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</si>
  <si>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</si>
  <si>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</si>
  <si>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</si>
  <si>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</si>
  <si>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</si>
  <si>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</si>
  <si>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</si>
  <si>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</si>
  <si>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</si>
  <si>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</si>
  <si>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</si>
  <si>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</si>
  <si>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</si>
  <si>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</si>
  <si>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</si>
  <si>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</si>
  <si>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</si>
  <si>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</si>
  <si>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</si>
  <si>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</si>
  <si>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</si>
  <si>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</si>
  <si>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</si>
  <si>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</si>
  <si>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</si>
  <si>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</si>
  <si>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</si>
  <si>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</si>
  <si>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</si>
  <si>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</si>
  <si>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</si>
  <si>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</si>
  <si>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</si>
  <si>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</si>
  <si>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</si>
  <si>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</si>
  <si>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</si>
  <si>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</si>
  <si>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</si>
  <si>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</si>
  <si>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</si>
  <si>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</si>
  <si>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</si>
  <si>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</si>
  <si>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</si>
  <si>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</si>
  <si>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</si>
  <si>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</si>
  <si>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</si>
  <si>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</si>
  <si>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</si>
  <si>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</si>
  <si>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</si>
  <si>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</si>
  <si>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</si>
  <si>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</si>
  <si>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</si>
  <si>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</si>
  <si>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</si>
  <si>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</si>
  <si>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</si>
  <si>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</si>
  <si>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</si>
  <si>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</si>
  <si>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</si>
  <si>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</si>
  <si>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</si>
  <si>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</si>
  <si>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</si>
  <si>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</si>
  <si>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</si>
  <si>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</si>
  <si>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</si>
  <si>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</si>
  <si>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</si>
  <si>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</si>
  <si>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</si>
  <si>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</si>
  <si>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</si>
  <si>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</si>
  <si>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</si>
  <si>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</si>
  <si>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</si>
  <si>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</si>
  <si>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</si>
  <si>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</si>
  <si>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</si>
  <si>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</si>
  <si>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</si>
  <si>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</si>
  <si>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</si>
  <si>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</si>
  <si>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</si>
  <si>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</si>
  <si>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</si>
  <si>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</si>
  <si>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</si>
  <si>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</si>
  <si>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</si>
  <si>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</si>
  <si>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</si>
  <si>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</si>
  <si>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</si>
  <si>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</si>
  <si>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</si>
  <si>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</si>
  <si>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</si>
  <si>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</si>
  <si>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</si>
  <si>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</si>
  <si>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</si>
  <si>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</si>
  <si>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</si>
  <si>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</si>
  <si>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</si>
  <si>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</si>
  <si>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</si>
  <si>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</si>
  <si>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</si>
  <si>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</si>
  <si>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</si>
  <si>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</si>
  <si>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</si>
  <si>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</si>
  <si>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</si>
  <si>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</si>
  <si>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</si>
  <si>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</si>
  <si>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</si>
  <si>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</si>
  <si>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</si>
  <si>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</si>
  <si>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</si>
  <si>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</si>
  <si>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</si>
  <si>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</si>
  <si>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</si>
  <si>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</si>
  <si>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</si>
  <si>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</si>
  <si>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</si>
  <si>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</si>
  <si>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</si>
  <si>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</si>
  <si>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</si>
  <si>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</si>
  <si>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</si>
  <si>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</si>
  <si>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</si>
  <si>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</si>
  <si>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</si>
  <si>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</si>
  <si>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</si>
  <si>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</si>
  <si>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</si>
  <si>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</si>
  <si>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</si>
  <si>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</si>
  <si>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</si>
  <si>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</si>
  <si>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</si>
  <si>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</si>
  <si>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</si>
  <si>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</si>
  <si>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</si>
  <si>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</si>
  <si>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</si>
  <si>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</si>
  <si>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</si>
  <si>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</si>
  <si>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</si>
  <si>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</si>
  <si>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</si>
  <si>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</si>
  <si>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</si>
  <si>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</si>
  <si>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</si>
  <si>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</si>
  <si>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</si>
  <si>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</si>
  <si>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</si>
  <si>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</si>
  <si>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</si>
  <si>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</si>
  <si>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</si>
  <si>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</si>
  <si>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</si>
  <si>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</si>
  <si>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</si>
  <si>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</si>
  <si>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</si>
  <si>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</si>
  <si>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</si>
  <si>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</si>
  <si>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</si>
  <si>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</si>
  <si>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</si>
  <si>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</si>
  <si>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</si>
  <si>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</si>
  <si>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</si>
  <si>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</si>
  <si>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</si>
  <si>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</si>
  <si>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</si>
  <si>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</si>
  <si>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</si>
  <si>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</si>
  <si>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</si>
  <si>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</si>
  <si>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</si>
  <si>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</si>
  <si>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</si>
  <si>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</si>
  <si>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</si>
  <si>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</si>
  <si>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</si>
  <si>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</si>
  <si>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</si>
  <si>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</si>
  <si>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</si>
  <si>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</si>
  <si>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</si>
  <si>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</si>
  <si>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</si>
  <si>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</si>
  <si>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</si>
  <si>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</si>
  <si>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</si>
  <si>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</si>
  <si>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</si>
  <si>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</si>
  <si>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</si>
  <si>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</si>
  <si>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</si>
  <si>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</si>
  <si>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</si>
  <si>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</si>
  <si>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</si>
  <si>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</si>
  <si>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</si>
  <si>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</si>
  <si>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</si>
  <si>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</si>
  <si>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</si>
  <si>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</si>
  <si>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</si>
  <si>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</si>
  <si>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</si>
  <si>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</si>
  <si>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</si>
  <si>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</si>
  <si>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</si>
  <si>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</si>
  <si>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</si>
  <si>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</si>
  <si>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</si>
  <si>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</si>
  <si>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</si>
  <si>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</si>
  <si>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</si>
  <si>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</si>
  <si>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</si>
  <si>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</si>
  <si>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</si>
  <si>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</si>
  <si>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</si>
  <si>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</si>
  <si>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</si>
  <si>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</si>
  <si>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</si>
  <si>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</si>
  <si>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</si>
  <si>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</si>
  <si>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</si>
  <si>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</si>
  <si>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</si>
  <si>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</si>
  <si>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</si>
  <si>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</si>
  <si>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</si>
  <si>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</si>
  <si>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</si>
  <si>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</si>
  <si>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</si>
  <si>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</si>
  <si>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</si>
  <si>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</si>
  <si>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</si>
  <si>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</si>
  <si>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</si>
  <si>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</si>
  <si>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</si>
  <si>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</si>
  <si>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</si>
  <si>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</si>
  <si>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</si>
  <si>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</si>
  <si>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</si>
  <si>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</si>
  <si>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</si>
  <si>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</si>
  <si>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</si>
  <si>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</si>
  <si>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</si>
  <si>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</si>
  <si>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</si>
  <si>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</si>
  <si>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</si>
  <si>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</si>
  <si>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</si>
  <si>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</si>
  <si>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</si>
  <si>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</si>
  <si>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</si>
  <si>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</si>
  <si>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</si>
  <si>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</si>
  <si>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</si>
  <si>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</si>
  <si>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</si>
  <si>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</si>
  <si>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</si>
  <si>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</si>
  <si>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</si>
  <si>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</si>
  <si>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</si>
  <si>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</si>
  <si>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</si>
  <si>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</si>
  <si>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</si>
  <si>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</si>
  <si>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</si>
  <si>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</si>
  <si>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</si>
  <si>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</si>
  <si>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</si>
  <si>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</si>
  <si>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</si>
  <si>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</si>
  <si>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</si>
  <si>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</si>
  <si>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</si>
  <si>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</si>
  <si>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</si>
  <si>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</si>
  <si>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</si>
  <si>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</si>
  <si>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</si>
  <si>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</si>
  <si>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</si>
  <si>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</si>
  <si>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</si>
  <si>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</si>
  <si>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</si>
  <si>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</si>
  <si>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</si>
  <si>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</si>
  <si>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</si>
  <si>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</si>
  <si>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</si>
  <si>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</si>
  <si>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</si>
  <si>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</si>
  <si>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</si>
  <si>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</si>
  <si>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</si>
  <si>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</si>
  <si>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</si>
  <si>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</si>
  <si>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</si>
  <si>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</si>
  <si>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</si>
  <si>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</si>
  <si>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</si>
  <si>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</si>
  <si>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</si>
  <si>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</si>
  <si>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</si>
  <si>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</si>
  <si>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</si>
  <si>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</si>
  <si>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</si>
  <si>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</si>
  <si>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</si>
  <si>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</si>
  <si>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</si>
  <si>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</si>
  <si>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</si>
  <si>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</si>
  <si>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</si>
  <si>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</si>
  <si>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</si>
  <si>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</si>
  <si>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</si>
  <si>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</si>
  <si>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</si>
  <si>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</si>
  <si>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</si>
  <si>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</si>
  <si>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</si>
  <si>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</si>
  <si>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</si>
  <si>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</si>
  <si>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</si>
  <si>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</si>
  <si>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</si>
  <si>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</si>
  <si>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</si>
  <si>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</si>
  <si>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</si>
  <si>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</si>
  <si>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</si>
  <si>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</si>
  <si>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</si>
  <si>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</si>
  <si>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</si>
  <si>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</si>
  <si>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</si>
  <si>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</si>
  <si>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</si>
  <si>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</si>
  <si>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</si>
  <si>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</si>
  <si>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</si>
  <si>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</si>
  <si>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</si>
  <si>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</si>
  <si>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</si>
  <si>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</si>
  <si>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</si>
  <si>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</si>
  <si>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</si>
  <si>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</si>
  <si>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</si>
  <si>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</si>
  <si>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</si>
  <si>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</si>
  <si>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</si>
  <si>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</si>
  <si>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</si>
  <si>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</si>
  <si>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</si>
  <si>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</si>
  <si>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</si>
  <si>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</si>
  <si>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</si>
  <si>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</si>
  <si>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</si>
  <si>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</si>
  <si>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</si>
  <si>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</si>
  <si>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</si>
  <si>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</si>
  <si>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</si>
  <si>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</si>
  <si>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</si>
  <si>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</si>
  <si>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</si>
  <si>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</si>
  <si>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</si>
  <si>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</si>
  <si>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</si>
  <si>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</si>
  <si>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</si>
  <si>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</si>
  <si>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</si>
  <si>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</si>
  <si>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</si>
  <si>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</si>
  <si>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</si>
  <si>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</si>
  <si>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</si>
  <si>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</si>
  <si>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</si>
  <si>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</si>
  <si>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</si>
  <si>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</si>
  <si>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</si>
  <si>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</si>
  <si>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</si>
  <si>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</si>
  <si>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</si>
  <si>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</si>
  <si>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</si>
  <si>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</si>
  <si>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</si>
  <si>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</si>
  <si>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</si>
  <si>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</si>
  <si>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</si>
  <si>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</si>
  <si>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</si>
  <si>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</si>
  <si>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</si>
  <si>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</si>
  <si>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</si>
  <si>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</si>
  <si>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</si>
  <si>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</si>
  <si>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</si>
  <si>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</si>
  <si>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</si>
  <si>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</si>
  <si>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</si>
  <si>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</si>
  <si>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</si>
  <si>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</si>
  <si>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</si>
  <si>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</si>
  <si>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</si>
  <si>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</si>
  <si>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</si>
  <si>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</si>
  <si>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</si>
  <si>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</si>
  <si>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</si>
  <si>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</si>
  <si>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</si>
  <si>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</si>
  <si>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</si>
  <si>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</si>
  <si>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</si>
  <si>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</si>
  <si>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</si>
  <si>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</si>
  <si>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</si>
  <si>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</si>
  <si>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</si>
  <si>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</si>
  <si>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</si>
  <si>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</si>
  <si>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</si>
  <si>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</si>
  <si>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</si>
  <si>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</si>
  <si>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</si>
  <si>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</si>
  <si>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</si>
  <si>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</si>
  <si>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</si>
  <si>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</si>
  <si>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</si>
  <si>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</si>
  <si>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</si>
  <si>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</si>
  <si>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</si>
  <si>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</si>
  <si>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</si>
  <si>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</si>
  <si>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</si>
  <si>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</si>
  <si>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</si>
  <si>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</si>
  <si>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</si>
  <si>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</si>
  <si>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</si>
  <si>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</si>
  <si>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</si>
  <si>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</si>
  <si>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</si>
  <si>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</si>
  <si>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</si>
  <si>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</si>
  <si>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</si>
  <si>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</si>
  <si>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</si>
  <si>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</si>
  <si>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</si>
  <si>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</si>
  <si>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</si>
  <si>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</si>
  <si>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</si>
  <si>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</si>
  <si>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</si>
  <si>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</si>
  <si>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</si>
  <si>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</si>
  <si>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</si>
  <si>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</si>
  <si>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</si>
  <si>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</si>
  <si>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</si>
  <si>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Guaianases</t>
  </si>
  <si>
    <t>01/04/2026</t>
  </si>
  <si>
    <t>30/04/2026</t>
  </si>
  <si>
    <t>NORMAL</t>
  </si>
  <si>
    <t>EMEI</t>
  </si>
  <si>
    <t>G</t>
  </si>
  <si>
    <t>EMEF</t>
  </si>
  <si>
    <t>EMEE</t>
  </si>
  <si>
    <t>CEI</t>
  </si>
  <si>
    <t>ADAPTADO</t>
  </si>
  <si>
    <t>GE</t>
  </si>
  <si>
    <t>ELQ6206</t>
  </si>
  <si>
    <t>Ajuste positivo referente a desconto indevido de recesso do mês de MARÇO/2026</t>
  </si>
  <si>
    <t>019.832-00</t>
  </si>
  <si>
    <t>2022/0031800-001</t>
  </si>
  <si>
    <t>2022/0031800</t>
  </si>
  <si>
    <t>DJB1584</t>
  </si>
  <si>
    <t>017.554-00</t>
  </si>
  <si>
    <t>2022/0029218-001</t>
  </si>
  <si>
    <t>2022/0029218</t>
  </si>
  <si>
    <t>CZX5065</t>
  </si>
  <si>
    <t>001.119-00</t>
  </si>
  <si>
    <t>2023/0026116-001</t>
  </si>
  <si>
    <t>2023/0026116</t>
  </si>
  <si>
    <t>DTD4303</t>
  </si>
  <si>
    <t>034.861-00</t>
  </si>
  <si>
    <t>2022/0033315-001A</t>
  </si>
  <si>
    <t>2022/0033315</t>
  </si>
  <si>
    <t>FQH5J83</t>
  </si>
  <si>
    <t>020.989-00</t>
  </si>
  <si>
    <t>2022/0034309-001B</t>
  </si>
  <si>
    <t>2022/0034309</t>
  </si>
  <si>
    <t>FRC8739</t>
  </si>
  <si>
    <t>017.507-00</t>
  </si>
  <si>
    <t>2022/0032326-001</t>
  </si>
  <si>
    <t>2022/0032326</t>
  </si>
  <si>
    <t>ECT4953</t>
  </si>
  <si>
    <t>030.526-00</t>
  </si>
  <si>
    <t>2023/0024580-001</t>
  </si>
  <si>
    <t>2023/0024580</t>
  </si>
  <si>
    <t>DTE2230</t>
  </si>
  <si>
    <t>038.961-00</t>
  </si>
  <si>
    <t>2022/0029260-001A</t>
  </si>
  <si>
    <t>2022/0029260</t>
  </si>
  <si>
    <t>FXE1C10</t>
  </si>
  <si>
    <t>015.661-00</t>
  </si>
  <si>
    <t>2023/0015338-001B</t>
  </si>
  <si>
    <t>2023/0015338</t>
  </si>
  <si>
    <t>DMG7186</t>
  </si>
  <si>
    <t>014.300-00</t>
  </si>
  <si>
    <t>2023/0024108-001</t>
  </si>
  <si>
    <t>2023/0024108</t>
  </si>
  <si>
    <t>DTD3001</t>
  </si>
  <si>
    <t>014.386-00</t>
  </si>
  <si>
    <t>2022/0029282-001</t>
  </si>
  <si>
    <t>2022/0029282</t>
  </si>
  <si>
    <t>EUV7153</t>
  </si>
  <si>
    <t>019.568-00</t>
  </si>
  <si>
    <t>2022/0032072-001</t>
  </si>
  <si>
    <t>2022/0032072</t>
  </si>
  <si>
    <t>CZX8751</t>
  </si>
  <si>
    <t>018.052-00</t>
  </si>
  <si>
    <t>2022/0029586-001</t>
  </si>
  <si>
    <t>2022/0029586</t>
  </si>
  <si>
    <t>FTG7519</t>
  </si>
  <si>
    <t>019.232-00</t>
  </si>
  <si>
    <t>2022/0036886-001</t>
  </si>
  <si>
    <t>2022/0036886</t>
  </si>
  <si>
    <t>CZX8905</t>
  </si>
  <si>
    <t>037.047-00</t>
  </si>
  <si>
    <t>2023/0026583-001</t>
  </si>
  <si>
    <t>2023/0026583</t>
  </si>
  <si>
    <t>DTD2868</t>
  </si>
  <si>
    <t>021.099-00</t>
  </si>
  <si>
    <t>2023/0025327-001</t>
  </si>
  <si>
    <t>2023/0025327</t>
  </si>
  <si>
    <t>DTB5538</t>
  </si>
  <si>
    <t>031.735-00</t>
  </si>
  <si>
    <t>2022/0031049-001</t>
  </si>
  <si>
    <t>2022/0031049</t>
  </si>
  <si>
    <t>DTD9110</t>
  </si>
  <si>
    <t>017.928-00</t>
  </si>
  <si>
    <t>2023/0026599-001</t>
  </si>
  <si>
    <t>2023/0026599</t>
  </si>
  <si>
    <t>DZX5134</t>
  </si>
  <si>
    <t>040.333-00</t>
  </si>
  <si>
    <t>2022/0024483-001</t>
  </si>
  <si>
    <t>2022/0024483</t>
  </si>
  <si>
    <t>EXO0054</t>
  </si>
  <si>
    <t>033.607-00</t>
  </si>
  <si>
    <t>2022/0032080-001A</t>
  </si>
  <si>
    <t>2022/0032080</t>
  </si>
  <si>
    <t>FTA7443</t>
  </si>
  <si>
    <t>030.828-00-c</t>
  </si>
  <si>
    <t>2022/0032974-001A</t>
  </si>
  <si>
    <t>2022/0032974</t>
  </si>
  <si>
    <t>035.756-00</t>
  </si>
  <si>
    <t>2023/0026505-001</t>
  </si>
  <si>
    <t>2023/0026505</t>
  </si>
  <si>
    <t>ESU3706</t>
  </si>
  <si>
    <t>045.102-00</t>
  </si>
  <si>
    <t>2023/0012487-001</t>
  </si>
  <si>
    <t>2023/0012487</t>
  </si>
  <si>
    <t>EJG1638</t>
  </si>
  <si>
    <t>021.294-00</t>
  </si>
  <si>
    <t>2022/0036852-001B</t>
  </si>
  <si>
    <t>2022/0036852</t>
  </si>
  <si>
    <t>CZX8729</t>
  </si>
  <si>
    <t>019.162-00</t>
  </si>
  <si>
    <t>2022/0032151-001A</t>
  </si>
  <si>
    <t>2022/0032151</t>
  </si>
  <si>
    <t>EPU7197</t>
  </si>
  <si>
    <t>018.643-00</t>
  </si>
  <si>
    <t>2022/0029876-001</t>
  </si>
  <si>
    <t>2022/0029876</t>
  </si>
  <si>
    <t>CMW8691</t>
  </si>
  <si>
    <t>039.320-00</t>
  </si>
  <si>
    <t>2022/0031745-001</t>
  </si>
  <si>
    <t>2022/0031745</t>
  </si>
  <si>
    <t>EUG7358</t>
  </si>
  <si>
    <t>035.030-00</t>
  </si>
  <si>
    <t>2022/0027509-001A</t>
  </si>
  <si>
    <t>2022/0027509</t>
  </si>
  <si>
    <t>SWD8I58</t>
  </si>
  <si>
    <t>030.189-00</t>
  </si>
  <si>
    <t>2022/0026857-001</t>
  </si>
  <si>
    <t>2022/0026857</t>
  </si>
  <si>
    <t>ELW7582</t>
  </si>
  <si>
    <t>022.950-00</t>
  </si>
  <si>
    <t>2022/0031365-001</t>
  </si>
  <si>
    <t>2022/0031365</t>
  </si>
  <si>
    <t>EFV4786</t>
  </si>
  <si>
    <t>035.086-00</t>
  </si>
  <si>
    <t>2022/0033035-001</t>
  </si>
  <si>
    <t>2022/0033035</t>
  </si>
  <si>
    <t>EZF1779</t>
  </si>
  <si>
    <t>043.979-00</t>
  </si>
  <si>
    <t>2022/0026142-001</t>
  </si>
  <si>
    <t>2022/0026142</t>
  </si>
  <si>
    <t>DVT5316</t>
  </si>
  <si>
    <t>029.919-00</t>
  </si>
  <si>
    <t>2022/0032278-001C</t>
  </si>
  <si>
    <t>2022/0032278</t>
  </si>
  <si>
    <t>EQC0F08</t>
  </si>
  <si>
    <t>034.187-00</t>
  </si>
  <si>
    <t>2022/0026954-001B</t>
  </si>
  <si>
    <t>2022/0026954</t>
  </si>
  <si>
    <t>FCB6497</t>
  </si>
  <si>
    <t>018.521-00</t>
  </si>
  <si>
    <t>2023/0030044-001</t>
  </si>
  <si>
    <t>2023/0030044</t>
  </si>
  <si>
    <t>DTC1076</t>
  </si>
  <si>
    <t>045.312-00</t>
  </si>
  <si>
    <t>2025/0012259-001</t>
  </si>
  <si>
    <t>2025/0012259</t>
  </si>
  <si>
    <t>FYB7439</t>
  </si>
  <si>
    <t>021.147-00</t>
  </si>
  <si>
    <t>2022/0034377-001</t>
  </si>
  <si>
    <t>2022/0034377</t>
  </si>
  <si>
    <t>DJF8557</t>
  </si>
  <si>
    <t>010.782-00</t>
  </si>
  <si>
    <t>2023/0017786-001A</t>
  </si>
  <si>
    <t>2023/0017786</t>
  </si>
  <si>
    <t>NXX1287</t>
  </si>
  <si>
    <t>040.332-00</t>
  </si>
  <si>
    <t>2022/0024641-001</t>
  </si>
  <si>
    <t>2022/0024641</t>
  </si>
  <si>
    <t>LUW4J25</t>
  </si>
  <si>
    <t>6020.2022/0031800-9</t>
  </si>
  <si>
    <t>6020.2022/0029218-2</t>
  </si>
  <si>
    <t>6020.2023/0026116-5</t>
  </si>
  <si>
    <t>6020.2022/0033315-6</t>
  </si>
  <si>
    <t>6020.2022/0034309-7</t>
  </si>
  <si>
    <t>6020.2022/0032326-6</t>
  </si>
  <si>
    <t>6020.2023/0024580-1</t>
  </si>
  <si>
    <t>6020.2022/0029260-3</t>
  </si>
  <si>
    <t>6020.2023/0015338-9</t>
  </si>
  <si>
    <t>6020.2023/0024108-3</t>
  </si>
  <si>
    <t>6020.2022/0029282-4</t>
  </si>
  <si>
    <t>6020.2022/0032072-0</t>
  </si>
  <si>
    <t>6020.2022/0029586-6</t>
  </si>
  <si>
    <t>6020.2022/0036886-3</t>
  </si>
  <si>
    <t>6020.2023/0026583-7</t>
  </si>
  <si>
    <t>6020.2023/0025327-8</t>
  </si>
  <si>
    <t>6020.2022/0031049-0</t>
  </si>
  <si>
    <t>6020.2023/0026599-3</t>
  </si>
  <si>
    <t>6020.2022/0024483-8</t>
  </si>
  <si>
    <t>6020.2022/0032080-1</t>
  </si>
  <si>
    <t>6020.2022/0032974-4</t>
  </si>
  <si>
    <t>6020.2023/0026505-5</t>
  </si>
  <si>
    <t>6020.2023/0012487-7</t>
  </si>
  <si>
    <t>6020.2022/0036852-9</t>
  </si>
  <si>
    <t>6020.2022/0032151-4</t>
  </si>
  <si>
    <t>6020.2022/0029876-8</t>
  </si>
  <si>
    <t>6020.2022/0031745-2</t>
  </si>
  <si>
    <t>6020.2022/0027509-1</t>
  </si>
  <si>
    <t>6020.2022/0026857-5</t>
  </si>
  <si>
    <t>6020.2022/0031365-1</t>
  </si>
  <si>
    <t>6020.2022/0033035-1</t>
  </si>
  <si>
    <t>6020.2022/0026142-2</t>
  </si>
  <si>
    <t>6020.2022/0032278-2</t>
  </si>
  <si>
    <t>6020.2022/0026954-7</t>
  </si>
  <si>
    <t>6020.2023/0030044-6</t>
  </si>
  <si>
    <t>6020.2025/0012259-2</t>
  </si>
  <si>
    <t>6020.2022/0034377-1</t>
  </si>
  <si>
    <t>6020.2023/0017786-5</t>
  </si>
  <si>
    <t>6020.2022/0024641-5</t>
  </si>
  <si>
    <t>903.221.348-20</t>
  </si>
  <si>
    <t>763.850.198-53</t>
  </si>
  <si>
    <t>065.762.018-18</t>
  </si>
  <si>
    <t>379.623.038-59</t>
  </si>
  <si>
    <t>073.135.718-36</t>
  </si>
  <si>
    <t>770.881.908-34</t>
  </si>
  <si>
    <t>295.127.768-71</t>
  </si>
  <si>
    <t>299.324.438-83</t>
  </si>
  <si>
    <t>074.486.978-11</t>
  </si>
  <si>
    <t>142.553.848-78</t>
  </si>
  <si>
    <t>113.468.308-19</t>
  </si>
  <si>
    <t>186.935.608-08</t>
  </si>
  <si>
    <t>127.184.278-50</t>
  </si>
  <si>
    <t>766.654.378-68</t>
  </si>
  <si>
    <t>338.493.288-99</t>
  </si>
  <si>
    <t>124.861.108-01</t>
  </si>
  <si>
    <t>280.925.818-00</t>
  </si>
  <si>
    <t>860.459.466-34</t>
  </si>
  <si>
    <t>312.819.248-06</t>
  </si>
  <si>
    <t>298.070.248-03</t>
  </si>
  <si>
    <t>053.658.448-66</t>
  </si>
  <si>
    <t>220.734.198-44</t>
  </si>
  <si>
    <t>446.111.578-06</t>
  </si>
  <si>
    <t>050.885.928-09</t>
  </si>
  <si>
    <t>275.808.928-98</t>
  </si>
  <si>
    <t>888.421.694-04</t>
  </si>
  <si>
    <t>186.122.908-99</t>
  </si>
  <si>
    <t>128.015.288-54</t>
  </si>
  <si>
    <t>321.327.958-78</t>
  </si>
  <si>
    <t>215.648.068-04</t>
  </si>
  <si>
    <t>134.773.998-03</t>
  </si>
  <si>
    <t>011.715.723-60</t>
  </si>
  <si>
    <t>116.540.298-07</t>
  </si>
  <si>
    <t>314.172.108-42</t>
  </si>
  <si>
    <t>060.091.398-80</t>
  </si>
  <si>
    <t>444.008.978-00</t>
  </si>
  <si>
    <t>021.340.288-23</t>
  </si>
  <si>
    <t>102.955.408-00</t>
  </si>
  <si>
    <t>225.027.468-17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</si>
</sst>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47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263"/>
  <sheetViews>
    <sheetView showGridLines="0" zoomScale="85" zoomScaleNormal="85" workbookViewId="0">
      <selection activeCell="Q196" sqref="Q196:EO20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3181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3182</v>
      </c>
      <c r="G5" s="366" t="s">
        <v>3183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3194</v>
      </c>
      <c r="B6" s="522" t="s">
        <v>3195</v>
      </c>
      <c r="C6" s="523">
        <v>1</v>
      </c>
      <c r="D6" s="524" t="s">
        <v>3196</v>
      </c>
      <c r="E6" s="524" t="s">
        <v>3197</v>
      </c>
      <c r="F6" s="525" t="s">
        <v>3182</v>
      </c>
      <c r="G6" s="525" t="s">
        <v>3183</v>
      </c>
      <c r="H6" s="350" t="s">
        <v>1475</v>
      </c>
      <c r="I6" s="351" t="s">
        <v>1475</v>
      </c>
      <c r="J6" s="409" t="s">
        <v>3184</v>
      </c>
      <c r="K6" s="410" t="s">
        <v>3185</v>
      </c>
      <c r="L6" s="329">
        <f>CONTINUA!BV6</f>
        <v>0</v>
      </c>
      <c r="M6" s="329">
        <f>CONTINUA!BW6</f>
        <v>0</v>
      </c>
      <c r="N6" s="342"/>
      <c r="O6" s="288" t="s">
        <v>3349</v>
      </c>
      <c r="P6" s="330">
        <v>0</v>
      </c>
      <c r="Q6" s="400">
        <v>4</v>
      </c>
      <c r="R6" s="401"/>
      <c r="S6" s="400">
        <v>0</v>
      </c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4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4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21746.03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21746.03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21746.03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3194</v>
      </c>
      <c r="B7" s="369" t="s">
        <v>3195</v>
      </c>
      <c r="C7" s="370" t="s">
        <v>3186</v>
      </c>
      <c r="D7" s="371" t="s">
        <v>3196</v>
      </c>
      <c r="E7" s="371" t="s">
        <v>3197</v>
      </c>
      <c r="F7" s="372" t="s">
        <v>3182</v>
      </c>
      <c r="G7" s="372" t="s">
        <v>3183</v>
      </c>
      <c r="H7" s="373" t="s">
        <v>1475</v>
      </c>
      <c r="I7" s="374" t="s">
        <v>1475</v>
      </c>
      <c r="J7" s="421" t="s">
        <v>3184</v>
      </c>
      <c r="K7" s="421" t="s">
        <v>3187</v>
      </c>
      <c r="L7" s="329">
        <f>CONTINUA!BV7</f>
        <v>0</v>
      </c>
      <c r="M7" s="329">
        <f>CONTINUA!BW7</f>
        <v>0</v>
      </c>
      <c r="N7" s="342"/>
      <c r="O7" s="289" t="s">
        <v>3349</v>
      </c>
      <c r="P7" s="330">
        <v>0</v>
      </c>
      <c r="Q7" s="400">
        <v>49</v>
      </c>
      <c r="R7" s="401"/>
      <c r="S7" s="400">
        <v>0</v>
      </c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49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49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3194</v>
      </c>
      <c r="B8" s="369" t="s">
        <v>3195</v>
      </c>
      <c r="C8" s="375" t="s">
        <v>3186</v>
      </c>
      <c r="D8" s="371" t="s">
        <v>3196</v>
      </c>
      <c r="E8" s="371" t="s">
        <v>3197</v>
      </c>
      <c r="F8" s="376" t="s">
        <v>3182</v>
      </c>
      <c r="G8" s="376" t="s">
        <v>3183</v>
      </c>
      <c r="H8" s="373" t="s">
        <v>1475</v>
      </c>
      <c r="I8" s="374" t="s">
        <v>1475</v>
      </c>
      <c r="J8" s="421" t="s">
        <v>3184</v>
      </c>
      <c r="K8" s="422" t="s">
        <v>3188</v>
      </c>
      <c r="L8" s="329">
        <f>CONTINUA!BV8</f>
        <v>0</v>
      </c>
      <c r="M8" s="329">
        <f>CONTINUA!BW8</f>
        <v>0</v>
      </c>
      <c r="N8" s="342"/>
      <c r="O8" s="289" t="s">
        <v>3349</v>
      </c>
      <c r="P8" s="330">
        <v>0</v>
      </c>
      <c r="Q8" s="400">
        <v>0</v>
      </c>
      <c r="R8" s="401"/>
      <c r="S8" s="400">
        <v>0</v>
      </c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3194</v>
      </c>
      <c r="B9" s="369" t="s">
        <v>3195</v>
      </c>
      <c r="C9" s="375" t="s">
        <v>3186</v>
      </c>
      <c r="D9" s="371" t="s">
        <v>3196</v>
      </c>
      <c r="E9" s="371" t="s">
        <v>3197</v>
      </c>
      <c r="F9" s="376" t="s">
        <v>3182</v>
      </c>
      <c r="G9" s="376" t="s">
        <v>3183</v>
      </c>
      <c r="H9" s="373" t="s">
        <v>1475</v>
      </c>
      <c r="I9" s="374" t="s">
        <v>1475</v>
      </c>
      <c r="J9" s="421" t="s">
        <v>3184</v>
      </c>
      <c r="K9" s="423" t="s">
        <v>3189</v>
      </c>
      <c r="L9" s="329">
        <f>CONTINUA!BV9</f>
        <v>0</v>
      </c>
      <c r="M9" s="329">
        <f>CONTINUA!BW9</f>
        <v>0</v>
      </c>
      <c r="N9" s="342"/>
      <c r="O9" s="289" t="s">
        <v>3349</v>
      </c>
      <c r="P9" s="330">
        <v>0</v>
      </c>
      <c r="Q9" s="400">
        <v>0</v>
      </c>
      <c r="R9" s="401"/>
      <c r="S9" s="400">
        <v>0</v>
      </c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3194</v>
      </c>
      <c r="B10" s="378" t="s">
        <v>3195</v>
      </c>
      <c r="C10" s="379" t="s">
        <v>3186</v>
      </c>
      <c r="D10" s="380" t="s">
        <v>3196</v>
      </c>
      <c r="E10" s="380" t="s">
        <v>3197</v>
      </c>
      <c r="F10" s="381" t="s">
        <v>3182</v>
      </c>
      <c r="G10" s="381" t="s">
        <v>3183</v>
      </c>
      <c r="H10" s="382" t="s">
        <v>1475</v>
      </c>
      <c r="I10" s="383" t="s">
        <v>1475</v>
      </c>
      <c r="J10" s="421" t="s">
        <v>3184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3349</v>
      </c>
      <c r="P10" s="330">
        <v>0</v>
      </c>
      <c r="Q10" s="400">
        <v>0</v>
      </c>
      <c r="R10" s="401"/>
      <c r="S10" s="400">
        <v>0</v>
      </c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3198</v>
      </c>
      <c r="B11" s="522" t="s">
        <v>3199</v>
      </c>
      <c r="C11" s="523">
        <v>1</v>
      </c>
      <c r="D11" s="524" t="s">
        <v>3200</v>
      </c>
      <c r="E11" s="524" t="s">
        <v>3201</v>
      </c>
      <c r="F11" s="525" t="s">
        <v>3182</v>
      </c>
      <c r="G11" s="525" t="s">
        <v>3183</v>
      </c>
      <c r="H11" s="350" t="s">
        <v>1478</v>
      </c>
      <c r="I11" s="351" t="s">
        <v>1478</v>
      </c>
      <c r="J11" s="409" t="s">
        <v>3184</v>
      </c>
      <c r="K11" s="410" t="s">
        <v>3185</v>
      </c>
      <c r="L11" s="329">
        <f>CONTINUA!BV11</f>
        <v>0</v>
      </c>
      <c r="M11" s="329">
        <f>CONTINUA!BW11</f>
        <v>0</v>
      </c>
      <c r="N11" s="895"/>
      <c r="O11" s="896" t="s">
        <v>3350</v>
      </c>
      <c r="P11" s="897">
        <v>0</v>
      </c>
      <c r="Q11" s="400">
        <v>19</v>
      </c>
      <c r="R11" s="401"/>
      <c r="S11" s="400">
        <v>0</v>
      </c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19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19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10959.59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10959.59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10959.59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3198</v>
      </c>
      <c r="B12" s="369" t="s">
        <v>3199</v>
      </c>
      <c r="C12" s="370" t="s">
        <v>3186</v>
      </c>
      <c r="D12" s="371" t="s">
        <v>3200</v>
      </c>
      <c r="E12" s="371" t="s">
        <v>3201</v>
      </c>
      <c r="F12" s="372" t="s">
        <v>3182</v>
      </c>
      <c r="G12" s="372" t="s">
        <v>3183</v>
      </c>
      <c r="H12" s="373" t="s">
        <v>1478</v>
      </c>
      <c r="I12" s="374" t="s">
        <v>1478</v>
      </c>
      <c r="J12" s="421" t="s">
        <v>3184</v>
      </c>
      <c r="K12" s="421" t="s">
        <v>3187</v>
      </c>
      <c r="L12" s="329">
        <f>CONTINUA!BV12</f>
        <v>0</v>
      </c>
      <c r="M12" s="329">
        <f>CONTINUA!BW12</f>
        <v>0</v>
      </c>
      <c r="N12" s="895"/>
      <c r="O12" s="896" t="s">
        <v>3350</v>
      </c>
      <c r="P12" s="897">
        <v>0</v>
      </c>
      <c r="Q12" s="400">
        <v>6</v>
      </c>
      <c r="R12" s="401"/>
      <c r="S12" s="400">
        <v>0</v>
      </c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6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6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3198</v>
      </c>
      <c r="B13" s="369" t="s">
        <v>3199</v>
      </c>
      <c r="C13" s="375" t="s">
        <v>3186</v>
      </c>
      <c r="D13" s="371" t="s">
        <v>3200</v>
      </c>
      <c r="E13" s="371" t="s">
        <v>3201</v>
      </c>
      <c r="F13" s="376" t="s">
        <v>3182</v>
      </c>
      <c r="G13" s="376" t="s">
        <v>3183</v>
      </c>
      <c r="H13" s="373" t="s">
        <v>1478</v>
      </c>
      <c r="I13" s="374" t="s">
        <v>1478</v>
      </c>
      <c r="J13" s="421" t="s">
        <v>3184</v>
      </c>
      <c r="K13" s="422" t="s">
        <v>3188</v>
      </c>
      <c r="L13" s="329">
        <f>CONTINUA!BV13</f>
        <v>0</v>
      </c>
      <c r="M13" s="329">
        <f>CONTINUA!BW13</f>
        <v>0</v>
      </c>
      <c r="N13" s="895"/>
      <c r="O13" s="896" t="s">
        <v>3350</v>
      </c>
      <c r="P13" s="897">
        <v>0</v>
      </c>
      <c r="Q13" s="400">
        <v>0</v>
      </c>
      <c r="R13" s="401"/>
      <c r="S13" s="400">
        <v>0</v>
      </c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3198</v>
      </c>
      <c r="B14" s="369" t="s">
        <v>3199</v>
      </c>
      <c r="C14" s="375" t="s">
        <v>3186</v>
      </c>
      <c r="D14" s="371" t="s">
        <v>3200</v>
      </c>
      <c r="E14" s="371" t="s">
        <v>3201</v>
      </c>
      <c r="F14" s="376" t="s">
        <v>3182</v>
      </c>
      <c r="G14" s="376" t="s">
        <v>3183</v>
      </c>
      <c r="H14" s="373" t="s">
        <v>1478</v>
      </c>
      <c r="I14" s="374" t="s">
        <v>1478</v>
      </c>
      <c r="J14" s="421" t="s">
        <v>3184</v>
      </c>
      <c r="K14" s="423" t="s">
        <v>3189</v>
      </c>
      <c r="L14" s="329">
        <f>CONTINUA!BV14</f>
        <v>0</v>
      </c>
      <c r="M14" s="329">
        <f>CONTINUA!BW14</f>
        <v>0</v>
      </c>
      <c r="N14" s="895"/>
      <c r="O14" s="896" t="s">
        <v>3350</v>
      </c>
      <c r="P14" s="897">
        <v>0</v>
      </c>
      <c r="Q14" s="400">
        <v>0</v>
      </c>
      <c r="R14" s="401"/>
      <c r="S14" s="400">
        <v>0</v>
      </c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3198</v>
      </c>
      <c r="B15" s="378" t="s">
        <v>3199</v>
      </c>
      <c r="C15" s="379" t="s">
        <v>3186</v>
      </c>
      <c r="D15" s="380" t="s">
        <v>3200</v>
      </c>
      <c r="E15" s="380" t="s">
        <v>3201</v>
      </c>
      <c r="F15" s="381" t="s">
        <v>3182</v>
      </c>
      <c r="G15" s="381" t="s">
        <v>3183</v>
      </c>
      <c r="H15" s="382" t="s">
        <v>1478</v>
      </c>
      <c r="I15" s="383" t="s">
        <v>1478</v>
      </c>
      <c r="J15" s="421" t="s">
        <v>3184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3350</v>
      </c>
      <c r="P15" s="897">
        <v>0</v>
      </c>
      <c r="Q15" s="400">
        <v>0</v>
      </c>
      <c r="R15" s="401"/>
      <c r="S15" s="400">
        <v>0</v>
      </c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3202</v>
      </c>
      <c r="B16" s="522" t="s">
        <v>3203</v>
      </c>
      <c r="C16" s="523">
        <v>1</v>
      </c>
      <c r="D16" s="524" t="s">
        <v>3204</v>
      </c>
      <c r="E16" s="524" t="s">
        <v>3205</v>
      </c>
      <c r="F16" s="525" t="s">
        <v>3182</v>
      </c>
      <c r="G16" s="525" t="s">
        <v>3183</v>
      </c>
      <c r="H16" s="350" t="s">
        <v>1482</v>
      </c>
      <c r="I16" s="351" t="s">
        <v>1482</v>
      </c>
      <c r="J16" s="409" t="s">
        <v>3184</v>
      </c>
      <c r="K16" s="410" t="s">
        <v>3185</v>
      </c>
      <c r="L16" s="329">
        <f>CONTINUA!BV16</f>
        <v>0</v>
      </c>
      <c r="M16" s="329">
        <f>CONTINUA!BW16</f>
        <v>0</v>
      </c>
      <c r="N16" s="895"/>
      <c r="O16" s="896" t="s">
        <v>3351</v>
      </c>
      <c r="P16" s="897">
        <v>0</v>
      </c>
      <c r="Q16" s="400">
        <v>0</v>
      </c>
      <c r="R16" s="401"/>
      <c r="S16" s="400">
        <v>0</v>
      </c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 t="s">
        <v>3193</v>
      </c>
      <c r="EM16" s="520">
        <v>141.251</v>
      </c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21746.03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22118.641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21746.03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141.251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3202</v>
      </c>
      <c r="B17" s="369" t="s">
        <v>3203</v>
      </c>
      <c r="C17" s="370" t="s">
        <v>3186</v>
      </c>
      <c r="D17" s="371" t="s">
        <v>3204</v>
      </c>
      <c r="E17" s="371" t="s">
        <v>3205</v>
      </c>
      <c r="F17" s="372" t="s">
        <v>3182</v>
      </c>
      <c r="G17" s="372" t="s">
        <v>3183</v>
      </c>
      <c r="H17" s="373" t="s">
        <v>1482</v>
      </c>
      <c r="I17" s="374" t="s">
        <v>1482</v>
      </c>
      <c r="J17" s="421" t="s">
        <v>3184</v>
      </c>
      <c r="K17" s="421" t="s">
        <v>3187</v>
      </c>
      <c r="L17" s="329">
        <f>CONTINUA!BV17</f>
        <v>24</v>
      </c>
      <c r="M17" s="329">
        <f>CONTINUA!BW17</f>
        <v>0</v>
      </c>
      <c r="N17" s="895"/>
      <c r="O17" s="896" t="s">
        <v>3351</v>
      </c>
      <c r="P17" s="897">
        <v>0</v>
      </c>
      <c r="Q17" s="400">
        <v>48</v>
      </c>
      <c r="R17" s="401"/>
      <c r="S17" s="400">
        <v>5</v>
      </c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48</v>
      </c>
      <c r="EQ17" s="171">
        <f t="shared" si="23"/>
        <v>0</v>
      </c>
      <c r="ER17" s="171">
        <f t="shared" si="24"/>
        <v>5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53</v>
      </c>
      <c r="EW17" s="173"/>
      <c r="EX17" s="248">
        <f t="shared" si="35"/>
        <v>0</v>
      </c>
      <c r="EY17" s="174">
        <f>(L17*regular)+(M17*Cadeirantee)</f>
        <v>231.36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3202</v>
      </c>
      <c r="B18" s="369" t="s">
        <v>3203</v>
      </c>
      <c r="C18" s="375" t="s">
        <v>3186</v>
      </c>
      <c r="D18" s="371" t="s">
        <v>3204</v>
      </c>
      <c r="E18" s="371" t="s">
        <v>3205</v>
      </c>
      <c r="F18" s="376" t="s">
        <v>3182</v>
      </c>
      <c r="G18" s="376" t="s">
        <v>3183</v>
      </c>
      <c r="H18" s="373" t="s">
        <v>1482</v>
      </c>
      <c r="I18" s="374" t="s">
        <v>1482</v>
      </c>
      <c r="J18" s="421" t="s">
        <v>3184</v>
      </c>
      <c r="K18" s="422" t="s">
        <v>3188</v>
      </c>
      <c r="L18" s="329">
        <f>CONTINUA!BV18</f>
        <v>0</v>
      </c>
      <c r="M18" s="329">
        <f>CONTINUA!BW18</f>
        <v>0</v>
      </c>
      <c r="N18" s="895"/>
      <c r="O18" s="896" t="s">
        <v>3351</v>
      </c>
      <c r="P18" s="897">
        <v>0</v>
      </c>
      <c r="Q18" s="400">
        <v>0</v>
      </c>
      <c r="R18" s="401"/>
      <c r="S18" s="400">
        <v>0</v>
      </c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3202</v>
      </c>
      <c r="B19" s="369" t="s">
        <v>3203</v>
      </c>
      <c r="C19" s="375" t="s">
        <v>3186</v>
      </c>
      <c r="D19" s="371" t="s">
        <v>3204</v>
      </c>
      <c r="E19" s="371" t="s">
        <v>3205</v>
      </c>
      <c r="F19" s="376" t="s">
        <v>3182</v>
      </c>
      <c r="G19" s="376" t="s">
        <v>3183</v>
      </c>
      <c r="H19" s="373" t="s">
        <v>1482</v>
      </c>
      <c r="I19" s="374" t="s">
        <v>1482</v>
      </c>
      <c r="J19" s="421" t="s">
        <v>3184</v>
      </c>
      <c r="K19" s="423" t="s">
        <v>3189</v>
      </c>
      <c r="L19" s="329">
        <f>CONTINUA!BV19</f>
        <v>0</v>
      </c>
      <c r="M19" s="329">
        <f>CONTINUA!BW19</f>
        <v>0</v>
      </c>
      <c r="N19" s="895"/>
      <c r="O19" s="896" t="s">
        <v>3351</v>
      </c>
      <c r="P19" s="897">
        <v>0</v>
      </c>
      <c r="Q19" s="400">
        <v>0</v>
      </c>
      <c r="R19" s="401"/>
      <c r="S19" s="400">
        <v>0</v>
      </c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3202</v>
      </c>
      <c r="B20" s="378" t="s">
        <v>3203</v>
      </c>
      <c r="C20" s="379" t="s">
        <v>3186</v>
      </c>
      <c r="D20" s="380" t="s">
        <v>3204</v>
      </c>
      <c r="E20" s="380" t="s">
        <v>3205</v>
      </c>
      <c r="F20" s="381" t="s">
        <v>3182</v>
      </c>
      <c r="G20" s="381" t="s">
        <v>3183</v>
      </c>
      <c r="H20" s="382" t="s">
        <v>1482</v>
      </c>
      <c r="I20" s="383" t="s">
        <v>1482</v>
      </c>
      <c r="J20" s="421" t="s">
        <v>3184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3351</v>
      </c>
      <c r="P20" s="897">
        <v>0</v>
      </c>
      <c r="Q20" s="400">
        <v>0</v>
      </c>
      <c r="R20" s="401"/>
      <c r="S20" s="400">
        <v>0</v>
      </c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3206</v>
      </c>
      <c r="B21" s="522" t="s">
        <v>3207</v>
      </c>
      <c r="C21" s="523">
        <v>1</v>
      </c>
      <c r="D21" s="524" t="s">
        <v>3208</v>
      </c>
      <c r="E21" s="524" t="s">
        <v>3209</v>
      </c>
      <c r="F21" s="525" t="s">
        <v>3182</v>
      </c>
      <c r="G21" s="525" t="s">
        <v>3183</v>
      </c>
      <c r="H21" s="350" t="s">
        <v>1483</v>
      </c>
      <c r="I21" s="351" t="s">
        <v>1483</v>
      </c>
      <c r="J21" s="409" t="s">
        <v>3184</v>
      </c>
      <c r="K21" s="410" t="s">
        <v>3185</v>
      </c>
      <c r="L21" s="329">
        <f>CONTINUA!BV21</f>
        <v>0</v>
      </c>
      <c r="M21" s="329">
        <f>CONTINUA!BW21</f>
        <v>0</v>
      </c>
      <c r="N21" s="895"/>
      <c r="O21" s="896" t="s">
        <v>3352</v>
      </c>
      <c r="P21" s="897">
        <v>0</v>
      </c>
      <c r="Q21" s="400">
        <v>0</v>
      </c>
      <c r="R21" s="401"/>
      <c r="S21" s="400">
        <v>0</v>
      </c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18664.190000000002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18818.430000000004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18664.190000000002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3206</v>
      </c>
      <c r="B22" s="369" t="s">
        <v>3207</v>
      </c>
      <c r="C22" s="370" t="s">
        <v>3186</v>
      </c>
      <c r="D22" s="371" t="s">
        <v>3208</v>
      </c>
      <c r="E22" s="371" t="s">
        <v>3209</v>
      </c>
      <c r="F22" s="372" t="s">
        <v>3182</v>
      </c>
      <c r="G22" s="372" t="s">
        <v>3183</v>
      </c>
      <c r="H22" s="373" t="s">
        <v>1483</v>
      </c>
      <c r="I22" s="374" t="s">
        <v>1483</v>
      </c>
      <c r="J22" s="421" t="s">
        <v>3184</v>
      </c>
      <c r="K22" s="421" t="s">
        <v>3187</v>
      </c>
      <c r="L22" s="329">
        <f>CONTINUA!BV22</f>
        <v>16</v>
      </c>
      <c r="M22" s="329">
        <f>CONTINUA!BW22</f>
        <v>0</v>
      </c>
      <c r="N22" s="895"/>
      <c r="O22" s="896" t="s">
        <v>3352</v>
      </c>
      <c r="P22" s="897">
        <v>0</v>
      </c>
      <c r="Q22" s="400">
        <v>45</v>
      </c>
      <c r="R22" s="401"/>
      <c r="S22" s="400">
        <v>0</v>
      </c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45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45</v>
      </c>
      <c r="EW22" s="173"/>
      <c r="EX22" s="248">
        <f t="shared" si="40"/>
        <v>0</v>
      </c>
      <c r="EY22" s="174">
        <f>(L22*regular)+(M22*Cadeirantee)</f>
        <v>154.24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3206</v>
      </c>
      <c r="B23" s="369" t="s">
        <v>3207</v>
      </c>
      <c r="C23" s="375" t="s">
        <v>3186</v>
      </c>
      <c r="D23" s="371" t="s">
        <v>3208</v>
      </c>
      <c r="E23" s="371" t="s">
        <v>3209</v>
      </c>
      <c r="F23" s="376" t="s">
        <v>3182</v>
      </c>
      <c r="G23" s="376" t="s">
        <v>3183</v>
      </c>
      <c r="H23" s="373" t="s">
        <v>1483</v>
      </c>
      <c r="I23" s="374" t="s">
        <v>1483</v>
      </c>
      <c r="J23" s="421" t="s">
        <v>3184</v>
      </c>
      <c r="K23" s="422" t="s">
        <v>3188</v>
      </c>
      <c r="L23" s="329">
        <f>CONTINUA!BV23</f>
        <v>0</v>
      </c>
      <c r="M23" s="329">
        <f>CONTINUA!BW23</f>
        <v>0</v>
      </c>
      <c r="N23" s="895"/>
      <c r="O23" s="896" t="s">
        <v>3352</v>
      </c>
      <c r="P23" s="897">
        <v>0</v>
      </c>
      <c r="Q23" s="400">
        <v>0</v>
      </c>
      <c r="R23" s="401"/>
      <c r="S23" s="400">
        <v>0</v>
      </c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3206</v>
      </c>
      <c r="B24" s="369" t="s">
        <v>3207</v>
      </c>
      <c r="C24" s="375" t="s">
        <v>3186</v>
      </c>
      <c r="D24" s="371" t="s">
        <v>3208</v>
      </c>
      <c r="E24" s="371" t="s">
        <v>3209</v>
      </c>
      <c r="F24" s="376" t="s">
        <v>3182</v>
      </c>
      <c r="G24" s="376" t="s">
        <v>3183</v>
      </c>
      <c r="H24" s="373" t="s">
        <v>1483</v>
      </c>
      <c r="I24" s="374" t="s">
        <v>1483</v>
      </c>
      <c r="J24" s="421" t="s">
        <v>3184</v>
      </c>
      <c r="K24" s="423" t="s">
        <v>3189</v>
      </c>
      <c r="L24" s="329">
        <f>CONTINUA!BV24</f>
        <v>0</v>
      </c>
      <c r="M24" s="329">
        <f>CONTINUA!BW24</f>
        <v>0</v>
      </c>
      <c r="N24" s="895"/>
      <c r="O24" s="896" t="s">
        <v>3352</v>
      </c>
      <c r="P24" s="897">
        <v>0</v>
      </c>
      <c r="Q24" s="400">
        <v>0</v>
      </c>
      <c r="R24" s="401"/>
      <c r="S24" s="400">
        <v>0</v>
      </c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3206</v>
      </c>
      <c r="B25" s="378" t="s">
        <v>3207</v>
      </c>
      <c r="C25" s="379" t="s">
        <v>3186</v>
      </c>
      <c r="D25" s="380" t="s">
        <v>3208</v>
      </c>
      <c r="E25" s="380" t="s">
        <v>3209</v>
      </c>
      <c r="F25" s="381" t="s">
        <v>3182</v>
      </c>
      <c r="G25" s="381" t="s">
        <v>3183</v>
      </c>
      <c r="H25" s="382" t="s">
        <v>1483</v>
      </c>
      <c r="I25" s="383" t="s">
        <v>1483</v>
      </c>
      <c r="J25" s="421" t="s">
        <v>3184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3352</v>
      </c>
      <c r="P25" s="897">
        <v>0</v>
      </c>
      <c r="Q25" s="400">
        <v>0</v>
      </c>
      <c r="R25" s="401"/>
      <c r="S25" s="400">
        <v>0</v>
      </c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3210</v>
      </c>
      <c r="B26" s="522" t="s">
        <v>3211</v>
      </c>
      <c r="C26" s="523">
        <v>2</v>
      </c>
      <c r="D26" s="524" t="s">
        <v>3212</v>
      </c>
      <c r="E26" s="524" t="s">
        <v>3213</v>
      </c>
      <c r="F26" s="525" t="s">
        <v>3182</v>
      </c>
      <c r="G26" s="525" t="s">
        <v>3183</v>
      </c>
      <c r="H26" s="350" t="s">
        <v>1485</v>
      </c>
      <c r="I26" s="351" t="s">
        <v>1485</v>
      </c>
      <c r="J26" s="409" t="s">
        <v>3190</v>
      </c>
      <c r="K26" s="410" t="s">
        <v>3185</v>
      </c>
      <c r="L26" s="329">
        <f>CONTINUA!BV26</f>
        <v>0</v>
      </c>
      <c r="M26" s="329">
        <f>CONTINUA!BW26</f>
        <v>0</v>
      </c>
      <c r="N26" s="895"/>
      <c r="O26" s="896" t="s">
        <v>3353</v>
      </c>
      <c r="P26" s="897">
        <v>0</v>
      </c>
      <c r="Q26" s="400">
        <v>0</v>
      </c>
      <c r="R26" s="401">
        <v>2</v>
      </c>
      <c r="S26" s="400">
        <v>0</v>
      </c>
      <c r="T26" s="401">
        <v>0</v>
      </c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 t="s">
        <v>3193</v>
      </c>
      <c r="EM26" s="520">
        <v>565.00400000000002</v>
      </c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2</v>
      </c>
      <c r="ET26" s="171">
        <f t="shared" si="26"/>
        <v>0</v>
      </c>
      <c r="EU26" s="171">
        <f t="shared" si="27"/>
        <v>0</v>
      </c>
      <c r="EV26" s="172">
        <f t="shared" si="28"/>
        <v>2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20054.88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20619.884000000002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20054.88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565.00400000000002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3210</v>
      </c>
      <c r="B27" s="369" t="s">
        <v>3211</v>
      </c>
      <c r="C27" s="370" t="s">
        <v>3186</v>
      </c>
      <c r="D27" s="371" t="s">
        <v>3212</v>
      </c>
      <c r="E27" s="371" t="s">
        <v>3213</v>
      </c>
      <c r="F27" s="372" t="s">
        <v>3182</v>
      </c>
      <c r="G27" s="372" t="s">
        <v>3183</v>
      </c>
      <c r="H27" s="373" t="s">
        <v>1485</v>
      </c>
      <c r="I27" s="374" t="s">
        <v>1485</v>
      </c>
      <c r="J27" s="421" t="s">
        <v>3190</v>
      </c>
      <c r="K27" s="421" t="s">
        <v>3187</v>
      </c>
      <c r="L27" s="329">
        <f>CONTINUA!BV27</f>
        <v>0</v>
      </c>
      <c r="M27" s="329">
        <f>CONTINUA!BW27</f>
        <v>0</v>
      </c>
      <c r="N27" s="895"/>
      <c r="O27" s="896" t="s">
        <v>3353</v>
      </c>
      <c r="P27" s="897">
        <v>0</v>
      </c>
      <c r="Q27" s="400">
        <v>14</v>
      </c>
      <c r="R27" s="401">
        <v>2</v>
      </c>
      <c r="S27" s="400">
        <v>8</v>
      </c>
      <c r="T27" s="401">
        <v>0</v>
      </c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14</v>
      </c>
      <c r="EQ27" s="171">
        <f t="shared" si="23"/>
        <v>0</v>
      </c>
      <c r="ER27" s="171">
        <f t="shared" si="24"/>
        <v>8</v>
      </c>
      <c r="ES27" s="171">
        <f t="shared" si="25"/>
        <v>2</v>
      </c>
      <c r="ET27" s="171">
        <f t="shared" si="26"/>
        <v>0</v>
      </c>
      <c r="EU27" s="171">
        <f t="shared" si="27"/>
        <v>0</v>
      </c>
      <c r="EV27" s="172">
        <f t="shared" si="28"/>
        <v>24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3210</v>
      </c>
      <c r="B28" s="369" t="s">
        <v>3211</v>
      </c>
      <c r="C28" s="375" t="s">
        <v>3186</v>
      </c>
      <c r="D28" s="371" t="s">
        <v>3212</v>
      </c>
      <c r="E28" s="371" t="s">
        <v>3213</v>
      </c>
      <c r="F28" s="376" t="s">
        <v>3182</v>
      </c>
      <c r="G28" s="376" t="s">
        <v>3183</v>
      </c>
      <c r="H28" s="373" t="s">
        <v>1485</v>
      </c>
      <c r="I28" s="374" t="s">
        <v>1485</v>
      </c>
      <c r="J28" s="421" t="s">
        <v>3190</v>
      </c>
      <c r="K28" s="422" t="s">
        <v>3188</v>
      </c>
      <c r="L28" s="329">
        <f>CONTINUA!BV28</f>
        <v>0</v>
      </c>
      <c r="M28" s="329">
        <f>CONTINUA!BW28</f>
        <v>0</v>
      </c>
      <c r="N28" s="895"/>
      <c r="O28" s="896" t="s">
        <v>3353</v>
      </c>
      <c r="P28" s="897">
        <v>0</v>
      </c>
      <c r="Q28" s="400">
        <v>0</v>
      </c>
      <c r="R28" s="401">
        <v>0</v>
      </c>
      <c r="S28" s="400">
        <v>0</v>
      </c>
      <c r="T28" s="401">
        <v>0</v>
      </c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3210</v>
      </c>
      <c r="B29" s="369" t="s">
        <v>3211</v>
      </c>
      <c r="C29" s="375" t="s">
        <v>3186</v>
      </c>
      <c r="D29" s="371" t="s">
        <v>3212</v>
      </c>
      <c r="E29" s="371" t="s">
        <v>3213</v>
      </c>
      <c r="F29" s="376" t="s">
        <v>3182</v>
      </c>
      <c r="G29" s="376" t="s">
        <v>3183</v>
      </c>
      <c r="H29" s="373" t="s">
        <v>1485</v>
      </c>
      <c r="I29" s="374" t="s">
        <v>1485</v>
      </c>
      <c r="J29" s="421" t="s">
        <v>3190</v>
      </c>
      <c r="K29" s="423" t="s">
        <v>3189</v>
      </c>
      <c r="L29" s="329">
        <f>CONTINUA!BV29</f>
        <v>0</v>
      </c>
      <c r="M29" s="329">
        <f>CONTINUA!BW29</f>
        <v>0</v>
      </c>
      <c r="N29" s="895"/>
      <c r="O29" s="896" t="s">
        <v>3353</v>
      </c>
      <c r="P29" s="897">
        <v>0</v>
      </c>
      <c r="Q29" s="400">
        <v>0</v>
      </c>
      <c r="R29" s="401">
        <v>0</v>
      </c>
      <c r="S29" s="400">
        <v>0</v>
      </c>
      <c r="T29" s="401">
        <v>0</v>
      </c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3210</v>
      </c>
      <c r="B30" s="378" t="s">
        <v>3211</v>
      </c>
      <c r="C30" s="379" t="s">
        <v>3186</v>
      </c>
      <c r="D30" s="380" t="s">
        <v>3212</v>
      </c>
      <c r="E30" s="380" t="s">
        <v>3213</v>
      </c>
      <c r="F30" s="381" t="s">
        <v>3182</v>
      </c>
      <c r="G30" s="381" t="s">
        <v>3183</v>
      </c>
      <c r="H30" s="382" t="s">
        <v>1485</v>
      </c>
      <c r="I30" s="383" t="s">
        <v>1485</v>
      </c>
      <c r="J30" s="421" t="s">
        <v>3190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3353</v>
      </c>
      <c r="P30" s="897">
        <v>0</v>
      </c>
      <c r="Q30" s="400">
        <v>0</v>
      </c>
      <c r="R30" s="401">
        <v>0</v>
      </c>
      <c r="S30" s="400">
        <v>0</v>
      </c>
      <c r="T30" s="401">
        <v>0</v>
      </c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3214</v>
      </c>
      <c r="B31" s="522" t="s">
        <v>3215</v>
      </c>
      <c r="C31" s="523">
        <v>2</v>
      </c>
      <c r="D31" s="524" t="s">
        <v>3216</v>
      </c>
      <c r="E31" s="524" t="s">
        <v>3217</v>
      </c>
      <c r="F31" s="525" t="s">
        <v>3182</v>
      </c>
      <c r="G31" s="525" t="s">
        <v>3183</v>
      </c>
      <c r="H31" s="350" t="s">
        <v>1488</v>
      </c>
      <c r="I31" s="351" t="s">
        <v>1488</v>
      </c>
      <c r="J31" s="409" t="s">
        <v>3190</v>
      </c>
      <c r="K31" s="410" t="s">
        <v>3185</v>
      </c>
      <c r="L31" s="329">
        <f>CONTINUA!BV31</f>
        <v>0</v>
      </c>
      <c r="M31" s="329">
        <f>CONTINUA!BW31</f>
        <v>4</v>
      </c>
      <c r="N31" s="895"/>
      <c r="O31" s="896" t="s">
        <v>3354</v>
      </c>
      <c r="P31" s="897">
        <v>0</v>
      </c>
      <c r="Q31" s="400">
        <v>0</v>
      </c>
      <c r="R31" s="401">
        <v>2</v>
      </c>
      <c r="S31" s="400">
        <v>0</v>
      </c>
      <c r="T31" s="401">
        <v>1</v>
      </c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0</v>
      </c>
      <c r="EQ31" s="171">
        <f t="shared" si="23"/>
        <v>0</v>
      </c>
      <c r="ER31" s="171">
        <f t="shared" si="24"/>
        <v>0</v>
      </c>
      <c r="ES31" s="171">
        <f t="shared" si="25"/>
        <v>2</v>
      </c>
      <c r="ET31" s="171">
        <f t="shared" si="26"/>
        <v>0</v>
      </c>
      <c r="EU31" s="171">
        <f t="shared" si="27"/>
        <v>1</v>
      </c>
      <c r="EV31" s="172">
        <f t="shared" si="28"/>
        <v>3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17475.77</v>
      </c>
      <c r="EY31" s="174">
        <f>(L31*regular)+(M31*Cadeirantee)</f>
        <v>224.8015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17816.251500000002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17475.77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3214</v>
      </c>
      <c r="B32" s="369" t="s">
        <v>3215</v>
      </c>
      <c r="C32" s="370" t="s">
        <v>3186</v>
      </c>
      <c r="D32" s="371" t="s">
        <v>3216</v>
      </c>
      <c r="E32" s="371" t="s">
        <v>3217</v>
      </c>
      <c r="F32" s="372" t="s">
        <v>3182</v>
      </c>
      <c r="G32" s="372" t="s">
        <v>3183</v>
      </c>
      <c r="H32" s="373" t="s">
        <v>1488</v>
      </c>
      <c r="I32" s="374" t="s">
        <v>1488</v>
      </c>
      <c r="J32" s="421" t="s">
        <v>3190</v>
      </c>
      <c r="K32" s="421" t="s">
        <v>3187</v>
      </c>
      <c r="L32" s="329">
        <f>CONTINUA!BV32</f>
        <v>12</v>
      </c>
      <c r="M32" s="329">
        <f>CONTINUA!BW32</f>
        <v>0</v>
      </c>
      <c r="N32" s="895"/>
      <c r="O32" s="896" t="s">
        <v>3354</v>
      </c>
      <c r="P32" s="897">
        <v>0</v>
      </c>
      <c r="Q32" s="400">
        <v>10</v>
      </c>
      <c r="R32" s="401">
        <v>2</v>
      </c>
      <c r="S32" s="400">
        <v>0</v>
      </c>
      <c r="T32" s="401">
        <v>0</v>
      </c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10</v>
      </c>
      <c r="EQ32" s="171">
        <f t="shared" si="23"/>
        <v>0</v>
      </c>
      <c r="ER32" s="171">
        <f t="shared" si="24"/>
        <v>0</v>
      </c>
      <c r="ES32" s="171">
        <f t="shared" si="25"/>
        <v>2</v>
      </c>
      <c r="ET32" s="171">
        <f t="shared" si="26"/>
        <v>0</v>
      </c>
      <c r="EU32" s="171">
        <f t="shared" si="27"/>
        <v>0</v>
      </c>
      <c r="EV32" s="172">
        <f t="shared" si="28"/>
        <v>12</v>
      </c>
      <c r="EW32" s="173"/>
      <c r="EX32" s="248">
        <f t="shared" si="50"/>
        <v>0</v>
      </c>
      <c r="EY32" s="174">
        <f>(L32*regular)+(M32*Cadeirantee)</f>
        <v>115.68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3214</v>
      </c>
      <c r="B33" s="369" t="s">
        <v>3215</v>
      </c>
      <c r="C33" s="375" t="s">
        <v>3186</v>
      </c>
      <c r="D33" s="371" t="s">
        <v>3216</v>
      </c>
      <c r="E33" s="371" t="s">
        <v>3217</v>
      </c>
      <c r="F33" s="376" t="s">
        <v>3182</v>
      </c>
      <c r="G33" s="376" t="s">
        <v>3183</v>
      </c>
      <c r="H33" s="373" t="s">
        <v>1488</v>
      </c>
      <c r="I33" s="374" t="s">
        <v>1488</v>
      </c>
      <c r="J33" s="421" t="s">
        <v>3190</v>
      </c>
      <c r="K33" s="422" t="s">
        <v>3188</v>
      </c>
      <c r="L33" s="329">
        <f>CONTINUA!BV33</f>
        <v>0</v>
      </c>
      <c r="M33" s="329">
        <f>CONTINUA!BW33</f>
        <v>0</v>
      </c>
      <c r="N33" s="895"/>
      <c r="O33" s="896" t="s">
        <v>3354</v>
      </c>
      <c r="P33" s="897">
        <v>0</v>
      </c>
      <c r="Q33" s="400">
        <v>0</v>
      </c>
      <c r="R33" s="401">
        <v>0</v>
      </c>
      <c r="S33" s="400">
        <v>0</v>
      </c>
      <c r="T33" s="401">
        <v>0</v>
      </c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3214</v>
      </c>
      <c r="B34" s="369" t="s">
        <v>3215</v>
      </c>
      <c r="C34" s="375" t="s">
        <v>3186</v>
      </c>
      <c r="D34" s="371" t="s">
        <v>3216</v>
      </c>
      <c r="E34" s="371" t="s">
        <v>3217</v>
      </c>
      <c r="F34" s="376" t="s">
        <v>3182</v>
      </c>
      <c r="G34" s="376" t="s">
        <v>3183</v>
      </c>
      <c r="H34" s="373" t="s">
        <v>1488</v>
      </c>
      <c r="I34" s="374" t="s">
        <v>1488</v>
      </c>
      <c r="J34" s="421" t="s">
        <v>3190</v>
      </c>
      <c r="K34" s="423" t="s">
        <v>3189</v>
      </c>
      <c r="L34" s="329">
        <f>CONTINUA!BV34</f>
        <v>0</v>
      </c>
      <c r="M34" s="329">
        <f>CONTINUA!BW34</f>
        <v>0</v>
      </c>
      <c r="N34" s="895"/>
      <c r="O34" s="896" t="s">
        <v>3354</v>
      </c>
      <c r="P34" s="897">
        <v>0</v>
      </c>
      <c r="Q34" s="400">
        <v>0</v>
      </c>
      <c r="R34" s="401">
        <v>0</v>
      </c>
      <c r="S34" s="400">
        <v>0</v>
      </c>
      <c r="T34" s="401">
        <v>0</v>
      </c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3214</v>
      </c>
      <c r="B35" s="378" t="s">
        <v>3215</v>
      </c>
      <c r="C35" s="379" t="s">
        <v>3186</v>
      </c>
      <c r="D35" s="380" t="s">
        <v>3216</v>
      </c>
      <c r="E35" s="380" t="s">
        <v>3217</v>
      </c>
      <c r="F35" s="381" t="s">
        <v>3182</v>
      </c>
      <c r="G35" s="381" t="s">
        <v>3183</v>
      </c>
      <c r="H35" s="382" t="s">
        <v>1488</v>
      </c>
      <c r="I35" s="383" t="s">
        <v>1488</v>
      </c>
      <c r="J35" s="421" t="s">
        <v>3190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3354</v>
      </c>
      <c r="P35" s="897">
        <v>0</v>
      </c>
      <c r="Q35" s="400">
        <v>0</v>
      </c>
      <c r="R35" s="401">
        <v>0</v>
      </c>
      <c r="S35" s="400">
        <v>0</v>
      </c>
      <c r="T35" s="401">
        <v>0</v>
      </c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3218</v>
      </c>
      <c r="B36" s="522" t="s">
        <v>3219</v>
      </c>
      <c r="C36" s="523">
        <v>2</v>
      </c>
      <c r="D36" s="524" t="s">
        <v>3220</v>
      </c>
      <c r="E36" s="524" t="s">
        <v>3221</v>
      </c>
      <c r="F36" s="525" t="s">
        <v>3182</v>
      </c>
      <c r="G36" s="525" t="s">
        <v>3183</v>
      </c>
      <c r="H36" s="350" t="s">
        <v>1489</v>
      </c>
      <c r="I36" s="351" t="s">
        <v>1489</v>
      </c>
      <c r="J36" s="409" t="s">
        <v>3190</v>
      </c>
      <c r="K36" s="410" t="s">
        <v>3185</v>
      </c>
      <c r="L36" s="329">
        <f>CONTINUA!BV36</f>
        <v>0</v>
      </c>
      <c r="M36" s="329">
        <f>CONTINUA!BW36</f>
        <v>0</v>
      </c>
      <c r="N36" s="895"/>
      <c r="O36" s="896" t="s">
        <v>3355</v>
      </c>
      <c r="P36" s="897">
        <v>0</v>
      </c>
      <c r="Q36" s="400">
        <v>0</v>
      </c>
      <c r="R36" s="401">
        <v>1</v>
      </c>
      <c r="S36" s="400">
        <v>0</v>
      </c>
      <c r="T36" s="401">
        <v>0</v>
      </c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 t="s">
        <v>3193</v>
      </c>
      <c r="EM36" s="520">
        <v>749.33833333333303</v>
      </c>
      <c r="EN36" s="520"/>
      <c r="EO36" s="520"/>
      <c r="EP36" s="171">
        <f t="shared" si="22"/>
        <v>0</v>
      </c>
      <c r="EQ36" s="171">
        <f t="shared" si="23"/>
        <v>0</v>
      </c>
      <c r="ER36" s="171">
        <f t="shared" si="24"/>
        <v>0</v>
      </c>
      <c r="ES36" s="171">
        <f t="shared" si="25"/>
        <v>1</v>
      </c>
      <c r="ET36" s="171">
        <f t="shared" si="26"/>
        <v>0</v>
      </c>
      <c r="EU36" s="171">
        <f t="shared" si="27"/>
        <v>0</v>
      </c>
      <c r="EV36" s="172">
        <f t="shared" si="28"/>
        <v>1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19552.150000000001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20494.288333333334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19552.150000000001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749.33833333333303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3218</v>
      </c>
      <c r="B37" s="369" t="s">
        <v>3219</v>
      </c>
      <c r="C37" s="370" t="s">
        <v>3186</v>
      </c>
      <c r="D37" s="371" t="s">
        <v>3220</v>
      </c>
      <c r="E37" s="371" t="s">
        <v>3221</v>
      </c>
      <c r="F37" s="372" t="s">
        <v>3182</v>
      </c>
      <c r="G37" s="372" t="s">
        <v>3183</v>
      </c>
      <c r="H37" s="373" t="s">
        <v>1489</v>
      </c>
      <c r="I37" s="374" t="s">
        <v>1489</v>
      </c>
      <c r="J37" s="421" t="s">
        <v>3190</v>
      </c>
      <c r="K37" s="421" t="s">
        <v>3187</v>
      </c>
      <c r="L37" s="329">
        <f>CONTINUA!BV37</f>
        <v>20</v>
      </c>
      <c r="M37" s="329">
        <f>CONTINUA!BW37</f>
        <v>0</v>
      </c>
      <c r="N37" s="895"/>
      <c r="O37" s="896" t="s">
        <v>3355</v>
      </c>
      <c r="P37" s="897">
        <v>0</v>
      </c>
      <c r="Q37" s="400">
        <v>18</v>
      </c>
      <c r="R37" s="401">
        <v>1</v>
      </c>
      <c r="S37" s="400">
        <v>8</v>
      </c>
      <c r="T37" s="401">
        <v>1</v>
      </c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18</v>
      </c>
      <c r="EQ37" s="171">
        <f t="shared" si="23"/>
        <v>0</v>
      </c>
      <c r="ER37" s="171">
        <f t="shared" si="24"/>
        <v>8</v>
      </c>
      <c r="ES37" s="171">
        <f t="shared" si="25"/>
        <v>1</v>
      </c>
      <c r="ET37" s="171">
        <f t="shared" si="26"/>
        <v>0</v>
      </c>
      <c r="EU37" s="171">
        <f t="shared" si="27"/>
        <v>1</v>
      </c>
      <c r="EV37" s="172">
        <f t="shared" si="28"/>
        <v>28</v>
      </c>
      <c r="EW37" s="173"/>
      <c r="EX37" s="248">
        <f t="shared" si="55"/>
        <v>0</v>
      </c>
      <c r="EY37" s="174">
        <f>(L37*regular)+(M37*Cadeirantee)</f>
        <v>192.8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3218</v>
      </c>
      <c r="B38" s="369" t="s">
        <v>3219</v>
      </c>
      <c r="C38" s="375" t="s">
        <v>3186</v>
      </c>
      <c r="D38" s="371" t="s">
        <v>3220</v>
      </c>
      <c r="E38" s="371" t="s">
        <v>3221</v>
      </c>
      <c r="F38" s="376" t="s">
        <v>3182</v>
      </c>
      <c r="G38" s="376" t="s">
        <v>3183</v>
      </c>
      <c r="H38" s="373" t="s">
        <v>1489</v>
      </c>
      <c r="I38" s="374" t="s">
        <v>1489</v>
      </c>
      <c r="J38" s="421" t="s">
        <v>3190</v>
      </c>
      <c r="K38" s="422" t="s">
        <v>3188</v>
      </c>
      <c r="L38" s="329">
        <f>CONTINUA!BV38</f>
        <v>0</v>
      </c>
      <c r="M38" s="329">
        <f>CONTINUA!BW38</f>
        <v>0</v>
      </c>
      <c r="N38" s="895"/>
      <c r="O38" s="896" t="s">
        <v>3355</v>
      </c>
      <c r="P38" s="897">
        <v>0</v>
      </c>
      <c r="Q38" s="400">
        <v>0</v>
      </c>
      <c r="R38" s="401">
        <v>0</v>
      </c>
      <c r="S38" s="400">
        <v>0</v>
      </c>
      <c r="T38" s="401">
        <v>0</v>
      </c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3218</v>
      </c>
      <c r="B39" s="369" t="s">
        <v>3219</v>
      </c>
      <c r="C39" s="375" t="s">
        <v>3186</v>
      </c>
      <c r="D39" s="371" t="s">
        <v>3220</v>
      </c>
      <c r="E39" s="371" t="s">
        <v>3221</v>
      </c>
      <c r="F39" s="376" t="s">
        <v>3182</v>
      </c>
      <c r="G39" s="376" t="s">
        <v>3183</v>
      </c>
      <c r="H39" s="373" t="s">
        <v>1489</v>
      </c>
      <c r="I39" s="374" t="s">
        <v>1489</v>
      </c>
      <c r="J39" s="421" t="s">
        <v>3190</v>
      </c>
      <c r="K39" s="423" t="s">
        <v>3189</v>
      </c>
      <c r="L39" s="329">
        <f>CONTINUA!BV39</f>
        <v>0</v>
      </c>
      <c r="M39" s="329">
        <f>CONTINUA!BW39</f>
        <v>0</v>
      </c>
      <c r="N39" s="895"/>
      <c r="O39" s="896" t="s">
        <v>3355</v>
      </c>
      <c r="P39" s="897">
        <v>0</v>
      </c>
      <c r="Q39" s="400">
        <v>0</v>
      </c>
      <c r="R39" s="401">
        <v>0</v>
      </c>
      <c r="S39" s="400">
        <v>0</v>
      </c>
      <c r="T39" s="401">
        <v>0</v>
      </c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3218</v>
      </c>
      <c r="B40" s="378" t="s">
        <v>3219</v>
      </c>
      <c r="C40" s="379" t="s">
        <v>3186</v>
      </c>
      <c r="D40" s="380" t="s">
        <v>3220</v>
      </c>
      <c r="E40" s="380" t="s">
        <v>3221</v>
      </c>
      <c r="F40" s="381" t="s">
        <v>3182</v>
      </c>
      <c r="G40" s="381" t="s">
        <v>3183</v>
      </c>
      <c r="H40" s="382" t="s">
        <v>1489</v>
      </c>
      <c r="I40" s="383" t="s">
        <v>1489</v>
      </c>
      <c r="J40" s="421" t="s">
        <v>3190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3355</v>
      </c>
      <c r="P40" s="897">
        <v>0</v>
      </c>
      <c r="Q40" s="400">
        <v>0</v>
      </c>
      <c r="R40" s="401">
        <v>0</v>
      </c>
      <c r="S40" s="400">
        <v>0</v>
      </c>
      <c r="T40" s="401">
        <v>0</v>
      </c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3222</v>
      </c>
      <c r="B41" s="522" t="s">
        <v>3223</v>
      </c>
      <c r="C41" s="523">
        <v>1</v>
      </c>
      <c r="D41" s="524" t="s">
        <v>3224</v>
      </c>
      <c r="E41" s="524" t="s">
        <v>3225</v>
      </c>
      <c r="F41" s="525" t="s">
        <v>3182</v>
      </c>
      <c r="G41" s="525" t="s">
        <v>3183</v>
      </c>
      <c r="H41" s="350" t="s">
        <v>1490</v>
      </c>
      <c r="I41" s="351" t="s">
        <v>1490</v>
      </c>
      <c r="J41" s="409" t="s">
        <v>3184</v>
      </c>
      <c r="K41" s="410" t="s">
        <v>3185</v>
      </c>
      <c r="L41" s="329">
        <f>CONTINUA!BV41</f>
        <v>0</v>
      </c>
      <c r="M41" s="329">
        <f>CONTINUA!BW41</f>
        <v>0</v>
      </c>
      <c r="N41" s="895"/>
      <c r="O41" s="896" t="s">
        <v>3356</v>
      </c>
      <c r="P41" s="897">
        <v>0</v>
      </c>
      <c r="Q41" s="400">
        <v>26</v>
      </c>
      <c r="R41" s="401"/>
      <c r="S41" s="400">
        <v>0</v>
      </c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26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26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19819.88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19819.88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19819.88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3222</v>
      </c>
      <c r="B42" s="369" t="s">
        <v>3223</v>
      </c>
      <c r="C42" s="370" t="s">
        <v>3186</v>
      </c>
      <c r="D42" s="371" t="s">
        <v>3224</v>
      </c>
      <c r="E42" s="371" t="s">
        <v>3225</v>
      </c>
      <c r="F42" s="372" t="s">
        <v>3182</v>
      </c>
      <c r="G42" s="372" t="s">
        <v>3183</v>
      </c>
      <c r="H42" s="373" t="s">
        <v>1490</v>
      </c>
      <c r="I42" s="374" t="s">
        <v>1490</v>
      </c>
      <c r="J42" s="421" t="s">
        <v>3184</v>
      </c>
      <c r="K42" s="421" t="s">
        <v>3187</v>
      </c>
      <c r="L42" s="329">
        <f>CONTINUA!BV42</f>
        <v>0</v>
      </c>
      <c r="M42" s="329">
        <f>CONTINUA!BW42</f>
        <v>0</v>
      </c>
      <c r="N42" s="895"/>
      <c r="O42" s="896" t="s">
        <v>3356</v>
      </c>
      <c r="P42" s="897">
        <v>0</v>
      </c>
      <c r="Q42" s="400">
        <v>22</v>
      </c>
      <c r="R42" s="401"/>
      <c r="S42" s="400">
        <v>0</v>
      </c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22</v>
      </c>
      <c r="EQ42" s="171">
        <f t="shared" si="23"/>
        <v>0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22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3222</v>
      </c>
      <c r="B43" s="369" t="s">
        <v>3223</v>
      </c>
      <c r="C43" s="375" t="s">
        <v>3186</v>
      </c>
      <c r="D43" s="371" t="s">
        <v>3224</v>
      </c>
      <c r="E43" s="371" t="s">
        <v>3225</v>
      </c>
      <c r="F43" s="376" t="s">
        <v>3182</v>
      </c>
      <c r="G43" s="376" t="s">
        <v>3183</v>
      </c>
      <c r="H43" s="373" t="s">
        <v>1490</v>
      </c>
      <c r="I43" s="374" t="s">
        <v>1490</v>
      </c>
      <c r="J43" s="421" t="s">
        <v>3184</v>
      </c>
      <c r="K43" s="422" t="s">
        <v>3188</v>
      </c>
      <c r="L43" s="329">
        <f>CONTINUA!BV43</f>
        <v>0</v>
      </c>
      <c r="M43" s="329">
        <f>CONTINUA!BW43</f>
        <v>0</v>
      </c>
      <c r="N43" s="895"/>
      <c r="O43" s="896" t="s">
        <v>3356</v>
      </c>
      <c r="P43" s="897">
        <v>0</v>
      </c>
      <c r="Q43" s="400">
        <v>0</v>
      </c>
      <c r="R43" s="401"/>
      <c r="S43" s="400">
        <v>0</v>
      </c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3222</v>
      </c>
      <c r="B44" s="369" t="s">
        <v>3223</v>
      </c>
      <c r="C44" s="375" t="s">
        <v>3186</v>
      </c>
      <c r="D44" s="371" t="s">
        <v>3224</v>
      </c>
      <c r="E44" s="371" t="s">
        <v>3225</v>
      </c>
      <c r="F44" s="376" t="s">
        <v>3182</v>
      </c>
      <c r="G44" s="376" t="s">
        <v>3183</v>
      </c>
      <c r="H44" s="373" t="s">
        <v>1490</v>
      </c>
      <c r="I44" s="374" t="s">
        <v>1490</v>
      </c>
      <c r="J44" s="421" t="s">
        <v>3184</v>
      </c>
      <c r="K44" s="423" t="s">
        <v>3189</v>
      </c>
      <c r="L44" s="329">
        <f>CONTINUA!BV44</f>
        <v>0</v>
      </c>
      <c r="M44" s="329">
        <f>CONTINUA!BW44</f>
        <v>0</v>
      </c>
      <c r="N44" s="895"/>
      <c r="O44" s="896" t="s">
        <v>3356</v>
      </c>
      <c r="P44" s="897">
        <v>0</v>
      </c>
      <c r="Q44" s="400">
        <v>0</v>
      </c>
      <c r="R44" s="401"/>
      <c r="S44" s="400">
        <v>0</v>
      </c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3222</v>
      </c>
      <c r="B45" s="378" t="s">
        <v>3223</v>
      </c>
      <c r="C45" s="379" t="s">
        <v>3186</v>
      </c>
      <c r="D45" s="380" t="s">
        <v>3224</v>
      </c>
      <c r="E45" s="380" t="s">
        <v>3225</v>
      </c>
      <c r="F45" s="381" t="s">
        <v>3182</v>
      </c>
      <c r="G45" s="381" t="s">
        <v>3183</v>
      </c>
      <c r="H45" s="382" t="s">
        <v>1490</v>
      </c>
      <c r="I45" s="383" t="s">
        <v>1490</v>
      </c>
      <c r="J45" s="421" t="s">
        <v>3184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3356</v>
      </c>
      <c r="P45" s="897">
        <v>0</v>
      </c>
      <c r="Q45" s="400">
        <v>0</v>
      </c>
      <c r="R45" s="401"/>
      <c r="S45" s="400">
        <v>0</v>
      </c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3226</v>
      </c>
      <c r="B46" s="522" t="s">
        <v>3227</v>
      </c>
      <c r="C46" s="523">
        <v>1</v>
      </c>
      <c r="D46" s="524" t="s">
        <v>3228</v>
      </c>
      <c r="E46" s="524" t="s">
        <v>3229</v>
      </c>
      <c r="F46" s="525" t="s">
        <v>3182</v>
      </c>
      <c r="G46" s="525" t="s">
        <v>3183</v>
      </c>
      <c r="H46" s="350" t="s">
        <v>1492</v>
      </c>
      <c r="I46" s="351" t="s">
        <v>1492</v>
      </c>
      <c r="J46" s="409" t="s">
        <v>3184</v>
      </c>
      <c r="K46" s="410" t="s">
        <v>3185</v>
      </c>
      <c r="L46" s="329">
        <f>CONTINUA!BV46</f>
        <v>0</v>
      </c>
      <c r="M46" s="329">
        <f>CONTINUA!BW46</f>
        <v>0</v>
      </c>
      <c r="N46" s="895"/>
      <c r="O46" s="896" t="s">
        <v>3357</v>
      </c>
      <c r="P46" s="897">
        <v>0</v>
      </c>
      <c r="Q46" s="400">
        <v>6</v>
      </c>
      <c r="R46" s="401"/>
      <c r="S46" s="400">
        <v>0</v>
      </c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 t="s">
        <v>3193</v>
      </c>
      <c r="EM46" s="520">
        <v>423.75299999999999</v>
      </c>
      <c r="EN46" s="520"/>
      <c r="EO46" s="520"/>
      <c r="EP46" s="171">
        <f t="shared" si="22"/>
        <v>6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6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18278.96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18702.713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18278.96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423.75299999999999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3226</v>
      </c>
      <c r="B47" s="369" t="s">
        <v>3227</v>
      </c>
      <c r="C47" s="370" t="s">
        <v>3186</v>
      </c>
      <c r="D47" s="371" t="s">
        <v>3228</v>
      </c>
      <c r="E47" s="371" t="s">
        <v>3229</v>
      </c>
      <c r="F47" s="372" t="s">
        <v>3182</v>
      </c>
      <c r="G47" s="372" t="s">
        <v>3183</v>
      </c>
      <c r="H47" s="373" t="s">
        <v>1492</v>
      </c>
      <c r="I47" s="374" t="s">
        <v>1492</v>
      </c>
      <c r="J47" s="421" t="s">
        <v>3184</v>
      </c>
      <c r="K47" s="421" t="s">
        <v>3187</v>
      </c>
      <c r="L47" s="329">
        <f>CONTINUA!BV47</f>
        <v>0</v>
      </c>
      <c r="M47" s="329">
        <f>CONTINUA!BW47</f>
        <v>0</v>
      </c>
      <c r="N47" s="895"/>
      <c r="O47" s="896" t="s">
        <v>3357</v>
      </c>
      <c r="P47" s="897">
        <v>0</v>
      </c>
      <c r="Q47" s="400">
        <v>35</v>
      </c>
      <c r="R47" s="401"/>
      <c r="S47" s="400">
        <v>3</v>
      </c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35</v>
      </c>
      <c r="EQ47" s="171">
        <f t="shared" si="23"/>
        <v>0</v>
      </c>
      <c r="ER47" s="171">
        <f t="shared" si="24"/>
        <v>3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38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3226</v>
      </c>
      <c r="B48" s="369" t="s">
        <v>3227</v>
      </c>
      <c r="C48" s="375" t="s">
        <v>3186</v>
      </c>
      <c r="D48" s="371" t="s">
        <v>3228</v>
      </c>
      <c r="E48" s="371" t="s">
        <v>3229</v>
      </c>
      <c r="F48" s="376" t="s">
        <v>3182</v>
      </c>
      <c r="G48" s="376" t="s">
        <v>3183</v>
      </c>
      <c r="H48" s="373" t="s">
        <v>1492</v>
      </c>
      <c r="I48" s="374" t="s">
        <v>1492</v>
      </c>
      <c r="J48" s="421" t="s">
        <v>3184</v>
      </c>
      <c r="K48" s="422" t="s">
        <v>3188</v>
      </c>
      <c r="L48" s="329">
        <f>CONTINUA!BV48</f>
        <v>0</v>
      </c>
      <c r="M48" s="329">
        <f>CONTINUA!BW48</f>
        <v>0</v>
      </c>
      <c r="N48" s="895"/>
      <c r="O48" s="896" t="s">
        <v>3357</v>
      </c>
      <c r="P48" s="897">
        <v>0</v>
      </c>
      <c r="Q48" s="400">
        <v>0</v>
      </c>
      <c r="R48" s="401"/>
      <c r="S48" s="400">
        <v>0</v>
      </c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3226</v>
      </c>
      <c r="B49" s="369" t="s">
        <v>3227</v>
      </c>
      <c r="C49" s="375" t="s">
        <v>3186</v>
      </c>
      <c r="D49" s="371" t="s">
        <v>3228</v>
      </c>
      <c r="E49" s="371" t="s">
        <v>3229</v>
      </c>
      <c r="F49" s="376" t="s">
        <v>3182</v>
      </c>
      <c r="G49" s="376" t="s">
        <v>3183</v>
      </c>
      <c r="H49" s="373" t="s">
        <v>1492</v>
      </c>
      <c r="I49" s="374" t="s">
        <v>1492</v>
      </c>
      <c r="J49" s="421" t="s">
        <v>3184</v>
      </c>
      <c r="K49" s="423" t="s">
        <v>3189</v>
      </c>
      <c r="L49" s="329">
        <f>CONTINUA!BV49</f>
        <v>0</v>
      </c>
      <c r="M49" s="329">
        <f>CONTINUA!BW49</f>
        <v>0</v>
      </c>
      <c r="N49" s="895"/>
      <c r="O49" s="896" t="s">
        <v>3357</v>
      </c>
      <c r="P49" s="897">
        <v>0</v>
      </c>
      <c r="Q49" s="400">
        <v>0</v>
      </c>
      <c r="R49" s="401"/>
      <c r="S49" s="400">
        <v>0</v>
      </c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3226</v>
      </c>
      <c r="B50" s="378" t="s">
        <v>3227</v>
      </c>
      <c r="C50" s="379" t="s">
        <v>3186</v>
      </c>
      <c r="D50" s="380" t="s">
        <v>3228</v>
      </c>
      <c r="E50" s="380" t="s">
        <v>3229</v>
      </c>
      <c r="F50" s="381" t="s">
        <v>3182</v>
      </c>
      <c r="G50" s="381" t="s">
        <v>3183</v>
      </c>
      <c r="H50" s="382" t="s">
        <v>1492</v>
      </c>
      <c r="I50" s="383" t="s">
        <v>1492</v>
      </c>
      <c r="J50" s="421" t="s">
        <v>3184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3357</v>
      </c>
      <c r="P50" s="897">
        <v>0</v>
      </c>
      <c r="Q50" s="400">
        <v>0</v>
      </c>
      <c r="R50" s="401"/>
      <c r="S50" s="400">
        <v>0</v>
      </c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3230</v>
      </c>
      <c r="B51" s="522" t="s">
        <v>3231</v>
      </c>
      <c r="C51" s="523">
        <v>1</v>
      </c>
      <c r="D51" s="524" t="s">
        <v>3232</v>
      </c>
      <c r="E51" s="524" t="s">
        <v>3233</v>
      </c>
      <c r="F51" s="525" t="s">
        <v>3182</v>
      </c>
      <c r="G51" s="525" t="s">
        <v>3183</v>
      </c>
      <c r="H51" s="350" t="s">
        <v>1493</v>
      </c>
      <c r="I51" s="351" t="s">
        <v>1493</v>
      </c>
      <c r="J51" s="409" t="s">
        <v>3184</v>
      </c>
      <c r="K51" s="410" t="s">
        <v>3185</v>
      </c>
      <c r="L51" s="329">
        <f>CONTINUA!BV51</f>
        <v>0</v>
      </c>
      <c r="M51" s="329">
        <f>CONTINUA!BW51</f>
        <v>0</v>
      </c>
      <c r="N51" s="895"/>
      <c r="O51" s="896" t="s">
        <v>3358</v>
      </c>
      <c r="P51" s="897">
        <v>0</v>
      </c>
      <c r="Q51" s="400">
        <v>45</v>
      </c>
      <c r="R51" s="401"/>
      <c r="S51" s="400">
        <v>0</v>
      </c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45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45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18664.190000000002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18664.190000000002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18664.190000000002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3230</v>
      </c>
      <c r="B52" s="369" t="s">
        <v>3231</v>
      </c>
      <c r="C52" s="370" t="s">
        <v>3186</v>
      </c>
      <c r="D52" s="371" t="s">
        <v>3232</v>
      </c>
      <c r="E52" s="371" t="s">
        <v>3233</v>
      </c>
      <c r="F52" s="372" t="s">
        <v>3182</v>
      </c>
      <c r="G52" s="372" t="s">
        <v>3183</v>
      </c>
      <c r="H52" s="373" t="s">
        <v>1493</v>
      </c>
      <c r="I52" s="374" t="s">
        <v>1493</v>
      </c>
      <c r="J52" s="421" t="s">
        <v>3184</v>
      </c>
      <c r="K52" s="421" t="s">
        <v>3187</v>
      </c>
      <c r="L52" s="329">
        <f>CONTINUA!BV52</f>
        <v>0</v>
      </c>
      <c r="M52" s="329">
        <f>CONTINUA!BW52</f>
        <v>0</v>
      </c>
      <c r="N52" s="895"/>
      <c r="O52" s="896" t="s">
        <v>3358</v>
      </c>
      <c r="P52" s="897">
        <v>0</v>
      </c>
      <c r="Q52" s="400">
        <v>0</v>
      </c>
      <c r="R52" s="401"/>
      <c r="S52" s="400">
        <v>0</v>
      </c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0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0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3230</v>
      </c>
      <c r="B53" s="369" t="s">
        <v>3231</v>
      </c>
      <c r="C53" s="375" t="s">
        <v>3186</v>
      </c>
      <c r="D53" s="371" t="s">
        <v>3232</v>
      </c>
      <c r="E53" s="371" t="s">
        <v>3233</v>
      </c>
      <c r="F53" s="376" t="s">
        <v>3182</v>
      </c>
      <c r="G53" s="376" t="s">
        <v>3183</v>
      </c>
      <c r="H53" s="373" t="s">
        <v>1493</v>
      </c>
      <c r="I53" s="374" t="s">
        <v>1493</v>
      </c>
      <c r="J53" s="421" t="s">
        <v>3184</v>
      </c>
      <c r="K53" s="422" t="s">
        <v>3188</v>
      </c>
      <c r="L53" s="329">
        <f>CONTINUA!BV53</f>
        <v>0</v>
      </c>
      <c r="M53" s="329">
        <f>CONTINUA!BW53</f>
        <v>0</v>
      </c>
      <c r="N53" s="895"/>
      <c r="O53" s="896" t="s">
        <v>3358</v>
      </c>
      <c r="P53" s="897">
        <v>0</v>
      </c>
      <c r="Q53" s="400">
        <v>0</v>
      </c>
      <c r="R53" s="401"/>
      <c r="S53" s="400">
        <v>0</v>
      </c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3230</v>
      </c>
      <c r="B54" s="369" t="s">
        <v>3231</v>
      </c>
      <c r="C54" s="375" t="s">
        <v>3186</v>
      </c>
      <c r="D54" s="371" t="s">
        <v>3232</v>
      </c>
      <c r="E54" s="371" t="s">
        <v>3233</v>
      </c>
      <c r="F54" s="376" t="s">
        <v>3182</v>
      </c>
      <c r="G54" s="376" t="s">
        <v>3183</v>
      </c>
      <c r="H54" s="373" t="s">
        <v>1493</v>
      </c>
      <c r="I54" s="374" t="s">
        <v>1493</v>
      </c>
      <c r="J54" s="421" t="s">
        <v>3184</v>
      </c>
      <c r="K54" s="423" t="s">
        <v>3189</v>
      </c>
      <c r="L54" s="329">
        <f>CONTINUA!BV54</f>
        <v>0</v>
      </c>
      <c r="M54" s="329">
        <f>CONTINUA!BW54</f>
        <v>0</v>
      </c>
      <c r="N54" s="895"/>
      <c r="O54" s="896" t="s">
        <v>3358</v>
      </c>
      <c r="P54" s="897">
        <v>0</v>
      </c>
      <c r="Q54" s="400">
        <v>0</v>
      </c>
      <c r="R54" s="401"/>
      <c r="S54" s="400">
        <v>0</v>
      </c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3230</v>
      </c>
      <c r="B55" s="378" t="s">
        <v>3231</v>
      </c>
      <c r="C55" s="379" t="s">
        <v>3186</v>
      </c>
      <c r="D55" s="380" t="s">
        <v>3232</v>
      </c>
      <c r="E55" s="380" t="s">
        <v>3233</v>
      </c>
      <c r="F55" s="381" t="s">
        <v>3182</v>
      </c>
      <c r="G55" s="381" t="s">
        <v>3183</v>
      </c>
      <c r="H55" s="382" t="s">
        <v>1493</v>
      </c>
      <c r="I55" s="383" t="s">
        <v>1493</v>
      </c>
      <c r="J55" s="421" t="s">
        <v>3184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3358</v>
      </c>
      <c r="P55" s="897">
        <v>0</v>
      </c>
      <c r="Q55" s="400">
        <v>0</v>
      </c>
      <c r="R55" s="401"/>
      <c r="S55" s="400">
        <v>0</v>
      </c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3234</v>
      </c>
      <c r="B56" s="522" t="s">
        <v>3235</v>
      </c>
      <c r="C56" s="523">
        <v>1</v>
      </c>
      <c r="D56" s="524" t="s">
        <v>3236</v>
      </c>
      <c r="E56" s="524" t="s">
        <v>3237</v>
      </c>
      <c r="F56" s="525" t="s">
        <v>3182</v>
      </c>
      <c r="G56" s="525" t="s">
        <v>3183</v>
      </c>
      <c r="H56" s="350" t="s">
        <v>1496</v>
      </c>
      <c r="I56" s="351" t="s">
        <v>1496</v>
      </c>
      <c r="J56" s="409" t="s">
        <v>3184</v>
      </c>
      <c r="K56" s="410" t="s">
        <v>3185</v>
      </c>
      <c r="L56" s="329">
        <f>CONTINUA!BV56</f>
        <v>0</v>
      </c>
      <c r="M56" s="329">
        <f>CONTINUA!BW56</f>
        <v>0</v>
      </c>
      <c r="N56" s="895"/>
      <c r="O56" s="896" t="s">
        <v>3359</v>
      </c>
      <c r="P56" s="897">
        <v>0</v>
      </c>
      <c r="Q56" s="400">
        <v>0</v>
      </c>
      <c r="R56" s="401"/>
      <c r="S56" s="400">
        <v>0</v>
      </c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 t="s">
        <v>3193</v>
      </c>
      <c r="EM56" s="520">
        <v>141.251</v>
      </c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20205.11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20770.521000000001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20205.11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141.251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3234</v>
      </c>
      <c r="B57" s="369" t="s">
        <v>3235</v>
      </c>
      <c r="C57" s="370" t="s">
        <v>3186</v>
      </c>
      <c r="D57" s="371" t="s">
        <v>3236</v>
      </c>
      <c r="E57" s="371" t="s">
        <v>3237</v>
      </c>
      <c r="F57" s="372" t="s">
        <v>3182</v>
      </c>
      <c r="G57" s="372" t="s">
        <v>3183</v>
      </c>
      <c r="H57" s="373" t="s">
        <v>1496</v>
      </c>
      <c r="I57" s="374" t="s">
        <v>1496</v>
      </c>
      <c r="J57" s="421" t="s">
        <v>3184</v>
      </c>
      <c r="K57" s="421" t="s">
        <v>3187</v>
      </c>
      <c r="L57" s="329">
        <f>CONTINUA!BV57</f>
        <v>44</v>
      </c>
      <c r="M57" s="329">
        <f>CONTINUA!BW57</f>
        <v>0</v>
      </c>
      <c r="N57" s="895"/>
      <c r="O57" s="896" t="s">
        <v>3359</v>
      </c>
      <c r="P57" s="897">
        <v>0</v>
      </c>
      <c r="Q57" s="400">
        <v>36</v>
      </c>
      <c r="R57" s="401"/>
      <c r="S57" s="400">
        <v>13</v>
      </c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36</v>
      </c>
      <c r="EQ57" s="171">
        <f t="shared" si="23"/>
        <v>0</v>
      </c>
      <c r="ER57" s="171">
        <f t="shared" si="24"/>
        <v>13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49</v>
      </c>
      <c r="EW57" s="173"/>
      <c r="EX57" s="248">
        <f t="shared" si="75"/>
        <v>0</v>
      </c>
      <c r="EY57" s="174">
        <f>(L57*regular)+(M57*Cadeirantee)</f>
        <v>424.16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3234</v>
      </c>
      <c r="B58" s="369" t="s">
        <v>3235</v>
      </c>
      <c r="C58" s="375" t="s">
        <v>3186</v>
      </c>
      <c r="D58" s="371" t="s">
        <v>3236</v>
      </c>
      <c r="E58" s="371" t="s">
        <v>3237</v>
      </c>
      <c r="F58" s="376" t="s">
        <v>3182</v>
      </c>
      <c r="G58" s="376" t="s">
        <v>3183</v>
      </c>
      <c r="H58" s="373" t="s">
        <v>1496</v>
      </c>
      <c r="I58" s="374" t="s">
        <v>1496</v>
      </c>
      <c r="J58" s="421" t="s">
        <v>3184</v>
      </c>
      <c r="K58" s="422" t="s">
        <v>3188</v>
      </c>
      <c r="L58" s="329">
        <f>CONTINUA!BV58</f>
        <v>0</v>
      </c>
      <c r="M58" s="329">
        <f>CONTINUA!BW58</f>
        <v>0</v>
      </c>
      <c r="N58" s="895"/>
      <c r="O58" s="896" t="s">
        <v>3359</v>
      </c>
      <c r="P58" s="897">
        <v>0</v>
      </c>
      <c r="Q58" s="400">
        <v>0</v>
      </c>
      <c r="R58" s="401"/>
      <c r="S58" s="400">
        <v>0</v>
      </c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3234</v>
      </c>
      <c r="B59" s="369" t="s">
        <v>3235</v>
      </c>
      <c r="C59" s="375" t="s">
        <v>3186</v>
      </c>
      <c r="D59" s="371" t="s">
        <v>3236</v>
      </c>
      <c r="E59" s="371" t="s">
        <v>3237</v>
      </c>
      <c r="F59" s="376" t="s">
        <v>3182</v>
      </c>
      <c r="G59" s="376" t="s">
        <v>3183</v>
      </c>
      <c r="H59" s="373" t="s">
        <v>1496</v>
      </c>
      <c r="I59" s="374" t="s">
        <v>1496</v>
      </c>
      <c r="J59" s="421" t="s">
        <v>3184</v>
      </c>
      <c r="K59" s="423" t="s">
        <v>3189</v>
      </c>
      <c r="L59" s="329">
        <f>CONTINUA!BV59</f>
        <v>0</v>
      </c>
      <c r="M59" s="329">
        <f>CONTINUA!BW59</f>
        <v>0</v>
      </c>
      <c r="N59" s="895"/>
      <c r="O59" s="896" t="s">
        <v>3359</v>
      </c>
      <c r="P59" s="897">
        <v>0</v>
      </c>
      <c r="Q59" s="400">
        <v>0</v>
      </c>
      <c r="R59" s="401"/>
      <c r="S59" s="400">
        <v>0</v>
      </c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3234</v>
      </c>
      <c r="B60" s="378" t="s">
        <v>3235</v>
      </c>
      <c r="C60" s="379" t="s">
        <v>3186</v>
      </c>
      <c r="D60" s="380" t="s">
        <v>3236</v>
      </c>
      <c r="E60" s="380" t="s">
        <v>3237</v>
      </c>
      <c r="F60" s="381" t="s">
        <v>3182</v>
      </c>
      <c r="G60" s="381" t="s">
        <v>3183</v>
      </c>
      <c r="H60" s="382" t="s">
        <v>1496</v>
      </c>
      <c r="I60" s="383" t="s">
        <v>1496</v>
      </c>
      <c r="J60" s="421" t="s">
        <v>3184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3359</v>
      </c>
      <c r="P60" s="897">
        <v>0</v>
      </c>
      <c r="Q60" s="400">
        <v>0</v>
      </c>
      <c r="R60" s="401"/>
      <c r="S60" s="400">
        <v>0</v>
      </c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3238</v>
      </c>
      <c r="B61" s="522" t="s">
        <v>3239</v>
      </c>
      <c r="C61" s="523">
        <v>1</v>
      </c>
      <c r="D61" s="524" t="s">
        <v>3240</v>
      </c>
      <c r="E61" s="524" t="s">
        <v>3241</v>
      </c>
      <c r="F61" s="525" t="s">
        <v>3182</v>
      </c>
      <c r="G61" s="525" t="s">
        <v>3183</v>
      </c>
      <c r="H61" s="350" t="s">
        <v>1497</v>
      </c>
      <c r="I61" s="351" t="s">
        <v>1497</v>
      </c>
      <c r="J61" s="409" t="s">
        <v>3184</v>
      </c>
      <c r="K61" s="410" t="s">
        <v>3185</v>
      </c>
      <c r="L61" s="329">
        <f>CONTINUA!BV61</f>
        <v>0</v>
      </c>
      <c r="M61" s="329">
        <f>CONTINUA!BW61</f>
        <v>0</v>
      </c>
      <c r="N61" s="895"/>
      <c r="O61" s="896" t="s">
        <v>3360</v>
      </c>
      <c r="P61" s="897">
        <v>0</v>
      </c>
      <c r="Q61" s="400">
        <v>7</v>
      </c>
      <c r="R61" s="401"/>
      <c r="S61" s="400">
        <v>0</v>
      </c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7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7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17123.27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17123.27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17123.27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3238</v>
      </c>
      <c r="B62" s="369" t="s">
        <v>3239</v>
      </c>
      <c r="C62" s="370" t="s">
        <v>3186</v>
      </c>
      <c r="D62" s="371" t="s">
        <v>3240</v>
      </c>
      <c r="E62" s="371" t="s">
        <v>3241</v>
      </c>
      <c r="F62" s="372" t="s">
        <v>3182</v>
      </c>
      <c r="G62" s="372" t="s">
        <v>3183</v>
      </c>
      <c r="H62" s="373" t="s">
        <v>1497</v>
      </c>
      <c r="I62" s="374" t="s">
        <v>1497</v>
      </c>
      <c r="J62" s="421" t="s">
        <v>3184</v>
      </c>
      <c r="K62" s="421" t="s">
        <v>3187</v>
      </c>
      <c r="L62" s="329">
        <f>CONTINUA!BV62</f>
        <v>0</v>
      </c>
      <c r="M62" s="329">
        <f>CONTINUA!BW62</f>
        <v>0</v>
      </c>
      <c r="N62" s="895"/>
      <c r="O62" s="896" t="s">
        <v>3360</v>
      </c>
      <c r="P62" s="897">
        <v>0</v>
      </c>
      <c r="Q62" s="400">
        <v>32</v>
      </c>
      <c r="R62" s="401"/>
      <c r="S62" s="400">
        <v>2</v>
      </c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32</v>
      </c>
      <c r="EQ62" s="171">
        <f t="shared" si="23"/>
        <v>0</v>
      </c>
      <c r="ER62" s="171">
        <f t="shared" si="24"/>
        <v>2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34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3238</v>
      </c>
      <c r="B63" s="369" t="s">
        <v>3239</v>
      </c>
      <c r="C63" s="375" t="s">
        <v>3186</v>
      </c>
      <c r="D63" s="371" t="s">
        <v>3240</v>
      </c>
      <c r="E63" s="371" t="s">
        <v>3241</v>
      </c>
      <c r="F63" s="376" t="s">
        <v>3182</v>
      </c>
      <c r="G63" s="376" t="s">
        <v>3183</v>
      </c>
      <c r="H63" s="373" t="s">
        <v>1497</v>
      </c>
      <c r="I63" s="374" t="s">
        <v>1497</v>
      </c>
      <c r="J63" s="421" t="s">
        <v>3184</v>
      </c>
      <c r="K63" s="422" t="s">
        <v>3188</v>
      </c>
      <c r="L63" s="329">
        <f>CONTINUA!BV63</f>
        <v>0</v>
      </c>
      <c r="M63" s="329">
        <f>CONTINUA!BW63</f>
        <v>0</v>
      </c>
      <c r="N63" s="895"/>
      <c r="O63" s="896" t="s">
        <v>3360</v>
      </c>
      <c r="P63" s="897">
        <v>0</v>
      </c>
      <c r="Q63" s="400">
        <v>0</v>
      </c>
      <c r="R63" s="401"/>
      <c r="S63" s="400">
        <v>0</v>
      </c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3238</v>
      </c>
      <c r="B64" s="369" t="s">
        <v>3239</v>
      </c>
      <c r="C64" s="375" t="s">
        <v>3186</v>
      </c>
      <c r="D64" s="371" t="s">
        <v>3240</v>
      </c>
      <c r="E64" s="371" t="s">
        <v>3241</v>
      </c>
      <c r="F64" s="376" t="s">
        <v>3182</v>
      </c>
      <c r="G64" s="376" t="s">
        <v>3183</v>
      </c>
      <c r="H64" s="373" t="s">
        <v>1497</v>
      </c>
      <c r="I64" s="374" t="s">
        <v>1497</v>
      </c>
      <c r="J64" s="421" t="s">
        <v>3184</v>
      </c>
      <c r="K64" s="423" t="s">
        <v>3189</v>
      </c>
      <c r="L64" s="329">
        <f>CONTINUA!BV64</f>
        <v>0</v>
      </c>
      <c r="M64" s="329">
        <f>CONTINUA!BW64</f>
        <v>0</v>
      </c>
      <c r="N64" s="895"/>
      <c r="O64" s="896" t="s">
        <v>3360</v>
      </c>
      <c r="P64" s="897">
        <v>0</v>
      </c>
      <c r="Q64" s="400">
        <v>0</v>
      </c>
      <c r="R64" s="401"/>
      <c r="S64" s="400">
        <v>0</v>
      </c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3238</v>
      </c>
      <c r="B65" s="378" t="s">
        <v>3239</v>
      </c>
      <c r="C65" s="379" t="s">
        <v>3186</v>
      </c>
      <c r="D65" s="380" t="s">
        <v>3240</v>
      </c>
      <c r="E65" s="380" t="s">
        <v>3241</v>
      </c>
      <c r="F65" s="381" t="s">
        <v>3182</v>
      </c>
      <c r="G65" s="381" t="s">
        <v>3183</v>
      </c>
      <c r="H65" s="382" t="s">
        <v>1497</v>
      </c>
      <c r="I65" s="383" t="s">
        <v>1497</v>
      </c>
      <c r="J65" s="421" t="s">
        <v>3184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3360</v>
      </c>
      <c r="P65" s="897">
        <v>0</v>
      </c>
      <c r="Q65" s="400">
        <v>0</v>
      </c>
      <c r="R65" s="401"/>
      <c r="S65" s="400">
        <v>0</v>
      </c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3242</v>
      </c>
      <c r="B66" s="522" t="s">
        <v>3243</v>
      </c>
      <c r="C66" s="523">
        <v>1</v>
      </c>
      <c r="D66" s="524" t="s">
        <v>3244</v>
      </c>
      <c r="E66" s="524" t="s">
        <v>3245</v>
      </c>
      <c r="F66" s="525" t="s">
        <v>3182</v>
      </c>
      <c r="G66" s="525" t="s">
        <v>3183</v>
      </c>
      <c r="H66" s="350" t="s">
        <v>1498</v>
      </c>
      <c r="I66" s="351" t="s">
        <v>1498</v>
      </c>
      <c r="J66" s="409" t="s">
        <v>3184</v>
      </c>
      <c r="K66" s="410" t="s">
        <v>3185</v>
      </c>
      <c r="L66" s="329">
        <f>CONTINUA!BV66</f>
        <v>0</v>
      </c>
      <c r="M66" s="329">
        <f>CONTINUA!BW66</f>
        <v>0</v>
      </c>
      <c r="N66" s="895"/>
      <c r="O66" s="896" t="s">
        <v>3361</v>
      </c>
      <c r="P66" s="897">
        <v>0</v>
      </c>
      <c r="Q66" s="400">
        <v>0</v>
      </c>
      <c r="R66" s="401"/>
      <c r="S66" s="400">
        <v>0</v>
      </c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14426.66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14426.66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14426.66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3242</v>
      </c>
      <c r="B67" s="369" t="s">
        <v>3243</v>
      </c>
      <c r="C67" s="370" t="s">
        <v>3186</v>
      </c>
      <c r="D67" s="371" t="s">
        <v>3244</v>
      </c>
      <c r="E67" s="371" t="s">
        <v>3245</v>
      </c>
      <c r="F67" s="372" t="s">
        <v>3182</v>
      </c>
      <c r="G67" s="372" t="s">
        <v>3183</v>
      </c>
      <c r="H67" s="373" t="s">
        <v>1498</v>
      </c>
      <c r="I67" s="374" t="s">
        <v>1498</v>
      </c>
      <c r="J67" s="421" t="s">
        <v>3184</v>
      </c>
      <c r="K67" s="421" t="s">
        <v>3187</v>
      </c>
      <c r="L67" s="329">
        <f>CONTINUA!BV67</f>
        <v>0</v>
      </c>
      <c r="M67" s="329">
        <f>CONTINUA!BW67</f>
        <v>0</v>
      </c>
      <c r="N67" s="895"/>
      <c r="O67" s="896" t="s">
        <v>3361</v>
      </c>
      <c r="P67" s="897">
        <v>0</v>
      </c>
      <c r="Q67" s="400">
        <v>32</v>
      </c>
      <c r="R67" s="401"/>
      <c r="S67" s="400">
        <v>2</v>
      </c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32</v>
      </c>
      <c r="EQ67" s="171">
        <f t="shared" si="23"/>
        <v>0</v>
      </c>
      <c r="ER67" s="171">
        <f t="shared" si="24"/>
        <v>2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34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3242</v>
      </c>
      <c r="B68" s="369" t="s">
        <v>3243</v>
      </c>
      <c r="C68" s="375" t="s">
        <v>3186</v>
      </c>
      <c r="D68" s="371" t="s">
        <v>3244</v>
      </c>
      <c r="E68" s="371" t="s">
        <v>3245</v>
      </c>
      <c r="F68" s="376" t="s">
        <v>3182</v>
      </c>
      <c r="G68" s="376" t="s">
        <v>3183</v>
      </c>
      <c r="H68" s="373" t="s">
        <v>1498</v>
      </c>
      <c r="I68" s="374" t="s">
        <v>1498</v>
      </c>
      <c r="J68" s="421" t="s">
        <v>3184</v>
      </c>
      <c r="K68" s="422" t="s">
        <v>3188</v>
      </c>
      <c r="L68" s="329">
        <f>CONTINUA!BV68</f>
        <v>0</v>
      </c>
      <c r="M68" s="329">
        <f>CONTINUA!BW68</f>
        <v>0</v>
      </c>
      <c r="N68" s="895"/>
      <c r="O68" s="896" t="s">
        <v>3361</v>
      </c>
      <c r="P68" s="897">
        <v>0</v>
      </c>
      <c r="Q68" s="400">
        <v>0</v>
      </c>
      <c r="R68" s="401"/>
      <c r="S68" s="400">
        <v>0</v>
      </c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3242</v>
      </c>
      <c r="B69" s="369" t="s">
        <v>3243</v>
      </c>
      <c r="C69" s="375" t="s">
        <v>3186</v>
      </c>
      <c r="D69" s="371" t="s">
        <v>3244</v>
      </c>
      <c r="E69" s="371" t="s">
        <v>3245</v>
      </c>
      <c r="F69" s="376" t="s">
        <v>3182</v>
      </c>
      <c r="G69" s="376" t="s">
        <v>3183</v>
      </c>
      <c r="H69" s="373" t="s">
        <v>1498</v>
      </c>
      <c r="I69" s="374" t="s">
        <v>1498</v>
      </c>
      <c r="J69" s="421" t="s">
        <v>3184</v>
      </c>
      <c r="K69" s="423" t="s">
        <v>3189</v>
      </c>
      <c r="L69" s="329">
        <f>CONTINUA!BV69</f>
        <v>0</v>
      </c>
      <c r="M69" s="329">
        <f>CONTINUA!BW69</f>
        <v>0</v>
      </c>
      <c r="N69" s="895"/>
      <c r="O69" s="896" t="s">
        <v>3361</v>
      </c>
      <c r="P69" s="897">
        <v>0</v>
      </c>
      <c r="Q69" s="400">
        <v>0</v>
      </c>
      <c r="R69" s="401"/>
      <c r="S69" s="400">
        <v>0</v>
      </c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3242</v>
      </c>
      <c r="B70" s="378" t="s">
        <v>3243</v>
      </c>
      <c r="C70" s="379" t="s">
        <v>3186</v>
      </c>
      <c r="D70" s="380" t="s">
        <v>3244</v>
      </c>
      <c r="E70" s="380" t="s">
        <v>3245</v>
      </c>
      <c r="F70" s="381" t="s">
        <v>3182</v>
      </c>
      <c r="G70" s="381" t="s">
        <v>3183</v>
      </c>
      <c r="H70" s="382" t="s">
        <v>1498</v>
      </c>
      <c r="I70" s="383" t="s">
        <v>1498</v>
      </c>
      <c r="J70" s="421" t="s">
        <v>3184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3361</v>
      </c>
      <c r="P70" s="897">
        <v>0</v>
      </c>
      <c r="Q70" s="400">
        <v>0</v>
      </c>
      <c r="R70" s="401"/>
      <c r="S70" s="400">
        <v>0</v>
      </c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3246</v>
      </c>
      <c r="B71" s="522" t="s">
        <v>3247</v>
      </c>
      <c r="C71" s="523">
        <v>4</v>
      </c>
      <c r="D71" s="524" t="s">
        <v>3248</v>
      </c>
      <c r="E71" s="524" t="s">
        <v>3249</v>
      </c>
      <c r="F71" s="525" t="s">
        <v>3182</v>
      </c>
      <c r="G71" s="525" t="s">
        <v>3183</v>
      </c>
      <c r="H71" s="350" t="s">
        <v>1499</v>
      </c>
      <c r="I71" s="351" t="s">
        <v>1499</v>
      </c>
      <c r="J71" s="409" t="s">
        <v>3184</v>
      </c>
      <c r="K71" s="410" t="s">
        <v>3185</v>
      </c>
      <c r="L71" s="329">
        <f>CONTINUA!BV71</f>
        <v>0</v>
      </c>
      <c r="M71" s="329">
        <f>CONTINUA!BW71</f>
        <v>0</v>
      </c>
      <c r="N71" s="895"/>
      <c r="O71" s="896" t="s">
        <v>3362</v>
      </c>
      <c r="P71" s="897">
        <v>0</v>
      </c>
      <c r="Q71" s="400">
        <v>0</v>
      </c>
      <c r="R71" s="401"/>
      <c r="S71" s="400">
        <v>0</v>
      </c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11465.63</v>
      </c>
      <c r="EX71" s="248">
        <f t="shared" ref="EX71:EX74" si="90">FF71</f>
        <v>3852.2999999999997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15317.929999999998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3852.2999999999997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3246</v>
      </c>
      <c r="B72" s="369" t="s">
        <v>3247</v>
      </c>
      <c r="C72" s="370" t="s">
        <v>3191</v>
      </c>
      <c r="D72" s="371" t="s">
        <v>3248</v>
      </c>
      <c r="E72" s="371" t="s">
        <v>3249</v>
      </c>
      <c r="F72" s="372" t="s">
        <v>3182</v>
      </c>
      <c r="G72" s="372" t="s">
        <v>3183</v>
      </c>
      <c r="H72" s="373" t="s">
        <v>1499</v>
      </c>
      <c r="I72" s="374" t="s">
        <v>1499</v>
      </c>
      <c r="J72" s="421" t="s">
        <v>3184</v>
      </c>
      <c r="K72" s="421" t="s">
        <v>3187</v>
      </c>
      <c r="L72" s="329">
        <f>CONTINUA!BV72</f>
        <v>0</v>
      </c>
      <c r="M72" s="329">
        <f>CONTINUA!BW72</f>
        <v>0</v>
      </c>
      <c r="N72" s="895"/>
      <c r="O72" s="896" t="s">
        <v>3362</v>
      </c>
      <c r="P72" s="897">
        <v>0</v>
      </c>
      <c r="Q72" s="400">
        <v>6</v>
      </c>
      <c r="R72" s="401"/>
      <c r="S72" s="400">
        <v>4</v>
      </c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6</v>
      </c>
      <c r="EQ72" s="171">
        <f t="shared" si="23"/>
        <v>0</v>
      </c>
      <c r="ER72" s="171">
        <f t="shared" si="24"/>
        <v>4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10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3246</v>
      </c>
      <c r="B73" s="369" t="s">
        <v>3247</v>
      </c>
      <c r="C73" s="375" t="s">
        <v>3191</v>
      </c>
      <c r="D73" s="371" t="s">
        <v>3248</v>
      </c>
      <c r="E73" s="371" t="s">
        <v>3249</v>
      </c>
      <c r="F73" s="376" t="s">
        <v>3182</v>
      </c>
      <c r="G73" s="376" t="s">
        <v>3183</v>
      </c>
      <c r="H73" s="373" t="s">
        <v>1499</v>
      </c>
      <c r="I73" s="374" t="s">
        <v>1499</v>
      </c>
      <c r="J73" s="421" t="s">
        <v>3184</v>
      </c>
      <c r="K73" s="422" t="s">
        <v>3188</v>
      </c>
      <c r="L73" s="329">
        <f>CONTINUA!BV73</f>
        <v>0</v>
      </c>
      <c r="M73" s="329">
        <f>CONTINUA!BW73</f>
        <v>0</v>
      </c>
      <c r="N73" s="895"/>
      <c r="O73" s="896" t="s">
        <v>3362</v>
      </c>
      <c r="P73" s="897">
        <v>0</v>
      </c>
      <c r="Q73" s="400">
        <v>0</v>
      </c>
      <c r="R73" s="401"/>
      <c r="S73" s="400">
        <v>0</v>
      </c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3246</v>
      </c>
      <c r="B74" s="369" t="s">
        <v>3247</v>
      </c>
      <c r="C74" s="375" t="s">
        <v>3191</v>
      </c>
      <c r="D74" s="371" t="s">
        <v>3248</v>
      </c>
      <c r="E74" s="371" t="s">
        <v>3249</v>
      </c>
      <c r="F74" s="376" t="s">
        <v>3182</v>
      </c>
      <c r="G74" s="376" t="s">
        <v>3183</v>
      </c>
      <c r="H74" s="373" t="s">
        <v>1499</v>
      </c>
      <c r="I74" s="374" t="s">
        <v>1499</v>
      </c>
      <c r="J74" s="421" t="s">
        <v>3184</v>
      </c>
      <c r="K74" s="423" t="s">
        <v>3189</v>
      </c>
      <c r="L74" s="329">
        <f>CONTINUA!BV74</f>
        <v>0</v>
      </c>
      <c r="M74" s="329">
        <f>CONTINUA!BW74</f>
        <v>0</v>
      </c>
      <c r="N74" s="895"/>
      <c r="O74" s="896" t="s">
        <v>3362</v>
      </c>
      <c r="P74" s="897">
        <v>0</v>
      </c>
      <c r="Q74" s="400">
        <v>0</v>
      </c>
      <c r="R74" s="401"/>
      <c r="S74" s="400">
        <v>0</v>
      </c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3246</v>
      </c>
      <c r="B75" s="378" t="s">
        <v>3247</v>
      </c>
      <c r="C75" s="379" t="s">
        <v>3191</v>
      </c>
      <c r="D75" s="380" t="s">
        <v>3248</v>
      </c>
      <c r="E75" s="380" t="s">
        <v>3249</v>
      </c>
      <c r="F75" s="381" t="s">
        <v>3182</v>
      </c>
      <c r="G75" s="381" t="s">
        <v>3183</v>
      </c>
      <c r="H75" s="382" t="s">
        <v>1499</v>
      </c>
      <c r="I75" s="383" t="s">
        <v>1499</v>
      </c>
      <c r="J75" s="421" t="s">
        <v>3184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3362</v>
      </c>
      <c r="P75" s="897">
        <v>0</v>
      </c>
      <c r="Q75" s="400">
        <v>0</v>
      </c>
      <c r="R75" s="401"/>
      <c r="S75" s="400">
        <v>0</v>
      </c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3250</v>
      </c>
      <c r="B76" s="522" t="s">
        <v>3251</v>
      </c>
      <c r="C76" s="523">
        <v>1</v>
      </c>
      <c r="D76" s="524" t="s">
        <v>3252</v>
      </c>
      <c r="E76" s="524" t="s">
        <v>3253</v>
      </c>
      <c r="F76" s="525" t="s">
        <v>3182</v>
      </c>
      <c r="G76" s="525" t="s">
        <v>3183</v>
      </c>
      <c r="H76" s="350" t="s">
        <v>1500</v>
      </c>
      <c r="I76" s="351" t="s">
        <v>1500</v>
      </c>
      <c r="J76" s="409" t="s">
        <v>3184</v>
      </c>
      <c r="K76" s="410" t="s">
        <v>3185</v>
      </c>
      <c r="L76" s="329">
        <f>CONTINUA!BV76</f>
        <v>0</v>
      </c>
      <c r="M76" s="329">
        <f>CONTINUA!BW76</f>
        <v>0</v>
      </c>
      <c r="N76" s="895"/>
      <c r="O76" s="896" t="s">
        <v>3363</v>
      </c>
      <c r="P76" s="897">
        <v>0</v>
      </c>
      <c r="Q76" s="400">
        <v>0</v>
      </c>
      <c r="R76" s="401"/>
      <c r="S76" s="400">
        <v>0</v>
      </c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 t="s">
        <v>3193</v>
      </c>
      <c r="EM76" s="520">
        <v>1130.008</v>
      </c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24442.640000000003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25881.128000000004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24442.640000000003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1130.008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3250</v>
      </c>
      <c r="B77" s="369" t="s">
        <v>3251</v>
      </c>
      <c r="C77" s="370" t="s">
        <v>3186</v>
      </c>
      <c r="D77" s="371" t="s">
        <v>3252</v>
      </c>
      <c r="E77" s="371" t="s">
        <v>3253</v>
      </c>
      <c r="F77" s="372" t="s">
        <v>3182</v>
      </c>
      <c r="G77" s="372" t="s">
        <v>3183</v>
      </c>
      <c r="H77" s="373" t="s">
        <v>1500</v>
      </c>
      <c r="I77" s="374" t="s">
        <v>1500</v>
      </c>
      <c r="J77" s="421" t="s">
        <v>3184</v>
      </c>
      <c r="K77" s="421" t="s">
        <v>3187</v>
      </c>
      <c r="L77" s="329">
        <f>CONTINUA!BV77</f>
        <v>32</v>
      </c>
      <c r="M77" s="329">
        <f>CONTINUA!BW77</f>
        <v>0</v>
      </c>
      <c r="N77" s="895"/>
      <c r="O77" s="896" t="s">
        <v>3363</v>
      </c>
      <c r="P77" s="897">
        <v>0</v>
      </c>
      <c r="Q77" s="400">
        <v>49</v>
      </c>
      <c r="R77" s="401"/>
      <c r="S77" s="400">
        <v>11</v>
      </c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49</v>
      </c>
      <c r="EQ77" s="171">
        <f t="shared" si="96"/>
        <v>0</v>
      </c>
      <c r="ER77" s="171">
        <f t="shared" si="97"/>
        <v>11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60</v>
      </c>
      <c r="EW77" s="173"/>
      <c r="EX77" s="248">
        <f t="shared" si="103"/>
        <v>0</v>
      </c>
      <c r="EY77" s="174">
        <f>(L77*regular)+(M77*Cadeirantee)</f>
        <v>308.48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3250</v>
      </c>
      <c r="B78" s="369" t="s">
        <v>3251</v>
      </c>
      <c r="C78" s="375" t="s">
        <v>3186</v>
      </c>
      <c r="D78" s="371" t="s">
        <v>3252</v>
      </c>
      <c r="E78" s="371" t="s">
        <v>3253</v>
      </c>
      <c r="F78" s="376" t="s">
        <v>3182</v>
      </c>
      <c r="G78" s="376" t="s">
        <v>3183</v>
      </c>
      <c r="H78" s="373" t="s">
        <v>1500</v>
      </c>
      <c r="I78" s="374" t="s">
        <v>1500</v>
      </c>
      <c r="J78" s="421" t="s">
        <v>3184</v>
      </c>
      <c r="K78" s="422" t="s">
        <v>3188</v>
      </c>
      <c r="L78" s="329">
        <f>CONTINUA!BV78</f>
        <v>0</v>
      </c>
      <c r="M78" s="329">
        <f>CONTINUA!BW78</f>
        <v>0</v>
      </c>
      <c r="N78" s="895"/>
      <c r="O78" s="896" t="s">
        <v>3363</v>
      </c>
      <c r="P78" s="897">
        <v>0</v>
      </c>
      <c r="Q78" s="400">
        <v>0</v>
      </c>
      <c r="R78" s="401"/>
      <c r="S78" s="400">
        <v>0</v>
      </c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3250</v>
      </c>
      <c r="B79" s="369" t="s">
        <v>3251</v>
      </c>
      <c r="C79" s="375" t="s">
        <v>3186</v>
      </c>
      <c r="D79" s="371" t="s">
        <v>3252</v>
      </c>
      <c r="E79" s="371" t="s">
        <v>3253</v>
      </c>
      <c r="F79" s="376" t="s">
        <v>3182</v>
      </c>
      <c r="G79" s="376" t="s">
        <v>3183</v>
      </c>
      <c r="H79" s="373" t="s">
        <v>1500</v>
      </c>
      <c r="I79" s="374" t="s">
        <v>1500</v>
      </c>
      <c r="J79" s="421" t="s">
        <v>3184</v>
      </c>
      <c r="K79" s="423" t="s">
        <v>3189</v>
      </c>
      <c r="L79" s="329">
        <f>CONTINUA!BV79</f>
        <v>0</v>
      </c>
      <c r="M79" s="329">
        <f>CONTINUA!BW79</f>
        <v>0</v>
      </c>
      <c r="N79" s="895"/>
      <c r="O79" s="896" t="s">
        <v>3363</v>
      </c>
      <c r="P79" s="897">
        <v>0</v>
      </c>
      <c r="Q79" s="400">
        <v>0</v>
      </c>
      <c r="R79" s="401"/>
      <c r="S79" s="400">
        <v>0</v>
      </c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3250</v>
      </c>
      <c r="B80" s="378" t="s">
        <v>3251</v>
      </c>
      <c r="C80" s="379" t="s">
        <v>3186</v>
      </c>
      <c r="D80" s="380" t="s">
        <v>3252</v>
      </c>
      <c r="E80" s="380" t="s">
        <v>3253</v>
      </c>
      <c r="F80" s="381" t="s">
        <v>3182</v>
      </c>
      <c r="G80" s="381" t="s">
        <v>3183</v>
      </c>
      <c r="H80" s="382" t="s">
        <v>1500</v>
      </c>
      <c r="I80" s="383" t="s">
        <v>1500</v>
      </c>
      <c r="J80" s="421" t="s">
        <v>3184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3363</v>
      </c>
      <c r="P80" s="897">
        <v>0</v>
      </c>
      <c r="Q80" s="400">
        <v>0</v>
      </c>
      <c r="R80" s="401"/>
      <c r="S80" s="400">
        <v>0</v>
      </c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3254</v>
      </c>
      <c r="B81" s="522" t="s">
        <v>3255</v>
      </c>
      <c r="C81" s="523">
        <v>1</v>
      </c>
      <c r="D81" s="524" t="s">
        <v>3256</v>
      </c>
      <c r="E81" s="524" t="s">
        <v>3257</v>
      </c>
      <c r="F81" s="525" t="s">
        <v>3182</v>
      </c>
      <c r="G81" s="525" t="s">
        <v>3183</v>
      </c>
      <c r="H81" s="350" t="s">
        <v>1503</v>
      </c>
      <c r="I81" s="351" t="s">
        <v>1503</v>
      </c>
      <c r="J81" s="409" t="s">
        <v>3184</v>
      </c>
      <c r="K81" s="410" t="s">
        <v>3185</v>
      </c>
      <c r="L81" s="329">
        <f>CONTINUA!BV81</f>
        <v>0</v>
      </c>
      <c r="M81" s="329">
        <f>CONTINUA!BW81</f>
        <v>0</v>
      </c>
      <c r="N81" s="895"/>
      <c r="O81" s="896" t="s">
        <v>3364</v>
      </c>
      <c r="P81" s="897">
        <v>0</v>
      </c>
      <c r="Q81" s="400">
        <v>0</v>
      </c>
      <c r="R81" s="401"/>
      <c r="S81" s="400">
        <v>0</v>
      </c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19049.420000000002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19049.420000000002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19049.420000000002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3254</v>
      </c>
      <c r="B82" s="369" t="s">
        <v>3255</v>
      </c>
      <c r="C82" s="370" t="s">
        <v>3186</v>
      </c>
      <c r="D82" s="371" t="s">
        <v>3256</v>
      </c>
      <c r="E82" s="371" t="s">
        <v>3257</v>
      </c>
      <c r="F82" s="372" t="s">
        <v>3182</v>
      </c>
      <c r="G82" s="372" t="s">
        <v>3183</v>
      </c>
      <c r="H82" s="373" t="s">
        <v>1503</v>
      </c>
      <c r="I82" s="374" t="s">
        <v>1503</v>
      </c>
      <c r="J82" s="421" t="s">
        <v>3184</v>
      </c>
      <c r="K82" s="421" t="s">
        <v>3187</v>
      </c>
      <c r="L82" s="329">
        <f>CONTINUA!BV82</f>
        <v>0</v>
      </c>
      <c r="M82" s="329">
        <f>CONTINUA!BW82</f>
        <v>0</v>
      </c>
      <c r="N82" s="895"/>
      <c r="O82" s="896" t="s">
        <v>3364</v>
      </c>
      <c r="P82" s="897">
        <v>0</v>
      </c>
      <c r="Q82" s="400">
        <v>38</v>
      </c>
      <c r="R82" s="401"/>
      <c r="S82" s="400">
        <v>8</v>
      </c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38</v>
      </c>
      <c r="EQ82" s="171">
        <f t="shared" si="96"/>
        <v>0</v>
      </c>
      <c r="ER82" s="171">
        <f t="shared" si="97"/>
        <v>8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46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3254</v>
      </c>
      <c r="B83" s="369" t="s">
        <v>3255</v>
      </c>
      <c r="C83" s="375" t="s">
        <v>3186</v>
      </c>
      <c r="D83" s="371" t="s">
        <v>3256</v>
      </c>
      <c r="E83" s="371" t="s">
        <v>3257</v>
      </c>
      <c r="F83" s="376" t="s">
        <v>3182</v>
      </c>
      <c r="G83" s="376" t="s">
        <v>3183</v>
      </c>
      <c r="H83" s="373" t="s">
        <v>1503</v>
      </c>
      <c r="I83" s="374" t="s">
        <v>1503</v>
      </c>
      <c r="J83" s="421" t="s">
        <v>3184</v>
      </c>
      <c r="K83" s="422" t="s">
        <v>3188</v>
      </c>
      <c r="L83" s="329">
        <f>CONTINUA!BV83</f>
        <v>0</v>
      </c>
      <c r="M83" s="329">
        <f>CONTINUA!BW83</f>
        <v>0</v>
      </c>
      <c r="N83" s="895"/>
      <c r="O83" s="896" t="s">
        <v>3364</v>
      </c>
      <c r="P83" s="897">
        <v>0</v>
      </c>
      <c r="Q83" s="400">
        <v>0</v>
      </c>
      <c r="R83" s="401"/>
      <c r="S83" s="400">
        <v>0</v>
      </c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3254</v>
      </c>
      <c r="B84" s="369" t="s">
        <v>3255</v>
      </c>
      <c r="C84" s="375" t="s">
        <v>3186</v>
      </c>
      <c r="D84" s="371" t="s">
        <v>3256</v>
      </c>
      <c r="E84" s="371" t="s">
        <v>3257</v>
      </c>
      <c r="F84" s="376" t="s">
        <v>3182</v>
      </c>
      <c r="G84" s="376" t="s">
        <v>3183</v>
      </c>
      <c r="H84" s="373" t="s">
        <v>1503</v>
      </c>
      <c r="I84" s="374" t="s">
        <v>1503</v>
      </c>
      <c r="J84" s="421" t="s">
        <v>3184</v>
      </c>
      <c r="K84" s="423" t="s">
        <v>3189</v>
      </c>
      <c r="L84" s="329">
        <f>CONTINUA!BV84</f>
        <v>0</v>
      </c>
      <c r="M84" s="329">
        <f>CONTINUA!BW84</f>
        <v>0</v>
      </c>
      <c r="N84" s="895"/>
      <c r="O84" s="896" t="s">
        <v>3364</v>
      </c>
      <c r="P84" s="897">
        <v>0</v>
      </c>
      <c r="Q84" s="400">
        <v>0</v>
      </c>
      <c r="R84" s="401"/>
      <c r="S84" s="400">
        <v>0</v>
      </c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3254</v>
      </c>
      <c r="B85" s="378" t="s">
        <v>3255</v>
      </c>
      <c r="C85" s="379" t="s">
        <v>3186</v>
      </c>
      <c r="D85" s="380" t="s">
        <v>3256</v>
      </c>
      <c r="E85" s="380" t="s">
        <v>3257</v>
      </c>
      <c r="F85" s="381" t="s">
        <v>3182</v>
      </c>
      <c r="G85" s="381" t="s">
        <v>3183</v>
      </c>
      <c r="H85" s="382" t="s">
        <v>1503</v>
      </c>
      <c r="I85" s="383" t="s">
        <v>1503</v>
      </c>
      <c r="J85" s="421" t="s">
        <v>3184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3364</v>
      </c>
      <c r="P85" s="897">
        <v>0</v>
      </c>
      <c r="Q85" s="400">
        <v>0</v>
      </c>
      <c r="R85" s="401"/>
      <c r="S85" s="400">
        <v>0</v>
      </c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3258</v>
      </c>
      <c r="B86" s="522" t="s">
        <v>3259</v>
      </c>
      <c r="C86" s="523">
        <v>2</v>
      </c>
      <c r="D86" s="524" t="s">
        <v>3260</v>
      </c>
      <c r="E86" s="524" t="s">
        <v>3261</v>
      </c>
      <c r="F86" s="525" t="s">
        <v>3182</v>
      </c>
      <c r="G86" s="525" t="s">
        <v>3183</v>
      </c>
      <c r="H86" s="350" t="s">
        <v>1504</v>
      </c>
      <c r="I86" s="351" t="s">
        <v>1504</v>
      </c>
      <c r="J86" s="409" t="s">
        <v>3190</v>
      </c>
      <c r="K86" s="410" t="s">
        <v>3185</v>
      </c>
      <c r="L86" s="329">
        <f>CONTINUA!BV86</f>
        <v>0</v>
      </c>
      <c r="M86" s="329">
        <f>CONTINUA!BW86</f>
        <v>0</v>
      </c>
      <c r="N86" s="895"/>
      <c r="O86" s="896" t="s">
        <v>3365</v>
      </c>
      <c r="P86" s="897">
        <v>0</v>
      </c>
      <c r="Q86" s="400">
        <v>2</v>
      </c>
      <c r="R86" s="401">
        <v>0</v>
      </c>
      <c r="S86" s="400">
        <v>0</v>
      </c>
      <c r="T86" s="401">
        <v>0</v>
      </c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 t="s">
        <v>3193</v>
      </c>
      <c r="EM86" s="520">
        <v>1031.8403333333299</v>
      </c>
      <c r="EN86" s="520"/>
      <c r="EO86" s="520"/>
      <c r="EP86" s="171">
        <f t="shared" si="95"/>
        <v>2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2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18128.73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19237.690333333328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18128.73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1031.8403333333299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3258</v>
      </c>
      <c r="B87" s="369" t="s">
        <v>3259</v>
      </c>
      <c r="C87" s="370" t="s">
        <v>3186</v>
      </c>
      <c r="D87" s="371" t="s">
        <v>3260</v>
      </c>
      <c r="E87" s="371" t="s">
        <v>3261</v>
      </c>
      <c r="F87" s="372" t="s">
        <v>3182</v>
      </c>
      <c r="G87" s="372" t="s">
        <v>3183</v>
      </c>
      <c r="H87" s="373" t="s">
        <v>1504</v>
      </c>
      <c r="I87" s="374" t="s">
        <v>1504</v>
      </c>
      <c r="J87" s="421" t="s">
        <v>3190</v>
      </c>
      <c r="K87" s="421" t="s">
        <v>3187</v>
      </c>
      <c r="L87" s="329">
        <f>CONTINUA!BV87</f>
        <v>8</v>
      </c>
      <c r="M87" s="329">
        <f>CONTINUA!BW87</f>
        <v>0</v>
      </c>
      <c r="N87" s="895"/>
      <c r="O87" s="896" t="s">
        <v>3365</v>
      </c>
      <c r="P87" s="897">
        <v>0</v>
      </c>
      <c r="Q87" s="400">
        <v>13</v>
      </c>
      <c r="R87" s="401">
        <v>3</v>
      </c>
      <c r="S87" s="400">
        <v>2</v>
      </c>
      <c r="T87" s="401">
        <v>1</v>
      </c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13</v>
      </c>
      <c r="EQ87" s="171">
        <f t="shared" si="96"/>
        <v>0</v>
      </c>
      <c r="ER87" s="171">
        <f t="shared" si="97"/>
        <v>2</v>
      </c>
      <c r="ES87" s="171">
        <f t="shared" si="98"/>
        <v>3</v>
      </c>
      <c r="ET87" s="171">
        <f t="shared" si="99"/>
        <v>0</v>
      </c>
      <c r="EU87" s="171">
        <f t="shared" si="100"/>
        <v>1</v>
      </c>
      <c r="EV87" s="172">
        <f t="shared" si="101"/>
        <v>19</v>
      </c>
      <c r="EW87" s="173"/>
      <c r="EX87" s="248">
        <f t="shared" si="113"/>
        <v>0</v>
      </c>
      <c r="EY87" s="174">
        <f>(L87*regular)+(M87*Cadeirantee)</f>
        <v>77.12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3258</v>
      </c>
      <c r="B88" s="369" t="s">
        <v>3259</v>
      </c>
      <c r="C88" s="375" t="s">
        <v>3186</v>
      </c>
      <c r="D88" s="371" t="s">
        <v>3260</v>
      </c>
      <c r="E88" s="371" t="s">
        <v>3261</v>
      </c>
      <c r="F88" s="376" t="s">
        <v>3182</v>
      </c>
      <c r="G88" s="376" t="s">
        <v>3183</v>
      </c>
      <c r="H88" s="373" t="s">
        <v>1504</v>
      </c>
      <c r="I88" s="374" t="s">
        <v>1504</v>
      </c>
      <c r="J88" s="421" t="s">
        <v>3190</v>
      </c>
      <c r="K88" s="422" t="s">
        <v>3188</v>
      </c>
      <c r="L88" s="329">
        <f>CONTINUA!BV88</f>
        <v>0</v>
      </c>
      <c r="M88" s="329">
        <f>CONTINUA!BW88</f>
        <v>0</v>
      </c>
      <c r="N88" s="895"/>
      <c r="O88" s="896" t="s">
        <v>3365</v>
      </c>
      <c r="P88" s="897">
        <v>0</v>
      </c>
      <c r="Q88" s="400">
        <v>0</v>
      </c>
      <c r="R88" s="401">
        <v>0</v>
      </c>
      <c r="S88" s="400">
        <v>0</v>
      </c>
      <c r="T88" s="401">
        <v>0</v>
      </c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3258</v>
      </c>
      <c r="B89" s="369" t="s">
        <v>3259</v>
      </c>
      <c r="C89" s="375" t="s">
        <v>3186</v>
      </c>
      <c r="D89" s="371" t="s">
        <v>3260</v>
      </c>
      <c r="E89" s="371" t="s">
        <v>3261</v>
      </c>
      <c r="F89" s="376" t="s">
        <v>3182</v>
      </c>
      <c r="G89" s="376" t="s">
        <v>3183</v>
      </c>
      <c r="H89" s="373" t="s">
        <v>1504</v>
      </c>
      <c r="I89" s="374" t="s">
        <v>1504</v>
      </c>
      <c r="J89" s="421" t="s">
        <v>3190</v>
      </c>
      <c r="K89" s="423" t="s">
        <v>3189</v>
      </c>
      <c r="L89" s="329">
        <f>CONTINUA!BV89</f>
        <v>0</v>
      </c>
      <c r="M89" s="329">
        <f>CONTINUA!BW89</f>
        <v>0</v>
      </c>
      <c r="N89" s="895"/>
      <c r="O89" s="896" t="s">
        <v>3365</v>
      </c>
      <c r="P89" s="897">
        <v>0</v>
      </c>
      <c r="Q89" s="400">
        <v>0</v>
      </c>
      <c r="R89" s="401">
        <v>0</v>
      </c>
      <c r="S89" s="400">
        <v>0</v>
      </c>
      <c r="T89" s="401">
        <v>0</v>
      </c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3258</v>
      </c>
      <c r="B90" s="378" t="s">
        <v>3259</v>
      </c>
      <c r="C90" s="379" t="s">
        <v>3186</v>
      </c>
      <c r="D90" s="380" t="s">
        <v>3260</v>
      </c>
      <c r="E90" s="380" t="s">
        <v>3261</v>
      </c>
      <c r="F90" s="381" t="s">
        <v>3182</v>
      </c>
      <c r="G90" s="381" t="s">
        <v>3183</v>
      </c>
      <c r="H90" s="382" t="s">
        <v>1504</v>
      </c>
      <c r="I90" s="383" t="s">
        <v>1504</v>
      </c>
      <c r="J90" s="421" t="s">
        <v>3190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3365</v>
      </c>
      <c r="P90" s="897">
        <v>0</v>
      </c>
      <c r="Q90" s="400">
        <v>0</v>
      </c>
      <c r="R90" s="401">
        <v>0</v>
      </c>
      <c r="S90" s="400">
        <v>0</v>
      </c>
      <c r="T90" s="401">
        <v>0</v>
      </c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3262</v>
      </c>
      <c r="B91" s="522" t="s">
        <v>3263</v>
      </c>
      <c r="C91" s="523">
        <v>1</v>
      </c>
      <c r="D91" s="524" t="s">
        <v>3264</v>
      </c>
      <c r="E91" s="524" t="s">
        <v>3265</v>
      </c>
      <c r="F91" s="525" t="s">
        <v>3182</v>
      </c>
      <c r="G91" s="525" t="s">
        <v>3183</v>
      </c>
      <c r="H91" s="350" t="s">
        <v>1505</v>
      </c>
      <c r="I91" s="351" t="s">
        <v>1505</v>
      </c>
      <c r="J91" s="409" t="s">
        <v>3184</v>
      </c>
      <c r="K91" s="410" t="s">
        <v>3185</v>
      </c>
      <c r="L91" s="329">
        <f>CONTINUA!BV91</f>
        <v>0</v>
      </c>
      <c r="M91" s="329">
        <f>CONTINUA!BW91</f>
        <v>0</v>
      </c>
      <c r="N91" s="895"/>
      <c r="O91" s="896" t="s">
        <v>3366</v>
      </c>
      <c r="P91" s="897">
        <v>0</v>
      </c>
      <c r="Q91" s="400">
        <v>45</v>
      </c>
      <c r="R91" s="401"/>
      <c r="S91" s="400">
        <v>0</v>
      </c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45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45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18664.190000000002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18664.190000000002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18664.190000000002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3262</v>
      </c>
      <c r="B92" s="369" t="s">
        <v>3263</v>
      </c>
      <c r="C92" s="370" t="s">
        <v>3186</v>
      </c>
      <c r="D92" s="371" t="s">
        <v>3264</v>
      </c>
      <c r="E92" s="371" t="s">
        <v>3265</v>
      </c>
      <c r="F92" s="372" t="s">
        <v>3182</v>
      </c>
      <c r="G92" s="372" t="s">
        <v>3183</v>
      </c>
      <c r="H92" s="373" t="s">
        <v>1505</v>
      </c>
      <c r="I92" s="374" t="s">
        <v>1505</v>
      </c>
      <c r="J92" s="421" t="s">
        <v>3184</v>
      </c>
      <c r="K92" s="421" t="s">
        <v>3187</v>
      </c>
      <c r="L92" s="329">
        <f>CONTINUA!BV92</f>
        <v>0</v>
      </c>
      <c r="M92" s="329">
        <f>CONTINUA!BW92</f>
        <v>0</v>
      </c>
      <c r="N92" s="895"/>
      <c r="O92" s="896" t="s">
        <v>3366</v>
      </c>
      <c r="P92" s="897">
        <v>0</v>
      </c>
      <c r="Q92" s="400">
        <v>0</v>
      </c>
      <c r="R92" s="401"/>
      <c r="S92" s="400">
        <v>0</v>
      </c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0</v>
      </c>
      <c r="EQ92" s="171">
        <f t="shared" si="96"/>
        <v>0</v>
      </c>
      <c r="ER92" s="171">
        <f t="shared" si="97"/>
        <v>0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0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3262</v>
      </c>
      <c r="B93" s="369" t="s">
        <v>3263</v>
      </c>
      <c r="C93" s="375" t="s">
        <v>3186</v>
      </c>
      <c r="D93" s="371" t="s">
        <v>3264</v>
      </c>
      <c r="E93" s="371" t="s">
        <v>3265</v>
      </c>
      <c r="F93" s="376" t="s">
        <v>3182</v>
      </c>
      <c r="G93" s="376" t="s">
        <v>3183</v>
      </c>
      <c r="H93" s="373" t="s">
        <v>1505</v>
      </c>
      <c r="I93" s="374" t="s">
        <v>1505</v>
      </c>
      <c r="J93" s="421" t="s">
        <v>3184</v>
      </c>
      <c r="K93" s="422" t="s">
        <v>3188</v>
      </c>
      <c r="L93" s="329">
        <f>CONTINUA!BV93</f>
        <v>0</v>
      </c>
      <c r="M93" s="329">
        <f>CONTINUA!BW93</f>
        <v>0</v>
      </c>
      <c r="N93" s="895"/>
      <c r="O93" s="896" t="s">
        <v>3366</v>
      </c>
      <c r="P93" s="897">
        <v>0</v>
      </c>
      <c r="Q93" s="400">
        <v>0</v>
      </c>
      <c r="R93" s="401"/>
      <c r="S93" s="400">
        <v>0</v>
      </c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3262</v>
      </c>
      <c r="B94" s="369" t="s">
        <v>3263</v>
      </c>
      <c r="C94" s="375" t="s">
        <v>3186</v>
      </c>
      <c r="D94" s="371" t="s">
        <v>3264</v>
      </c>
      <c r="E94" s="371" t="s">
        <v>3265</v>
      </c>
      <c r="F94" s="376" t="s">
        <v>3182</v>
      </c>
      <c r="G94" s="376" t="s">
        <v>3183</v>
      </c>
      <c r="H94" s="373" t="s">
        <v>1505</v>
      </c>
      <c r="I94" s="374" t="s">
        <v>1505</v>
      </c>
      <c r="J94" s="421" t="s">
        <v>3184</v>
      </c>
      <c r="K94" s="423" t="s">
        <v>3189</v>
      </c>
      <c r="L94" s="329">
        <f>CONTINUA!BV94</f>
        <v>0</v>
      </c>
      <c r="M94" s="329">
        <f>CONTINUA!BW94</f>
        <v>0</v>
      </c>
      <c r="N94" s="895"/>
      <c r="O94" s="896" t="s">
        <v>3366</v>
      </c>
      <c r="P94" s="897">
        <v>0</v>
      </c>
      <c r="Q94" s="400">
        <v>0</v>
      </c>
      <c r="R94" s="401"/>
      <c r="S94" s="400">
        <v>0</v>
      </c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3262</v>
      </c>
      <c r="B95" s="378" t="s">
        <v>3263</v>
      </c>
      <c r="C95" s="379" t="s">
        <v>3186</v>
      </c>
      <c r="D95" s="380" t="s">
        <v>3264</v>
      </c>
      <c r="E95" s="380" t="s">
        <v>3265</v>
      </c>
      <c r="F95" s="381" t="s">
        <v>3182</v>
      </c>
      <c r="G95" s="381" t="s">
        <v>3183</v>
      </c>
      <c r="H95" s="382" t="s">
        <v>1505</v>
      </c>
      <c r="I95" s="383" t="s">
        <v>1505</v>
      </c>
      <c r="J95" s="421" t="s">
        <v>3184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3366</v>
      </c>
      <c r="P95" s="897">
        <v>0</v>
      </c>
      <c r="Q95" s="400">
        <v>0</v>
      </c>
      <c r="R95" s="401"/>
      <c r="S95" s="400">
        <v>0</v>
      </c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3266</v>
      </c>
      <c r="B96" s="522" t="s">
        <v>3267</v>
      </c>
      <c r="C96" s="523">
        <v>1</v>
      </c>
      <c r="D96" s="524" t="s">
        <v>3268</v>
      </c>
      <c r="E96" s="524" t="s">
        <v>3269</v>
      </c>
      <c r="F96" s="525" t="s">
        <v>3182</v>
      </c>
      <c r="G96" s="525" t="s">
        <v>3183</v>
      </c>
      <c r="H96" s="350" t="s">
        <v>1506</v>
      </c>
      <c r="I96" s="351" t="s">
        <v>1506</v>
      </c>
      <c r="J96" s="409" t="s">
        <v>3184</v>
      </c>
      <c r="K96" s="410" t="s">
        <v>3185</v>
      </c>
      <c r="L96" s="329">
        <f>CONTINUA!BV96</f>
        <v>0</v>
      </c>
      <c r="M96" s="329">
        <f>CONTINUA!BW96</f>
        <v>0</v>
      </c>
      <c r="N96" s="895"/>
      <c r="O96" s="896" t="s">
        <v>3367</v>
      </c>
      <c r="P96" s="897">
        <v>0</v>
      </c>
      <c r="Q96" s="400">
        <v>19</v>
      </c>
      <c r="R96" s="401"/>
      <c r="S96" s="400">
        <v>0</v>
      </c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19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19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15197.119999999999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15274.24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15197.119999999999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3266</v>
      </c>
      <c r="B97" s="369" t="s">
        <v>3267</v>
      </c>
      <c r="C97" s="370" t="s">
        <v>3186</v>
      </c>
      <c r="D97" s="371" t="s">
        <v>3268</v>
      </c>
      <c r="E97" s="371" t="s">
        <v>3269</v>
      </c>
      <c r="F97" s="372" t="s">
        <v>3182</v>
      </c>
      <c r="G97" s="372" t="s">
        <v>3183</v>
      </c>
      <c r="H97" s="373" t="s">
        <v>1506</v>
      </c>
      <c r="I97" s="374" t="s">
        <v>1506</v>
      </c>
      <c r="J97" s="421" t="s">
        <v>3184</v>
      </c>
      <c r="K97" s="421" t="s">
        <v>3187</v>
      </c>
      <c r="L97" s="329">
        <f>CONTINUA!BV97</f>
        <v>8</v>
      </c>
      <c r="M97" s="329">
        <f>CONTINUA!BW97</f>
        <v>0</v>
      </c>
      <c r="N97" s="895"/>
      <c r="O97" s="896" t="s">
        <v>3367</v>
      </c>
      <c r="P97" s="897">
        <v>0</v>
      </c>
      <c r="Q97" s="400">
        <v>17</v>
      </c>
      <c r="R97" s="401"/>
      <c r="S97" s="400">
        <v>0</v>
      </c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17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17</v>
      </c>
      <c r="EW97" s="173"/>
      <c r="EX97" s="248">
        <f t="shared" si="123"/>
        <v>0</v>
      </c>
      <c r="EY97" s="174">
        <f>(L97*regular)+(M97*Cadeirantee)</f>
        <v>77.12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3266</v>
      </c>
      <c r="B98" s="369" t="s">
        <v>3267</v>
      </c>
      <c r="C98" s="375" t="s">
        <v>3186</v>
      </c>
      <c r="D98" s="371" t="s">
        <v>3268</v>
      </c>
      <c r="E98" s="371" t="s">
        <v>3269</v>
      </c>
      <c r="F98" s="376" t="s">
        <v>3182</v>
      </c>
      <c r="G98" s="376" t="s">
        <v>3183</v>
      </c>
      <c r="H98" s="373" t="s">
        <v>1506</v>
      </c>
      <c r="I98" s="374" t="s">
        <v>1506</v>
      </c>
      <c r="J98" s="421" t="s">
        <v>3184</v>
      </c>
      <c r="K98" s="422" t="s">
        <v>3188</v>
      </c>
      <c r="L98" s="329">
        <f>CONTINUA!BV98</f>
        <v>0</v>
      </c>
      <c r="M98" s="329">
        <f>CONTINUA!BW98</f>
        <v>0</v>
      </c>
      <c r="N98" s="895"/>
      <c r="O98" s="896" t="s">
        <v>3367</v>
      </c>
      <c r="P98" s="897">
        <v>0</v>
      </c>
      <c r="Q98" s="400">
        <v>0</v>
      </c>
      <c r="R98" s="401"/>
      <c r="S98" s="400">
        <v>0</v>
      </c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3266</v>
      </c>
      <c r="B99" s="369" t="s">
        <v>3267</v>
      </c>
      <c r="C99" s="375" t="s">
        <v>3186</v>
      </c>
      <c r="D99" s="371" t="s">
        <v>3268</v>
      </c>
      <c r="E99" s="371" t="s">
        <v>3269</v>
      </c>
      <c r="F99" s="376" t="s">
        <v>3182</v>
      </c>
      <c r="G99" s="376" t="s">
        <v>3183</v>
      </c>
      <c r="H99" s="373" t="s">
        <v>1506</v>
      </c>
      <c r="I99" s="374" t="s">
        <v>1506</v>
      </c>
      <c r="J99" s="421" t="s">
        <v>3184</v>
      </c>
      <c r="K99" s="423" t="s">
        <v>3189</v>
      </c>
      <c r="L99" s="329">
        <f>CONTINUA!BV99</f>
        <v>0</v>
      </c>
      <c r="M99" s="329">
        <f>CONTINUA!BW99</f>
        <v>0</v>
      </c>
      <c r="N99" s="895"/>
      <c r="O99" s="896" t="s">
        <v>3367</v>
      </c>
      <c r="P99" s="897">
        <v>0</v>
      </c>
      <c r="Q99" s="400">
        <v>0</v>
      </c>
      <c r="R99" s="401"/>
      <c r="S99" s="400">
        <v>0</v>
      </c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3266</v>
      </c>
      <c r="B100" s="378" t="s">
        <v>3267</v>
      </c>
      <c r="C100" s="379" t="s">
        <v>3186</v>
      </c>
      <c r="D100" s="380" t="s">
        <v>3268</v>
      </c>
      <c r="E100" s="380" t="s">
        <v>3269</v>
      </c>
      <c r="F100" s="381" t="s">
        <v>3182</v>
      </c>
      <c r="G100" s="381" t="s">
        <v>3183</v>
      </c>
      <c r="H100" s="382" t="s">
        <v>1506</v>
      </c>
      <c r="I100" s="383" t="s">
        <v>1506</v>
      </c>
      <c r="J100" s="421" t="s">
        <v>3184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3367</v>
      </c>
      <c r="P100" s="897">
        <v>0</v>
      </c>
      <c r="Q100" s="400">
        <v>0</v>
      </c>
      <c r="R100" s="401"/>
      <c r="S100" s="400">
        <v>0</v>
      </c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3270</v>
      </c>
      <c r="B101" s="522" t="s">
        <v>3271</v>
      </c>
      <c r="C101" s="523">
        <v>1</v>
      </c>
      <c r="D101" s="524" t="s">
        <v>3272</v>
      </c>
      <c r="E101" s="524" t="s">
        <v>3273</v>
      </c>
      <c r="F101" s="525" t="s">
        <v>3182</v>
      </c>
      <c r="G101" s="525" t="s">
        <v>3183</v>
      </c>
      <c r="H101" s="350" t="s">
        <v>1509</v>
      </c>
      <c r="I101" s="351" t="s">
        <v>1509</v>
      </c>
      <c r="J101" s="409" t="s">
        <v>3184</v>
      </c>
      <c r="K101" s="410" t="s">
        <v>3185</v>
      </c>
      <c r="L101" s="329">
        <f>CONTINUA!BV101</f>
        <v>0</v>
      </c>
      <c r="M101" s="329">
        <f>CONTINUA!BW101</f>
        <v>0</v>
      </c>
      <c r="N101" s="895"/>
      <c r="O101" s="896" t="s">
        <v>3368</v>
      </c>
      <c r="P101" s="897">
        <v>0</v>
      </c>
      <c r="Q101" s="400">
        <v>0</v>
      </c>
      <c r="R101" s="401"/>
      <c r="S101" s="400">
        <v>0</v>
      </c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0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0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14811.890000000001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14889.010000000002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14811.890000000001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3270</v>
      </c>
      <c r="B102" s="369" t="s">
        <v>3271</v>
      </c>
      <c r="C102" s="370" t="s">
        <v>3186</v>
      </c>
      <c r="D102" s="371" t="s">
        <v>3272</v>
      </c>
      <c r="E102" s="371" t="s">
        <v>3273</v>
      </c>
      <c r="F102" s="372" t="s">
        <v>3182</v>
      </c>
      <c r="G102" s="372" t="s">
        <v>3183</v>
      </c>
      <c r="H102" s="373" t="s">
        <v>1509</v>
      </c>
      <c r="I102" s="374" t="s">
        <v>1509</v>
      </c>
      <c r="J102" s="421" t="s">
        <v>3184</v>
      </c>
      <c r="K102" s="421" t="s">
        <v>3187</v>
      </c>
      <c r="L102" s="329">
        <f>CONTINUA!BV102</f>
        <v>8</v>
      </c>
      <c r="M102" s="329">
        <f>CONTINUA!BW102</f>
        <v>0</v>
      </c>
      <c r="N102" s="895"/>
      <c r="O102" s="896" t="s">
        <v>3368</v>
      </c>
      <c r="P102" s="897">
        <v>0</v>
      </c>
      <c r="Q102" s="400">
        <v>35</v>
      </c>
      <c r="R102" s="401"/>
      <c r="S102" s="400">
        <v>0</v>
      </c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35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35</v>
      </c>
      <c r="EW102" s="173"/>
      <c r="EX102" s="248">
        <f t="shared" si="128"/>
        <v>0</v>
      </c>
      <c r="EY102" s="174">
        <f>(L102*regular)+(M102*Cadeirantee)</f>
        <v>77.12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3270</v>
      </c>
      <c r="B103" s="369" t="s">
        <v>3271</v>
      </c>
      <c r="C103" s="375" t="s">
        <v>3186</v>
      </c>
      <c r="D103" s="371" t="s">
        <v>3272</v>
      </c>
      <c r="E103" s="371" t="s">
        <v>3273</v>
      </c>
      <c r="F103" s="376" t="s">
        <v>3182</v>
      </c>
      <c r="G103" s="376" t="s">
        <v>3183</v>
      </c>
      <c r="H103" s="373" t="s">
        <v>1509</v>
      </c>
      <c r="I103" s="374" t="s">
        <v>1509</v>
      </c>
      <c r="J103" s="421" t="s">
        <v>3184</v>
      </c>
      <c r="K103" s="422" t="s">
        <v>3188</v>
      </c>
      <c r="L103" s="329">
        <f>CONTINUA!BV103</f>
        <v>0</v>
      </c>
      <c r="M103" s="329">
        <f>CONTINUA!BW103</f>
        <v>0</v>
      </c>
      <c r="N103" s="895"/>
      <c r="O103" s="896" t="s">
        <v>3368</v>
      </c>
      <c r="P103" s="897">
        <v>0</v>
      </c>
      <c r="Q103" s="400">
        <v>0</v>
      </c>
      <c r="R103" s="401"/>
      <c r="S103" s="400">
        <v>0</v>
      </c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3270</v>
      </c>
      <c r="B104" s="369" t="s">
        <v>3271</v>
      </c>
      <c r="C104" s="375" t="s">
        <v>3186</v>
      </c>
      <c r="D104" s="371" t="s">
        <v>3272</v>
      </c>
      <c r="E104" s="371" t="s">
        <v>3273</v>
      </c>
      <c r="F104" s="376" t="s">
        <v>3182</v>
      </c>
      <c r="G104" s="376" t="s">
        <v>3183</v>
      </c>
      <c r="H104" s="373" t="s">
        <v>1509</v>
      </c>
      <c r="I104" s="374" t="s">
        <v>1509</v>
      </c>
      <c r="J104" s="421" t="s">
        <v>3184</v>
      </c>
      <c r="K104" s="423" t="s">
        <v>3189</v>
      </c>
      <c r="L104" s="329">
        <f>CONTINUA!BV104</f>
        <v>0</v>
      </c>
      <c r="M104" s="329">
        <f>CONTINUA!BW104</f>
        <v>0</v>
      </c>
      <c r="N104" s="895"/>
      <c r="O104" s="896" t="s">
        <v>3368</v>
      </c>
      <c r="P104" s="897">
        <v>0</v>
      </c>
      <c r="Q104" s="400">
        <v>0</v>
      </c>
      <c r="R104" s="401"/>
      <c r="S104" s="400">
        <v>0</v>
      </c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3270</v>
      </c>
      <c r="B105" s="378" t="s">
        <v>3271</v>
      </c>
      <c r="C105" s="379" t="s">
        <v>3186</v>
      </c>
      <c r="D105" s="380" t="s">
        <v>3272</v>
      </c>
      <c r="E105" s="380" t="s">
        <v>3273</v>
      </c>
      <c r="F105" s="381" t="s">
        <v>3182</v>
      </c>
      <c r="G105" s="381" t="s">
        <v>3183</v>
      </c>
      <c r="H105" s="382" t="s">
        <v>1509</v>
      </c>
      <c r="I105" s="383" t="s">
        <v>1509</v>
      </c>
      <c r="J105" s="421" t="s">
        <v>3184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3368</v>
      </c>
      <c r="P105" s="897">
        <v>0</v>
      </c>
      <c r="Q105" s="400">
        <v>0</v>
      </c>
      <c r="R105" s="401"/>
      <c r="S105" s="400">
        <v>0</v>
      </c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3274</v>
      </c>
      <c r="B106" s="522" t="s">
        <v>3275</v>
      </c>
      <c r="C106" s="523">
        <v>1</v>
      </c>
      <c r="D106" s="524" t="s">
        <v>3276</v>
      </c>
      <c r="E106" s="524" t="s">
        <v>3192</v>
      </c>
      <c r="F106" s="525" t="s">
        <v>3182</v>
      </c>
      <c r="G106" s="525">
        <v>46141</v>
      </c>
      <c r="H106" s="350" t="s">
        <v>1510</v>
      </c>
      <c r="I106" s="351" t="s">
        <v>1510</v>
      </c>
      <c r="J106" s="409" t="s">
        <v>3184</v>
      </c>
      <c r="K106" s="410" t="s">
        <v>3185</v>
      </c>
      <c r="L106" s="329">
        <f>CONTINUA!BV106</f>
        <v>0</v>
      </c>
      <c r="M106" s="329">
        <f>CONTINUA!BW106</f>
        <v>0</v>
      </c>
      <c r="N106" s="895"/>
      <c r="O106" s="896" t="s">
        <v>3369</v>
      </c>
      <c r="P106" s="897">
        <v>0</v>
      </c>
      <c r="Q106" s="400">
        <v>17</v>
      </c>
      <c r="R106" s="401"/>
      <c r="S106" s="400">
        <v>0</v>
      </c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>
        <v>-17</v>
      </c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17</v>
      </c>
      <c r="EQ106" s="171">
        <f t="shared" si="96"/>
        <v>-17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10574.36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-308.18400000000003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10266.176000000001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10574.36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-308.18400000000003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3274</v>
      </c>
      <c r="B107" s="369" t="s">
        <v>3275</v>
      </c>
      <c r="C107" s="370" t="s">
        <v>3186</v>
      </c>
      <c r="D107" s="371" t="s">
        <v>3276</v>
      </c>
      <c r="E107" s="371" t="s">
        <v>3192</v>
      </c>
      <c r="F107" s="372" t="s">
        <v>3182</v>
      </c>
      <c r="G107" s="372" t="s">
        <v>3183</v>
      </c>
      <c r="H107" s="373" t="s">
        <v>1510</v>
      </c>
      <c r="I107" s="374" t="s">
        <v>1510</v>
      </c>
      <c r="J107" s="421" t="s">
        <v>3184</v>
      </c>
      <c r="K107" s="421" t="s">
        <v>3187</v>
      </c>
      <c r="L107" s="329">
        <f>CONTINUA!BV107</f>
        <v>0</v>
      </c>
      <c r="M107" s="329">
        <f>CONTINUA!BW107</f>
        <v>0</v>
      </c>
      <c r="N107" s="895"/>
      <c r="O107" s="896" t="s">
        <v>3369</v>
      </c>
      <c r="P107" s="897">
        <v>0</v>
      </c>
      <c r="Q107" s="400">
        <v>7</v>
      </c>
      <c r="R107" s="401"/>
      <c r="S107" s="400">
        <v>0</v>
      </c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>
        <v>-7</v>
      </c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7</v>
      </c>
      <c r="EQ107" s="171">
        <f t="shared" si="96"/>
        <v>-7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0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3274</v>
      </c>
      <c r="B108" s="369" t="s">
        <v>3275</v>
      </c>
      <c r="C108" s="375" t="s">
        <v>3186</v>
      </c>
      <c r="D108" s="371" t="s">
        <v>3276</v>
      </c>
      <c r="E108" s="371" t="s">
        <v>3192</v>
      </c>
      <c r="F108" s="376" t="s">
        <v>3182</v>
      </c>
      <c r="G108" s="376" t="s">
        <v>3183</v>
      </c>
      <c r="H108" s="373" t="s">
        <v>1510</v>
      </c>
      <c r="I108" s="374" t="s">
        <v>1510</v>
      </c>
      <c r="J108" s="421" t="s">
        <v>3184</v>
      </c>
      <c r="K108" s="422" t="s">
        <v>3188</v>
      </c>
      <c r="L108" s="329">
        <f>CONTINUA!BV108</f>
        <v>0</v>
      </c>
      <c r="M108" s="329">
        <f>CONTINUA!BW108</f>
        <v>0</v>
      </c>
      <c r="N108" s="895"/>
      <c r="O108" s="896" t="s">
        <v>3369</v>
      </c>
      <c r="P108" s="897">
        <v>0</v>
      </c>
      <c r="Q108" s="400">
        <v>0</v>
      </c>
      <c r="R108" s="401"/>
      <c r="S108" s="400">
        <v>0</v>
      </c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3274</v>
      </c>
      <c r="B109" s="369" t="s">
        <v>3275</v>
      </c>
      <c r="C109" s="375" t="s">
        <v>3186</v>
      </c>
      <c r="D109" s="371" t="s">
        <v>3276</v>
      </c>
      <c r="E109" s="371" t="s">
        <v>3192</v>
      </c>
      <c r="F109" s="376" t="s">
        <v>3182</v>
      </c>
      <c r="G109" s="376" t="s">
        <v>3183</v>
      </c>
      <c r="H109" s="373" t="s">
        <v>1510</v>
      </c>
      <c r="I109" s="374" t="s">
        <v>1510</v>
      </c>
      <c r="J109" s="421" t="s">
        <v>3184</v>
      </c>
      <c r="K109" s="423" t="s">
        <v>3189</v>
      </c>
      <c r="L109" s="329">
        <f>CONTINUA!BV109</f>
        <v>0</v>
      </c>
      <c r="M109" s="329">
        <f>CONTINUA!BW109</f>
        <v>0</v>
      </c>
      <c r="N109" s="895"/>
      <c r="O109" s="896" t="s">
        <v>3369</v>
      </c>
      <c r="P109" s="897">
        <v>0</v>
      </c>
      <c r="Q109" s="400">
        <v>0</v>
      </c>
      <c r="R109" s="401"/>
      <c r="S109" s="400">
        <v>0</v>
      </c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3274</v>
      </c>
      <c r="B110" s="378" t="s">
        <v>3275</v>
      </c>
      <c r="C110" s="379" t="s">
        <v>3186</v>
      </c>
      <c r="D110" s="380" t="s">
        <v>3276</v>
      </c>
      <c r="E110" s="380" t="s">
        <v>3192</v>
      </c>
      <c r="F110" s="381" t="s">
        <v>3182</v>
      </c>
      <c r="G110" s="381" t="s">
        <v>3183</v>
      </c>
      <c r="H110" s="382" t="s">
        <v>1510</v>
      </c>
      <c r="I110" s="383" t="s">
        <v>1510</v>
      </c>
      <c r="J110" s="421" t="s">
        <v>3184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3369</v>
      </c>
      <c r="P110" s="897">
        <v>0</v>
      </c>
      <c r="Q110" s="400">
        <v>0</v>
      </c>
      <c r="R110" s="401"/>
      <c r="S110" s="400">
        <v>0</v>
      </c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3277</v>
      </c>
      <c r="B111" s="522" t="s">
        <v>3278</v>
      </c>
      <c r="C111" s="523">
        <v>1</v>
      </c>
      <c r="D111" s="524" t="s">
        <v>3279</v>
      </c>
      <c r="E111" s="524" t="s">
        <v>3280</v>
      </c>
      <c r="F111" s="525" t="s">
        <v>3182</v>
      </c>
      <c r="G111" s="525" t="s">
        <v>3183</v>
      </c>
      <c r="H111" s="350" t="s">
        <v>1512</v>
      </c>
      <c r="I111" s="351" t="s">
        <v>1512</v>
      </c>
      <c r="J111" s="409" t="s">
        <v>3184</v>
      </c>
      <c r="K111" s="410" t="s">
        <v>3185</v>
      </c>
      <c r="L111" s="329">
        <f>CONTINUA!BV111</f>
        <v>0</v>
      </c>
      <c r="M111" s="329">
        <f>CONTINUA!BW111</f>
        <v>0</v>
      </c>
      <c r="N111" s="895"/>
      <c r="O111" s="896" t="s">
        <v>3370</v>
      </c>
      <c r="P111" s="897">
        <v>0</v>
      </c>
      <c r="Q111" s="400">
        <v>13</v>
      </c>
      <c r="R111" s="401"/>
      <c r="S111" s="400">
        <v>0</v>
      </c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13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13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16352.810000000001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16584.170000000002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16352.810000000001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3277</v>
      </c>
      <c r="B112" s="369" t="s">
        <v>3278</v>
      </c>
      <c r="C112" s="370" t="s">
        <v>3186</v>
      </c>
      <c r="D112" s="371" t="s">
        <v>3279</v>
      </c>
      <c r="E112" s="371" t="s">
        <v>3280</v>
      </c>
      <c r="F112" s="372" t="s">
        <v>3182</v>
      </c>
      <c r="G112" s="372" t="s">
        <v>3183</v>
      </c>
      <c r="H112" s="373" t="s">
        <v>1512</v>
      </c>
      <c r="I112" s="374" t="s">
        <v>1512</v>
      </c>
      <c r="J112" s="421" t="s">
        <v>3184</v>
      </c>
      <c r="K112" s="421" t="s">
        <v>3187</v>
      </c>
      <c r="L112" s="329">
        <f>CONTINUA!BV112</f>
        <v>24</v>
      </c>
      <c r="M112" s="329">
        <f>CONTINUA!BW112</f>
        <v>0</v>
      </c>
      <c r="N112" s="895"/>
      <c r="O112" s="896" t="s">
        <v>3370</v>
      </c>
      <c r="P112" s="897">
        <v>0</v>
      </c>
      <c r="Q112" s="400">
        <v>26</v>
      </c>
      <c r="R112" s="401"/>
      <c r="S112" s="400">
        <v>0</v>
      </c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26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26</v>
      </c>
      <c r="EW112" s="173"/>
      <c r="EX112" s="248">
        <f t="shared" si="138"/>
        <v>0</v>
      </c>
      <c r="EY112" s="174">
        <f>(L112*regular)+(M112*Cadeirantee)</f>
        <v>231.36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3277</v>
      </c>
      <c r="B113" s="369" t="s">
        <v>3278</v>
      </c>
      <c r="C113" s="375" t="s">
        <v>3186</v>
      </c>
      <c r="D113" s="371" t="s">
        <v>3279</v>
      </c>
      <c r="E113" s="371" t="s">
        <v>3280</v>
      </c>
      <c r="F113" s="376" t="s">
        <v>3182</v>
      </c>
      <c r="G113" s="376" t="s">
        <v>3183</v>
      </c>
      <c r="H113" s="373" t="s">
        <v>1512</v>
      </c>
      <c r="I113" s="374" t="s">
        <v>1512</v>
      </c>
      <c r="J113" s="421" t="s">
        <v>3184</v>
      </c>
      <c r="K113" s="422" t="s">
        <v>3188</v>
      </c>
      <c r="L113" s="329">
        <f>CONTINUA!BV113</f>
        <v>0</v>
      </c>
      <c r="M113" s="329">
        <f>CONTINUA!BW113</f>
        <v>0</v>
      </c>
      <c r="N113" s="895"/>
      <c r="O113" s="896" t="s">
        <v>3370</v>
      </c>
      <c r="P113" s="897">
        <v>0</v>
      </c>
      <c r="Q113" s="400">
        <v>0</v>
      </c>
      <c r="R113" s="401"/>
      <c r="S113" s="400">
        <v>0</v>
      </c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3277</v>
      </c>
      <c r="B114" s="369" t="s">
        <v>3278</v>
      </c>
      <c r="C114" s="375" t="s">
        <v>3186</v>
      </c>
      <c r="D114" s="371" t="s">
        <v>3279</v>
      </c>
      <c r="E114" s="371" t="s">
        <v>3280</v>
      </c>
      <c r="F114" s="376" t="s">
        <v>3182</v>
      </c>
      <c r="G114" s="376" t="s">
        <v>3183</v>
      </c>
      <c r="H114" s="373" t="s">
        <v>1512</v>
      </c>
      <c r="I114" s="374" t="s">
        <v>1512</v>
      </c>
      <c r="J114" s="421" t="s">
        <v>3184</v>
      </c>
      <c r="K114" s="423" t="s">
        <v>3189</v>
      </c>
      <c r="L114" s="329">
        <f>CONTINUA!BV114</f>
        <v>0</v>
      </c>
      <c r="M114" s="329">
        <f>CONTINUA!BW114</f>
        <v>0</v>
      </c>
      <c r="N114" s="895"/>
      <c r="O114" s="896" t="s">
        <v>3370</v>
      </c>
      <c r="P114" s="897">
        <v>0</v>
      </c>
      <c r="Q114" s="400">
        <v>0</v>
      </c>
      <c r="R114" s="401"/>
      <c r="S114" s="400">
        <v>0</v>
      </c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3277</v>
      </c>
      <c r="B115" s="378" t="s">
        <v>3278</v>
      </c>
      <c r="C115" s="379" t="s">
        <v>3186</v>
      </c>
      <c r="D115" s="380" t="s">
        <v>3279</v>
      </c>
      <c r="E115" s="380" t="s">
        <v>3280</v>
      </c>
      <c r="F115" s="381" t="s">
        <v>3182</v>
      </c>
      <c r="G115" s="381" t="s">
        <v>3183</v>
      </c>
      <c r="H115" s="382" t="s">
        <v>1512</v>
      </c>
      <c r="I115" s="383" t="s">
        <v>1512</v>
      </c>
      <c r="J115" s="421" t="s">
        <v>3184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3370</v>
      </c>
      <c r="P115" s="897">
        <v>0</v>
      </c>
      <c r="Q115" s="400">
        <v>0</v>
      </c>
      <c r="R115" s="401"/>
      <c r="S115" s="400">
        <v>0</v>
      </c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3281</v>
      </c>
      <c r="B116" s="522" t="s">
        <v>3282</v>
      </c>
      <c r="C116" s="523">
        <v>1</v>
      </c>
      <c r="D116" s="524" t="s">
        <v>3283</v>
      </c>
      <c r="E116" s="524" t="s">
        <v>3284</v>
      </c>
      <c r="F116" s="525" t="s">
        <v>3182</v>
      </c>
      <c r="G116" s="525" t="s">
        <v>3183</v>
      </c>
      <c r="H116" s="350" t="s">
        <v>1513</v>
      </c>
      <c r="I116" s="351" t="s">
        <v>1513</v>
      </c>
      <c r="J116" s="409" t="s">
        <v>3184</v>
      </c>
      <c r="K116" s="410" t="s">
        <v>3185</v>
      </c>
      <c r="L116" s="329">
        <f>CONTINUA!BV116</f>
        <v>0</v>
      </c>
      <c r="M116" s="329">
        <f>CONTINUA!BW116</f>
        <v>0</v>
      </c>
      <c r="N116" s="895"/>
      <c r="O116" s="896" t="s">
        <v>3371</v>
      </c>
      <c r="P116" s="897">
        <v>0</v>
      </c>
      <c r="Q116" s="400">
        <v>38</v>
      </c>
      <c r="R116" s="401"/>
      <c r="S116" s="400">
        <v>0</v>
      </c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38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38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15967.580000000002</v>
      </c>
      <c r="EY116" s="174">
        <f>(L116*regular)+(M116*Cadeirantee)</f>
        <v>0</v>
      </c>
      <c r="EZ116" s="249">
        <f>SUMIF(FG116:GJ116,"&gt;0")</f>
        <v>0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15967.580000000002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15967.580000000002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3281</v>
      </c>
      <c r="B117" s="369" t="s">
        <v>3282</v>
      </c>
      <c r="C117" s="370" t="s">
        <v>3186</v>
      </c>
      <c r="D117" s="371" t="s">
        <v>3283</v>
      </c>
      <c r="E117" s="371" t="s">
        <v>3284</v>
      </c>
      <c r="F117" s="372" t="s">
        <v>3182</v>
      </c>
      <c r="G117" s="372" t="s">
        <v>3183</v>
      </c>
      <c r="H117" s="373" t="s">
        <v>1513</v>
      </c>
      <c r="I117" s="374" t="s">
        <v>1513</v>
      </c>
      <c r="J117" s="421" t="s">
        <v>3184</v>
      </c>
      <c r="K117" s="421" t="s">
        <v>3187</v>
      </c>
      <c r="L117" s="329">
        <f>CONTINUA!BV117</f>
        <v>0</v>
      </c>
      <c r="M117" s="329">
        <f>CONTINUA!BW117</f>
        <v>0</v>
      </c>
      <c r="N117" s="895"/>
      <c r="O117" s="896" t="s">
        <v>3371</v>
      </c>
      <c r="P117" s="897">
        <v>0</v>
      </c>
      <c r="Q117" s="400">
        <v>0</v>
      </c>
      <c r="R117" s="401"/>
      <c r="S117" s="400">
        <v>0</v>
      </c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0</v>
      </c>
      <c r="EQ117" s="171">
        <f t="shared" si="96"/>
        <v>0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0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3281</v>
      </c>
      <c r="B118" s="369" t="s">
        <v>3282</v>
      </c>
      <c r="C118" s="375" t="s">
        <v>3186</v>
      </c>
      <c r="D118" s="371" t="s">
        <v>3283</v>
      </c>
      <c r="E118" s="371" t="s">
        <v>3284</v>
      </c>
      <c r="F118" s="376" t="s">
        <v>3182</v>
      </c>
      <c r="G118" s="376" t="s">
        <v>3183</v>
      </c>
      <c r="H118" s="373" t="s">
        <v>1513</v>
      </c>
      <c r="I118" s="374" t="s">
        <v>1513</v>
      </c>
      <c r="J118" s="421" t="s">
        <v>3184</v>
      </c>
      <c r="K118" s="422" t="s">
        <v>3188</v>
      </c>
      <c r="L118" s="329">
        <f>CONTINUA!BV118</f>
        <v>0</v>
      </c>
      <c r="M118" s="329">
        <f>CONTINUA!BW118</f>
        <v>0</v>
      </c>
      <c r="N118" s="895"/>
      <c r="O118" s="896" t="s">
        <v>3371</v>
      </c>
      <c r="P118" s="897">
        <v>0</v>
      </c>
      <c r="Q118" s="400">
        <v>0</v>
      </c>
      <c r="R118" s="401"/>
      <c r="S118" s="400">
        <v>0</v>
      </c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3281</v>
      </c>
      <c r="B119" s="369" t="s">
        <v>3282</v>
      </c>
      <c r="C119" s="375" t="s">
        <v>3186</v>
      </c>
      <c r="D119" s="371" t="s">
        <v>3283</v>
      </c>
      <c r="E119" s="371" t="s">
        <v>3284</v>
      </c>
      <c r="F119" s="376" t="s">
        <v>3182</v>
      </c>
      <c r="G119" s="376" t="s">
        <v>3183</v>
      </c>
      <c r="H119" s="373" t="s">
        <v>1513</v>
      </c>
      <c r="I119" s="374" t="s">
        <v>1513</v>
      </c>
      <c r="J119" s="421" t="s">
        <v>3184</v>
      </c>
      <c r="K119" s="423" t="s">
        <v>3189</v>
      </c>
      <c r="L119" s="329">
        <f>CONTINUA!BV119</f>
        <v>0</v>
      </c>
      <c r="M119" s="329">
        <f>CONTINUA!BW119</f>
        <v>0</v>
      </c>
      <c r="N119" s="895"/>
      <c r="O119" s="896" t="s">
        <v>3371</v>
      </c>
      <c r="P119" s="897">
        <v>0</v>
      </c>
      <c r="Q119" s="400">
        <v>0</v>
      </c>
      <c r="R119" s="401"/>
      <c r="S119" s="400">
        <v>0</v>
      </c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3281</v>
      </c>
      <c r="B120" s="378" t="s">
        <v>3282</v>
      </c>
      <c r="C120" s="379" t="s">
        <v>3186</v>
      </c>
      <c r="D120" s="380" t="s">
        <v>3283</v>
      </c>
      <c r="E120" s="380" t="s">
        <v>3284</v>
      </c>
      <c r="F120" s="381" t="s">
        <v>3182</v>
      </c>
      <c r="G120" s="381" t="s">
        <v>3183</v>
      </c>
      <c r="H120" s="382" t="s">
        <v>1513</v>
      </c>
      <c r="I120" s="383" t="s">
        <v>1513</v>
      </c>
      <c r="J120" s="421" t="s">
        <v>3184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3371</v>
      </c>
      <c r="P120" s="897">
        <v>0</v>
      </c>
      <c r="Q120" s="400">
        <v>0</v>
      </c>
      <c r="R120" s="401"/>
      <c r="S120" s="400">
        <v>0</v>
      </c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3285</v>
      </c>
      <c r="B121" s="522" t="s">
        <v>3286</v>
      </c>
      <c r="C121" s="523">
        <v>1</v>
      </c>
      <c r="D121" s="524" t="s">
        <v>3287</v>
      </c>
      <c r="E121" s="524" t="s">
        <v>3288</v>
      </c>
      <c r="F121" s="525" t="s">
        <v>3182</v>
      </c>
      <c r="G121" s="525" t="s">
        <v>3183</v>
      </c>
      <c r="H121" s="350" t="s">
        <v>1514</v>
      </c>
      <c r="I121" s="351" t="s">
        <v>1514</v>
      </c>
      <c r="J121" s="409" t="s">
        <v>3184</v>
      </c>
      <c r="K121" s="410" t="s">
        <v>3185</v>
      </c>
      <c r="L121" s="329">
        <f>CONTINUA!BV121</f>
        <v>0</v>
      </c>
      <c r="M121" s="329">
        <f>CONTINUA!BW121</f>
        <v>0</v>
      </c>
      <c r="N121" s="895"/>
      <c r="O121" s="896" t="s">
        <v>3372</v>
      </c>
      <c r="P121" s="897">
        <v>0</v>
      </c>
      <c r="Q121" s="400">
        <v>40</v>
      </c>
      <c r="R121" s="401"/>
      <c r="S121" s="400">
        <v>0</v>
      </c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40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40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16738.04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16738.04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16738.04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3285</v>
      </c>
      <c r="B122" s="369" t="s">
        <v>3286</v>
      </c>
      <c r="C122" s="370" t="s">
        <v>3186</v>
      </c>
      <c r="D122" s="371" t="s">
        <v>3287</v>
      </c>
      <c r="E122" s="371" t="s">
        <v>3288</v>
      </c>
      <c r="F122" s="372" t="s">
        <v>3182</v>
      </c>
      <c r="G122" s="372" t="s">
        <v>3183</v>
      </c>
      <c r="H122" s="373" t="s">
        <v>1514</v>
      </c>
      <c r="I122" s="374" t="s">
        <v>1514</v>
      </c>
      <c r="J122" s="421" t="s">
        <v>3184</v>
      </c>
      <c r="K122" s="421" t="s">
        <v>3187</v>
      </c>
      <c r="L122" s="329">
        <f>CONTINUA!BV122</f>
        <v>0</v>
      </c>
      <c r="M122" s="329">
        <f>CONTINUA!BW122</f>
        <v>0</v>
      </c>
      <c r="N122" s="895"/>
      <c r="O122" s="896" t="s">
        <v>3372</v>
      </c>
      <c r="P122" s="897">
        <v>0</v>
      </c>
      <c r="Q122" s="400">
        <v>0</v>
      </c>
      <c r="R122" s="401"/>
      <c r="S122" s="400">
        <v>0</v>
      </c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0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0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3285</v>
      </c>
      <c r="B123" s="369" t="s">
        <v>3286</v>
      </c>
      <c r="C123" s="375" t="s">
        <v>3186</v>
      </c>
      <c r="D123" s="371" t="s">
        <v>3287</v>
      </c>
      <c r="E123" s="371" t="s">
        <v>3288</v>
      </c>
      <c r="F123" s="376" t="s">
        <v>3182</v>
      </c>
      <c r="G123" s="376" t="s">
        <v>3183</v>
      </c>
      <c r="H123" s="373" t="s">
        <v>1514</v>
      </c>
      <c r="I123" s="374" t="s">
        <v>1514</v>
      </c>
      <c r="J123" s="421" t="s">
        <v>3184</v>
      </c>
      <c r="K123" s="422" t="s">
        <v>3188</v>
      </c>
      <c r="L123" s="329">
        <f>CONTINUA!BV123</f>
        <v>0</v>
      </c>
      <c r="M123" s="329">
        <f>CONTINUA!BW123</f>
        <v>0</v>
      </c>
      <c r="N123" s="895"/>
      <c r="O123" s="896" t="s">
        <v>3372</v>
      </c>
      <c r="P123" s="897">
        <v>0</v>
      </c>
      <c r="Q123" s="400">
        <v>0</v>
      </c>
      <c r="R123" s="401"/>
      <c r="S123" s="400">
        <v>0</v>
      </c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3285</v>
      </c>
      <c r="B124" s="369" t="s">
        <v>3286</v>
      </c>
      <c r="C124" s="375" t="s">
        <v>3186</v>
      </c>
      <c r="D124" s="371" t="s">
        <v>3287</v>
      </c>
      <c r="E124" s="371" t="s">
        <v>3288</v>
      </c>
      <c r="F124" s="376" t="s">
        <v>3182</v>
      </c>
      <c r="G124" s="376" t="s">
        <v>3183</v>
      </c>
      <c r="H124" s="373" t="s">
        <v>1514</v>
      </c>
      <c r="I124" s="374" t="s">
        <v>1514</v>
      </c>
      <c r="J124" s="421" t="s">
        <v>3184</v>
      </c>
      <c r="K124" s="423" t="s">
        <v>3189</v>
      </c>
      <c r="L124" s="329">
        <f>CONTINUA!BV124</f>
        <v>0</v>
      </c>
      <c r="M124" s="329">
        <f>CONTINUA!BW124</f>
        <v>0</v>
      </c>
      <c r="N124" s="895"/>
      <c r="O124" s="896" t="s">
        <v>3372</v>
      </c>
      <c r="P124" s="897">
        <v>0</v>
      </c>
      <c r="Q124" s="400">
        <v>0</v>
      </c>
      <c r="R124" s="401"/>
      <c r="S124" s="400">
        <v>0</v>
      </c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3285</v>
      </c>
      <c r="B125" s="378" t="s">
        <v>3286</v>
      </c>
      <c r="C125" s="379" t="s">
        <v>3186</v>
      </c>
      <c r="D125" s="380" t="s">
        <v>3287</v>
      </c>
      <c r="E125" s="380" t="s">
        <v>3288</v>
      </c>
      <c r="F125" s="381" t="s">
        <v>3182</v>
      </c>
      <c r="G125" s="381" t="s">
        <v>3183</v>
      </c>
      <c r="H125" s="382" t="s">
        <v>1514</v>
      </c>
      <c r="I125" s="383" t="s">
        <v>1514</v>
      </c>
      <c r="J125" s="421" t="s">
        <v>3184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3372</v>
      </c>
      <c r="P125" s="897">
        <v>0</v>
      </c>
      <c r="Q125" s="400">
        <v>0</v>
      </c>
      <c r="R125" s="401"/>
      <c r="S125" s="400">
        <v>0</v>
      </c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3289</v>
      </c>
      <c r="B126" s="522" t="s">
        <v>3290</v>
      </c>
      <c r="C126" s="523">
        <v>1</v>
      </c>
      <c r="D126" s="524" t="s">
        <v>3291</v>
      </c>
      <c r="E126" s="524" t="s">
        <v>3292</v>
      </c>
      <c r="F126" s="525" t="s">
        <v>3182</v>
      </c>
      <c r="G126" s="525" t="s">
        <v>3183</v>
      </c>
      <c r="H126" s="350" t="s">
        <v>1515</v>
      </c>
      <c r="I126" s="351" t="s">
        <v>1515</v>
      </c>
      <c r="J126" s="409" t="s">
        <v>3184</v>
      </c>
      <c r="K126" s="410" t="s">
        <v>3185</v>
      </c>
      <c r="L126" s="329">
        <f>CONTINUA!BV126</f>
        <v>0</v>
      </c>
      <c r="M126" s="329">
        <f>CONTINUA!BW126</f>
        <v>0</v>
      </c>
      <c r="N126" s="895"/>
      <c r="O126" s="896" t="s">
        <v>3373</v>
      </c>
      <c r="P126" s="897">
        <v>0</v>
      </c>
      <c r="Q126" s="400">
        <v>0</v>
      </c>
      <c r="R126" s="401"/>
      <c r="S126" s="400">
        <v>0</v>
      </c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0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0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21746.03</v>
      </c>
      <c r="EY126" s="174">
        <f>(L126*regular)+(M126*Cadeirantee)</f>
        <v>0</v>
      </c>
      <c r="EZ126" s="249">
        <f>SUMIF(FG126:GJ126,"&gt;0")</f>
        <v>0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21746.03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21746.03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3289</v>
      </c>
      <c r="B127" s="369" t="s">
        <v>3290</v>
      </c>
      <c r="C127" s="370" t="s">
        <v>3186</v>
      </c>
      <c r="D127" s="371" t="s">
        <v>3291</v>
      </c>
      <c r="E127" s="371" t="s">
        <v>3292</v>
      </c>
      <c r="F127" s="372" t="s">
        <v>3182</v>
      </c>
      <c r="G127" s="372" t="s">
        <v>3183</v>
      </c>
      <c r="H127" s="373" t="s">
        <v>1515</v>
      </c>
      <c r="I127" s="374" t="s">
        <v>1515</v>
      </c>
      <c r="J127" s="421" t="s">
        <v>3184</v>
      </c>
      <c r="K127" s="421" t="s">
        <v>3187</v>
      </c>
      <c r="L127" s="329">
        <f>CONTINUA!BV127</f>
        <v>0</v>
      </c>
      <c r="M127" s="329">
        <f>CONTINUA!BW127</f>
        <v>0</v>
      </c>
      <c r="N127" s="895"/>
      <c r="O127" s="896" t="s">
        <v>3373</v>
      </c>
      <c r="P127" s="897">
        <v>0</v>
      </c>
      <c r="Q127" s="400">
        <v>47</v>
      </c>
      <c r="R127" s="401"/>
      <c r="S127" s="400">
        <v>6</v>
      </c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47</v>
      </c>
      <c r="EQ127" s="171">
        <f t="shared" si="96"/>
        <v>0</v>
      </c>
      <c r="ER127" s="171">
        <f t="shared" si="97"/>
        <v>6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53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3289</v>
      </c>
      <c r="B128" s="369" t="s">
        <v>3290</v>
      </c>
      <c r="C128" s="375" t="s">
        <v>3186</v>
      </c>
      <c r="D128" s="371" t="s">
        <v>3291</v>
      </c>
      <c r="E128" s="371" t="s">
        <v>3292</v>
      </c>
      <c r="F128" s="376" t="s">
        <v>3182</v>
      </c>
      <c r="G128" s="376" t="s">
        <v>3183</v>
      </c>
      <c r="H128" s="373" t="s">
        <v>1515</v>
      </c>
      <c r="I128" s="374" t="s">
        <v>1515</v>
      </c>
      <c r="J128" s="421" t="s">
        <v>3184</v>
      </c>
      <c r="K128" s="422" t="s">
        <v>3188</v>
      </c>
      <c r="L128" s="329">
        <f>CONTINUA!BV128</f>
        <v>0</v>
      </c>
      <c r="M128" s="329">
        <f>CONTINUA!BW128</f>
        <v>0</v>
      </c>
      <c r="N128" s="895"/>
      <c r="O128" s="896" t="s">
        <v>3373</v>
      </c>
      <c r="P128" s="897">
        <v>0</v>
      </c>
      <c r="Q128" s="400">
        <v>0</v>
      </c>
      <c r="R128" s="401"/>
      <c r="S128" s="400">
        <v>0</v>
      </c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3289</v>
      </c>
      <c r="B129" s="369" t="s">
        <v>3290</v>
      </c>
      <c r="C129" s="375" t="s">
        <v>3186</v>
      </c>
      <c r="D129" s="371" t="s">
        <v>3291</v>
      </c>
      <c r="E129" s="371" t="s">
        <v>3292</v>
      </c>
      <c r="F129" s="376" t="s">
        <v>3182</v>
      </c>
      <c r="G129" s="376" t="s">
        <v>3183</v>
      </c>
      <c r="H129" s="373" t="s">
        <v>1515</v>
      </c>
      <c r="I129" s="374" t="s">
        <v>1515</v>
      </c>
      <c r="J129" s="421" t="s">
        <v>3184</v>
      </c>
      <c r="K129" s="423" t="s">
        <v>3189</v>
      </c>
      <c r="L129" s="329">
        <f>CONTINUA!BV129</f>
        <v>0</v>
      </c>
      <c r="M129" s="329">
        <f>CONTINUA!BW129</f>
        <v>0</v>
      </c>
      <c r="N129" s="895"/>
      <c r="O129" s="896" t="s">
        <v>3373</v>
      </c>
      <c r="P129" s="897">
        <v>0</v>
      </c>
      <c r="Q129" s="400">
        <v>0</v>
      </c>
      <c r="R129" s="401"/>
      <c r="S129" s="400">
        <v>0</v>
      </c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3289</v>
      </c>
      <c r="B130" s="378" t="s">
        <v>3290</v>
      </c>
      <c r="C130" s="379" t="s">
        <v>3186</v>
      </c>
      <c r="D130" s="380" t="s">
        <v>3291</v>
      </c>
      <c r="E130" s="380" t="s">
        <v>3292</v>
      </c>
      <c r="F130" s="381" t="s">
        <v>3182</v>
      </c>
      <c r="G130" s="381" t="s">
        <v>3183</v>
      </c>
      <c r="H130" s="382" t="s">
        <v>1515</v>
      </c>
      <c r="I130" s="383" t="s">
        <v>1515</v>
      </c>
      <c r="J130" s="421" t="s">
        <v>3184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3373</v>
      </c>
      <c r="P130" s="897">
        <v>0</v>
      </c>
      <c r="Q130" s="400">
        <v>0</v>
      </c>
      <c r="R130" s="401"/>
      <c r="S130" s="400">
        <v>0</v>
      </c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3293</v>
      </c>
      <c r="B131" s="522" t="s">
        <v>3294</v>
      </c>
      <c r="C131" s="523">
        <v>1</v>
      </c>
      <c r="D131" s="524" t="s">
        <v>3295</v>
      </c>
      <c r="E131" s="524" t="s">
        <v>3296</v>
      </c>
      <c r="F131" s="525" t="s">
        <v>3182</v>
      </c>
      <c r="G131" s="525" t="s">
        <v>3183</v>
      </c>
      <c r="H131" s="350" t="s">
        <v>1516</v>
      </c>
      <c r="I131" s="351" t="s">
        <v>1516</v>
      </c>
      <c r="J131" s="409" t="s">
        <v>3184</v>
      </c>
      <c r="K131" s="410" t="s">
        <v>3185</v>
      </c>
      <c r="L131" s="329">
        <f>CONTINUA!BV131</f>
        <v>0</v>
      </c>
      <c r="M131" s="329">
        <f>CONTINUA!BW131</f>
        <v>0</v>
      </c>
      <c r="N131" s="895"/>
      <c r="O131" s="896" t="s">
        <v>3374</v>
      </c>
      <c r="P131" s="897">
        <v>0</v>
      </c>
      <c r="Q131" s="400">
        <v>0</v>
      </c>
      <c r="R131" s="401"/>
      <c r="S131" s="400">
        <v>0</v>
      </c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12885.740000000002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13078.54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12885.740000000002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3293</v>
      </c>
      <c r="B132" s="369" t="s">
        <v>3294</v>
      </c>
      <c r="C132" s="370" t="s">
        <v>3186</v>
      </c>
      <c r="D132" s="371" t="s">
        <v>3295</v>
      </c>
      <c r="E132" s="371" t="s">
        <v>3296</v>
      </c>
      <c r="F132" s="372" t="s">
        <v>3182</v>
      </c>
      <c r="G132" s="372" t="s">
        <v>3183</v>
      </c>
      <c r="H132" s="373" t="s">
        <v>1516</v>
      </c>
      <c r="I132" s="374" t="s">
        <v>1516</v>
      </c>
      <c r="J132" s="421" t="s">
        <v>3184</v>
      </c>
      <c r="K132" s="421" t="s">
        <v>3187</v>
      </c>
      <c r="L132" s="329">
        <f>CONTINUA!BV132</f>
        <v>20</v>
      </c>
      <c r="M132" s="329">
        <f>CONTINUA!BW132</f>
        <v>0</v>
      </c>
      <c r="N132" s="895"/>
      <c r="O132" s="896" t="s">
        <v>3374</v>
      </c>
      <c r="P132" s="897">
        <v>0</v>
      </c>
      <c r="Q132" s="400">
        <v>30</v>
      </c>
      <c r="R132" s="401"/>
      <c r="S132" s="400">
        <v>0</v>
      </c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30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30</v>
      </c>
      <c r="EW132" s="173"/>
      <c r="EX132" s="248">
        <f t="shared" si="158"/>
        <v>0</v>
      </c>
      <c r="EY132" s="174">
        <f>(L132*regular)+(M132*Cadeirantee)</f>
        <v>192.8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3293</v>
      </c>
      <c r="B133" s="369" t="s">
        <v>3294</v>
      </c>
      <c r="C133" s="375" t="s">
        <v>3186</v>
      </c>
      <c r="D133" s="371" t="s">
        <v>3295</v>
      </c>
      <c r="E133" s="371" t="s">
        <v>3296</v>
      </c>
      <c r="F133" s="376" t="s">
        <v>3182</v>
      </c>
      <c r="G133" s="376" t="s">
        <v>3183</v>
      </c>
      <c r="H133" s="373" t="s">
        <v>1516</v>
      </c>
      <c r="I133" s="374" t="s">
        <v>1516</v>
      </c>
      <c r="J133" s="421" t="s">
        <v>3184</v>
      </c>
      <c r="K133" s="422" t="s">
        <v>3188</v>
      </c>
      <c r="L133" s="329">
        <f>CONTINUA!BV133</f>
        <v>0</v>
      </c>
      <c r="M133" s="329">
        <f>CONTINUA!BW133</f>
        <v>0</v>
      </c>
      <c r="N133" s="895"/>
      <c r="O133" s="896" t="s">
        <v>3374</v>
      </c>
      <c r="P133" s="897">
        <v>0</v>
      </c>
      <c r="Q133" s="400">
        <v>0</v>
      </c>
      <c r="R133" s="401"/>
      <c r="S133" s="400">
        <v>0</v>
      </c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3293</v>
      </c>
      <c r="B134" s="369" t="s">
        <v>3294</v>
      </c>
      <c r="C134" s="375" t="s">
        <v>3186</v>
      </c>
      <c r="D134" s="371" t="s">
        <v>3295</v>
      </c>
      <c r="E134" s="371" t="s">
        <v>3296</v>
      </c>
      <c r="F134" s="376" t="s">
        <v>3182</v>
      </c>
      <c r="G134" s="376" t="s">
        <v>3183</v>
      </c>
      <c r="H134" s="373" t="s">
        <v>1516</v>
      </c>
      <c r="I134" s="374" t="s">
        <v>1516</v>
      </c>
      <c r="J134" s="421" t="s">
        <v>3184</v>
      </c>
      <c r="K134" s="423" t="s">
        <v>3189</v>
      </c>
      <c r="L134" s="329">
        <f>CONTINUA!BV134</f>
        <v>0</v>
      </c>
      <c r="M134" s="329">
        <f>CONTINUA!BW134</f>
        <v>0</v>
      </c>
      <c r="N134" s="895"/>
      <c r="O134" s="896" t="s">
        <v>3374</v>
      </c>
      <c r="P134" s="897">
        <v>0</v>
      </c>
      <c r="Q134" s="400">
        <v>0</v>
      </c>
      <c r="R134" s="401"/>
      <c r="S134" s="400">
        <v>0</v>
      </c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3293</v>
      </c>
      <c r="B135" s="378" t="s">
        <v>3294</v>
      </c>
      <c r="C135" s="379" t="s">
        <v>3186</v>
      </c>
      <c r="D135" s="380" t="s">
        <v>3295</v>
      </c>
      <c r="E135" s="380" t="s">
        <v>3296</v>
      </c>
      <c r="F135" s="381" t="s">
        <v>3182</v>
      </c>
      <c r="G135" s="381" t="s">
        <v>3183</v>
      </c>
      <c r="H135" s="382" t="s">
        <v>1516</v>
      </c>
      <c r="I135" s="383" t="s">
        <v>1516</v>
      </c>
      <c r="J135" s="421" t="s">
        <v>3184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3374</v>
      </c>
      <c r="P135" s="897">
        <v>0</v>
      </c>
      <c r="Q135" s="400">
        <v>0</v>
      </c>
      <c r="R135" s="401"/>
      <c r="S135" s="400">
        <v>0</v>
      </c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3297</v>
      </c>
      <c r="B136" s="522" t="s">
        <v>3298</v>
      </c>
      <c r="C136" s="523">
        <v>1</v>
      </c>
      <c r="D136" s="524" t="s">
        <v>3299</v>
      </c>
      <c r="E136" s="524" t="s">
        <v>3300</v>
      </c>
      <c r="F136" s="525" t="s">
        <v>3182</v>
      </c>
      <c r="G136" s="525" t="s">
        <v>3183</v>
      </c>
      <c r="H136" s="350" t="s">
        <v>1517</v>
      </c>
      <c r="I136" s="351" t="s">
        <v>1517</v>
      </c>
      <c r="J136" s="409" t="s">
        <v>3184</v>
      </c>
      <c r="K136" s="410" t="s">
        <v>3185</v>
      </c>
      <c r="L136" s="329">
        <f>CONTINUA!BV136</f>
        <v>0</v>
      </c>
      <c r="M136" s="329">
        <f>CONTINUA!BW136</f>
        <v>0</v>
      </c>
      <c r="N136" s="895"/>
      <c r="O136" s="896" t="s">
        <v>3375</v>
      </c>
      <c r="P136" s="897">
        <v>0</v>
      </c>
      <c r="Q136" s="400">
        <v>0</v>
      </c>
      <c r="R136" s="401"/>
      <c r="S136" s="400">
        <v>0</v>
      </c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0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0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23286.95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23286.95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23286.95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3297</v>
      </c>
      <c r="B137" s="369" t="s">
        <v>3298</v>
      </c>
      <c r="C137" s="370" t="s">
        <v>3186</v>
      </c>
      <c r="D137" s="371" t="s">
        <v>3299</v>
      </c>
      <c r="E137" s="371" t="s">
        <v>3300</v>
      </c>
      <c r="F137" s="372" t="s">
        <v>3182</v>
      </c>
      <c r="G137" s="372" t="s">
        <v>3183</v>
      </c>
      <c r="H137" s="373" t="s">
        <v>1517</v>
      </c>
      <c r="I137" s="374" t="s">
        <v>1517</v>
      </c>
      <c r="J137" s="421" t="s">
        <v>3184</v>
      </c>
      <c r="K137" s="421" t="s">
        <v>3187</v>
      </c>
      <c r="L137" s="329">
        <f>CONTINUA!BV137</f>
        <v>0</v>
      </c>
      <c r="M137" s="329">
        <f>CONTINUA!BW137</f>
        <v>0</v>
      </c>
      <c r="N137" s="895"/>
      <c r="O137" s="896" t="s">
        <v>3375</v>
      </c>
      <c r="P137" s="897">
        <v>0</v>
      </c>
      <c r="Q137" s="400">
        <v>51</v>
      </c>
      <c r="R137" s="401"/>
      <c r="S137" s="400">
        <v>6</v>
      </c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51</v>
      </c>
      <c r="EQ137" s="171">
        <f t="shared" si="96"/>
        <v>0</v>
      </c>
      <c r="ER137" s="171">
        <f t="shared" si="97"/>
        <v>6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57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3297</v>
      </c>
      <c r="B138" s="369" t="s">
        <v>3298</v>
      </c>
      <c r="C138" s="375" t="s">
        <v>3186</v>
      </c>
      <c r="D138" s="371" t="s">
        <v>3299</v>
      </c>
      <c r="E138" s="371" t="s">
        <v>3300</v>
      </c>
      <c r="F138" s="376" t="s">
        <v>3182</v>
      </c>
      <c r="G138" s="376" t="s">
        <v>3183</v>
      </c>
      <c r="H138" s="373" t="s">
        <v>1517</v>
      </c>
      <c r="I138" s="374" t="s">
        <v>1517</v>
      </c>
      <c r="J138" s="421" t="s">
        <v>3184</v>
      </c>
      <c r="K138" s="422" t="s">
        <v>3188</v>
      </c>
      <c r="L138" s="329">
        <f>CONTINUA!BV138</f>
        <v>0</v>
      </c>
      <c r="M138" s="329">
        <f>CONTINUA!BW138</f>
        <v>0</v>
      </c>
      <c r="N138" s="895"/>
      <c r="O138" s="896" t="s">
        <v>3375</v>
      </c>
      <c r="P138" s="897">
        <v>0</v>
      </c>
      <c r="Q138" s="400">
        <v>0</v>
      </c>
      <c r="R138" s="401"/>
      <c r="S138" s="400">
        <v>0</v>
      </c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3297</v>
      </c>
      <c r="B139" s="369" t="s">
        <v>3298</v>
      </c>
      <c r="C139" s="375" t="s">
        <v>3186</v>
      </c>
      <c r="D139" s="371" t="s">
        <v>3299</v>
      </c>
      <c r="E139" s="371" t="s">
        <v>3300</v>
      </c>
      <c r="F139" s="376" t="s">
        <v>3182</v>
      </c>
      <c r="G139" s="376" t="s">
        <v>3183</v>
      </c>
      <c r="H139" s="373" t="s">
        <v>1517</v>
      </c>
      <c r="I139" s="374" t="s">
        <v>1517</v>
      </c>
      <c r="J139" s="421" t="s">
        <v>3184</v>
      </c>
      <c r="K139" s="423" t="s">
        <v>3189</v>
      </c>
      <c r="L139" s="329">
        <f>CONTINUA!BV139</f>
        <v>0</v>
      </c>
      <c r="M139" s="329">
        <f>CONTINUA!BW139</f>
        <v>0</v>
      </c>
      <c r="N139" s="895"/>
      <c r="O139" s="896" t="s">
        <v>3375</v>
      </c>
      <c r="P139" s="897">
        <v>0</v>
      </c>
      <c r="Q139" s="400">
        <v>0</v>
      </c>
      <c r="R139" s="401"/>
      <c r="S139" s="400">
        <v>0</v>
      </c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0" si="168">Q139</f>
        <v>0</v>
      </c>
      <c r="EQ139" s="171">
        <f t="shared" ref="EQ139:EQ200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0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0" si="171">R139</f>
        <v>0</v>
      </c>
      <c r="ET139" s="171">
        <f t="shared" ref="ET139:ET200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0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0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0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3297</v>
      </c>
      <c r="B140" s="378" t="s">
        <v>3298</v>
      </c>
      <c r="C140" s="379" t="s">
        <v>3186</v>
      </c>
      <c r="D140" s="380" t="s">
        <v>3299</v>
      </c>
      <c r="E140" s="380" t="s">
        <v>3300</v>
      </c>
      <c r="F140" s="381" t="s">
        <v>3182</v>
      </c>
      <c r="G140" s="381" t="s">
        <v>3183</v>
      </c>
      <c r="H140" s="382" t="s">
        <v>1517</v>
      </c>
      <c r="I140" s="383" t="s">
        <v>1517</v>
      </c>
      <c r="J140" s="421" t="s">
        <v>3184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3375</v>
      </c>
      <c r="P140" s="897">
        <v>0</v>
      </c>
      <c r="Q140" s="400">
        <v>0</v>
      </c>
      <c r="R140" s="401"/>
      <c r="S140" s="400">
        <v>0</v>
      </c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3301</v>
      </c>
      <c r="B141" s="522" t="s">
        <v>3302</v>
      </c>
      <c r="C141" s="523">
        <v>1</v>
      </c>
      <c r="D141" s="524" t="s">
        <v>3303</v>
      </c>
      <c r="E141" s="524" t="s">
        <v>3304</v>
      </c>
      <c r="F141" s="525" t="s">
        <v>3182</v>
      </c>
      <c r="G141" s="525" t="s">
        <v>3183</v>
      </c>
      <c r="H141" s="350" t="s">
        <v>1521</v>
      </c>
      <c r="I141" s="351" t="s">
        <v>1521</v>
      </c>
      <c r="J141" s="409" t="s">
        <v>3184</v>
      </c>
      <c r="K141" s="410" t="s">
        <v>3185</v>
      </c>
      <c r="L141" s="329">
        <f>CONTINUA!BV141</f>
        <v>0</v>
      </c>
      <c r="M141" s="329">
        <f>CONTINUA!BW141</f>
        <v>0</v>
      </c>
      <c r="N141" s="895"/>
      <c r="O141" s="896" t="s">
        <v>3376</v>
      </c>
      <c r="P141" s="897">
        <v>0</v>
      </c>
      <c r="Q141" s="400">
        <v>0</v>
      </c>
      <c r="R141" s="401"/>
      <c r="S141" s="400">
        <v>0</v>
      </c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 t="s">
        <v>3193</v>
      </c>
      <c r="EM141" s="520">
        <v>988.75699999999995</v>
      </c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21360.800000000003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22465.237000000005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21360.800000000003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988.75699999999995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3301</v>
      </c>
      <c r="B142" s="369" t="s">
        <v>3302</v>
      </c>
      <c r="C142" s="370" t="s">
        <v>3186</v>
      </c>
      <c r="D142" s="371" t="s">
        <v>3303</v>
      </c>
      <c r="E142" s="371" t="s">
        <v>3304</v>
      </c>
      <c r="F142" s="372" t="s">
        <v>3182</v>
      </c>
      <c r="G142" s="372" t="s">
        <v>3183</v>
      </c>
      <c r="H142" s="373" t="s">
        <v>1521</v>
      </c>
      <c r="I142" s="374" t="s">
        <v>1521</v>
      </c>
      <c r="J142" s="421" t="s">
        <v>3184</v>
      </c>
      <c r="K142" s="421" t="s">
        <v>3187</v>
      </c>
      <c r="L142" s="329">
        <f>CONTINUA!BV142</f>
        <v>12</v>
      </c>
      <c r="M142" s="329">
        <f>CONTINUA!BW142</f>
        <v>0</v>
      </c>
      <c r="N142" s="895"/>
      <c r="O142" s="896" t="s">
        <v>3376</v>
      </c>
      <c r="P142" s="897">
        <v>0</v>
      </c>
      <c r="Q142" s="400">
        <v>39</v>
      </c>
      <c r="R142" s="401"/>
      <c r="S142" s="400">
        <v>13</v>
      </c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39</v>
      </c>
      <c r="EQ142" s="171">
        <f t="shared" si="169"/>
        <v>0</v>
      </c>
      <c r="ER142" s="171">
        <f t="shared" si="170"/>
        <v>13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52</v>
      </c>
      <c r="EW142" s="173"/>
      <c r="EX142" s="248">
        <f t="shared" si="176"/>
        <v>0</v>
      </c>
      <c r="EY142" s="174">
        <f>(L142*regular)+(M142*Cadeirantee)</f>
        <v>115.68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3301</v>
      </c>
      <c r="B143" s="369" t="s">
        <v>3302</v>
      </c>
      <c r="C143" s="375" t="s">
        <v>3186</v>
      </c>
      <c r="D143" s="371" t="s">
        <v>3303</v>
      </c>
      <c r="E143" s="371" t="s">
        <v>3304</v>
      </c>
      <c r="F143" s="376" t="s">
        <v>3182</v>
      </c>
      <c r="G143" s="376" t="s">
        <v>3183</v>
      </c>
      <c r="H143" s="373" t="s">
        <v>1521</v>
      </c>
      <c r="I143" s="374" t="s">
        <v>1521</v>
      </c>
      <c r="J143" s="421" t="s">
        <v>3184</v>
      </c>
      <c r="K143" s="422" t="s">
        <v>3188</v>
      </c>
      <c r="L143" s="329">
        <f>CONTINUA!BV143</f>
        <v>0</v>
      </c>
      <c r="M143" s="329">
        <f>CONTINUA!BW143</f>
        <v>0</v>
      </c>
      <c r="N143" s="895"/>
      <c r="O143" s="896" t="s">
        <v>3376</v>
      </c>
      <c r="P143" s="897">
        <v>0</v>
      </c>
      <c r="Q143" s="400">
        <v>0</v>
      </c>
      <c r="R143" s="401"/>
      <c r="S143" s="400">
        <v>0</v>
      </c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3301</v>
      </c>
      <c r="B144" s="369" t="s">
        <v>3302</v>
      </c>
      <c r="C144" s="375" t="s">
        <v>3186</v>
      </c>
      <c r="D144" s="371" t="s">
        <v>3303</v>
      </c>
      <c r="E144" s="371" t="s">
        <v>3304</v>
      </c>
      <c r="F144" s="376" t="s">
        <v>3182</v>
      </c>
      <c r="G144" s="376" t="s">
        <v>3183</v>
      </c>
      <c r="H144" s="373" t="s">
        <v>1521</v>
      </c>
      <c r="I144" s="374" t="s">
        <v>1521</v>
      </c>
      <c r="J144" s="421" t="s">
        <v>3184</v>
      </c>
      <c r="K144" s="423" t="s">
        <v>3189</v>
      </c>
      <c r="L144" s="329">
        <f>CONTINUA!BV144</f>
        <v>0</v>
      </c>
      <c r="M144" s="329">
        <f>CONTINUA!BW144</f>
        <v>0</v>
      </c>
      <c r="N144" s="895"/>
      <c r="O144" s="896" t="s">
        <v>3376</v>
      </c>
      <c r="P144" s="897">
        <v>0</v>
      </c>
      <c r="Q144" s="400">
        <v>0</v>
      </c>
      <c r="R144" s="401"/>
      <c r="S144" s="400">
        <v>0</v>
      </c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3301</v>
      </c>
      <c r="B145" s="378" t="s">
        <v>3302</v>
      </c>
      <c r="C145" s="379" t="s">
        <v>3186</v>
      </c>
      <c r="D145" s="380" t="s">
        <v>3303</v>
      </c>
      <c r="E145" s="380" t="s">
        <v>3304</v>
      </c>
      <c r="F145" s="381" t="s">
        <v>3182</v>
      </c>
      <c r="G145" s="381" t="s">
        <v>3183</v>
      </c>
      <c r="H145" s="382" t="s">
        <v>1521</v>
      </c>
      <c r="I145" s="383" t="s">
        <v>1521</v>
      </c>
      <c r="J145" s="421" t="s">
        <v>3184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3376</v>
      </c>
      <c r="P145" s="897">
        <v>0</v>
      </c>
      <c r="Q145" s="400">
        <v>0</v>
      </c>
      <c r="R145" s="401"/>
      <c r="S145" s="400">
        <v>0</v>
      </c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3305</v>
      </c>
      <c r="B146" s="522" t="s">
        <v>3306</v>
      </c>
      <c r="C146" s="523">
        <v>1</v>
      </c>
      <c r="D146" s="524" t="s">
        <v>3307</v>
      </c>
      <c r="E146" s="524" t="s">
        <v>3308</v>
      </c>
      <c r="F146" s="525" t="s">
        <v>3182</v>
      </c>
      <c r="G146" s="525" t="s">
        <v>3183</v>
      </c>
      <c r="H146" s="350" t="s">
        <v>1522</v>
      </c>
      <c r="I146" s="351" t="s">
        <v>1522</v>
      </c>
      <c r="J146" s="409" t="s">
        <v>3184</v>
      </c>
      <c r="K146" s="410" t="s">
        <v>3185</v>
      </c>
      <c r="L146" s="329">
        <f>CONTINUA!BV146</f>
        <v>0</v>
      </c>
      <c r="M146" s="329">
        <f>CONTINUA!BW146</f>
        <v>0</v>
      </c>
      <c r="N146" s="895"/>
      <c r="O146" s="896" t="s">
        <v>3377</v>
      </c>
      <c r="P146" s="897">
        <v>0</v>
      </c>
      <c r="Q146" s="400">
        <v>0</v>
      </c>
      <c r="R146" s="401"/>
      <c r="S146" s="400">
        <v>0</v>
      </c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0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0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22901.72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23403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22901.72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3305</v>
      </c>
      <c r="B147" s="369" t="s">
        <v>3306</v>
      </c>
      <c r="C147" s="370" t="s">
        <v>3186</v>
      </c>
      <c r="D147" s="371" t="s">
        <v>3307</v>
      </c>
      <c r="E147" s="371" t="s">
        <v>3308</v>
      </c>
      <c r="F147" s="372" t="s">
        <v>3182</v>
      </c>
      <c r="G147" s="372" t="s">
        <v>3183</v>
      </c>
      <c r="H147" s="373" t="s">
        <v>1522</v>
      </c>
      <c r="I147" s="374" t="s">
        <v>1522</v>
      </c>
      <c r="J147" s="421" t="s">
        <v>3184</v>
      </c>
      <c r="K147" s="421" t="s">
        <v>3187</v>
      </c>
      <c r="L147" s="329">
        <f>CONTINUA!BV147</f>
        <v>52</v>
      </c>
      <c r="M147" s="329">
        <f>CONTINUA!BW147</f>
        <v>0</v>
      </c>
      <c r="N147" s="895"/>
      <c r="O147" s="896" t="s">
        <v>3377</v>
      </c>
      <c r="P147" s="897">
        <v>0</v>
      </c>
      <c r="Q147" s="400">
        <v>30</v>
      </c>
      <c r="R147" s="401"/>
      <c r="S147" s="400">
        <v>26</v>
      </c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30</v>
      </c>
      <c r="EQ147" s="171">
        <f t="shared" si="169"/>
        <v>0</v>
      </c>
      <c r="ER147" s="171">
        <f t="shared" si="170"/>
        <v>26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56</v>
      </c>
      <c r="EW147" s="173"/>
      <c r="EX147" s="248">
        <f t="shared" si="181"/>
        <v>0</v>
      </c>
      <c r="EY147" s="174">
        <f>(L147*regular)+(M147*Cadeirantee)</f>
        <v>501.28000000000003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3305</v>
      </c>
      <c r="B148" s="369" t="s">
        <v>3306</v>
      </c>
      <c r="C148" s="375" t="s">
        <v>3186</v>
      </c>
      <c r="D148" s="371" t="s">
        <v>3307</v>
      </c>
      <c r="E148" s="371" t="s">
        <v>3308</v>
      </c>
      <c r="F148" s="376" t="s">
        <v>3182</v>
      </c>
      <c r="G148" s="376" t="s">
        <v>3183</v>
      </c>
      <c r="H148" s="373" t="s">
        <v>1522</v>
      </c>
      <c r="I148" s="374" t="s">
        <v>1522</v>
      </c>
      <c r="J148" s="421" t="s">
        <v>3184</v>
      </c>
      <c r="K148" s="422" t="s">
        <v>3188</v>
      </c>
      <c r="L148" s="329">
        <f>CONTINUA!BV148</f>
        <v>0</v>
      </c>
      <c r="M148" s="329">
        <f>CONTINUA!BW148</f>
        <v>0</v>
      </c>
      <c r="N148" s="895"/>
      <c r="O148" s="896" t="s">
        <v>3377</v>
      </c>
      <c r="P148" s="897">
        <v>0</v>
      </c>
      <c r="Q148" s="400">
        <v>0</v>
      </c>
      <c r="R148" s="401"/>
      <c r="S148" s="400">
        <v>0</v>
      </c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3305</v>
      </c>
      <c r="B149" s="369" t="s">
        <v>3306</v>
      </c>
      <c r="C149" s="375" t="s">
        <v>3186</v>
      </c>
      <c r="D149" s="371" t="s">
        <v>3307</v>
      </c>
      <c r="E149" s="371" t="s">
        <v>3308</v>
      </c>
      <c r="F149" s="376" t="s">
        <v>3182</v>
      </c>
      <c r="G149" s="376" t="s">
        <v>3183</v>
      </c>
      <c r="H149" s="373" t="s">
        <v>1522</v>
      </c>
      <c r="I149" s="374" t="s">
        <v>1522</v>
      </c>
      <c r="J149" s="421" t="s">
        <v>3184</v>
      </c>
      <c r="K149" s="423" t="s">
        <v>3189</v>
      </c>
      <c r="L149" s="329">
        <f>CONTINUA!BV149</f>
        <v>0</v>
      </c>
      <c r="M149" s="329">
        <f>CONTINUA!BW149</f>
        <v>0</v>
      </c>
      <c r="N149" s="895"/>
      <c r="O149" s="896" t="s">
        <v>3377</v>
      </c>
      <c r="P149" s="897">
        <v>0</v>
      </c>
      <c r="Q149" s="400">
        <v>0</v>
      </c>
      <c r="R149" s="401"/>
      <c r="S149" s="400">
        <v>0</v>
      </c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3305</v>
      </c>
      <c r="B150" s="378" t="s">
        <v>3306</v>
      </c>
      <c r="C150" s="379" t="s">
        <v>3186</v>
      </c>
      <c r="D150" s="380" t="s">
        <v>3307</v>
      </c>
      <c r="E150" s="380" t="s">
        <v>3308</v>
      </c>
      <c r="F150" s="381" t="s">
        <v>3182</v>
      </c>
      <c r="G150" s="381" t="s">
        <v>3183</v>
      </c>
      <c r="H150" s="382" t="s">
        <v>1522</v>
      </c>
      <c r="I150" s="383" t="s">
        <v>1522</v>
      </c>
      <c r="J150" s="421" t="s">
        <v>3184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3377</v>
      </c>
      <c r="P150" s="897">
        <v>0</v>
      </c>
      <c r="Q150" s="400">
        <v>0</v>
      </c>
      <c r="R150" s="401"/>
      <c r="S150" s="400">
        <v>0</v>
      </c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3309</v>
      </c>
      <c r="B151" s="522" t="s">
        <v>3310</v>
      </c>
      <c r="C151" s="523">
        <v>1</v>
      </c>
      <c r="D151" s="524" t="s">
        <v>3311</v>
      </c>
      <c r="E151" s="524" t="s">
        <v>3312</v>
      </c>
      <c r="F151" s="525" t="s">
        <v>3182</v>
      </c>
      <c r="G151" s="525" t="s">
        <v>3183</v>
      </c>
      <c r="H151" s="350" t="s">
        <v>1523</v>
      </c>
      <c r="I151" s="351" t="s">
        <v>1523</v>
      </c>
      <c r="J151" s="409" t="s">
        <v>3184</v>
      </c>
      <c r="K151" s="410" t="s">
        <v>3185</v>
      </c>
      <c r="L151" s="329">
        <f>CONTINUA!BV151</f>
        <v>0</v>
      </c>
      <c r="M151" s="329">
        <f>CONTINUA!BW151</f>
        <v>0</v>
      </c>
      <c r="N151" s="895"/>
      <c r="O151" s="896" t="s">
        <v>3378</v>
      </c>
      <c r="P151" s="897">
        <v>0</v>
      </c>
      <c r="Q151" s="400">
        <v>0</v>
      </c>
      <c r="R151" s="401"/>
      <c r="S151" s="400">
        <v>0</v>
      </c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 t="s">
        <v>3193</v>
      </c>
      <c r="EM151" s="520">
        <v>141.251</v>
      </c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14426.66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14876.391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14426.66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141.251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3309</v>
      </c>
      <c r="B152" s="369" t="s">
        <v>3310</v>
      </c>
      <c r="C152" s="370" t="s">
        <v>3186</v>
      </c>
      <c r="D152" s="371" t="s">
        <v>3311</v>
      </c>
      <c r="E152" s="371" t="s">
        <v>3312</v>
      </c>
      <c r="F152" s="372" t="s">
        <v>3182</v>
      </c>
      <c r="G152" s="372" t="s">
        <v>3183</v>
      </c>
      <c r="H152" s="373" t="s">
        <v>1523</v>
      </c>
      <c r="I152" s="374" t="s">
        <v>1523</v>
      </c>
      <c r="J152" s="421" t="s">
        <v>3184</v>
      </c>
      <c r="K152" s="421" t="s">
        <v>3187</v>
      </c>
      <c r="L152" s="329">
        <f>CONTINUA!BV152</f>
        <v>32</v>
      </c>
      <c r="M152" s="329">
        <f>CONTINUA!BW152</f>
        <v>0</v>
      </c>
      <c r="N152" s="895"/>
      <c r="O152" s="896" t="s">
        <v>3378</v>
      </c>
      <c r="P152" s="897">
        <v>0</v>
      </c>
      <c r="Q152" s="400">
        <v>33</v>
      </c>
      <c r="R152" s="401"/>
      <c r="S152" s="400">
        <v>1</v>
      </c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33</v>
      </c>
      <c r="EQ152" s="171">
        <f t="shared" si="169"/>
        <v>0</v>
      </c>
      <c r="ER152" s="171">
        <f t="shared" si="170"/>
        <v>1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34</v>
      </c>
      <c r="EW152" s="173"/>
      <c r="EX152" s="248">
        <f t="shared" si="186"/>
        <v>0</v>
      </c>
      <c r="EY152" s="174">
        <f>(L152*regular)+(M152*Cadeirantee)</f>
        <v>308.48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3309</v>
      </c>
      <c r="B153" s="369" t="s">
        <v>3310</v>
      </c>
      <c r="C153" s="375" t="s">
        <v>3186</v>
      </c>
      <c r="D153" s="371" t="s">
        <v>3311</v>
      </c>
      <c r="E153" s="371" t="s">
        <v>3312</v>
      </c>
      <c r="F153" s="376" t="s">
        <v>3182</v>
      </c>
      <c r="G153" s="376" t="s">
        <v>3183</v>
      </c>
      <c r="H153" s="373" t="s">
        <v>1523</v>
      </c>
      <c r="I153" s="374" t="s">
        <v>1523</v>
      </c>
      <c r="J153" s="421" t="s">
        <v>3184</v>
      </c>
      <c r="K153" s="422" t="s">
        <v>3188</v>
      </c>
      <c r="L153" s="329">
        <f>CONTINUA!BV153</f>
        <v>0</v>
      </c>
      <c r="M153" s="329">
        <f>CONTINUA!BW153</f>
        <v>0</v>
      </c>
      <c r="N153" s="895"/>
      <c r="O153" s="896" t="s">
        <v>3378</v>
      </c>
      <c r="P153" s="897">
        <v>0</v>
      </c>
      <c r="Q153" s="400">
        <v>0</v>
      </c>
      <c r="R153" s="401"/>
      <c r="S153" s="400">
        <v>0</v>
      </c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3309</v>
      </c>
      <c r="B154" s="369" t="s">
        <v>3310</v>
      </c>
      <c r="C154" s="375" t="s">
        <v>3186</v>
      </c>
      <c r="D154" s="371" t="s">
        <v>3311</v>
      </c>
      <c r="E154" s="371" t="s">
        <v>3312</v>
      </c>
      <c r="F154" s="376" t="s">
        <v>3182</v>
      </c>
      <c r="G154" s="376" t="s">
        <v>3183</v>
      </c>
      <c r="H154" s="373" t="s">
        <v>1523</v>
      </c>
      <c r="I154" s="374" t="s">
        <v>1523</v>
      </c>
      <c r="J154" s="421" t="s">
        <v>3184</v>
      </c>
      <c r="K154" s="423" t="s">
        <v>3189</v>
      </c>
      <c r="L154" s="329">
        <f>CONTINUA!BV154</f>
        <v>0</v>
      </c>
      <c r="M154" s="329">
        <f>CONTINUA!BW154</f>
        <v>0</v>
      </c>
      <c r="N154" s="895"/>
      <c r="O154" s="896" t="s">
        <v>3378</v>
      </c>
      <c r="P154" s="897">
        <v>0</v>
      </c>
      <c r="Q154" s="400">
        <v>0</v>
      </c>
      <c r="R154" s="401"/>
      <c r="S154" s="400">
        <v>0</v>
      </c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3309</v>
      </c>
      <c r="B155" s="378" t="s">
        <v>3310</v>
      </c>
      <c r="C155" s="379" t="s">
        <v>3186</v>
      </c>
      <c r="D155" s="380" t="s">
        <v>3311</v>
      </c>
      <c r="E155" s="380" t="s">
        <v>3312</v>
      </c>
      <c r="F155" s="381" t="s">
        <v>3182</v>
      </c>
      <c r="G155" s="381" t="s">
        <v>3183</v>
      </c>
      <c r="H155" s="382" t="s">
        <v>1523</v>
      </c>
      <c r="I155" s="383" t="s">
        <v>1523</v>
      </c>
      <c r="J155" s="421" t="s">
        <v>3184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3378</v>
      </c>
      <c r="P155" s="897">
        <v>0</v>
      </c>
      <c r="Q155" s="400">
        <v>0</v>
      </c>
      <c r="R155" s="401"/>
      <c r="S155" s="400">
        <v>0</v>
      </c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3313</v>
      </c>
      <c r="B156" s="522" t="s">
        <v>3314</v>
      </c>
      <c r="C156" s="523">
        <v>1</v>
      </c>
      <c r="D156" s="524" t="s">
        <v>3315</v>
      </c>
      <c r="E156" s="524" t="s">
        <v>3316</v>
      </c>
      <c r="F156" s="525" t="s">
        <v>3182</v>
      </c>
      <c r="G156" s="525" t="s">
        <v>3183</v>
      </c>
      <c r="H156" s="350" t="s">
        <v>1524</v>
      </c>
      <c r="I156" s="351" t="s">
        <v>1524</v>
      </c>
      <c r="J156" s="409" t="s">
        <v>3184</v>
      </c>
      <c r="K156" s="410" t="s">
        <v>3185</v>
      </c>
      <c r="L156" s="329">
        <f>CONTINUA!BV156</f>
        <v>0</v>
      </c>
      <c r="M156" s="329">
        <f>CONTINUA!BW156</f>
        <v>0</v>
      </c>
      <c r="N156" s="895"/>
      <c r="O156" s="896" t="s">
        <v>3379</v>
      </c>
      <c r="P156" s="897">
        <v>0</v>
      </c>
      <c r="Q156" s="400">
        <v>0</v>
      </c>
      <c r="R156" s="401"/>
      <c r="S156" s="400">
        <v>0</v>
      </c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0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0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16352.810000000001</v>
      </c>
      <c r="EY156" s="174">
        <f>(L156*regular)+(M156*Cadeirantee)</f>
        <v>0</v>
      </c>
      <c r="EZ156" s="249">
        <f>SUMIF(FG156:GJ156,"&gt;0")</f>
        <v>0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16622.73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16352.810000000001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3313</v>
      </c>
      <c r="B157" s="369" t="s">
        <v>3314</v>
      </c>
      <c r="C157" s="370" t="s">
        <v>3186</v>
      </c>
      <c r="D157" s="371" t="s">
        <v>3315</v>
      </c>
      <c r="E157" s="371" t="s">
        <v>3316</v>
      </c>
      <c r="F157" s="372" t="s">
        <v>3182</v>
      </c>
      <c r="G157" s="372" t="s">
        <v>3183</v>
      </c>
      <c r="H157" s="373" t="s">
        <v>1524</v>
      </c>
      <c r="I157" s="374" t="s">
        <v>1524</v>
      </c>
      <c r="J157" s="421" t="s">
        <v>3184</v>
      </c>
      <c r="K157" s="421" t="s">
        <v>3187</v>
      </c>
      <c r="L157" s="329">
        <f>CONTINUA!BV157</f>
        <v>28</v>
      </c>
      <c r="M157" s="329">
        <f>CONTINUA!BW157</f>
        <v>0</v>
      </c>
      <c r="N157" s="895"/>
      <c r="O157" s="896" t="s">
        <v>3379</v>
      </c>
      <c r="P157" s="897">
        <v>0</v>
      </c>
      <c r="Q157" s="400">
        <v>31</v>
      </c>
      <c r="R157" s="401"/>
      <c r="S157" s="400">
        <v>8</v>
      </c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31</v>
      </c>
      <c r="EQ157" s="171">
        <f t="shared" si="169"/>
        <v>0</v>
      </c>
      <c r="ER157" s="171">
        <f t="shared" si="170"/>
        <v>8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39</v>
      </c>
      <c r="EW157" s="173"/>
      <c r="EX157" s="248">
        <f t="shared" si="191"/>
        <v>0</v>
      </c>
      <c r="EY157" s="174">
        <f>(L157*regular)+(M157*Cadeirantee)</f>
        <v>269.92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3313</v>
      </c>
      <c r="B158" s="369" t="s">
        <v>3314</v>
      </c>
      <c r="C158" s="375" t="s">
        <v>3186</v>
      </c>
      <c r="D158" s="371" t="s">
        <v>3315</v>
      </c>
      <c r="E158" s="371" t="s">
        <v>3316</v>
      </c>
      <c r="F158" s="376" t="s">
        <v>3182</v>
      </c>
      <c r="G158" s="376" t="s">
        <v>3183</v>
      </c>
      <c r="H158" s="373" t="s">
        <v>1524</v>
      </c>
      <c r="I158" s="374" t="s">
        <v>1524</v>
      </c>
      <c r="J158" s="421" t="s">
        <v>3184</v>
      </c>
      <c r="K158" s="422" t="s">
        <v>3188</v>
      </c>
      <c r="L158" s="329">
        <f>CONTINUA!BV158</f>
        <v>0</v>
      </c>
      <c r="M158" s="329">
        <f>CONTINUA!BW158</f>
        <v>0</v>
      </c>
      <c r="N158" s="895"/>
      <c r="O158" s="896" t="s">
        <v>3379</v>
      </c>
      <c r="P158" s="897">
        <v>0</v>
      </c>
      <c r="Q158" s="400">
        <v>0</v>
      </c>
      <c r="R158" s="401"/>
      <c r="S158" s="400">
        <v>0</v>
      </c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3313</v>
      </c>
      <c r="B159" s="369" t="s">
        <v>3314</v>
      </c>
      <c r="C159" s="375" t="s">
        <v>3186</v>
      </c>
      <c r="D159" s="371" t="s">
        <v>3315</v>
      </c>
      <c r="E159" s="371" t="s">
        <v>3316</v>
      </c>
      <c r="F159" s="376" t="s">
        <v>3182</v>
      </c>
      <c r="G159" s="376" t="s">
        <v>3183</v>
      </c>
      <c r="H159" s="373" t="s">
        <v>1524</v>
      </c>
      <c r="I159" s="374" t="s">
        <v>1524</v>
      </c>
      <c r="J159" s="421" t="s">
        <v>3184</v>
      </c>
      <c r="K159" s="423" t="s">
        <v>3189</v>
      </c>
      <c r="L159" s="329">
        <f>CONTINUA!BV159</f>
        <v>0</v>
      </c>
      <c r="M159" s="329">
        <f>CONTINUA!BW159</f>
        <v>0</v>
      </c>
      <c r="N159" s="895"/>
      <c r="O159" s="896" t="s">
        <v>3379</v>
      </c>
      <c r="P159" s="897">
        <v>0</v>
      </c>
      <c r="Q159" s="400">
        <v>0</v>
      </c>
      <c r="R159" s="401"/>
      <c r="S159" s="400">
        <v>0</v>
      </c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3313</v>
      </c>
      <c r="B160" s="378" t="s">
        <v>3314</v>
      </c>
      <c r="C160" s="379" t="s">
        <v>3186</v>
      </c>
      <c r="D160" s="380" t="s">
        <v>3315</v>
      </c>
      <c r="E160" s="380" t="s">
        <v>3316</v>
      </c>
      <c r="F160" s="381" t="s">
        <v>3182</v>
      </c>
      <c r="G160" s="381" t="s">
        <v>3183</v>
      </c>
      <c r="H160" s="382" t="s">
        <v>1524</v>
      </c>
      <c r="I160" s="383" t="s">
        <v>1524</v>
      </c>
      <c r="J160" s="421" t="s">
        <v>3184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3379</v>
      </c>
      <c r="P160" s="897">
        <v>0</v>
      </c>
      <c r="Q160" s="400">
        <v>0</v>
      </c>
      <c r="R160" s="401"/>
      <c r="S160" s="400">
        <v>0</v>
      </c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3317</v>
      </c>
      <c r="B161" s="522" t="s">
        <v>3318</v>
      </c>
      <c r="C161" s="523">
        <v>1</v>
      </c>
      <c r="D161" s="524" t="s">
        <v>3319</v>
      </c>
      <c r="E161" s="524" t="s">
        <v>3320</v>
      </c>
      <c r="F161" s="525" t="s">
        <v>3182</v>
      </c>
      <c r="G161" s="525" t="s">
        <v>3183</v>
      </c>
      <c r="H161" s="350" t="s">
        <v>1525</v>
      </c>
      <c r="I161" s="351" t="s">
        <v>1525</v>
      </c>
      <c r="J161" s="409" t="s">
        <v>3184</v>
      </c>
      <c r="K161" s="410" t="s">
        <v>3185</v>
      </c>
      <c r="L161" s="329">
        <f>CONTINUA!BV161</f>
        <v>0</v>
      </c>
      <c r="M161" s="329">
        <f>CONTINUA!BW161</f>
        <v>0</v>
      </c>
      <c r="N161" s="895"/>
      <c r="O161" s="896" t="s">
        <v>3380</v>
      </c>
      <c r="P161" s="897">
        <v>0</v>
      </c>
      <c r="Q161" s="400">
        <v>0</v>
      </c>
      <c r="R161" s="401"/>
      <c r="S161" s="400">
        <v>0</v>
      </c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0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18664.190000000002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18779.870000000003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18664.190000000002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3317</v>
      </c>
      <c r="B162" s="369" t="s">
        <v>3318</v>
      </c>
      <c r="C162" s="370" t="s">
        <v>3186</v>
      </c>
      <c r="D162" s="371" t="s">
        <v>3319</v>
      </c>
      <c r="E162" s="371" t="s">
        <v>3320</v>
      </c>
      <c r="F162" s="372" t="s">
        <v>3182</v>
      </c>
      <c r="G162" s="372" t="s">
        <v>3183</v>
      </c>
      <c r="H162" s="373" t="s">
        <v>1525</v>
      </c>
      <c r="I162" s="374" t="s">
        <v>1525</v>
      </c>
      <c r="J162" s="421" t="s">
        <v>3184</v>
      </c>
      <c r="K162" s="421" t="s">
        <v>3187</v>
      </c>
      <c r="L162" s="329">
        <f>CONTINUA!BV162</f>
        <v>12</v>
      </c>
      <c r="M162" s="329">
        <f>CONTINUA!BW162</f>
        <v>0</v>
      </c>
      <c r="N162" s="895"/>
      <c r="O162" s="896" t="s">
        <v>3380</v>
      </c>
      <c r="P162" s="897">
        <v>0</v>
      </c>
      <c r="Q162" s="400">
        <v>45</v>
      </c>
      <c r="R162" s="401"/>
      <c r="S162" s="400">
        <v>0</v>
      </c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45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45</v>
      </c>
      <c r="EW162" s="173"/>
      <c r="EX162" s="248">
        <f t="shared" si="196"/>
        <v>0</v>
      </c>
      <c r="EY162" s="174">
        <f>(L162*regular)+(M162*Cadeirantee)</f>
        <v>115.68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3317</v>
      </c>
      <c r="B163" s="369" t="s">
        <v>3318</v>
      </c>
      <c r="C163" s="375" t="s">
        <v>3186</v>
      </c>
      <c r="D163" s="371" t="s">
        <v>3319</v>
      </c>
      <c r="E163" s="371" t="s">
        <v>3320</v>
      </c>
      <c r="F163" s="376" t="s">
        <v>3182</v>
      </c>
      <c r="G163" s="376" t="s">
        <v>3183</v>
      </c>
      <c r="H163" s="373" t="s">
        <v>1525</v>
      </c>
      <c r="I163" s="374" t="s">
        <v>1525</v>
      </c>
      <c r="J163" s="421" t="s">
        <v>3184</v>
      </c>
      <c r="K163" s="422" t="s">
        <v>3188</v>
      </c>
      <c r="L163" s="329">
        <f>CONTINUA!BV163</f>
        <v>0</v>
      </c>
      <c r="M163" s="329">
        <f>CONTINUA!BW163</f>
        <v>0</v>
      </c>
      <c r="N163" s="895"/>
      <c r="O163" s="896" t="s">
        <v>3380</v>
      </c>
      <c r="P163" s="897">
        <v>0</v>
      </c>
      <c r="Q163" s="400">
        <v>0</v>
      </c>
      <c r="R163" s="401"/>
      <c r="S163" s="400">
        <v>0</v>
      </c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3317</v>
      </c>
      <c r="B164" s="369" t="s">
        <v>3318</v>
      </c>
      <c r="C164" s="375" t="s">
        <v>3186</v>
      </c>
      <c r="D164" s="371" t="s">
        <v>3319</v>
      </c>
      <c r="E164" s="371" t="s">
        <v>3320</v>
      </c>
      <c r="F164" s="376" t="s">
        <v>3182</v>
      </c>
      <c r="G164" s="376" t="s">
        <v>3183</v>
      </c>
      <c r="H164" s="373" t="s">
        <v>1525</v>
      </c>
      <c r="I164" s="374" t="s">
        <v>1525</v>
      </c>
      <c r="J164" s="421" t="s">
        <v>3184</v>
      </c>
      <c r="K164" s="423" t="s">
        <v>3189</v>
      </c>
      <c r="L164" s="329">
        <f>CONTINUA!BV164</f>
        <v>0</v>
      </c>
      <c r="M164" s="329">
        <f>CONTINUA!BW164</f>
        <v>0</v>
      </c>
      <c r="N164" s="895"/>
      <c r="O164" s="896" t="s">
        <v>3380</v>
      </c>
      <c r="P164" s="897">
        <v>0</v>
      </c>
      <c r="Q164" s="400">
        <v>0</v>
      </c>
      <c r="R164" s="401"/>
      <c r="S164" s="400">
        <v>0</v>
      </c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3317</v>
      </c>
      <c r="B165" s="378" t="s">
        <v>3318</v>
      </c>
      <c r="C165" s="379" t="s">
        <v>3186</v>
      </c>
      <c r="D165" s="380" t="s">
        <v>3319</v>
      </c>
      <c r="E165" s="380" t="s">
        <v>3320</v>
      </c>
      <c r="F165" s="381" t="s">
        <v>3182</v>
      </c>
      <c r="G165" s="381" t="s">
        <v>3183</v>
      </c>
      <c r="H165" s="382" t="s">
        <v>1525</v>
      </c>
      <c r="I165" s="383" t="s">
        <v>1525</v>
      </c>
      <c r="J165" s="421" t="s">
        <v>3184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3380</v>
      </c>
      <c r="P165" s="897">
        <v>0</v>
      </c>
      <c r="Q165" s="400">
        <v>0</v>
      </c>
      <c r="R165" s="401"/>
      <c r="S165" s="400">
        <v>0</v>
      </c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3321</v>
      </c>
      <c r="B166" s="522" t="s">
        <v>3322</v>
      </c>
      <c r="C166" s="523">
        <v>1</v>
      </c>
      <c r="D166" s="524" t="s">
        <v>3323</v>
      </c>
      <c r="E166" s="524" t="s">
        <v>3324</v>
      </c>
      <c r="F166" s="525" t="s">
        <v>3182</v>
      </c>
      <c r="G166" s="525" t="s">
        <v>3183</v>
      </c>
      <c r="H166" s="350" t="s">
        <v>1527</v>
      </c>
      <c r="I166" s="351" t="s">
        <v>1527</v>
      </c>
      <c r="J166" s="409" t="s">
        <v>3184</v>
      </c>
      <c r="K166" s="410" t="s">
        <v>3185</v>
      </c>
      <c r="L166" s="329">
        <f>CONTINUA!BV166</f>
        <v>0</v>
      </c>
      <c r="M166" s="329">
        <f>CONTINUA!BW166</f>
        <v>0</v>
      </c>
      <c r="N166" s="895"/>
      <c r="O166" s="896" t="s">
        <v>3381</v>
      </c>
      <c r="P166" s="897">
        <v>0</v>
      </c>
      <c r="Q166" s="400">
        <v>0</v>
      </c>
      <c r="R166" s="401"/>
      <c r="S166" s="400">
        <v>0</v>
      </c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0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0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14041.43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14041.43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14041.43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3321</v>
      </c>
      <c r="B167" s="369" t="s">
        <v>3322</v>
      </c>
      <c r="C167" s="370" t="s">
        <v>3186</v>
      </c>
      <c r="D167" s="371" t="s">
        <v>3323</v>
      </c>
      <c r="E167" s="371" t="s">
        <v>3324</v>
      </c>
      <c r="F167" s="372" t="s">
        <v>3182</v>
      </c>
      <c r="G167" s="372" t="s">
        <v>3183</v>
      </c>
      <c r="H167" s="373" t="s">
        <v>1527</v>
      </c>
      <c r="I167" s="374" t="s">
        <v>1527</v>
      </c>
      <c r="J167" s="421" t="s">
        <v>3184</v>
      </c>
      <c r="K167" s="421" t="s">
        <v>3187</v>
      </c>
      <c r="L167" s="329">
        <f>CONTINUA!BV167</f>
        <v>0</v>
      </c>
      <c r="M167" s="329">
        <f>CONTINUA!BW167</f>
        <v>0</v>
      </c>
      <c r="N167" s="895"/>
      <c r="O167" s="896" t="s">
        <v>3381</v>
      </c>
      <c r="P167" s="897">
        <v>0</v>
      </c>
      <c r="Q167" s="400">
        <v>33</v>
      </c>
      <c r="R167" s="401"/>
      <c r="S167" s="400">
        <v>0</v>
      </c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33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33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3321</v>
      </c>
      <c r="B168" s="369" t="s">
        <v>3322</v>
      </c>
      <c r="C168" s="375" t="s">
        <v>3186</v>
      </c>
      <c r="D168" s="371" t="s">
        <v>3323</v>
      </c>
      <c r="E168" s="371" t="s">
        <v>3324</v>
      </c>
      <c r="F168" s="376" t="s">
        <v>3182</v>
      </c>
      <c r="G168" s="376" t="s">
        <v>3183</v>
      </c>
      <c r="H168" s="373" t="s">
        <v>1527</v>
      </c>
      <c r="I168" s="374" t="s">
        <v>1527</v>
      </c>
      <c r="J168" s="421" t="s">
        <v>3184</v>
      </c>
      <c r="K168" s="422" t="s">
        <v>3188</v>
      </c>
      <c r="L168" s="329">
        <f>CONTINUA!BV168</f>
        <v>0</v>
      </c>
      <c r="M168" s="329">
        <f>CONTINUA!BW168</f>
        <v>0</v>
      </c>
      <c r="N168" s="895"/>
      <c r="O168" s="896" t="s">
        <v>3381</v>
      </c>
      <c r="P168" s="897">
        <v>0</v>
      </c>
      <c r="Q168" s="400">
        <v>0</v>
      </c>
      <c r="R168" s="401"/>
      <c r="S168" s="400">
        <v>0</v>
      </c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3321</v>
      </c>
      <c r="B169" s="369" t="s">
        <v>3322</v>
      </c>
      <c r="C169" s="375" t="s">
        <v>3186</v>
      </c>
      <c r="D169" s="371" t="s">
        <v>3323</v>
      </c>
      <c r="E169" s="371" t="s">
        <v>3324</v>
      </c>
      <c r="F169" s="376" t="s">
        <v>3182</v>
      </c>
      <c r="G169" s="376" t="s">
        <v>3183</v>
      </c>
      <c r="H169" s="373" t="s">
        <v>1527</v>
      </c>
      <c r="I169" s="374" t="s">
        <v>1527</v>
      </c>
      <c r="J169" s="421" t="s">
        <v>3184</v>
      </c>
      <c r="K169" s="423" t="s">
        <v>3189</v>
      </c>
      <c r="L169" s="329">
        <f>CONTINUA!BV169</f>
        <v>0</v>
      </c>
      <c r="M169" s="329">
        <f>CONTINUA!BW169</f>
        <v>0</v>
      </c>
      <c r="N169" s="895"/>
      <c r="O169" s="896" t="s">
        <v>3381</v>
      </c>
      <c r="P169" s="897">
        <v>0</v>
      </c>
      <c r="Q169" s="400">
        <v>0</v>
      </c>
      <c r="R169" s="401"/>
      <c r="S169" s="400">
        <v>0</v>
      </c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3321</v>
      </c>
      <c r="B170" s="378" t="s">
        <v>3322</v>
      </c>
      <c r="C170" s="379" t="s">
        <v>3186</v>
      </c>
      <c r="D170" s="380" t="s">
        <v>3323</v>
      </c>
      <c r="E170" s="380" t="s">
        <v>3324</v>
      </c>
      <c r="F170" s="381" t="s">
        <v>3182</v>
      </c>
      <c r="G170" s="381" t="s">
        <v>3183</v>
      </c>
      <c r="H170" s="382" t="s">
        <v>1527</v>
      </c>
      <c r="I170" s="383" t="s">
        <v>1527</v>
      </c>
      <c r="J170" s="421" t="s">
        <v>3184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3381</v>
      </c>
      <c r="P170" s="897">
        <v>0</v>
      </c>
      <c r="Q170" s="400">
        <v>0</v>
      </c>
      <c r="R170" s="401"/>
      <c r="S170" s="400">
        <v>0</v>
      </c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3325</v>
      </c>
      <c r="B171" s="522" t="s">
        <v>3326</v>
      </c>
      <c r="C171" s="523">
        <v>1</v>
      </c>
      <c r="D171" s="524" t="s">
        <v>3327</v>
      </c>
      <c r="E171" s="524" t="s">
        <v>3328</v>
      </c>
      <c r="F171" s="525" t="s">
        <v>3182</v>
      </c>
      <c r="G171" s="525" t="s">
        <v>3183</v>
      </c>
      <c r="H171" s="350" t="s">
        <v>1528</v>
      </c>
      <c r="I171" s="351" t="s">
        <v>1528</v>
      </c>
      <c r="J171" s="409" t="s">
        <v>3184</v>
      </c>
      <c r="K171" s="410" t="s">
        <v>3185</v>
      </c>
      <c r="L171" s="329">
        <f>CONTINUA!BV171</f>
        <v>0</v>
      </c>
      <c r="M171" s="329">
        <f>CONTINUA!BW171</f>
        <v>0</v>
      </c>
      <c r="N171" s="895"/>
      <c r="O171" s="896" t="s">
        <v>3382</v>
      </c>
      <c r="P171" s="897">
        <v>0</v>
      </c>
      <c r="Q171" s="400">
        <v>33</v>
      </c>
      <c r="R171" s="401"/>
      <c r="S171" s="400">
        <v>0</v>
      </c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33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33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14041.43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14041.43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14041.43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3325</v>
      </c>
      <c r="B172" s="369" t="s">
        <v>3326</v>
      </c>
      <c r="C172" s="370" t="s">
        <v>3186</v>
      </c>
      <c r="D172" s="371" t="s">
        <v>3327</v>
      </c>
      <c r="E172" s="371" t="s">
        <v>3328</v>
      </c>
      <c r="F172" s="372" t="s">
        <v>3182</v>
      </c>
      <c r="G172" s="372" t="s">
        <v>3183</v>
      </c>
      <c r="H172" s="373" t="s">
        <v>1528</v>
      </c>
      <c r="I172" s="374" t="s">
        <v>1528</v>
      </c>
      <c r="J172" s="421" t="s">
        <v>3184</v>
      </c>
      <c r="K172" s="421" t="s">
        <v>3187</v>
      </c>
      <c r="L172" s="329">
        <f>CONTINUA!BV172</f>
        <v>0</v>
      </c>
      <c r="M172" s="329">
        <f>CONTINUA!BW172</f>
        <v>0</v>
      </c>
      <c r="N172" s="895"/>
      <c r="O172" s="896" t="s">
        <v>3382</v>
      </c>
      <c r="P172" s="897">
        <v>0</v>
      </c>
      <c r="Q172" s="400">
        <v>0</v>
      </c>
      <c r="R172" s="401"/>
      <c r="S172" s="400">
        <v>0</v>
      </c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0</v>
      </c>
      <c r="EQ172" s="171">
        <f t="shared" si="169"/>
        <v>0</v>
      </c>
      <c r="ER172" s="171">
        <f t="shared" si="170"/>
        <v>0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0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3325</v>
      </c>
      <c r="B173" s="369" t="s">
        <v>3326</v>
      </c>
      <c r="C173" s="375" t="s">
        <v>3186</v>
      </c>
      <c r="D173" s="371" t="s">
        <v>3327</v>
      </c>
      <c r="E173" s="371" t="s">
        <v>3328</v>
      </c>
      <c r="F173" s="376" t="s">
        <v>3182</v>
      </c>
      <c r="G173" s="376" t="s">
        <v>3183</v>
      </c>
      <c r="H173" s="373" t="s">
        <v>1528</v>
      </c>
      <c r="I173" s="374" t="s">
        <v>1528</v>
      </c>
      <c r="J173" s="421" t="s">
        <v>3184</v>
      </c>
      <c r="K173" s="422" t="s">
        <v>3188</v>
      </c>
      <c r="L173" s="329">
        <f>CONTINUA!BV173</f>
        <v>0</v>
      </c>
      <c r="M173" s="329">
        <f>CONTINUA!BW173</f>
        <v>0</v>
      </c>
      <c r="N173" s="895"/>
      <c r="O173" s="896" t="s">
        <v>3382</v>
      </c>
      <c r="P173" s="897">
        <v>0</v>
      </c>
      <c r="Q173" s="400">
        <v>0</v>
      </c>
      <c r="R173" s="401"/>
      <c r="S173" s="400">
        <v>0</v>
      </c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3325</v>
      </c>
      <c r="B174" s="369" t="s">
        <v>3326</v>
      </c>
      <c r="C174" s="375" t="s">
        <v>3186</v>
      </c>
      <c r="D174" s="371" t="s">
        <v>3327</v>
      </c>
      <c r="E174" s="371" t="s">
        <v>3328</v>
      </c>
      <c r="F174" s="376" t="s">
        <v>3182</v>
      </c>
      <c r="G174" s="376" t="s">
        <v>3183</v>
      </c>
      <c r="H174" s="373" t="s">
        <v>1528</v>
      </c>
      <c r="I174" s="374" t="s">
        <v>1528</v>
      </c>
      <c r="J174" s="421" t="s">
        <v>3184</v>
      </c>
      <c r="K174" s="423" t="s">
        <v>3189</v>
      </c>
      <c r="L174" s="329">
        <f>CONTINUA!BV174</f>
        <v>0</v>
      </c>
      <c r="M174" s="329">
        <f>CONTINUA!BW174</f>
        <v>0</v>
      </c>
      <c r="N174" s="895"/>
      <c r="O174" s="896" t="s">
        <v>3382</v>
      </c>
      <c r="P174" s="897">
        <v>0</v>
      </c>
      <c r="Q174" s="400">
        <v>0</v>
      </c>
      <c r="R174" s="401"/>
      <c r="S174" s="400">
        <v>0</v>
      </c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3325</v>
      </c>
      <c r="B175" s="378" t="s">
        <v>3326</v>
      </c>
      <c r="C175" s="379" t="s">
        <v>3186</v>
      </c>
      <c r="D175" s="380" t="s">
        <v>3327</v>
      </c>
      <c r="E175" s="380" t="s">
        <v>3328</v>
      </c>
      <c r="F175" s="381" t="s">
        <v>3182</v>
      </c>
      <c r="G175" s="381" t="s">
        <v>3183</v>
      </c>
      <c r="H175" s="382" t="s">
        <v>1528</v>
      </c>
      <c r="I175" s="383" t="s">
        <v>1528</v>
      </c>
      <c r="J175" s="421" t="s">
        <v>3184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3382</v>
      </c>
      <c r="P175" s="897">
        <v>0</v>
      </c>
      <c r="Q175" s="400">
        <v>0</v>
      </c>
      <c r="R175" s="401"/>
      <c r="S175" s="400">
        <v>0</v>
      </c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3329</v>
      </c>
      <c r="B176" s="522" t="s">
        <v>3330</v>
      </c>
      <c r="C176" s="523">
        <v>1</v>
      </c>
      <c r="D176" s="524" t="s">
        <v>3331</v>
      </c>
      <c r="E176" s="524" t="s">
        <v>3332</v>
      </c>
      <c r="F176" s="525" t="s">
        <v>3182</v>
      </c>
      <c r="G176" s="525" t="s">
        <v>3183</v>
      </c>
      <c r="H176" s="350" t="s">
        <v>1530</v>
      </c>
      <c r="I176" s="351" t="s">
        <v>1530</v>
      </c>
      <c r="J176" s="409" t="s">
        <v>3184</v>
      </c>
      <c r="K176" s="410" t="s">
        <v>3185</v>
      </c>
      <c r="L176" s="329">
        <f>CONTINUA!BV176</f>
        <v>0</v>
      </c>
      <c r="M176" s="329">
        <f>CONTINUA!BW176</f>
        <v>0</v>
      </c>
      <c r="N176" s="895"/>
      <c r="O176" s="896" t="s">
        <v>3383</v>
      </c>
      <c r="P176" s="897">
        <v>0</v>
      </c>
      <c r="Q176" s="400">
        <v>12</v>
      </c>
      <c r="R176" s="401"/>
      <c r="S176" s="400">
        <v>0</v>
      </c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12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12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14041.43</v>
      </c>
      <c r="EY176" s="174">
        <f>(L176*regular)+(M176*Cadeirantee)</f>
        <v>0</v>
      </c>
      <c r="EZ176" s="249">
        <f>SUMIF(FG176:GJ176,"&gt;0")</f>
        <v>0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14234.23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14041.43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3329</v>
      </c>
      <c r="B177" s="369" t="s">
        <v>3330</v>
      </c>
      <c r="C177" s="370" t="s">
        <v>3186</v>
      </c>
      <c r="D177" s="371" t="s">
        <v>3331</v>
      </c>
      <c r="E177" s="371" t="s">
        <v>3332</v>
      </c>
      <c r="F177" s="372" t="s">
        <v>3182</v>
      </c>
      <c r="G177" s="372" t="s">
        <v>3183</v>
      </c>
      <c r="H177" s="373" t="s">
        <v>1530</v>
      </c>
      <c r="I177" s="374" t="s">
        <v>1530</v>
      </c>
      <c r="J177" s="421" t="s">
        <v>3184</v>
      </c>
      <c r="K177" s="421" t="s">
        <v>3187</v>
      </c>
      <c r="L177" s="329">
        <f>CONTINUA!BV177</f>
        <v>20</v>
      </c>
      <c r="M177" s="329">
        <f>CONTINUA!BW177</f>
        <v>0</v>
      </c>
      <c r="N177" s="895"/>
      <c r="O177" s="896" t="s">
        <v>3383</v>
      </c>
      <c r="P177" s="897">
        <v>0</v>
      </c>
      <c r="Q177" s="400">
        <v>21</v>
      </c>
      <c r="R177" s="401"/>
      <c r="S177" s="400">
        <v>0</v>
      </c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21</v>
      </c>
      <c r="EQ177" s="171">
        <f t="shared" si="169"/>
        <v>0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21</v>
      </c>
      <c r="EW177" s="173"/>
      <c r="EX177" s="248">
        <f t="shared" si="211"/>
        <v>0</v>
      </c>
      <c r="EY177" s="174">
        <f>(L177*regular)+(M177*Cadeirantee)</f>
        <v>192.8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3329</v>
      </c>
      <c r="B178" s="369" t="s">
        <v>3330</v>
      </c>
      <c r="C178" s="375" t="s">
        <v>3186</v>
      </c>
      <c r="D178" s="371" t="s">
        <v>3331</v>
      </c>
      <c r="E178" s="371" t="s">
        <v>3332</v>
      </c>
      <c r="F178" s="376" t="s">
        <v>3182</v>
      </c>
      <c r="G178" s="376" t="s">
        <v>3183</v>
      </c>
      <c r="H178" s="373" t="s">
        <v>1530</v>
      </c>
      <c r="I178" s="374" t="s">
        <v>1530</v>
      </c>
      <c r="J178" s="421" t="s">
        <v>3184</v>
      </c>
      <c r="K178" s="422" t="s">
        <v>3188</v>
      </c>
      <c r="L178" s="329">
        <f>CONTINUA!BV178</f>
        <v>0</v>
      </c>
      <c r="M178" s="329">
        <f>CONTINUA!BW178</f>
        <v>0</v>
      </c>
      <c r="N178" s="895"/>
      <c r="O178" s="896" t="s">
        <v>3383</v>
      </c>
      <c r="P178" s="897">
        <v>0</v>
      </c>
      <c r="Q178" s="400">
        <v>0</v>
      </c>
      <c r="R178" s="401"/>
      <c r="S178" s="400">
        <v>0</v>
      </c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3329</v>
      </c>
      <c r="B179" s="369" t="s">
        <v>3330</v>
      </c>
      <c r="C179" s="375" t="s">
        <v>3186</v>
      </c>
      <c r="D179" s="371" t="s">
        <v>3331</v>
      </c>
      <c r="E179" s="371" t="s">
        <v>3332</v>
      </c>
      <c r="F179" s="376" t="s">
        <v>3182</v>
      </c>
      <c r="G179" s="376" t="s">
        <v>3183</v>
      </c>
      <c r="H179" s="373" t="s">
        <v>1530</v>
      </c>
      <c r="I179" s="374" t="s">
        <v>1530</v>
      </c>
      <c r="J179" s="421" t="s">
        <v>3184</v>
      </c>
      <c r="K179" s="423" t="s">
        <v>3189</v>
      </c>
      <c r="L179" s="329">
        <f>CONTINUA!BV179</f>
        <v>0</v>
      </c>
      <c r="M179" s="329">
        <f>CONTINUA!BW179</f>
        <v>0</v>
      </c>
      <c r="N179" s="895"/>
      <c r="O179" s="896" t="s">
        <v>3383</v>
      </c>
      <c r="P179" s="897">
        <v>0</v>
      </c>
      <c r="Q179" s="400">
        <v>0</v>
      </c>
      <c r="R179" s="401"/>
      <c r="S179" s="400">
        <v>0</v>
      </c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3329</v>
      </c>
      <c r="B180" s="378" t="s">
        <v>3330</v>
      </c>
      <c r="C180" s="379" t="s">
        <v>3186</v>
      </c>
      <c r="D180" s="380" t="s">
        <v>3331</v>
      </c>
      <c r="E180" s="380" t="s">
        <v>3332</v>
      </c>
      <c r="F180" s="381" t="s">
        <v>3182</v>
      </c>
      <c r="G180" s="381" t="s">
        <v>3183</v>
      </c>
      <c r="H180" s="382" t="s">
        <v>1530</v>
      </c>
      <c r="I180" s="383" t="s">
        <v>1530</v>
      </c>
      <c r="J180" s="421" t="s">
        <v>3184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3383</v>
      </c>
      <c r="P180" s="897">
        <v>0</v>
      </c>
      <c r="Q180" s="400">
        <v>0</v>
      </c>
      <c r="R180" s="401"/>
      <c r="S180" s="400">
        <v>0</v>
      </c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3333</v>
      </c>
      <c r="B181" s="522" t="s">
        <v>3334</v>
      </c>
      <c r="C181" s="523">
        <v>1</v>
      </c>
      <c r="D181" s="524" t="s">
        <v>3335</v>
      </c>
      <c r="E181" s="524" t="s">
        <v>3336</v>
      </c>
      <c r="F181" s="525" t="s">
        <v>3182</v>
      </c>
      <c r="G181" s="525" t="s">
        <v>3183</v>
      </c>
      <c r="H181" s="350" t="s">
        <v>1532</v>
      </c>
      <c r="I181" s="351" t="s">
        <v>1532</v>
      </c>
      <c r="J181" s="409" t="s">
        <v>3184</v>
      </c>
      <c r="K181" s="410" t="s">
        <v>3185</v>
      </c>
      <c r="L181" s="329">
        <f>CONTINUA!BV181</f>
        <v>0</v>
      </c>
      <c r="M181" s="329">
        <f>CONTINUA!BW181</f>
        <v>0</v>
      </c>
      <c r="N181" s="895"/>
      <c r="O181" s="896" t="s">
        <v>3384</v>
      </c>
      <c r="P181" s="897">
        <v>0</v>
      </c>
      <c r="Q181" s="400">
        <v>22</v>
      </c>
      <c r="R181" s="401"/>
      <c r="S181" s="400">
        <v>0</v>
      </c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22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22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11344.82</v>
      </c>
      <c r="EY181" s="174">
        <f>(L181*regular)+(M181*Cadeirantee)</f>
        <v>0</v>
      </c>
      <c r="EZ181" s="249">
        <f>SUMIF(FG181:GJ181,"&gt;0")</f>
        <v>0</v>
      </c>
      <c r="FA181" s="249">
        <f>SUMIF(FG181:GJ181,"&lt;0")+SUMIF(GN181:HP181,"&lt;0")</f>
        <v>0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11344.82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11344.82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3333</v>
      </c>
      <c r="B182" s="369" t="s">
        <v>3334</v>
      </c>
      <c r="C182" s="370" t="s">
        <v>3186</v>
      </c>
      <c r="D182" s="371" t="s">
        <v>3335</v>
      </c>
      <c r="E182" s="371" t="s">
        <v>3336</v>
      </c>
      <c r="F182" s="372" t="s">
        <v>3182</v>
      </c>
      <c r="G182" s="372" t="s">
        <v>3183</v>
      </c>
      <c r="H182" s="373" t="s">
        <v>1532</v>
      </c>
      <c r="I182" s="374" t="s">
        <v>1532</v>
      </c>
      <c r="J182" s="421" t="s">
        <v>3184</v>
      </c>
      <c r="K182" s="421" t="s">
        <v>3187</v>
      </c>
      <c r="L182" s="329">
        <f>CONTINUA!BV182</f>
        <v>0</v>
      </c>
      <c r="M182" s="329">
        <f>CONTINUA!BW182</f>
        <v>0</v>
      </c>
      <c r="N182" s="895"/>
      <c r="O182" s="896" t="s">
        <v>3384</v>
      </c>
      <c r="P182" s="897">
        <v>0</v>
      </c>
      <c r="Q182" s="400">
        <v>4</v>
      </c>
      <c r="R182" s="401"/>
      <c r="S182" s="400">
        <v>0</v>
      </c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4</v>
      </c>
      <c r="EQ182" s="171">
        <f t="shared" si="169"/>
        <v>0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4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3333</v>
      </c>
      <c r="B183" s="369" t="s">
        <v>3334</v>
      </c>
      <c r="C183" s="375" t="s">
        <v>3186</v>
      </c>
      <c r="D183" s="371" t="s">
        <v>3335</v>
      </c>
      <c r="E183" s="371" t="s">
        <v>3336</v>
      </c>
      <c r="F183" s="376" t="s">
        <v>3182</v>
      </c>
      <c r="G183" s="376" t="s">
        <v>3183</v>
      </c>
      <c r="H183" s="373" t="s">
        <v>1532</v>
      </c>
      <c r="I183" s="374" t="s">
        <v>1532</v>
      </c>
      <c r="J183" s="421" t="s">
        <v>3184</v>
      </c>
      <c r="K183" s="422" t="s">
        <v>3188</v>
      </c>
      <c r="L183" s="329">
        <f>CONTINUA!BV183</f>
        <v>0</v>
      </c>
      <c r="M183" s="329">
        <f>CONTINUA!BW183</f>
        <v>0</v>
      </c>
      <c r="N183" s="895"/>
      <c r="O183" s="896" t="s">
        <v>3384</v>
      </c>
      <c r="P183" s="897">
        <v>0</v>
      </c>
      <c r="Q183" s="400">
        <v>0</v>
      </c>
      <c r="R183" s="401"/>
      <c r="S183" s="400">
        <v>0</v>
      </c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3333</v>
      </c>
      <c r="B184" s="369" t="s">
        <v>3334</v>
      </c>
      <c r="C184" s="375" t="s">
        <v>3186</v>
      </c>
      <c r="D184" s="371" t="s">
        <v>3335</v>
      </c>
      <c r="E184" s="371" t="s">
        <v>3336</v>
      </c>
      <c r="F184" s="376" t="s">
        <v>3182</v>
      </c>
      <c r="G184" s="376" t="s">
        <v>3183</v>
      </c>
      <c r="H184" s="373" t="s">
        <v>1532</v>
      </c>
      <c r="I184" s="374" t="s">
        <v>1532</v>
      </c>
      <c r="J184" s="421" t="s">
        <v>3184</v>
      </c>
      <c r="K184" s="423" t="s">
        <v>3189</v>
      </c>
      <c r="L184" s="329">
        <f>CONTINUA!BV184</f>
        <v>0</v>
      </c>
      <c r="M184" s="329">
        <f>CONTINUA!BW184</f>
        <v>0</v>
      </c>
      <c r="N184" s="895"/>
      <c r="O184" s="896" t="s">
        <v>3384</v>
      </c>
      <c r="P184" s="897">
        <v>0</v>
      </c>
      <c r="Q184" s="400">
        <v>0</v>
      </c>
      <c r="R184" s="401"/>
      <c r="S184" s="400">
        <v>0</v>
      </c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3333</v>
      </c>
      <c r="B185" s="378" t="s">
        <v>3334</v>
      </c>
      <c r="C185" s="379" t="s">
        <v>3186</v>
      </c>
      <c r="D185" s="380" t="s">
        <v>3335</v>
      </c>
      <c r="E185" s="380" t="s">
        <v>3336</v>
      </c>
      <c r="F185" s="381" t="s">
        <v>3182</v>
      </c>
      <c r="G185" s="381" t="s">
        <v>3183</v>
      </c>
      <c r="H185" s="382" t="s">
        <v>1532</v>
      </c>
      <c r="I185" s="383" t="s">
        <v>1532</v>
      </c>
      <c r="J185" s="421" t="s">
        <v>3184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3384</v>
      </c>
      <c r="P185" s="897">
        <v>0</v>
      </c>
      <c r="Q185" s="400">
        <v>0</v>
      </c>
      <c r="R185" s="401"/>
      <c r="S185" s="400">
        <v>0</v>
      </c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3337</v>
      </c>
      <c r="B186" s="522" t="s">
        <v>3338</v>
      </c>
      <c r="C186" s="523">
        <v>1</v>
      </c>
      <c r="D186" s="524" t="s">
        <v>3339</v>
      </c>
      <c r="E186" s="524" t="s">
        <v>3340</v>
      </c>
      <c r="F186" s="525" t="s">
        <v>3182</v>
      </c>
      <c r="G186" s="525" t="s">
        <v>3183</v>
      </c>
      <c r="H186" s="350" t="s">
        <v>1538</v>
      </c>
      <c r="I186" s="351" t="s">
        <v>1538</v>
      </c>
      <c r="J186" s="409" t="s">
        <v>3184</v>
      </c>
      <c r="K186" s="410" t="s">
        <v>3185</v>
      </c>
      <c r="L186" s="329">
        <f>CONTINUA!BV186</f>
        <v>0</v>
      </c>
      <c r="M186" s="329">
        <f>CONTINUA!BW186</f>
        <v>0</v>
      </c>
      <c r="N186" s="895"/>
      <c r="O186" s="896" t="s">
        <v>3385</v>
      </c>
      <c r="P186" s="897">
        <v>0</v>
      </c>
      <c r="Q186" s="400">
        <v>19</v>
      </c>
      <c r="R186" s="401"/>
      <c r="S186" s="400">
        <v>0</v>
      </c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19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19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12115.28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12115.28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12115.28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3337</v>
      </c>
      <c r="B187" s="369" t="s">
        <v>3338</v>
      </c>
      <c r="C187" s="370" t="s">
        <v>3186</v>
      </c>
      <c r="D187" s="371" t="s">
        <v>3339</v>
      </c>
      <c r="E187" s="371" t="s">
        <v>3340</v>
      </c>
      <c r="F187" s="372" t="s">
        <v>3182</v>
      </c>
      <c r="G187" s="372" t="s">
        <v>3183</v>
      </c>
      <c r="H187" s="373" t="s">
        <v>1538</v>
      </c>
      <c r="I187" s="374" t="s">
        <v>1538</v>
      </c>
      <c r="J187" s="421" t="s">
        <v>3184</v>
      </c>
      <c r="K187" s="421" t="s">
        <v>3187</v>
      </c>
      <c r="L187" s="329">
        <f>CONTINUA!BV187</f>
        <v>0</v>
      </c>
      <c r="M187" s="329">
        <f>CONTINUA!BW187</f>
        <v>0</v>
      </c>
      <c r="N187" s="895"/>
      <c r="O187" s="896" t="s">
        <v>3385</v>
      </c>
      <c r="P187" s="897">
        <v>0</v>
      </c>
      <c r="Q187" s="400">
        <v>9</v>
      </c>
      <c r="R187" s="401"/>
      <c r="S187" s="400">
        <v>0</v>
      </c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9</v>
      </c>
      <c r="EQ187" s="171">
        <f t="shared" si="169"/>
        <v>0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9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3337</v>
      </c>
      <c r="B188" s="369" t="s">
        <v>3338</v>
      </c>
      <c r="C188" s="375" t="s">
        <v>3186</v>
      </c>
      <c r="D188" s="371" t="s">
        <v>3339</v>
      </c>
      <c r="E188" s="371" t="s">
        <v>3340</v>
      </c>
      <c r="F188" s="376" t="s">
        <v>3182</v>
      </c>
      <c r="G188" s="376" t="s">
        <v>3183</v>
      </c>
      <c r="H188" s="373" t="s">
        <v>1538</v>
      </c>
      <c r="I188" s="374" t="s">
        <v>1538</v>
      </c>
      <c r="J188" s="421" t="s">
        <v>3184</v>
      </c>
      <c r="K188" s="422" t="s">
        <v>3188</v>
      </c>
      <c r="L188" s="329">
        <f>CONTINUA!BV188</f>
        <v>0</v>
      </c>
      <c r="M188" s="329">
        <f>CONTINUA!BW188</f>
        <v>0</v>
      </c>
      <c r="N188" s="895"/>
      <c r="O188" s="896" t="s">
        <v>3385</v>
      </c>
      <c r="P188" s="897">
        <v>0</v>
      </c>
      <c r="Q188" s="400">
        <v>0</v>
      </c>
      <c r="R188" s="401"/>
      <c r="S188" s="400">
        <v>0</v>
      </c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3337</v>
      </c>
      <c r="B189" s="369" t="s">
        <v>3338</v>
      </c>
      <c r="C189" s="375" t="s">
        <v>3186</v>
      </c>
      <c r="D189" s="371" t="s">
        <v>3339</v>
      </c>
      <c r="E189" s="371" t="s">
        <v>3340</v>
      </c>
      <c r="F189" s="376" t="s">
        <v>3182</v>
      </c>
      <c r="G189" s="376" t="s">
        <v>3183</v>
      </c>
      <c r="H189" s="373" t="s">
        <v>1538</v>
      </c>
      <c r="I189" s="374" t="s">
        <v>1538</v>
      </c>
      <c r="J189" s="421" t="s">
        <v>3184</v>
      </c>
      <c r="K189" s="423" t="s">
        <v>3189</v>
      </c>
      <c r="L189" s="329">
        <f>CONTINUA!BV189</f>
        <v>0</v>
      </c>
      <c r="M189" s="329">
        <f>CONTINUA!BW189</f>
        <v>0</v>
      </c>
      <c r="N189" s="895"/>
      <c r="O189" s="896" t="s">
        <v>3385</v>
      </c>
      <c r="P189" s="897">
        <v>0</v>
      </c>
      <c r="Q189" s="400">
        <v>0</v>
      </c>
      <c r="R189" s="401"/>
      <c r="S189" s="400">
        <v>0</v>
      </c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3337</v>
      </c>
      <c r="B190" s="378" t="s">
        <v>3338</v>
      </c>
      <c r="C190" s="379" t="s">
        <v>3186</v>
      </c>
      <c r="D190" s="380" t="s">
        <v>3339</v>
      </c>
      <c r="E190" s="380" t="s">
        <v>3340</v>
      </c>
      <c r="F190" s="381" t="s">
        <v>3182</v>
      </c>
      <c r="G190" s="381" t="s">
        <v>3183</v>
      </c>
      <c r="H190" s="382" t="s">
        <v>1538</v>
      </c>
      <c r="I190" s="383" t="s">
        <v>1538</v>
      </c>
      <c r="J190" s="421" t="s">
        <v>3184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3385</v>
      </c>
      <c r="P190" s="897">
        <v>0</v>
      </c>
      <c r="Q190" s="400">
        <v>0</v>
      </c>
      <c r="R190" s="401"/>
      <c r="S190" s="400">
        <v>0</v>
      </c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3341</v>
      </c>
      <c r="B191" s="522" t="s">
        <v>3342</v>
      </c>
      <c r="C191" s="523">
        <v>1</v>
      </c>
      <c r="D191" s="524" t="s">
        <v>3343</v>
      </c>
      <c r="E191" s="524" t="s">
        <v>3344</v>
      </c>
      <c r="F191" s="525" t="s">
        <v>3182</v>
      </c>
      <c r="G191" s="525" t="s">
        <v>3183</v>
      </c>
      <c r="H191" s="350" t="s">
        <v>1539</v>
      </c>
      <c r="I191" s="351" t="s">
        <v>1539</v>
      </c>
      <c r="J191" s="409" t="s">
        <v>3184</v>
      </c>
      <c r="K191" s="410" t="s">
        <v>3185</v>
      </c>
      <c r="L191" s="329">
        <f>CONTINUA!BV191</f>
        <v>0</v>
      </c>
      <c r="M191" s="329">
        <f>CONTINUA!BW191</f>
        <v>0</v>
      </c>
      <c r="N191" s="895"/>
      <c r="O191" s="896" t="s">
        <v>3386</v>
      </c>
      <c r="P191" s="897">
        <v>0</v>
      </c>
      <c r="Q191" s="400">
        <v>22</v>
      </c>
      <c r="R191" s="401"/>
      <c r="S191" s="400">
        <v>0</v>
      </c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22</v>
      </c>
      <c r="EQ191" s="171">
        <f t="shared" si="169"/>
        <v>0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22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27909.710000000003</v>
      </c>
      <c r="EY191" s="174">
        <f>(L191*regular)+(M191*Cadeirantee)</f>
        <v>0</v>
      </c>
      <c r="EZ191" s="249">
        <f>SUMIF(FG191:GJ191,"&gt;0")</f>
        <v>0</v>
      </c>
      <c r="FA191" s="249">
        <f>SUMIF(FG191:GJ191,"&lt;0")+SUMIF(GN191:HP191,"&lt;0")</f>
        <v>0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27909.710000000003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27909.710000000003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3341</v>
      </c>
      <c r="B192" s="369" t="s">
        <v>3342</v>
      </c>
      <c r="C192" s="370" t="s">
        <v>3186</v>
      </c>
      <c r="D192" s="371" t="s">
        <v>3343</v>
      </c>
      <c r="E192" s="371" t="s">
        <v>3344</v>
      </c>
      <c r="F192" s="372" t="s">
        <v>3182</v>
      </c>
      <c r="G192" s="372" t="s">
        <v>3183</v>
      </c>
      <c r="H192" s="373" t="s">
        <v>1539</v>
      </c>
      <c r="I192" s="374" t="s">
        <v>1539</v>
      </c>
      <c r="J192" s="421" t="s">
        <v>3184</v>
      </c>
      <c r="K192" s="421" t="s">
        <v>3187</v>
      </c>
      <c r="L192" s="329">
        <f>CONTINUA!BV192</f>
        <v>0</v>
      </c>
      <c r="M192" s="329">
        <f>CONTINUA!BW192</f>
        <v>0</v>
      </c>
      <c r="N192" s="895"/>
      <c r="O192" s="896" t="s">
        <v>3386</v>
      </c>
      <c r="P192" s="897">
        <v>0</v>
      </c>
      <c r="Q192" s="400">
        <v>41</v>
      </c>
      <c r="R192" s="401"/>
      <c r="S192" s="400">
        <v>6</v>
      </c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41</v>
      </c>
      <c r="EQ192" s="171">
        <f t="shared" si="169"/>
        <v>0</v>
      </c>
      <c r="ER192" s="171">
        <f t="shared" si="170"/>
        <v>6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47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3341</v>
      </c>
      <c r="B193" s="369" t="s">
        <v>3342</v>
      </c>
      <c r="C193" s="375" t="s">
        <v>3186</v>
      </c>
      <c r="D193" s="371" t="s">
        <v>3343</v>
      </c>
      <c r="E193" s="371" t="s">
        <v>3344</v>
      </c>
      <c r="F193" s="376" t="s">
        <v>3182</v>
      </c>
      <c r="G193" s="376" t="s">
        <v>3183</v>
      </c>
      <c r="H193" s="373" t="s">
        <v>1539</v>
      </c>
      <c r="I193" s="374" t="s">
        <v>1539</v>
      </c>
      <c r="J193" s="421" t="s">
        <v>3184</v>
      </c>
      <c r="K193" s="422" t="s">
        <v>3188</v>
      </c>
      <c r="L193" s="329">
        <f>CONTINUA!BV193</f>
        <v>0</v>
      </c>
      <c r="M193" s="329">
        <f>CONTINUA!BW193</f>
        <v>0</v>
      </c>
      <c r="N193" s="895"/>
      <c r="O193" s="896" t="s">
        <v>3386</v>
      </c>
      <c r="P193" s="897">
        <v>0</v>
      </c>
      <c r="Q193" s="400">
        <v>0</v>
      </c>
      <c r="R193" s="401"/>
      <c r="S193" s="400">
        <v>0</v>
      </c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3341</v>
      </c>
      <c r="B194" s="369" t="s">
        <v>3342</v>
      </c>
      <c r="C194" s="375" t="s">
        <v>3186</v>
      </c>
      <c r="D194" s="371" t="s">
        <v>3343</v>
      </c>
      <c r="E194" s="371" t="s">
        <v>3344</v>
      </c>
      <c r="F194" s="376" t="s">
        <v>3182</v>
      </c>
      <c r="G194" s="376" t="s">
        <v>3183</v>
      </c>
      <c r="H194" s="373" t="s">
        <v>1539</v>
      </c>
      <c r="I194" s="374" t="s">
        <v>1539</v>
      </c>
      <c r="J194" s="421" t="s">
        <v>3184</v>
      </c>
      <c r="K194" s="423" t="s">
        <v>3189</v>
      </c>
      <c r="L194" s="329">
        <f>CONTINUA!BV194</f>
        <v>0</v>
      </c>
      <c r="M194" s="329">
        <f>CONTINUA!BW194</f>
        <v>0</v>
      </c>
      <c r="N194" s="895"/>
      <c r="O194" s="896" t="s">
        <v>3386</v>
      </c>
      <c r="P194" s="897">
        <v>0</v>
      </c>
      <c r="Q194" s="400">
        <v>0</v>
      </c>
      <c r="R194" s="401"/>
      <c r="S194" s="400">
        <v>0</v>
      </c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3341</v>
      </c>
      <c r="B195" s="378" t="s">
        <v>3342</v>
      </c>
      <c r="C195" s="379" t="s">
        <v>3186</v>
      </c>
      <c r="D195" s="380" t="s">
        <v>3343</v>
      </c>
      <c r="E195" s="380" t="s">
        <v>3344</v>
      </c>
      <c r="F195" s="381" t="s">
        <v>3182</v>
      </c>
      <c r="G195" s="381" t="s">
        <v>3183</v>
      </c>
      <c r="H195" s="382" t="s">
        <v>1539</v>
      </c>
      <c r="I195" s="383" t="s">
        <v>1539</v>
      </c>
      <c r="J195" s="421" t="s">
        <v>3184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3386</v>
      </c>
      <c r="P195" s="897">
        <v>0</v>
      </c>
      <c r="Q195" s="400">
        <v>0</v>
      </c>
      <c r="R195" s="401"/>
      <c r="S195" s="400">
        <v>0</v>
      </c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3345</v>
      </c>
      <c r="B196" s="522" t="s">
        <v>3346</v>
      </c>
      <c r="C196" s="523">
        <v>1</v>
      </c>
      <c r="D196" s="524" t="s">
        <v>3347</v>
      </c>
      <c r="E196" s="524" t="s">
        <v>3348</v>
      </c>
      <c r="F196" s="525" t="s">
        <v>3182</v>
      </c>
      <c r="G196" s="525" t="s">
        <v>3183</v>
      </c>
      <c r="H196" s="350" t="s">
        <v>1540</v>
      </c>
      <c r="I196" s="351" t="s">
        <v>1540</v>
      </c>
      <c r="J196" s="409" t="s">
        <v>3184</v>
      </c>
      <c r="K196" s="410" t="s">
        <v>3185</v>
      </c>
      <c r="L196" s="329">
        <f>CONTINUA!BV196</f>
        <v>0</v>
      </c>
      <c r="M196" s="329">
        <f>CONTINUA!BW196</f>
        <v>0</v>
      </c>
      <c r="N196" s="895"/>
      <c r="O196" s="896" t="s">
        <v>3387</v>
      </c>
      <c r="P196" s="897">
        <v>0</v>
      </c>
      <c r="Q196" s="400">
        <v>0</v>
      </c>
      <c r="R196" s="401"/>
      <c r="S196" s="400">
        <v>0</v>
      </c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0</v>
      </c>
      <c r="EQ196" s="171">
        <f t="shared" si="169"/>
        <v>0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0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15967.580000000002</v>
      </c>
      <c r="EY196" s="174">
        <f>(L196*regular)+(M196*Cadeirantee)</f>
        <v>0</v>
      </c>
      <c r="EZ196" s="249">
        <f>SUMIF(FG196:GJ196,"&gt;0")</f>
        <v>0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16160.380000000001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15967.580000000002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3345</v>
      </c>
      <c r="B197" s="369" t="s">
        <v>3346</v>
      </c>
      <c r="C197" s="370" t="s">
        <v>3186</v>
      </c>
      <c r="D197" s="371" t="s">
        <v>3347</v>
      </c>
      <c r="E197" s="371" t="s">
        <v>3348</v>
      </c>
      <c r="F197" s="372" t="s">
        <v>3182</v>
      </c>
      <c r="G197" s="372" t="s">
        <v>3183</v>
      </c>
      <c r="H197" s="373" t="s">
        <v>1540</v>
      </c>
      <c r="I197" s="374" t="s">
        <v>1540</v>
      </c>
      <c r="J197" s="421" t="s">
        <v>3184</v>
      </c>
      <c r="K197" s="421" t="s">
        <v>3187</v>
      </c>
      <c r="L197" s="329">
        <f>CONTINUA!BV197</f>
        <v>20</v>
      </c>
      <c r="M197" s="329">
        <f>CONTINUA!BW197</f>
        <v>0</v>
      </c>
      <c r="N197" s="895"/>
      <c r="O197" s="896" t="s">
        <v>3387</v>
      </c>
      <c r="P197" s="897">
        <v>0</v>
      </c>
      <c r="Q197" s="400">
        <v>36</v>
      </c>
      <c r="R197" s="401"/>
      <c r="S197" s="400">
        <v>2</v>
      </c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36</v>
      </c>
      <c r="EQ197" s="171">
        <f t="shared" si="169"/>
        <v>0</v>
      </c>
      <c r="ER197" s="171">
        <f t="shared" si="170"/>
        <v>2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38</v>
      </c>
      <c r="EW197" s="173"/>
      <c r="EX197" s="248">
        <f t="shared" si="231"/>
        <v>0</v>
      </c>
      <c r="EY197" s="174">
        <f>(L197*regular)+(M197*Cadeirantee)</f>
        <v>192.8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3345</v>
      </c>
      <c r="B198" s="369" t="s">
        <v>3346</v>
      </c>
      <c r="C198" s="375" t="s">
        <v>3186</v>
      </c>
      <c r="D198" s="371" t="s">
        <v>3347</v>
      </c>
      <c r="E198" s="371" t="s">
        <v>3348</v>
      </c>
      <c r="F198" s="376" t="s">
        <v>3182</v>
      </c>
      <c r="G198" s="376" t="s">
        <v>3183</v>
      </c>
      <c r="H198" s="373" t="s">
        <v>1540</v>
      </c>
      <c r="I198" s="374" t="s">
        <v>1540</v>
      </c>
      <c r="J198" s="421" t="s">
        <v>3184</v>
      </c>
      <c r="K198" s="422" t="s">
        <v>3188</v>
      </c>
      <c r="L198" s="329">
        <f>CONTINUA!BV198</f>
        <v>0</v>
      </c>
      <c r="M198" s="329">
        <f>CONTINUA!BW198</f>
        <v>0</v>
      </c>
      <c r="N198" s="895"/>
      <c r="O198" s="896" t="s">
        <v>3387</v>
      </c>
      <c r="P198" s="897">
        <v>0</v>
      </c>
      <c r="Q198" s="400">
        <v>0</v>
      </c>
      <c r="R198" s="401"/>
      <c r="S198" s="400">
        <v>0</v>
      </c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3345</v>
      </c>
      <c r="B199" s="369" t="s">
        <v>3346</v>
      </c>
      <c r="C199" s="375" t="s">
        <v>3186</v>
      </c>
      <c r="D199" s="371" t="s">
        <v>3347</v>
      </c>
      <c r="E199" s="371" t="s">
        <v>3348</v>
      </c>
      <c r="F199" s="376" t="s">
        <v>3182</v>
      </c>
      <c r="G199" s="376" t="s">
        <v>3183</v>
      </c>
      <c r="H199" s="373" t="s">
        <v>1540</v>
      </c>
      <c r="I199" s="374" t="s">
        <v>1540</v>
      </c>
      <c r="J199" s="421" t="s">
        <v>3184</v>
      </c>
      <c r="K199" s="423" t="s">
        <v>3189</v>
      </c>
      <c r="L199" s="329">
        <f>CONTINUA!BV199</f>
        <v>0</v>
      </c>
      <c r="M199" s="329">
        <f>CONTINUA!BW199</f>
        <v>0</v>
      </c>
      <c r="N199" s="895"/>
      <c r="O199" s="896" t="s">
        <v>3387</v>
      </c>
      <c r="P199" s="897">
        <v>0</v>
      </c>
      <c r="Q199" s="400">
        <v>0</v>
      </c>
      <c r="R199" s="401"/>
      <c r="S199" s="400">
        <v>0</v>
      </c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3345</v>
      </c>
      <c r="B200" s="378" t="s">
        <v>3346</v>
      </c>
      <c r="C200" s="379" t="s">
        <v>3186</v>
      </c>
      <c r="D200" s="380" t="s">
        <v>3347</v>
      </c>
      <c r="E200" s="380" t="s">
        <v>3348</v>
      </c>
      <c r="F200" s="381" t="s">
        <v>3182</v>
      </c>
      <c r="G200" s="381" t="s">
        <v>3183</v>
      </c>
      <c r="H200" s="382" t="s">
        <v>1540</v>
      </c>
      <c r="I200" s="383" t="s">
        <v>1540</v>
      </c>
      <c r="J200" s="421" t="s">
        <v>3184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3387</v>
      </c>
      <c r="P200" s="897">
        <v>0</v>
      </c>
      <c r="Q200" s="400">
        <v>0</v>
      </c>
      <c r="R200" s="401"/>
      <c r="S200" s="400">
        <v>0</v>
      </c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ht="11.25" x14ac:dyDescent="0.2">
      <c r="G201" s="7"/>
      <c r="H201" s="7"/>
      <c r="I201" s="7"/>
      <c r="J201" s="7"/>
      <c r="K201" s="7"/>
      <c r="L201" s="7">
        <f t="shared" ref="L201:P202" si="236">K201+1</f>
        <v>1</v>
      </c>
      <c r="M201" s="7">
        <f t="shared" si="236"/>
        <v>2</v>
      </c>
      <c r="N201" s="7">
        <f t="shared" si="236"/>
        <v>3</v>
      </c>
      <c r="O201" s="7">
        <f t="shared" si="236"/>
        <v>4</v>
      </c>
      <c r="P201" s="7">
        <f t="shared" si="236"/>
        <v>5</v>
      </c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>
        <f t="shared" ref="EM201:EQ202" si="237">EL201+1</f>
        <v>1</v>
      </c>
      <c r="EN201" s="7">
        <f t="shared" si="237"/>
        <v>2</v>
      </c>
      <c r="EO201" s="7">
        <f t="shared" si="237"/>
        <v>3</v>
      </c>
      <c r="EP201" s="7">
        <f t="shared" si="237"/>
        <v>4</v>
      </c>
      <c r="EQ201" s="7">
        <f t="shared" si="237"/>
        <v>5</v>
      </c>
      <c r="ER201" s="7">
        <f t="shared" ref="ER201:GO202" si="238">EQ201+1</f>
        <v>6</v>
      </c>
      <c r="ES201" s="7">
        <f t="shared" si="238"/>
        <v>7</v>
      </c>
      <c r="ET201" s="7">
        <f t="shared" si="238"/>
        <v>8</v>
      </c>
      <c r="EU201" s="7">
        <f t="shared" si="238"/>
        <v>9</v>
      </c>
      <c r="EV201" s="7">
        <f t="shared" si="238"/>
        <v>10</v>
      </c>
      <c r="EW201" s="7">
        <f t="shared" si="238"/>
        <v>11</v>
      </c>
      <c r="EX201" s="7">
        <f t="shared" si="238"/>
        <v>12</v>
      </c>
      <c r="EY201" s="7">
        <f t="shared" si="238"/>
        <v>13</v>
      </c>
      <c r="EZ201" s="7">
        <f t="shared" si="238"/>
        <v>14</v>
      </c>
      <c r="FA201" s="7">
        <f t="shared" si="238"/>
        <v>15</v>
      </c>
      <c r="FB201" s="7">
        <f t="shared" si="238"/>
        <v>16</v>
      </c>
      <c r="FC201" s="7">
        <f t="shared" si="238"/>
        <v>17</v>
      </c>
      <c r="FD201" s="7">
        <f t="shared" si="238"/>
        <v>18</v>
      </c>
      <c r="FE201" s="7">
        <f t="shared" si="238"/>
        <v>19</v>
      </c>
      <c r="FF201" s="7">
        <f t="shared" si="238"/>
        <v>20</v>
      </c>
      <c r="FG201" s="7">
        <f t="shared" si="238"/>
        <v>21</v>
      </c>
      <c r="FH201" s="7">
        <f t="shared" si="238"/>
        <v>22</v>
      </c>
      <c r="FI201" s="7">
        <f t="shared" si="238"/>
        <v>23</v>
      </c>
      <c r="FJ201" s="7">
        <f t="shared" si="238"/>
        <v>24</v>
      </c>
      <c r="FK201" s="7">
        <f t="shared" si="238"/>
        <v>25</v>
      </c>
      <c r="FL201" s="7">
        <f t="shared" si="238"/>
        <v>26</v>
      </c>
      <c r="FM201" s="7">
        <f t="shared" si="238"/>
        <v>27</v>
      </c>
      <c r="FN201" s="7">
        <f t="shared" si="238"/>
        <v>28</v>
      </c>
      <c r="FO201" s="7">
        <f t="shared" si="238"/>
        <v>29</v>
      </c>
      <c r="FP201" s="7">
        <f t="shared" si="238"/>
        <v>30</v>
      </c>
      <c r="FQ201" s="7">
        <f t="shared" si="238"/>
        <v>31</v>
      </c>
      <c r="FR201" s="7">
        <f t="shared" si="238"/>
        <v>32</v>
      </c>
      <c r="FS201" s="7">
        <f t="shared" si="238"/>
        <v>33</v>
      </c>
      <c r="FT201" s="7">
        <f t="shared" si="238"/>
        <v>34</v>
      </c>
      <c r="FU201" s="7">
        <f t="shared" si="238"/>
        <v>35</v>
      </c>
      <c r="FV201" s="7">
        <f t="shared" si="238"/>
        <v>36</v>
      </c>
      <c r="FW201" s="7">
        <f t="shared" si="238"/>
        <v>37</v>
      </c>
      <c r="FX201" s="7">
        <f t="shared" si="238"/>
        <v>38</v>
      </c>
      <c r="FY201" s="7">
        <f t="shared" si="238"/>
        <v>39</v>
      </c>
      <c r="FZ201" s="7">
        <f t="shared" si="238"/>
        <v>40</v>
      </c>
      <c r="GA201" s="7">
        <f t="shared" si="238"/>
        <v>41</v>
      </c>
      <c r="GB201" s="7">
        <f t="shared" si="238"/>
        <v>42</v>
      </c>
      <c r="GC201" s="7">
        <f t="shared" si="238"/>
        <v>43</v>
      </c>
      <c r="GD201" s="7">
        <f t="shared" si="238"/>
        <v>44</v>
      </c>
      <c r="GE201" s="7">
        <f t="shared" si="238"/>
        <v>45</v>
      </c>
      <c r="GF201" s="7">
        <f t="shared" si="238"/>
        <v>46</v>
      </c>
      <c r="GG201" s="7">
        <f t="shared" si="238"/>
        <v>47</v>
      </c>
      <c r="GH201" s="7">
        <f t="shared" si="238"/>
        <v>48</v>
      </c>
      <c r="GI201" s="7">
        <f t="shared" si="238"/>
        <v>49</v>
      </c>
      <c r="GJ201" s="7">
        <f t="shared" si="238"/>
        <v>50</v>
      </c>
      <c r="GK201" s="7">
        <f t="shared" si="238"/>
        <v>51</v>
      </c>
      <c r="GL201" s="7">
        <f t="shared" si="238"/>
        <v>52</v>
      </c>
      <c r="GM201" s="7">
        <f t="shared" si="238"/>
        <v>53</v>
      </c>
      <c r="GN201" s="7">
        <f t="shared" si="238"/>
        <v>54</v>
      </c>
      <c r="GO201" s="7">
        <f t="shared" si="238"/>
        <v>55</v>
      </c>
      <c r="GP201" s="7">
        <f t="shared" ref="GP201:IA201" si="239">GO201+1</f>
        <v>56</v>
      </c>
      <c r="GQ201" s="7">
        <f t="shared" si="239"/>
        <v>57</v>
      </c>
      <c r="GR201" s="7">
        <f t="shared" si="239"/>
        <v>58</v>
      </c>
      <c r="GS201" s="7">
        <f t="shared" si="239"/>
        <v>59</v>
      </c>
      <c r="GT201" s="7">
        <f t="shared" si="239"/>
        <v>60</v>
      </c>
      <c r="GU201" s="7">
        <f t="shared" si="239"/>
        <v>61</v>
      </c>
      <c r="GV201" s="7">
        <f t="shared" si="239"/>
        <v>62</v>
      </c>
      <c r="GW201" s="7">
        <f t="shared" si="239"/>
        <v>63</v>
      </c>
      <c r="GX201" s="7">
        <f t="shared" si="239"/>
        <v>64</v>
      </c>
      <c r="GY201" s="7">
        <f t="shared" si="239"/>
        <v>65</v>
      </c>
      <c r="GZ201" s="7">
        <f t="shared" si="239"/>
        <v>66</v>
      </c>
      <c r="HA201" s="7">
        <f t="shared" si="239"/>
        <v>67</v>
      </c>
      <c r="HB201" s="7">
        <f t="shared" si="239"/>
        <v>68</v>
      </c>
      <c r="HC201" s="7">
        <f t="shared" si="239"/>
        <v>69</v>
      </c>
      <c r="HD201" s="7">
        <f t="shared" si="239"/>
        <v>70</v>
      </c>
      <c r="HE201" s="7">
        <f t="shared" si="239"/>
        <v>71</v>
      </c>
      <c r="HF201" s="7">
        <f t="shared" si="239"/>
        <v>72</v>
      </c>
      <c r="HG201" s="7">
        <f t="shared" si="239"/>
        <v>73</v>
      </c>
      <c r="HH201" s="7">
        <f t="shared" si="239"/>
        <v>74</v>
      </c>
      <c r="HI201" s="7">
        <f t="shared" si="239"/>
        <v>75</v>
      </c>
      <c r="HJ201" s="7">
        <f t="shared" si="239"/>
        <v>76</v>
      </c>
      <c r="HK201" s="7">
        <f t="shared" si="239"/>
        <v>77</v>
      </c>
      <c r="HL201" s="7">
        <f t="shared" si="239"/>
        <v>78</v>
      </c>
      <c r="HM201" s="7">
        <f t="shared" si="239"/>
        <v>79</v>
      </c>
      <c r="HN201" s="7">
        <f t="shared" si="239"/>
        <v>80</v>
      </c>
      <c r="HO201" s="7">
        <f t="shared" si="239"/>
        <v>81</v>
      </c>
      <c r="HP201" s="7">
        <f t="shared" si="239"/>
        <v>82</v>
      </c>
      <c r="HQ201" s="7">
        <f t="shared" si="239"/>
        <v>83</v>
      </c>
      <c r="HR201" s="7">
        <f t="shared" si="239"/>
        <v>84</v>
      </c>
      <c r="HS201" s="7">
        <f t="shared" si="239"/>
        <v>85</v>
      </c>
      <c r="HT201" s="7">
        <f t="shared" si="239"/>
        <v>86</v>
      </c>
      <c r="HU201" s="7">
        <f t="shared" si="239"/>
        <v>87</v>
      </c>
      <c r="HV201" s="7">
        <f t="shared" si="239"/>
        <v>88</v>
      </c>
      <c r="HW201" s="7">
        <f t="shared" si="239"/>
        <v>89</v>
      </c>
      <c r="HX201" s="7">
        <f t="shared" si="239"/>
        <v>90</v>
      </c>
      <c r="HY201" s="7">
        <f t="shared" si="239"/>
        <v>91</v>
      </c>
      <c r="HZ201" s="7">
        <f t="shared" si="239"/>
        <v>92</v>
      </c>
      <c r="IA201" s="7">
        <f t="shared" si="239"/>
        <v>93</v>
      </c>
    </row>
    <row r="202" spans="1:237" ht="11.25" x14ac:dyDescent="0.2">
      <c r="G202" s="7"/>
      <c r="H202" s="7"/>
      <c r="I202" s="7"/>
      <c r="J202" s="7"/>
      <c r="K202" s="7"/>
      <c r="L202" s="7">
        <f t="shared" si="236"/>
        <v>1</v>
      </c>
      <c r="M202" s="7">
        <f t="shared" si="236"/>
        <v>2</v>
      </c>
      <c r="N202" s="7">
        <f t="shared" si="236"/>
        <v>3</v>
      </c>
      <c r="O202" s="7">
        <f t="shared" si="236"/>
        <v>4</v>
      </c>
      <c r="P202" s="7">
        <f t="shared" si="236"/>
        <v>5</v>
      </c>
      <c r="Q202" s="7">
        <f t="shared" ref="Q202" si="240">P202+1</f>
        <v>6</v>
      </c>
      <c r="R202" s="7">
        <f t="shared" ref="R202" si="241">Q202+1</f>
        <v>7</v>
      </c>
      <c r="S202" s="7">
        <f t="shared" ref="S202" si="242">R202+1</f>
        <v>8</v>
      </c>
      <c r="T202" s="7">
        <f t="shared" ref="T202" si="243">S202+1</f>
        <v>9</v>
      </c>
      <c r="U202" s="7">
        <f t="shared" ref="U202" si="244">T202+1</f>
        <v>10</v>
      </c>
      <c r="V202" s="7">
        <f t="shared" ref="V202" si="245">U202+1</f>
        <v>11</v>
      </c>
      <c r="W202" s="7">
        <f t="shared" ref="W202" si="246">V202+1</f>
        <v>12</v>
      </c>
      <c r="X202" s="7">
        <f t="shared" ref="X202" si="247">W202+1</f>
        <v>13</v>
      </c>
      <c r="Y202" s="7">
        <f t="shared" ref="Y202" si="248">X202+1</f>
        <v>14</v>
      </c>
      <c r="Z202" s="7">
        <f t="shared" ref="Z202" si="249">Y202+1</f>
        <v>15</v>
      </c>
      <c r="AA202" s="7">
        <f t="shared" ref="AA202" si="250">Z202+1</f>
        <v>16</v>
      </c>
      <c r="AB202" s="7">
        <f t="shared" ref="AB202" si="251">AA202+1</f>
        <v>17</v>
      </c>
      <c r="AC202" s="7">
        <f t="shared" ref="AC202" si="252">AB202+1</f>
        <v>18</v>
      </c>
      <c r="AD202" s="7">
        <f t="shared" ref="AD202" si="253">AC202+1</f>
        <v>19</v>
      </c>
      <c r="AE202" s="7">
        <f t="shared" ref="AE202" si="254">AD202+1</f>
        <v>20</v>
      </c>
      <c r="AF202" s="7">
        <f t="shared" ref="AF202" si="255">AE202+1</f>
        <v>21</v>
      </c>
      <c r="AG202" s="7">
        <f t="shared" ref="AG202" si="256">AF202+1</f>
        <v>22</v>
      </c>
      <c r="AH202" s="7">
        <f t="shared" ref="AH202" si="257">AG202+1</f>
        <v>23</v>
      </c>
      <c r="AI202" s="7">
        <f t="shared" ref="AI202" si="258">AH202+1</f>
        <v>24</v>
      </c>
      <c r="AJ202" s="7">
        <f t="shared" ref="AJ202" si="259">AI202+1</f>
        <v>25</v>
      </c>
      <c r="AK202" s="7">
        <f t="shared" ref="AK202" si="260">AJ202+1</f>
        <v>26</v>
      </c>
      <c r="AL202" s="7">
        <f t="shared" ref="AL202" si="261">AK202+1</f>
        <v>27</v>
      </c>
      <c r="AM202" s="7">
        <f t="shared" ref="AM202" si="262">AL202+1</f>
        <v>28</v>
      </c>
      <c r="AN202" s="7">
        <f t="shared" ref="AN202" si="263">AM202+1</f>
        <v>29</v>
      </c>
      <c r="AO202" s="7">
        <f t="shared" ref="AO202" si="264">AN202+1</f>
        <v>30</v>
      </c>
      <c r="AP202" s="7">
        <f t="shared" ref="AP202" si="265">AO202+1</f>
        <v>31</v>
      </c>
      <c r="AQ202" s="7">
        <f t="shared" ref="AQ202" si="266">AP202+1</f>
        <v>32</v>
      </c>
      <c r="AR202" s="7">
        <f t="shared" ref="AR202" si="267">AQ202+1</f>
        <v>33</v>
      </c>
      <c r="AS202" s="7">
        <f t="shared" ref="AS202" si="268">AR202+1</f>
        <v>34</v>
      </c>
      <c r="AT202" s="7">
        <f t="shared" ref="AT202" si="269">AS202+1</f>
        <v>35</v>
      </c>
      <c r="AU202" s="7">
        <f t="shared" ref="AU202" si="270">AT202+1</f>
        <v>36</v>
      </c>
      <c r="AV202" s="7">
        <f t="shared" ref="AV202" si="271">AU202+1</f>
        <v>37</v>
      </c>
      <c r="AW202" s="7">
        <f t="shared" ref="AW202" si="272">AV202+1</f>
        <v>38</v>
      </c>
      <c r="AX202" s="7">
        <f t="shared" ref="AX202" si="273">AW202+1</f>
        <v>39</v>
      </c>
      <c r="AY202" s="7">
        <f t="shared" ref="AY202" si="274">AX202+1</f>
        <v>40</v>
      </c>
      <c r="AZ202" s="7">
        <f t="shared" ref="AZ202" si="275">AY202+1</f>
        <v>41</v>
      </c>
      <c r="BA202" s="7">
        <f t="shared" ref="BA202" si="276">AZ202+1</f>
        <v>42</v>
      </c>
      <c r="BB202" s="7">
        <f t="shared" ref="BB202" si="277">BA202+1</f>
        <v>43</v>
      </c>
      <c r="BC202" s="7">
        <f t="shared" ref="BC202" si="278">BB202+1</f>
        <v>44</v>
      </c>
      <c r="BD202" s="7">
        <f t="shared" ref="BD202" si="279">BC202+1</f>
        <v>45</v>
      </c>
      <c r="BE202" s="7">
        <f t="shared" ref="BE202" si="280">BD202+1</f>
        <v>46</v>
      </c>
      <c r="BF202" s="7">
        <f t="shared" ref="BF202" si="281">BE202+1</f>
        <v>47</v>
      </c>
      <c r="BG202" s="7">
        <f t="shared" ref="BG202" si="282">BF202+1</f>
        <v>48</v>
      </c>
      <c r="BH202" s="7">
        <f t="shared" ref="BH202" si="283">BG202+1</f>
        <v>49</v>
      </c>
      <c r="BI202" s="7">
        <f t="shared" ref="BI202" si="284">BH202+1</f>
        <v>50</v>
      </c>
      <c r="BJ202" s="7">
        <f t="shared" ref="BJ202" si="285">BI202+1</f>
        <v>51</v>
      </c>
      <c r="BK202" s="7">
        <f t="shared" ref="BK202" si="286">BJ202+1</f>
        <v>52</v>
      </c>
      <c r="BL202" s="7">
        <f t="shared" ref="BL202" si="287">BK202+1</f>
        <v>53</v>
      </c>
      <c r="BM202" s="7">
        <f t="shared" ref="BM202" si="288">BL202+1</f>
        <v>54</v>
      </c>
      <c r="BN202" s="7">
        <f t="shared" ref="BN202" si="289">BM202+1</f>
        <v>55</v>
      </c>
      <c r="BO202" s="7">
        <f t="shared" ref="BO202" si="290">BN202+1</f>
        <v>56</v>
      </c>
      <c r="BP202" s="7">
        <f t="shared" ref="BP202" si="291">BO202+1</f>
        <v>57</v>
      </c>
      <c r="BQ202" s="7">
        <f t="shared" ref="BQ202" si="292">BP202+1</f>
        <v>58</v>
      </c>
      <c r="BR202" s="7">
        <f t="shared" ref="BR202" si="293">BQ202+1</f>
        <v>59</v>
      </c>
      <c r="BS202" s="7">
        <f t="shared" ref="BS202" si="294">BR202+1</f>
        <v>60</v>
      </c>
      <c r="BT202" s="7">
        <f t="shared" ref="BT202" si="295">BS202+1</f>
        <v>61</v>
      </c>
      <c r="BU202" s="7">
        <f t="shared" ref="BU202" si="296">BT202+1</f>
        <v>62</v>
      </c>
      <c r="BV202" s="7">
        <f t="shared" ref="BV202" si="297">BU202+1</f>
        <v>63</v>
      </c>
      <c r="BW202" s="7">
        <f t="shared" ref="BW202" si="298">BV202+1</f>
        <v>64</v>
      </c>
      <c r="BX202" s="7">
        <f t="shared" ref="BX202" si="299">BW202+1</f>
        <v>65</v>
      </c>
      <c r="BY202" s="7">
        <f t="shared" ref="BY202" si="300">BX202+1</f>
        <v>66</v>
      </c>
      <c r="BZ202" s="7">
        <f t="shared" ref="BZ202" si="301">BY202+1</f>
        <v>67</v>
      </c>
      <c r="CA202" s="7">
        <f t="shared" ref="CA202" si="302">BZ202+1</f>
        <v>68</v>
      </c>
      <c r="CB202" s="7">
        <f t="shared" ref="CB202" si="303">CA202+1</f>
        <v>69</v>
      </c>
      <c r="CC202" s="7">
        <f t="shared" ref="CC202" si="304">CB202+1</f>
        <v>70</v>
      </c>
      <c r="CD202" s="7">
        <f t="shared" ref="CD202" si="305">CC202+1</f>
        <v>71</v>
      </c>
      <c r="CE202" s="7">
        <f t="shared" ref="CE202" si="306">CD202+1</f>
        <v>72</v>
      </c>
      <c r="CF202" s="7">
        <f t="shared" ref="CF202" si="307">CE202+1</f>
        <v>73</v>
      </c>
      <c r="CG202" s="7">
        <f t="shared" ref="CG202" si="308">CF202+1</f>
        <v>74</v>
      </c>
      <c r="CH202" s="7">
        <f t="shared" ref="CH202" si="309">CG202+1</f>
        <v>75</v>
      </c>
      <c r="CI202" s="7">
        <f t="shared" ref="CI202" si="310">CH202+1</f>
        <v>76</v>
      </c>
      <c r="CJ202" s="7">
        <f t="shared" ref="CJ202" si="311">CI202+1</f>
        <v>77</v>
      </c>
      <c r="CK202" s="7">
        <f t="shared" ref="CK202" si="312">CJ202+1</f>
        <v>78</v>
      </c>
      <c r="CL202" s="7">
        <f t="shared" ref="CL202" si="313">CK202+1</f>
        <v>79</v>
      </c>
      <c r="CM202" s="7">
        <f t="shared" ref="CM202" si="314">CL202+1</f>
        <v>80</v>
      </c>
      <c r="CN202" s="7">
        <f t="shared" ref="CN202" si="315">CM202+1</f>
        <v>81</v>
      </c>
      <c r="CO202" s="7">
        <f t="shared" ref="CO202" si="316">CN202+1</f>
        <v>82</v>
      </c>
      <c r="CP202" s="7">
        <f t="shared" ref="CP202" si="317">CO202+1</f>
        <v>83</v>
      </c>
      <c r="CQ202" s="7">
        <f t="shared" ref="CQ202" si="318">CP202+1</f>
        <v>84</v>
      </c>
      <c r="CR202" s="7">
        <f t="shared" ref="CR202" si="319">CQ202+1</f>
        <v>85</v>
      </c>
      <c r="CS202" s="7">
        <f t="shared" ref="CS202" si="320">CR202+1</f>
        <v>86</v>
      </c>
      <c r="CT202" s="7">
        <f t="shared" ref="CT202" si="321">CS202+1</f>
        <v>87</v>
      </c>
      <c r="CU202" s="7">
        <f t="shared" ref="CU202" si="322">CT202+1</f>
        <v>88</v>
      </c>
      <c r="CV202" s="7">
        <f t="shared" ref="CV202" si="323">CU202+1</f>
        <v>89</v>
      </c>
      <c r="CW202" s="7">
        <f t="shared" ref="CW202" si="324">CV202+1</f>
        <v>90</v>
      </c>
      <c r="CX202" s="7">
        <f t="shared" ref="CX202" si="325">CW202+1</f>
        <v>91</v>
      </c>
      <c r="CY202" s="7">
        <f t="shared" ref="CY202" si="326">CX202+1</f>
        <v>92</v>
      </c>
      <c r="CZ202" s="7">
        <f t="shared" ref="CZ202" si="327">CY202+1</f>
        <v>93</v>
      </c>
      <c r="DA202" s="7">
        <f t="shared" ref="DA202" si="328">CZ202+1</f>
        <v>94</v>
      </c>
      <c r="DB202" s="7">
        <f t="shared" ref="DB202" si="329">DA202+1</f>
        <v>95</v>
      </c>
      <c r="DC202" s="7">
        <f t="shared" ref="DC202" si="330">DB202+1</f>
        <v>96</v>
      </c>
      <c r="DD202" s="7">
        <f t="shared" ref="DD202" si="331">DC202+1</f>
        <v>97</v>
      </c>
      <c r="DE202" s="7">
        <f t="shared" ref="DE202" si="332">DD202+1</f>
        <v>98</v>
      </c>
      <c r="DF202" s="7">
        <f t="shared" ref="DF202" si="333">DE202+1</f>
        <v>99</v>
      </c>
      <c r="DG202" s="7">
        <f t="shared" ref="DG202" si="334">DF202+1</f>
        <v>100</v>
      </c>
      <c r="DH202" s="7">
        <f t="shared" ref="DH202" si="335">DG202+1</f>
        <v>101</v>
      </c>
      <c r="DI202" s="7">
        <f t="shared" ref="DI202" si="336">DH202+1</f>
        <v>102</v>
      </c>
      <c r="DJ202" s="7">
        <f t="shared" ref="DJ202" si="337">DI202+1</f>
        <v>103</v>
      </c>
      <c r="DK202" s="7">
        <f t="shared" ref="DK202" si="338">DJ202+1</f>
        <v>104</v>
      </c>
      <c r="DL202" s="7">
        <f t="shared" ref="DL202" si="339">DK202+1</f>
        <v>105</v>
      </c>
      <c r="DM202" s="7">
        <f t="shared" ref="DM202" si="340">DL202+1</f>
        <v>106</v>
      </c>
      <c r="DN202" s="7">
        <f t="shared" ref="DN202" si="341">DM202+1</f>
        <v>107</v>
      </c>
      <c r="DO202" s="7">
        <f t="shared" ref="DO202" si="342">DN202+1</f>
        <v>108</v>
      </c>
      <c r="DP202" s="7">
        <f t="shared" ref="DP202" si="343">DO202+1</f>
        <v>109</v>
      </c>
      <c r="DQ202" s="7">
        <f t="shared" ref="DQ202" si="344">DP202+1</f>
        <v>110</v>
      </c>
      <c r="DR202" s="7">
        <f t="shared" ref="DR202" si="345">DQ202+1</f>
        <v>111</v>
      </c>
      <c r="DS202" s="7">
        <f t="shared" ref="DS202" si="346">DR202+1</f>
        <v>112</v>
      </c>
      <c r="DT202" s="7">
        <f t="shared" ref="DT202" si="347">DS202+1</f>
        <v>113</v>
      </c>
      <c r="DU202" s="7">
        <f t="shared" ref="DU202" si="348">DT202+1</f>
        <v>114</v>
      </c>
      <c r="DV202" s="7">
        <f t="shared" ref="DV202" si="349">DU202+1</f>
        <v>115</v>
      </c>
      <c r="DW202" s="7">
        <f t="shared" ref="DW202" si="350">DV202+1</f>
        <v>116</v>
      </c>
      <c r="DX202" s="7">
        <f t="shared" ref="DX202" si="351">DW202+1</f>
        <v>117</v>
      </c>
      <c r="DY202" s="7">
        <f t="shared" ref="DY202" si="352">DX202+1</f>
        <v>118</v>
      </c>
      <c r="DZ202" s="7">
        <f t="shared" ref="DZ202" si="353">DY202+1</f>
        <v>119</v>
      </c>
      <c r="EA202" s="7">
        <f t="shared" ref="EA202" si="354">DZ202+1</f>
        <v>120</v>
      </c>
      <c r="EB202" s="7">
        <f t="shared" ref="EB202" si="355">EA202+1</f>
        <v>121</v>
      </c>
      <c r="EC202" s="7">
        <f t="shared" ref="EC202" si="356">EB202+1</f>
        <v>122</v>
      </c>
      <c r="ED202" s="7">
        <f t="shared" ref="ED202" si="357">EC202+1</f>
        <v>123</v>
      </c>
      <c r="EE202" s="7">
        <f t="shared" ref="EE202" si="358">ED202+1</f>
        <v>124</v>
      </c>
      <c r="EF202" s="7">
        <f t="shared" ref="EF202" si="359">EE202+1</f>
        <v>125</v>
      </c>
      <c r="EG202" s="7">
        <f t="shared" ref="EG202" si="360">EF202+1</f>
        <v>126</v>
      </c>
      <c r="EH202" s="7">
        <f t="shared" ref="EH202" si="361">EG202+1</f>
        <v>127</v>
      </c>
      <c r="EI202" s="7">
        <f t="shared" ref="EI202" si="362">EH202+1</f>
        <v>128</v>
      </c>
      <c r="EJ202" s="7">
        <f t="shared" ref="EJ202" si="363">EI202+1</f>
        <v>129</v>
      </c>
      <c r="EK202" s="7">
        <f t="shared" ref="EK202" si="364">EJ202+1</f>
        <v>130</v>
      </c>
      <c r="EL202" s="7">
        <f t="shared" ref="EL202" si="365">EK202+1</f>
        <v>131</v>
      </c>
      <c r="EM202" s="7">
        <f t="shared" si="237"/>
        <v>132</v>
      </c>
      <c r="EN202" s="7">
        <f t="shared" si="237"/>
        <v>133</v>
      </c>
      <c r="EO202" s="7">
        <f t="shared" si="237"/>
        <v>134</v>
      </c>
      <c r="EP202" s="7">
        <f t="shared" si="237"/>
        <v>135</v>
      </c>
      <c r="EQ202" s="7">
        <f t="shared" si="237"/>
        <v>136</v>
      </c>
      <c r="ER202" s="7">
        <f t="shared" si="238"/>
        <v>137</v>
      </c>
      <c r="ES202" s="7">
        <f t="shared" si="238"/>
        <v>138</v>
      </c>
      <c r="ET202" s="7">
        <f t="shared" si="238"/>
        <v>139</v>
      </c>
      <c r="EU202" s="7">
        <f t="shared" si="238"/>
        <v>140</v>
      </c>
      <c r="EV202" s="7">
        <f t="shared" si="238"/>
        <v>141</v>
      </c>
      <c r="EW202" s="7">
        <f t="shared" si="238"/>
        <v>142</v>
      </c>
      <c r="EX202" s="7">
        <f t="shared" si="238"/>
        <v>143</v>
      </c>
      <c r="EY202" s="7">
        <f t="shared" si="238"/>
        <v>144</v>
      </c>
      <c r="EZ202" s="7">
        <f t="shared" si="238"/>
        <v>145</v>
      </c>
      <c r="FA202" s="7">
        <f t="shared" si="238"/>
        <v>146</v>
      </c>
      <c r="FB202" s="7">
        <f t="shared" si="238"/>
        <v>147</v>
      </c>
      <c r="FC202" s="7">
        <f t="shared" si="238"/>
        <v>148</v>
      </c>
      <c r="FD202" s="7">
        <f t="shared" si="238"/>
        <v>149</v>
      </c>
      <c r="FE202" s="7">
        <f t="shared" si="238"/>
        <v>150</v>
      </c>
      <c r="FF202" s="7">
        <f t="shared" si="238"/>
        <v>151</v>
      </c>
      <c r="FG202" s="7">
        <f t="shared" si="238"/>
        <v>152</v>
      </c>
      <c r="FH202" s="7">
        <f t="shared" si="238"/>
        <v>153</v>
      </c>
      <c r="FI202" s="7">
        <f t="shared" si="238"/>
        <v>154</v>
      </c>
      <c r="FJ202" s="7">
        <f t="shared" si="238"/>
        <v>155</v>
      </c>
      <c r="FK202" s="7">
        <f t="shared" si="238"/>
        <v>156</v>
      </c>
      <c r="FL202" s="7">
        <f t="shared" si="238"/>
        <v>157</v>
      </c>
      <c r="FM202" s="7">
        <f t="shared" si="238"/>
        <v>158</v>
      </c>
      <c r="FN202" s="7">
        <f t="shared" si="238"/>
        <v>159</v>
      </c>
      <c r="FO202" s="7">
        <f t="shared" si="238"/>
        <v>160</v>
      </c>
      <c r="FP202" s="7">
        <f t="shared" si="238"/>
        <v>161</v>
      </c>
      <c r="FQ202" s="7">
        <f t="shared" si="238"/>
        <v>162</v>
      </c>
      <c r="FR202" s="7">
        <f t="shared" si="238"/>
        <v>163</v>
      </c>
      <c r="FS202" s="7">
        <f t="shared" si="238"/>
        <v>164</v>
      </c>
      <c r="FT202" s="7">
        <f t="shared" si="238"/>
        <v>165</v>
      </c>
      <c r="FU202" s="7">
        <f t="shared" si="238"/>
        <v>166</v>
      </c>
      <c r="FV202" s="7">
        <f t="shared" si="238"/>
        <v>167</v>
      </c>
      <c r="FW202" s="7">
        <f t="shared" si="238"/>
        <v>168</v>
      </c>
      <c r="FX202" s="7">
        <f t="shared" si="238"/>
        <v>169</v>
      </c>
      <c r="FY202" s="7">
        <f t="shared" si="238"/>
        <v>170</v>
      </c>
    </row>
    <row r="203" spans="1:237" x14ac:dyDescent="0.25">
      <c r="N203"/>
      <c r="P203" s="84"/>
    </row>
    <row r="204" spans="1:237" x14ac:dyDescent="0.25">
      <c r="P204" s="84"/>
    </row>
    <row r="205" spans="1:237" x14ac:dyDescent="0.25">
      <c r="P205" s="84"/>
    </row>
    <row r="206" spans="1:237" x14ac:dyDescent="0.25">
      <c r="P206" s="84"/>
    </row>
    <row r="207" spans="1:237" x14ac:dyDescent="0.25">
      <c r="P207" s="84"/>
    </row>
    <row r="208" spans="1:237" x14ac:dyDescent="0.25">
      <c r="P208" s="84"/>
    </row>
    <row r="209" spans="16:16" x14ac:dyDescent="0.25">
      <c r="P209" s="84"/>
    </row>
    <row r="210" spans="16:16" x14ac:dyDescent="0.25">
      <c r="P210" s="84"/>
    </row>
    <row r="211" spans="16:16" x14ac:dyDescent="0.25">
      <c r="P211" s="84"/>
    </row>
    <row r="212" spans="16:16" x14ac:dyDescent="0.25">
      <c r="P212" s="84"/>
    </row>
    <row r="213" spans="16:16" x14ac:dyDescent="0.25">
      <c r="P213" s="84"/>
    </row>
    <row r="214" spans="16:16" x14ac:dyDescent="0.25">
      <c r="P214" s="84"/>
    </row>
    <row r="215" spans="16:16" x14ac:dyDescent="0.25">
      <c r="P215" s="84"/>
    </row>
    <row r="216" spans="16:16" x14ac:dyDescent="0.25">
      <c r="P216" s="84"/>
    </row>
    <row r="217" spans="16:16" x14ac:dyDescent="0.25">
      <c r="P217" s="84"/>
    </row>
    <row r="218" spans="16:16" x14ac:dyDescent="0.25">
      <c r="P218" s="84"/>
    </row>
    <row r="219" spans="16:16" x14ac:dyDescent="0.25">
      <c r="P219" s="84"/>
    </row>
    <row r="220" spans="16:16" x14ac:dyDescent="0.25">
      <c r="P220" s="84"/>
    </row>
    <row r="221" spans="16:16" x14ac:dyDescent="0.25">
      <c r="P221" s="84"/>
    </row>
    <row r="222" spans="16:16" x14ac:dyDescent="0.25">
      <c r="P222" s="84"/>
    </row>
    <row r="223" spans="16:16" x14ac:dyDescent="0.25">
      <c r="P223" s="84"/>
    </row>
    <row r="224" spans="16:16" x14ac:dyDescent="0.25">
      <c r="P224" s="84"/>
    </row>
    <row r="225" spans="16:16" x14ac:dyDescent="0.25">
      <c r="P225" s="84"/>
    </row>
    <row r="226" spans="16:16" x14ac:dyDescent="0.25">
      <c r="P226" s="84"/>
    </row>
    <row r="227" spans="16:16" x14ac:dyDescent="0.25">
      <c r="P227" s="84"/>
    </row>
    <row r="228" spans="16:16" x14ac:dyDescent="0.25">
      <c r="P228" s="84"/>
    </row>
    <row r="229" spans="16:16" x14ac:dyDescent="0.25">
      <c r="P229" s="84"/>
    </row>
    <row r="230" spans="16:16" x14ac:dyDescent="0.25">
      <c r="P230" s="84"/>
    </row>
    <row r="231" spans="16:16" x14ac:dyDescent="0.25">
      <c r="P231" s="84"/>
    </row>
    <row r="232" spans="16:16" x14ac:dyDescent="0.25">
      <c r="P232" s="84"/>
    </row>
    <row r="233" spans="16:16" x14ac:dyDescent="0.25">
      <c r="P233" s="84"/>
    </row>
    <row r="234" spans="16:16" x14ac:dyDescent="0.25">
      <c r="P234" s="84"/>
    </row>
    <row r="235" spans="16:16" x14ac:dyDescent="0.25">
      <c r="P235" s="84"/>
    </row>
    <row r="236" spans="16:16" x14ac:dyDescent="0.25">
      <c r="P236" s="84"/>
    </row>
    <row r="237" spans="16:16" x14ac:dyDescent="0.25">
      <c r="P237" s="84"/>
    </row>
    <row r="238" spans="16:16" x14ac:dyDescent="0.25">
      <c r="P238" s="84"/>
    </row>
    <row r="239" spans="16:16" x14ac:dyDescent="0.25">
      <c r="P239" s="84"/>
    </row>
    <row r="240" spans="16:16" x14ac:dyDescent="0.25">
      <c r="P240" s="84"/>
    </row>
    <row r="241" spans="16:16" x14ac:dyDescent="0.25">
      <c r="P241" s="84"/>
    </row>
    <row r="242" spans="16:16" x14ac:dyDescent="0.25">
      <c r="P242" s="84"/>
    </row>
    <row r="243" spans="16:16" x14ac:dyDescent="0.25">
      <c r="P243" s="84"/>
    </row>
    <row r="244" spans="16:16" x14ac:dyDescent="0.25">
      <c r="P244" s="84"/>
    </row>
    <row r="245" spans="16:16" x14ac:dyDescent="0.25">
      <c r="P245" s="84"/>
    </row>
    <row r="246" spans="16:16" x14ac:dyDescent="0.25">
      <c r="P246" s="84"/>
    </row>
    <row r="247" spans="16:16" x14ac:dyDescent="0.25">
      <c r="P247" s="84"/>
    </row>
    <row r="248" spans="16:16" x14ac:dyDescent="0.25">
      <c r="P248" s="84"/>
    </row>
    <row r="249" spans="16:16" x14ac:dyDescent="0.25">
      <c r="P249" s="84"/>
    </row>
    <row r="250" spans="16:16" x14ac:dyDescent="0.25">
      <c r="P250" s="84"/>
    </row>
    <row r="251" spans="16:16" x14ac:dyDescent="0.25">
      <c r="P251" s="84"/>
    </row>
    <row r="252" spans="16:16" x14ac:dyDescent="0.25">
      <c r="P252" s="84"/>
    </row>
    <row r="253" spans="16:16" x14ac:dyDescent="0.25">
      <c r="P253" s="84"/>
    </row>
    <row r="254" spans="16:16" x14ac:dyDescent="0.25">
      <c r="P254" s="84"/>
    </row>
    <row r="255" spans="16:16" x14ac:dyDescent="0.25">
      <c r="P255" s="84"/>
    </row>
    <row r="256" spans="16:16" x14ac:dyDescent="0.25">
      <c r="P256" s="84"/>
    </row>
    <row r="257" spans="16:16" x14ac:dyDescent="0.25">
      <c r="P257" s="84"/>
    </row>
    <row r="258" spans="16:16" x14ac:dyDescent="0.25">
      <c r="P258" s="84"/>
    </row>
    <row r="259" spans="16:16" x14ac:dyDescent="0.25">
      <c r="P259" s="84"/>
    </row>
    <row r="260" spans="16:16" x14ac:dyDescent="0.25">
      <c r="P260" s="84"/>
    </row>
    <row r="261" spans="16:16" x14ac:dyDescent="0.25">
      <c r="P261" s="84"/>
    </row>
    <row r="262" spans="16:16" x14ac:dyDescent="0.25">
      <c r="P262" s="84"/>
    </row>
    <row r="263" spans="16:16" x14ac:dyDescent="0.25">
      <c r="P26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200">
    <cfRule type="cellIs" dxfId="476" priority="8119" operator="greaterThan">
      <formula>0</formula>
    </cfRule>
  </conditionalFormatting>
  <conditionalFormatting sqref="J6:J200">
    <cfRule type="cellIs" dxfId="475" priority="1" operator="equal">
      <formula>"CRECHE"</formula>
    </cfRule>
    <cfRule type="cellIs" dxfId="47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200 EJ6:EJ200 EH6:EH200 EF6:EF200 ED6:ED200 EB6:EB200 DZ6:DZ200 DX6:DX200 DV6:DV200 DT6:DT200 DR6:DR200 DP6:DP200 DN6:DN200 DL6:DL200 DJ6:DJ200 DH6:DH200 DF6:DF200 DD6:DD200 DB6:DB200 CZ6:CZ200 CX6:CX200 CV6:CV200 CT6:CT200 CR6:CR200 CP6:CP200 CN6:CN200 CL6:CL200 CJ6:CJ200 CH6:CH200 CF6:CF200 CD6:CD200 CB6:CB200 BZ6:BZ200 BX6:BX200 BV6:BV200 BT6:BT200 BR6:BR200 BP6:BP200 BN6:BN200 BL6:BL200 BJ6:BJ200 BH6:BH200 BF6:BF200 BD6:BD200 BB6:BB200 AZ6:AZ200 AX6:AX200 AV6:AV200 AT6:AT200 AR6:AR200 AP6:AP200 AN6:AN200 AL6:AL200 AJ6:AJ200 AH6:AH200 AF6:AF200 AD6:AD200 AB6:AB200 Z6:Z200 X6:X200 V6:V200 T6:T20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204"/>
  <sheetViews>
    <sheetView showGridLines="0" topLeftCell="R1" zoomScale="80" zoomScaleNormal="80" workbookViewId="0">
      <selection activeCell="L196" sqref="L196:BU20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Guaianases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3194</v>
      </c>
      <c r="B6" s="526" t="s">
        <v>3195</v>
      </c>
      <c r="C6" s="527">
        <v>1</v>
      </c>
      <c r="D6" s="528" t="s">
        <v>3196</v>
      </c>
      <c r="E6" s="426" t="s">
        <v>3197</v>
      </c>
      <c r="F6" s="529" t="s">
        <v>3182</v>
      </c>
      <c r="G6" s="529" t="s">
        <v>3183</v>
      </c>
      <c r="H6" s="530" t="s">
        <v>1475</v>
      </c>
      <c r="I6" s="384" t="s">
        <v>1475</v>
      </c>
      <c r="J6" s="353" t="s">
        <v>3184</v>
      </c>
      <c r="K6" s="354" t="s">
        <v>3185</v>
      </c>
      <c r="L6" s="402">
        <v>0</v>
      </c>
      <c r="M6" s="403">
        <v>0</v>
      </c>
      <c r="N6" s="402">
        <v>0</v>
      </c>
      <c r="O6" s="403">
        <v>0</v>
      </c>
      <c r="P6" s="402">
        <v>0</v>
      </c>
      <c r="Q6" s="403">
        <v>0</v>
      </c>
      <c r="R6" s="402"/>
      <c r="S6" s="403"/>
      <c r="T6" s="402"/>
      <c r="U6" s="403"/>
      <c r="V6" s="402">
        <v>0</v>
      </c>
      <c r="W6" s="403">
        <v>0</v>
      </c>
      <c r="X6" s="402">
        <v>0</v>
      </c>
      <c r="Y6" s="403">
        <v>0</v>
      </c>
      <c r="Z6" s="402">
        <v>0</v>
      </c>
      <c r="AA6" s="403">
        <v>0</v>
      </c>
      <c r="AB6" s="402">
        <v>0</v>
      </c>
      <c r="AC6" s="403">
        <v>0</v>
      </c>
      <c r="AD6" s="402">
        <v>0</v>
      </c>
      <c r="AE6" s="403">
        <v>0</v>
      </c>
      <c r="AF6" s="402"/>
      <c r="AG6" s="403"/>
      <c r="AH6" s="402"/>
      <c r="AI6" s="403"/>
      <c r="AJ6" s="402">
        <v>0</v>
      </c>
      <c r="AK6" s="403">
        <v>0</v>
      </c>
      <c r="AL6" s="402">
        <v>0</v>
      </c>
      <c r="AM6" s="403">
        <v>0</v>
      </c>
      <c r="AN6" s="402">
        <v>0</v>
      </c>
      <c r="AO6" s="403">
        <v>0</v>
      </c>
      <c r="AP6" s="402">
        <v>0</v>
      </c>
      <c r="AQ6" s="403">
        <v>0</v>
      </c>
      <c r="AR6" s="402">
        <v>0</v>
      </c>
      <c r="AS6" s="403">
        <v>0</v>
      </c>
      <c r="AT6" s="402"/>
      <c r="AU6" s="403"/>
      <c r="AV6" s="402"/>
      <c r="AW6" s="403"/>
      <c r="AX6" s="402">
        <v>0</v>
      </c>
      <c r="AY6" s="403">
        <v>0</v>
      </c>
      <c r="AZ6" s="402">
        <v>0</v>
      </c>
      <c r="BA6" s="403">
        <v>0</v>
      </c>
      <c r="BB6" s="402">
        <v>0</v>
      </c>
      <c r="BC6" s="403">
        <v>0</v>
      </c>
      <c r="BD6" s="402">
        <v>0</v>
      </c>
      <c r="BE6" s="403">
        <v>0</v>
      </c>
      <c r="BF6" s="402">
        <v>0</v>
      </c>
      <c r="BG6" s="403">
        <v>0</v>
      </c>
      <c r="BH6" s="402"/>
      <c r="BI6" s="403"/>
      <c r="BJ6" s="402"/>
      <c r="BK6" s="403"/>
      <c r="BL6" s="402">
        <v>0</v>
      </c>
      <c r="BM6" s="403">
        <v>0</v>
      </c>
      <c r="BN6" s="402">
        <v>0</v>
      </c>
      <c r="BO6" s="403">
        <v>0</v>
      </c>
      <c r="BP6" s="402">
        <v>0</v>
      </c>
      <c r="BQ6" s="403">
        <v>0</v>
      </c>
      <c r="BR6" s="402">
        <v>0</v>
      </c>
      <c r="BS6" s="403">
        <v>0</v>
      </c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3194</v>
      </c>
      <c r="B7" s="386" t="s">
        <v>3195</v>
      </c>
      <c r="C7" s="352" t="s">
        <v>3186</v>
      </c>
      <c r="D7" s="387" t="s">
        <v>3196</v>
      </c>
      <c r="E7" s="388" t="s">
        <v>3197</v>
      </c>
      <c r="F7" s="389" t="s">
        <v>3182</v>
      </c>
      <c r="G7" s="389" t="s">
        <v>3183</v>
      </c>
      <c r="H7" s="390" t="s">
        <v>1475</v>
      </c>
      <c r="I7" s="391" t="s">
        <v>1475</v>
      </c>
      <c r="J7" s="353" t="s">
        <v>3184</v>
      </c>
      <c r="K7" s="353" t="s">
        <v>3187</v>
      </c>
      <c r="L7" s="400">
        <v>0</v>
      </c>
      <c r="M7" s="401">
        <v>0</v>
      </c>
      <c r="N7" s="400">
        <v>0</v>
      </c>
      <c r="O7" s="401">
        <v>0</v>
      </c>
      <c r="P7" s="400">
        <v>0</v>
      </c>
      <c r="Q7" s="401">
        <v>0</v>
      </c>
      <c r="R7" s="400"/>
      <c r="S7" s="401"/>
      <c r="T7" s="400"/>
      <c r="U7" s="401"/>
      <c r="V7" s="400">
        <v>0</v>
      </c>
      <c r="W7" s="401">
        <v>0</v>
      </c>
      <c r="X7" s="400">
        <v>0</v>
      </c>
      <c r="Y7" s="401">
        <v>0</v>
      </c>
      <c r="Z7" s="400">
        <v>0</v>
      </c>
      <c r="AA7" s="401">
        <v>0</v>
      </c>
      <c r="AB7" s="400">
        <v>0</v>
      </c>
      <c r="AC7" s="401">
        <v>0</v>
      </c>
      <c r="AD7" s="400">
        <v>0</v>
      </c>
      <c r="AE7" s="401">
        <v>0</v>
      </c>
      <c r="AF7" s="400"/>
      <c r="AG7" s="401"/>
      <c r="AH7" s="400"/>
      <c r="AI7" s="401"/>
      <c r="AJ7" s="400">
        <v>0</v>
      </c>
      <c r="AK7" s="401">
        <v>0</v>
      </c>
      <c r="AL7" s="400">
        <v>0</v>
      </c>
      <c r="AM7" s="401">
        <v>0</v>
      </c>
      <c r="AN7" s="400">
        <v>0</v>
      </c>
      <c r="AO7" s="401">
        <v>0</v>
      </c>
      <c r="AP7" s="400">
        <v>0</v>
      </c>
      <c r="AQ7" s="401">
        <v>0</v>
      </c>
      <c r="AR7" s="400">
        <v>0</v>
      </c>
      <c r="AS7" s="401">
        <v>0</v>
      </c>
      <c r="AT7" s="400"/>
      <c r="AU7" s="401"/>
      <c r="AV7" s="400"/>
      <c r="AW7" s="401"/>
      <c r="AX7" s="400">
        <v>0</v>
      </c>
      <c r="AY7" s="401">
        <v>0</v>
      </c>
      <c r="AZ7" s="400">
        <v>0</v>
      </c>
      <c r="BA7" s="401">
        <v>0</v>
      </c>
      <c r="BB7" s="400">
        <v>0</v>
      </c>
      <c r="BC7" s="401">
        <v>0</v>
      </c>
      <c r="BD7" s="400">
        <v>0</v>
      </c>
      <c r="BE7" s="401">
        <v>0</v>
      </c>
      <c r="BF7" s="400">
        <v>0</v>
      </c>
      <c r="BG7" s="401">
        <v>0</v>
      </c>
      <c r="BH7" s="400"/>
      <c r="BI7" s="401"/>
      <c r="BJ7" s="400"/>
      <c r="BK7" s="401"/>
      <c r="BL7" s="400">
        <v>0</v>
      </c>
      <c r="BM7" s="401">
        <v>0</v>
      </c>
      <c r="BN7" s="400">
        <v>0</v>
      </c>
      <c r="BO7" s="401">
        <v>0</v>
      </c>
      <c r="BP7" s="400">
        <v>0</v>
      </c>
      <c r="BQ7" s="401">
        <v>0</v>
      </c>
      <c r="BR7" s="400">
        <v>0</v>
      </c>
      <c r="BS7" s="401">
        <v>0</v>
      </c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3194</v>
      </c>
      <c r="B8" s="386" t="s">
        <v>3195</v>
      </c>
      <c r="C8" s="392" t="s">
        <v>3186</v>
      </c>
      <c r="D8" s="387" t="s">
        <v>3196</v>
      </c>
      <c r="E8" s="388" t="s">
        <v>3197</v>
      </c>
      <c r="F8" s="389" t="s">
        <v>3182</v>
      </c>
      <c r="G8" s="389" t="s">
        <v>3183</v>
      </c>
      <c r="H8" s="390" t="s">
        <v>1475</v>
      </c>
      <c r="I8" s="391" t="s">
        <v>1475</v>
      </c>
      <c r="J8" s="353" t="s">
        <v>3184</v>
      </c>
      <c r="K8" s="355" t="s">
        <v>3188</v>
      </c>
      <c r="L8" s="400">
        <v>0</v>
      </c>
      <c r="M8" s="401">
        <v>0</v>
      </c>
      <c r="N8" s="400">
        <v>0</v>
      </c>
      <c r="O8" s="401">
        <v>0</v>
      </c>
      <c r="P8" s="400">
        <v>0</v>
      </c>
      <c r="Q8" s="401">
        <v>0</v>
      </c>
      <c r="R8" s="400"/>
      <c r="S8" s="401"/>
      <c r="T8" s="400"/>
      <c r="U8" s="401"/>
      <c r="V8" s="400">
        <v>0</v>
      </c>
      <c r="W8" s="401">
        <v>0</v>
      </c>
      <c r="X8" s="400">
        <v>0</v>
      </c>
      <c r="Y8" s="401">
        <v>0</v>
      </c>
      <c r="Z8" s="400">
        <v>0</v>
      </c>
      <c r="AA8" s="401">
        <v>0</v>
      </c>
      <c r="AB8" s="400">
        <v>0</v>
      </c>
      <c r="AC8" s="401">
        <v>0</v>
      </c>
      <c r="AD8" s="400">
        <v>0</v>
      </c>
      <c r="AE8" s="401">
        <v>0</v>
      </c>
      <c r="AF8" s="400"/>
      <c r="AG8" s="401"/>
      <c r="AH8" s="400"/>
      <c r="AI8" s="401"/>
      <c r="AJ8" s="400">
        <v>0</v>
      </c>
      <c r="AK8" s="401">
        <v>0</v>
      </c>
      <c r="AL8" s="400">
        <v>0</v>
      </c>
      <c r="AM8" s="401">
        <v>0</v>
      </c>
      <c r="AN8" s="400">
        <v>0</v>
      </c>
      <c r="AO8" s="401">
        <v>0</v>
      </c>
      <c r="AP8" s="400">
        <v>0</v>
      </c>
      <c r="AQ8" s="401">
        <v>0</v>
      </c>
      <c r="AR8" s="400">
        <v>0</v>
      </c>
      <c r="AS8" s="401">
        <v>0</v>
      </c>
      <c r="AT8" s="400"/>
      <c r="AU8" s="401"/>
      <c r="AV8" s="400"/>
      <c r="AW8" s="401"/>
      <c r="AX8" s="400">
        <v>0</v>
      </c>
      <c r="AY8" s="401">
        <v>0</v>
      </c>
      <c r="AZ8" s="400">
        <v>0</v>
      </c>
      <c r="BA8" s="401">
        <v>0</v>
      </c>
      <c r="BB8" s="400">
        <v>0</v>
      </c>
      <c r="BC8" s="401">
        <v>0</v>
      </c>
      <c r="BD8" s="400">
        <v>0</v>
      </c>
      <c r="BE8" s="401">
        <v>0</v>
      </c>
      <c r="BF8" s="400">
        <v>0</v>
      </c>
      <c r="BG8" s="401">
        <v>0</v>
      </c>
      <c r="BH8" s="400"/>
      <c r="BI8" s="401"/>
      <c r="BJ8" s="400"/>
      <c r="BK8" s="401"/>
      <c r="BL8" s="400">
        <v>0</v>
      </c>
      <c r="BM8" s="401">
        <v>0</v>
      </c>
      <c r="BN8" s="400">
        <v>0</v>
      </c>
      <c r="BO8" s="401">
        <v>0</v>
      </c>
      <c r="BP8" s="400">
        <v>0</v>
      </c>
      <c r="BQ8" s="401">
        <v>0</v>
      </c>
      <c r="BR8" s="400">
        <v>0</v>
      </c>
      <c r="BS8" s="401">
        <v>0</v>
      </c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3194</v>
      </c>
      <c r="B9" s="386" t="s">
        <v>3195</v>
      </c>
      <c r="C9" s="392" t="s">
        <v>3186</v>
      </c>
      <c r="D9" s="387" t="s">
        <v>3196</v>
      </c>
      <c r="E9" s="388" t="s">
        <v>3197</v>
      </c>
      <c r="F9" s="389" t="s">
        <v>3182</v>
      </c>
      <c r="G9" s="389" t="s">
        <v>3183</v>
      </c>
      <c r="H9" s="390" t="s">
        <v>1475</v>
      </c>
      <c r="I9" s="391" t="s">
        <v>1475</v>
      </c>
      <c r="J9" s="353" t="s">
        <v>3184</v>
      </c>
      <c r="K9" s="356" t="s">
        <v>3189</v>
      </c>
      <c r="L9" s="400">
        <v>0</v>
      </c>
      <c r="M9" s="401">
        <v>0</v>
      </c>
      <c r="N9" s="400">
        <v>0</v>
      </c>
      <c r="O9" s="401">
        <v>0</v>
      </c>
      <c r="P9" s="400">
        <v>0</v>
      </c>
      <c r="Q9" s="401">
        <v>0</v>
      </c>
      <c r="R9" s="400"/>
      <c r="S9" s="401"/>
      <c r="T9" s="400"/>
      <c r="U9" s="401"/>
      <c r="V9" s="400">
        <v>0</v>
      </c>
      <c r="W9" s="401">
        <v>0</v>
      </c>
      <c r="X9" s="400">
        <v>0</v>
      </c>
      <c r="Y9" s="401">
        <v>0</v>
      </c>
      <c r="Z9" s="400">
        <v>0</v>
      </c>
      <c r="AA9" s="401">
        <v>0</v>
      </c>
      <c r="AB9" s="400">
        <v>0</v>
      </c>
      <c r="AC9" s="401">
        <v>0</v>
      </c>
      <c r="AD9" s="400">
        <v>0</v>
      </c>
      <c r="AE9" s="401">
        <v>0</v>
      </c>
      <c r="AF9" s="400"/>
      <c r="AG9" s="401"/>
      <c r="AH9" s="400"/>
      <c r="AI9" s="401"/>
      <c r="AJ9" s="400">
        <v>0</v>
      </c>
      <c r="AK9" s="401">
        <v>0</v>
      </c>
      <c r="AL9" s="400">
        <v>0</v>
      </c>
      <c r="AM9" s="401">
        <v>0</v>
      </c>
      <c r="AN9" s="400">
        <v>0</v>
      </c>
      <c r="AO9" s="401">
        <v>0</v>
      </c>
      <c r="AP9" s="400">
        <v>0</v>
      </c>
      <c r="AQ9" s="401">
        <v>0</v>
      </c>
      <c r="AR9" s="400">
        <v>0</v>
      </c>
      <c r="AS9" s="401">
        <v>0</v>
      </c>
      <c r="AT9" s="400"/>
      <c r="AU9" s="401"/>
      <c r="AV9" s="400"/>
      <c r="AW9" s="401"/>
      <c r="AX9" s="400">
        <v>0</v>
      </c>
      <c r="AY9" s="401">
        <v>0</v>
      </c>
      <c r="AZ9" s="400">
        <v>0</v>
      </c>
      <c r="BA9" s="401">
        <v>0</v>
      </c>
      <c r="BB9" s="400">
        <v>0</v>
      </c>
      <c r="BC9" s="401">
        <v>0</v>
      </c>
      <c r="BD9" s="400">
        <v>0</v>
      </c>
      <c r="BE9" s="401">
        <v>0</v>
      </c>
      <c r="BF9" s="400">
        <v>0</v>
      </c>
      <c r="BG9" s="401">
        <v>0</v>
      </c>
      <c r="BH9" s="400"/>
      <c r="BI9" s="401"/>
      <c r="BJ9" s="400"/>
      <c r="BK9" s="401"/>
      <c r="BL9" s="400">
        <v>0</v>
      </c>
      <c r="BM9" s="401">
        <v>0</v>
      </c>
      <c r="BN9" s="400">
        <v>0</v>
      </c>
      <c r="BO9" s="401">
        <v>0</v>
      </c>
      <c r="BP9" s="400">
        <v>0</v>
      </c>
      <c r="BQ9" s="401">
        <v>0</v>
      </c>
      <c r="BR9" s="400">
        <v>0</v>
      </c>
      <c r="BS9" s="401">
        <v>0</v>
      </c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3194</v>
      </c>
      <c r="B10" s="393" t="s">
        <v>3195</v>
      </c>
      <c r="C10" s="394" t="s">
        <v>3186</v>
      </c>
      <c r="D10" s="395" t="s">
        <v>3196</v>
      </c>
      <c r="E10" s="411" t="s">
        <v>3197</v>
      </c>
      <c r="F10" s="396" t="s">
        <v>3182</v>
      </c>
      <c r="G10" s="396" t="s">
        <v>3183</v>
      </c>
      <c r="H10" s="397" t="s">
        <v>1475</v>
      </c>
      <c r="I10" s="899" t="s">
        <v>1475</v>
      </c>
      <c r="J10" s="353" t="s">
        <v>3184</v>
      </c>
      <c r="K10" s="357" t="s">
        <v>60</v>
      </c>
      <c r="L10" s="402">
        <v>0</v>
      </c>
      <c r="M10" s="403">
        <v>0</v>
      </c>
      <c r="N10" s="402">
        <v>0</v>
      </c>
      <c r="O10" s="403">
        <v>0</v>
      </c>
      <c r="P10" s="402">
        <v>0</v>
      </c>
      <c r="Q10" s="403">
        <v>0</v>
      </c>
      <c r="R10" s="402"/>
      <c r="S10" s="403"/>
      <c r="T10" s="402"/>
      <c r="U10" s="403"/>
      <c r="V10" s="402">
        <v>0</v>
      </c>
      <c r="W10" s="403">
        <v>0</v>
      </c>
      <c r="X10" s="402">
        <v>0</v>
      </c>
      <c r="Y10" s="403">
        <v>0</v>
      </c>
      <c r="Z10" s="402">
        <v>0</v>
      </c>
      <c r="AA10" s="403">
        <v>0</v>
      </c>
      <c r="AB10" s="402">
        <v>0</v>
      </c>
      <c r="AC10" s="403">
        <v>0</v>
      </c>
      <c r="AD10" s="402">
        <v>0</v>
      </c>
      <c r="AE10" s="403">
        <v>0</v>
      </c>
      <c r="AF10" s="402"/>
      <c r="AG10" s="403"/>
      <c r="AH10" s="402"/>
      <c r="AI10" s="403"/>
      <c r="AJ10" s="402">
        <v>0</v>
      </c>
      <c r="AK10" s="403">
        <v>0</v>
      </c>
      <c r="AL10" s="402">
        <v>0</v>
      </c>
      <c r="AM10" s="403">
        <v>0</v>
      </c>
      <c r="AN10" s="402">
        <v>0</v>
      </c>
      <c r="AO10" s="403">
        <v>0</v>
      </c>
      <c r="AP10" s="402">
        <v>0</v>
      </c>
      <c r="AQ10" s="403">
        <v>0</v>
      </c>
      <c r="AR10" s="402">
        <v>0</v>
      </c>
      <c r="AS10" s="403">
        <v>0</v>
      </c>
      <c r="AT10" s="402"/>
      <c r="AU10" s="403"/>
      <c r="AV10" s="402"/>
      <c r="AW10" s="403"/>
      <c r="AX10" s="402">
        <v>0</v>
      </c>
      <c r="AY10" s="403">
        <v>0</v>
      </c>
      <c r="AZ10" s="402">
        <v>0</v>
      </c>
      <c r="BA10" s="403">
        <v>0</v>
      </c>
      <c r="BB10" s="402">
        <v>0</v>
      </c>
      <c r="BC10" s="403">
        <v>0</v>
      </c>
      <c r="BD10" s="402">
        <v>0</v>
      </c>
      <c r="BE10" s="403">
        <v>0</v>
      </c>
      <c r="BF10" s="402">
        <v>0</v>
      </c>
      <c r="BG10" s="403">
        <v>0</v>
      </c>
      <c r="BH10" s="402"/>
      <c r="BI10" s="403"/>
      <c r="BJ10" s="402"/>
      <c r="BK10" s="403"/>
      <c r="BL10" s="402">
        <v>0</v>
      </c>
      <c r="BM10" s="403">
        <v>0</v>
      </c>
      <c r="BN10" s="402">
        <v>0</v>
      </c>
      <c r="BO10" s="403">
        <v>0</v>
      </c>
      <c r="BP10" s="402">
        <v>0</v>
      </c>
      <c r="BQ10" s="403">
        <v>0</v>
      </c>
      <c r="BR10" s="402">
        <v>0</v>
      </c>
      <c r="BS10" s="403">
        <v>0</v>
      </c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3198</v>
      </c>
      <c r="B11" s="526" t="s">
        <v>3199</v>
      </c>
      <c r="C11" s="527">
        <v>1</v>
      </c>
      <c r="D11" s="528" t="s">
        <v>3200</v>
      </c>
      <c r="E11" s="426" t="s">
        <v>3201</v>
      </c>
      <c r="F11" s="529" t="s">
        <v>3182</v>
      </c>
      <c r="G11" s="529" t="s">
        <v>3183</v>
      </c>
      <c r="H11" s="530" t="s">
        <v>1478</v>
      </c>
      <c r="I11" s="384" t="s">
        <v>1478</v>
      </c>
      <c r="J11" s="353" t="s">
        <v>3184</v>
      </c>
      <c r="K11" s="354" t="s">
        <v>3185</v>
      </c>
      <c r="L11" s="402">
        <v>0</v>
      </c>
      <c r="M11" s="403">
        <v>0</v>
      </c>
      <c r="N11" s="402">
        <v>0</v>
      </c>
      <c r="O11" s="403">
        <v>0</v>
      </c>
      <c r="P11" s="402">
        <v>0</v>
      </c>
      <c r="Q11" s="403">
        <v>0</v>
      </c>
      <c r="R11" s="402"/>
      <c r="S11" s="403"/>
      <c r="T11" s="402"/>
      <c r="U11" s="403"/>
      <c r="V11" s="402">
        <v>0</v>
      </c>
      <c r="W11" s="403">
        <v>0</v>
      </c>
      <c r="X11" s="402">
        <v>0</v>
      </c>
      <c r="Y11" s="403">
        <v>0</v>
      </c>
      <c r="Z11" s="402">
        <v>0</v>
      </c>
      <c r="AA11" s="403">
        <v>0</v>
      </c>
      <c r="AB11" s="402">
        <v>0</v>
      </c>
      <c r="AC11" s="403">
        <v>0</v>
      </c>
      <c r="AD11" s="402">
        <v>0</v>
      </c>
      <c r="AE11" s="403">
        <v>0</v>
      </c>
      <c r="AF11" s="402"/>
      <c r="AG11" s="403"/>
      <c r="AH11" s="402"/>
      <c r="AI11" s="403"/>
      <c r="AJ11" s="402">
        <v>0</v>
      </c>
      <c r="AK11" s="403">
        <v>0</v>
      </c>
      <c r="AL11" s="402">
        <v>0</v>
      </c>
      <c r="AM11" s="403">
        <v>0</v>
      </c>
      <c r="AN11" s="402">
        <v>0</v>
      </c>
      <c r="AO11" s="403">
        <v>0</v>
      </c>
      <c r="AP11" s="402">
        <v>0</v>
      </c>
      <c r="AQ11" s="403">
        <v>0</v>
      </c>
      <c r="AR11" s="402">
        <v>0</v>
      </c>
      <c r="AS11" s="403">
        <v>0</v>
      </c>
      <c r="AT11" s="402"/>
      <c r="AU11" s="403"/>
      <c r="AV11" s="402"/>
      <c r="AW11" s="403"/>
      <c r="AX11" s="402">
        <v>0</v>
      </c>
      <c r="AY11" s="403">
        <v>0</v>
      </c>
      <c r="AZ11" s="402">
        <v>0</v>
      </c>
      <c r="BA11" s="403">
        <v>0</v>
      </c>
      <c r="BB11" s="402">
        <v>0</v>
      </c>
      <c r="BC11" s="403">
        <v>0</v>
      </c>
      <c r="BD11" s="402">
        <v>0</v>
      </c>
      <c r="BE11" s="403">
        <v>0</v>
      </c>
      <c r="BF11" s="402">
        <v>0</v>
      </c>
      <c r="BG11" s="403">
        <v>0</v>
      </c>
      <c r="BH11" s="402"/>
      <c r="BI11" s="403"/>
      <c r="BJ11" s="402"/>
      <c r="BK11" s="403"/>
      <c r="BL11" s="402">
        <v>0</v>
      </c>
      <c r="BM11" s="403">
        <v>0</v>
      </c>
      <c r="BN11" s="402">
        <v>0</v>
      </c>
      <c r="BO11" s="403">
        <v>0</v>
      </c>
      <c r="BP11" s="402">
        <v>0</v>
      </c>
      <c r="BQ11" s="403">
        <v>0</v>
      </c>
      <c r="BR11" s="402">
        <v>0</v>
      </c>
      <c r="BS11" s="403">
        <v>0</v>
      </c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3198</v>
      </c>
      <c r="B12" s="386" t="s">
        <v>3199</v>
      </c>
      <c r="C12" s="352" t="s">
        <v>3186</v>
      </c>
      <c r="D12" s="387" t="s">
        <v>3200</v>
      </c>
      <c r="E12" s="388" t="s">
        <v>3201</v>
      </c>
      <c r="F12" s="389" t="s">
        <v>3182</v>
      </c>
      <c r="G12" s="389" t="s">
        <v>3183</v>
      </c>
      <c r="H12" s="390" t="s">
        <v>1478</v>
      </c>
      <c r="I12" s="391" t="s">
        <v>1478</v>
      </c>
      <c r="J12" s="353" t="s">
        <v>3184</v>
      </c>
      <c r="K12" s="353" t="s">
        <v>3187</v>
      </c>
      <c r="L12" s="400">
        <v>0</v>
      </c>
      <c r="M12" s="401">
        <v>0</v>
      </c>
      <c r="N12" s="400">
        <v>0</v>
      </c>
      <c r="O12" s="401">
        <v>0</v>
      </c>
      <c r="P12" s="400">
        <v>0</v>
      </c>
      <c r="Q12" s="401">
        <v>0</v>
      </c>
      <c r="R12" s="400"/>
      <c r="S12" s="401"/>
      <c r="T12" s="400"/>
      <c r="U12" s="401"/>
      <c r="V12" s="400">
        <v>0</v>
      </c>
      <c r="W12" s="401">
        <v>0</v>
      </c>
      <c r="X12" s="400">
        <v>0</v>
      </c>
      <c r="Y12" s="401">
        <v>0</v>
      </c>
      <c r="Z12" s="400">
        <v>0</v>
      </c>
      <c r="AA12" s="401">
        <v>0</v>
      </c>
      <c r="AB12" s="400">
        <v>0</v>
      </c>
      <c r="AC12" s="401">
        <v>0</v>
      </c>
      <c r="AD12" s="400">
        <v>0</v>
      </c>
      <c r="AE12" s="401">
        <v>0</v>
      </c>
      <c r="AF12" s="400"/>
      <c r="AG12" s="401"/>
      <c r="AH12" s="400"/>
      <c r="AI12" s="401"/>
      <c r="AJ12" s="400">
        <v>0</v>
      </c>
      <c r="AK12" s="401">
        <v>0</v>
      </c>
      <c r="AL12" s="400">
        <v>0</v>
      </c>
      <c r="AM12" s="401">
        <v>0</v>
      </c>
      <c r="AN12" s="400">
        <v>0</v>
      </c>
      <c r="AO12" s="401">
        <v>0</v>
      </c>
      <c r="AP12" s="400">
        <v>0</v>
      </c>
      <c r="AQ12" s="401">
        <v>0</v>
      </c>
      <c r="AR12" s="400">
        <v>0</v>
      </c>
      <c r="AS12" s="401">
        <v>0</v>
      </c>
      <c r="AT12" s="400"/>
      <c r="AU12" s="401"/>
      <c r="AV12" s="400"/>
      <c r="AW12" s="401"/>
      <c r="AX12" s="400">
        <v>0</v>
      </c>
      <c r="AY12" s="401">
        <v>0</v>
      </c>
      <c r="AZ12" s="400">
        <v>0</v>
      </c>
      <c r="BA12" s="401">
        <v>0</v>
      </c>
      <c r="BB12" s="400">
        <v>0</v>
      </c>
      <c r="BC12" s="401">
        <v>0</v>
      </c>
      <c r="BD12" s="400">
        <v>0</v>
      </c>
      <c r="BE12" s="401">
        <v>0</v>
      </c>
      <c r="BF12" s="400">
        <v>0</v>
      </c>
      <c r="BG12" s="401">
        <v>0</v>
      </c>
      <c r="BH12" s="400"/>
      <c r="BI12" s="401"/>
      <c r="BJ12" s="400"/>
      <c r="BK12" s="401"/>
      <c r="BL12" s="400">
        <v>0</v>
      </c>
      <c r="BM12" s="401">
        <v>0</v>
      </c>
      <c r="BN12" s="400">
        <v>0</v>
      </c>
      <c r="BO12" s="401">
        <v>0</v>
      </c>
      <c r="BP12" s="400">
        <v>0</v>
      </c>
      <c r="BQ12" s="401">
        <v>0</v>
      </c>
      <c r="BR12" s="400">
        <v>0</v>
      </c>
      <c r="BS12" s="401">
        <v>0</v>
      </c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3198</v>
      </c>
      <c r="B13" s="386" t="s">
        <v>3199</v>
      </c>
      <c r="C13" s="392" t="s">
        <v>3186</v>
      </c>
      <c r="D13" s="387" t="s">
        <v>3200</v>
      </c>
      <c r="E13" s="388" t="s">
        <v>3201</v>
      </c>
      <c r="F13" s="389" t="s">
        <v>3182</v>
      </c>
      <c r="G13" s="389" t="s">
        <v>3183</v>
      </c>
      <c r="H13" s="390" t="s">
        <v>1478</v>
      </c>
      <c r="I13" s="391" t="s">
        <v>1478</v>
      </c>
      <c r="J13" s="353" t="s">
        <v>3184</v>
      </c>
      <c r="K13" s="355" t="s">
        <v>3188</v>
      </c>
      <c r="L13" s="400">
        <v>0</v>
      </c>
      <c r="M13" s="401">
        <v>0</v>
      </c>
      <c r="N13" s="400">
        <v>0</v>
      </c>
      <c r="O13" s="401">
        <v>0</v>
      </c>
      <c r="P13" s="400">
        <v>0</v>
      </c>
      <c r="Q13" s="401">
        <v>0</v>
      </c>
      <c r="R13" s="400"/>
      <c r="S13" s="401"/>
      <c r="T13" s="400"/>
      <c r="U13" s="401"/>
      <c r="V13" s="400">
        <v>0</v>
      </c>
      <c r="W13" s="401">
        <v>0</v>
      </c>
      <c r="X13" s="400">
        <v>0</v>
      </c>
      <c r="Y13" s="401">
        <v>0</v>
      </c>
      <c r="Z13" s="400">
        <v>0</v>
      </c>
      <c r="AA13" s="401">
        <v>0</v>
      </c>
      <c r="AB13" s="400">
        <v>0</v>
      </c>
      <c r="AC13" s="401">
        <v>0</v>
      </c>
      <c r="AD13" s="400">
        <v>0</v>
      </c>
      <c r="AE13" s="401">
        <v>0</v>
      </c>
      <c r="AF13" s="400"/>
      <c r="AG13" s="401"/>
      <c r="AH13" s="400"/>
      <c r="AI13" s="401"/>
      <c r="AJ13" s="400">
        <v>0</v>
      </c>
      <c r="AK13" s="401">
        <v>0</v>
      </c>
      <c r="AL13" s="400">
        <v>0</v>
      </c>
      <c r="AM13" s="401">
        <v>0</v>
      </c>
      <c r="AN13" s="400">
        <v>0</v>
      </c>
      <c r="AO13" s="401">
        <v>0</v>
      </c>
      <c r="AP13" s="400">
        <v>0</v>
      </c>
      <c r="AQ13" s="401">
        <v>0</v>
      </c>
      <c r="AR13" s="400">
        <v>0</v>
      </c>
      <c r="AS13" s="401">
        <v>0</v>
      </c>
      <c r="AT13" s="400"/>
      <c r="AU13" s="401"/>
      <c r="AV13" s="400"/>
      <c r="AW13" s="401"/>
      <c r="AX13" s="400">
        <v>0</v>
      </c>
      <c r="AY13" s="401">
        <v>0</v>
      </c>
      <c r="AZ13" s="400">
        <v>0</v>
      </c>
      <c r="BA13" s="401">
        <v>0</v>
      </c>
      <c r="BB13" s="400">
        <v>0</v>
      </c>
      <c r="BC13" s="401">
        <v>0</v>
      </c>
      <c r="BD13" s="400">
        <v>0</v>
      </c>
      <c r="BE13" s="401">
        <v>0</v>
      </c>
      <c r="BF13" s="400">
        <v>0</v>
      </c>
      <c r="BG13" s="401">
        <v>0</v>
      </c>
      <c r="BH13" s="400"/>
      <c r="BI13" s="401"/>
      <c r="BJ13" s="400"/>
      <c r="BK13" s="401"/>
      <c r="BL13" s="400">
        <v>0</v>
      </c>
      <c r="BM13" s="401">
        <v>0</v>
      </c>
      <c r="BN13" s="400">
        <v>0</v>
      </c>
      <c r="BO13" s="401">
        <v>0</v>
      </c>
      <c r="BP13" s="400">
        <v>0</v>
      </c>
      <c r="BQ13" s="401">
        <v>0</v>
      </c>
      <c r="BR13" s="400">
        <v>0</v>
      </c>
      <c r="BS13" s="401">
        <v>0</v>
      </c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3198</v>
      </c>
      <c r="B14" s="386" t="s">
        <v>3199</v>
      </c>
      <c r="C14" s="392" t="s">
        <v>3186</v>
      </c>
      <c r="D14" s="387" t="s">
        <v>3200</v>
      </c>
      <c r="E14" s="388" t="s">
        <v>3201</v>
      </c>
      <c r="F14" s="389" t="s">
        <v>3182</v>
      </c>
      <c r="G14" s="389" t="s">
        <v>3183</v>
      </c>
      <c r="H14" s="390" t="s">
        <v>1478</v>
      </c>
      <c r="I14" s="391" t="s">
        <v>1478</v>
      </c>
      <c r="J14" s="353" t="s">
        <v>3184</v>
      </c>
      <c r="K14" s="356" t="s">
        <v>3189</v>
      </c>
      <c r="L14" s="400">
        <v>0</v>
      </c>
      <c r="M14" s="401">
        <v>0</v>
      </c>
      <c r="N14" s="400">
        <v>0</v>
      </c>
      <c r="O14" s="401">
        <v>0</v>
      </c>
      <c r="P14" s="400">
        <v>0</v>
      </c>
      <c r="Q14" s="401">
        <v>0</v>
      </c>
      <c r="R14" s="400"/>
      <c r="S14" s="401"/>
      <c r="T14" s="400"/>
      <c r="U14" s="401"/>
      <c r="V14" s="400">
        <v>0</v>
      </c>
      <c r="W14" s="401">
        <v>0</v>
      </c>
      <c r="X14" s="400">
        <v>0</v>
      </c>
      <c r="Y14" s="401">
        <v>0</v>
      </c>
      <c r="Z14" s="400">
        <v>0</v>
      </c>
      <c r="AA14" s="401">
        <v>0</v>
      </c>
      <c r="AB14" s="400">
        <v>0</v>
      </c>
      <c r="AC14" s="401">
        <v>0</v>
      </c>
      <c r="AD14" s="400">
        <v>0</v>
      </c>
      <c r="AE14" s="401">
        <v>0</v>
      </c>
      <c r="AF14" s="400"/>
      <c r="AG14" s="401"/>
      <c r="AH14" s="400"/>
      <c r="AI14" s="401"/>
      <c r="AJ14" s="400">
        <v>0</v>
      </c>
      <c r="AK14" s="401">
        <v>0</v>
      </c>
      <c r="AL14" s="400">
        <v>0</v>
      </c>
      <c r="AM14" s="401">
        <v>0</v>
      </c>
      <c r="AN14" s="400">
        <v>0</v>
      </c>
      <c r="AO14" s="401">
        <v>0</v>
      </c>
      <c r="AP14" s="400">
        <v>0</v>
      </c>
      <c r="AQ14" s="401">
        <v>0</v>
      </c>
      <c r="AR14" s="400">
        <v>0</v>
      </c>
      <c r="AS14" s="401">
        <v>0</v>
      </c>
      <c r="AT14" s="400"/>
      <c r="AU14" s="401"/>
      <c r="AV14" s="400"/>
      <c r="AW14" s="401"/>
      <c r="AX14" s="400">
        <v>0</v>
      </c>
      <c r="AY14" s="401">
        <v>0</v>
      </c>
      <c r="AZ14" s="400">
        <v>0</v>
      </c>
      <c r="BA14" s="401">
        <v>0</v>
      </c>
      <c r="BB14" s="400">
        <v>0</v>
      </c>
      <c r="BC14" s="401">
        <v>0</v>
      </c>
      <c r="BD14" s="400">
        <v>0</v>
      </c>
      <c r="BE14" s="401">
        <v>0</v>
      </c>
      <c r="BF14" s="400">
        <v>0</v>
      </c>
      <c r="BG14" s="401">
        <v>0</v>
      </c>
      <c r="BH14" s="400"/>
      <c r="BI14" s="401"/>
      <c r="BJ14" s="400"/>
      <c r="BK14" s="401"/>
      <c r="BL14" s="400">
        <v>0</v>
      </c>
      <c r="BM14" s="401">
        <v>0</v>
      </c>
      <c r="BN14" s="400">
        <v>0</v>
      </c>
      <c r="BO14" s="401">
        <v>0</v>
      </c>
      <c r="BP14" s="400">
        <v>0</v>
      </c>
      <c r="BQ14" s="401">
        <v>0</v>
      </c>
      <c r="BR14" s="400">
        <v>0</v>
      </c>
      <c r="BS14" s="401">
        <v>0</v>
      </c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3198</v>
      </c>
      <c r="B15" s="393" t="s">
        <v>3199</v>
      </c>
      <c r="C15" s="394" t="s">
        <v>3186</v>
      </c>
      <c r="D15" s="395" t="s">
        <v>3200</v>
      </c>
      <c r="E15" s="411" t="s">
        <v>3201</v>
      </c>
      <c r="F15" s="396" t="s">
        <v>3182</v>
      </c>
      <c r="G15" s="396" t="s">
        <v>3183</v>
      </c>
      <c r="H15" s="397" t="s">
        <v>1478</v>
      </c>
      <c r="I15" s="899" t="s">
        <v>1478</v>
      </c>
      <c r="J15" s="353" t="s">
        <v>3184</v>
      </c>
      <c r="K15" s="357" t="s">
        <v>60</v>
      </c>
      <c r="L15" s="402">
        <v>0</v>
      </c>
      <c r="M15" s="403">
        <v>0</v>
      </c>
      <c r="N15" s="402">
        <v>0</v>
      </c>
      <c r="O15" s="403">
        <v>0</v>
      </c>
      <c r="P15" s="402">
        <v>0</v>
      </c>
      <c r="Q15" s="403">
        <v>0</v>
      </c>
      <c r="R15" s="402"/>
      <c r="S15" s="403"/>
      <c r="T15" s="402"/>
      <c r="U15" s="403"/>
      <c r="V15" s="402">
        <v>0</v>
      </c>
      <c r="W15" s="403">
        <v>0</v>
      </c>
      <c r="X15" s="402">
        <v>0</v>
      </c>
      <c r="Y15" s="403">
        <v>0</v>
      </c>
      <c r="Z15" s="402">
        <v>0</v>
      </c>
      <c r="AA15" s="403">
        <v>0</v>
      </c>
      <c r="AB15" s="402">
        <v>0</v>
      </c>
      <c r="AC15" s="403">
        <v>0</v>
      </c>
      <c r="AD15" s="402">
        <v>0</v>
      </c>
      <c r="AE15" s="403">
        <v>0</v>
      </c>
      <c r="AF15" s="402"/>
      <c r="AG15" s="403"/>
      <c r="AH15" s="402"/>
      <c r="AI15" s="403"/>
      <c r="AJ15" s="402">
        <v>0</v>
      </c>
      <c r="AK15" s="403">
        <v>0</v>
      </c>
      <c r="AL15" s="402">
        <v>0</v>
      </c>
      <c r="AM15" s="403">
        <v>0</v>
      </c>
      <c r="AN15" s="402">
        <v>0</v>
      </c>
      <c r="AO15" s="403">
        <v>0</v>
      </c>
      <c r="AP15" s="402">
        <v>0</v>
      </c>
      <c r="AQ15" s="403">
        <v>0</v>
      </c>
      <c r="AR15" s="402">
        <v>0</v>
      </c>
      <c r="AS15" s="403">
        <v>0</v>
      </c>
      <c r="AT15" s="402"/>
      <c r="AU15" s="403"/>
      <c r="AV15" s="402"/>
      <c r="AW15" s="403"/>
      <c r="AX15" s="402">
        <v>0</v>
      </c>
      <c r="AY15" s="403">
        <v>0</v>
      </c>
      <c r="AZ15" s="402">
        <v>0</v>
      </c>
      <c r="BA15" s="403">
        <v>0</v>
      </c>
      <c r="BB15" s="402">
        <v>0</v>
      </c>
      <c r="BC15" s="403">
        <v>0</v>
      </c>
      <c r="BD15" s="402">
        <v>0</v>
      </c>
      <c r="BE15" s="403">
        <v>0</v>
      </c>
      <c r="BF15" s="402">
        <v>0</v>
      </c>
      <c r="BG15" s="403">
        <v>0</v>
      </c>
      <c r="BH15" s="402"/>
      <c r="BI15" s="403"/>
      <c r="BJ15" s="402"/>
      <c r="BK15" s="403"/>
      <c r="BL15" s="402">
        <v>0</v>
      </c>
      <c r="BM15" s="403">
        <v>0</v>
      </c>
      <c r="BN15" s="402">
        <v>0</v>
      </c>
      <c r="BO15" s="403">
        <v>0</v>
      </c>
      <c r="BP15" s="402">
        <v>0</v>
      </c>
      <c r="BQ15" s="403">
        <v>0</v>
      </c>
      <c r="BR15" s="402">
        <v>0</v>
      </c>
      <c r="BS15" s="403">
        <v>0</v>
      </c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3202</v>
      </c>
      <c r="B16" s="526" t="s">
        <v>3203</v>
      </c>
      <c r="C16" s="527">
        <v>1</v>
      </c>
      <c r="D16" s="528" t="s">
        <v>3204</v>
      </c>
      <c r="E16" s="426" t="s">
        <v>3205</v>
      </c>
      <c r="F16" s="529" t="s">
        <v>3182</v>
      </c>
      <c r="G16" s="529" t="s">
        <v>3183</v>
      </c>
      <c r="H16" s="530" t="s">
        <v>1482</v>
      </c>
      <c r="I16" s="384" t="s">
        <v>1482</v>
      </c>
      <c r="J16" s="353" t="s">
        <v>3184</v>
      </c>
      <c r="K16" s="354" t="s">
        <v>3185</v>
      </c>
      <c r="L16" s="402">
        <v>0</v>
      </c>
      <c r="M16" s="403">
        <v>0</v>
      </c>
      <c r="N16" s="402">
        <v>0</v>
      </c>
      <c r="O16" s="403">
        <v>0</v>
      </c>
      <c r="P16" s="402">
        <v>0</v>
      </c>
      <c r="Q16" s="403">
        <v>0</v>
      </c>
      <c r="R16" s="402"/>
      <c r="S16" s="403"/>
      <c r="T16" s="402"/>
      <c r="U16" s="403"/>
      <c r="V16" s="402">
        <v>0</v>
      </c>
      <c r="W16" s="403">
        <v>0</v>
      </c>
      <c r="X16" s="402">
        <v>0</v>
      </c>
      <c r="Y16" s="403">
        <v>0</v>
      </c>
      <c r="Z16" s="402">
        <v>0</v>
      </c>
      <c r="AA16" s="403">
        <v>0</v>
      </c>
      <c r="AB16" s="402">
        <v>0</v>
      </c>
      <c r="AC16" s="403">
        <v>0</v>
      </c>
      <c r="AD16" s="402">
        <v>0</v>
      </c>
      <c r="AE16" s="403">
        <v>0</v>
      </c>
      <c r="AF16" s="402"/>
      <c r="AG16" s="403"/>
      <c r="AH16" s="402"/>
      <c r="AI16" s="403"/>
      <c r="AJ16" s="402">
        <v>0</v>
      </c>
      <c r="AK16" s="403">
        <v>0</v>
      </c>
      <c r="AL16" s="402">
        <v>0</v>
      </c>
      <c r="AM16" s="403">
        <v>0</v>
      </c>
      <c r="AN16" s="402">
        <v>0</v>
      </c>
      <c r="AO16" s="403">
        <v>0</v>
      </c>
      <c r="AP16" s="402">
        <v>0</v>
      </c>
      <c r="AQ16" s="403">
        <v>0</v>
      </c>
      <c r="AR16" s="402">
        <v>0</v>
      </c>
      <c r="AS16" s="403">
        <v>0</v>
      </c>
      <c r="AT16" s="402"/>
      <c r="AU16" s="403"/>
      <c r="AV16" s="402"/>
      <c r="AW16" s="403"/>
      <c r="AX16" s="402">
        <v>0</v>
      </c>
      <c r="AY16" s="403">
        <v>0</v>
      </c>
      <c r="AZ16" s="402">
        <v>0</v>
      </c>
      <c r="BA16" s="403">
        <v>0</v>
      </c>
      <c r="BB16" s="402">
        <v>0</v>
      </c>
      <c r="BC16" s="403">
        <v>0</v>
      </c>
      <c r="BD16" s="402">
        <v>0</v>
      </c>
      <c r="BE16" s="403">
        <v>0</v>
      </c>
      <c r="BF16" s="402">
        <v>0</v>
      </c>
      <c r="BG16" s="403">
        <v>0</v>
      </c>
      <c r="BH16" s="402"/>
      <c r="BI16" s="403"/>
      <c r="BJ16" s="402"/>
      <c r="BK16" s="403"/>
      <c r="BL16" s="402">
        <v>0</v>
      </c>
      <c r="BM16" s="403">
        <v>0</v>
      </c>
      <c r="BN16" s="402">
        <v>0</v>
      </c>
      <c r="BO16" s="403">
        <v>0</v>
      </c>
      <c r="BP16" s="402">
        <v>0</v>
      </c>
      <c r="BQ16" s="403">
        <v>0</v>
      </c>
      <c r="BR16" s="402">
        <v>0</v>
      </c>
      <c r="BS16" s="403">
        <v>0</v>
      </c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3202</v>
      </c>
      <c r="B17" s="386" t="s">
        <v>3203</v>
      </c>
      <c r="C17" s="352" t="s">
        <v>3186</v>
      </c>
      <c r="D17" s="387" t="s">
        <v>3204</v>
      </c>
      <c r="E17" s="388" t="s">
        <v>3205</v>
      </c>
      <c r="F17" s="389" t="s">
        <v>3182</v>
      </c>
      <c r="G17" s="389" t="s">
        <v>3183</v>
      </c>
      <c r="H17" s="390" t="s">
        <v>1482</v>
      </c>
      <c r="I17" s="391" t="s">
        <v>1482</v>
      </c>
      <c r="J17" s="353" t="s">
        <v>3184</v>
      </c>
      <c r="K17" s="353" t="s">
        <v>3187</v>
      </c>
      <c r="L17" s="400">
        <v>0</v>
      </c>
      <c r="M17" s="401">
        <v>0</v>
      </c>
      <c r="N17" s="400">
        <v>0</v>
      </c>
      <c r="O17" s="401">
        <v>0</v>
      </c>
      <c r="P17" s="400">
        <v>0</v>
      </c>
      <c r="Q17" s="401">
        <v>0</v>
      </c>
      <c r="R17" s="400"/>
      <c r="S17" s="401"/>
      <c r="T17" s="400"/>
      <c r="U17" s="401"/>
      <c r="V17" s="400">
        <v>6</v>
      </c>
      <c r="W17" s="401">
        <v>0</v>
      </c>
      <c r="X17" s="400">
        <v>0</v>
      </c>
      <c r="Y17" s="401">
        <v>0</v>
      </c>
      <c r="Z17" s="400">
        <v>0</v>
      </c>
      <c r="AA17" s="401">
        <v>0</v>
      </c>
      <c r="AB17" s="400">
        <v>0</v>
      </c>
      <c r="AC17" s="401">
        <v>0</v>
      </c>
      <c r="AD17" s="400">
        <v>0</v>
      </c>
      <c r="AE17" s="401">
        <v>0</v>
      </c>
      <c r="AF17" s="400"/>
      <c r="AG17" s="401"/>
      <c r="AH17" s="400"/>
      <c r="AI17" s="401"/>
      <c r="AJ17" s="400">
        <v>6</v>
      </c>
      <c r="AK17" s="401">
        <v>0</v>
      </c>
      <c r="AL17" s="400">
        <v>0</v>
      </c>
      <c r="AM17" s="401">
        <v>0</v>
      </c>
      <c r="AN17" s="400">
        <v>0</v>
      </c>
      <c r="AO17" s="401">
        <v>0</v>
      </c>
      <c r="AP17" s="400">
        <v>0</v>
      </c>
      <c r="AQ17" s="401">
        <v>0</v>
      </c>
      <c r="AR17" s="400">
        <v>0</v>
      </c>
      <c r="AS17" s="401">
        <v>0</v>
      </c>
      <c r="AT17" s="400"/>
      <c r="AU17" s="401"/>
      <c r="AV17" s="400"/>
      <c r="AW17" s="401"/>
      <c r="AX17" s="400">
        <v>6</v>
      </c>
      <c r="AY17" s="401">
        <v>0</v>
      </c>
      <c r="AZ17" s="400">
        <v>0</v>
      </c>
      <c r="BA17" s="401">
        <v>0</v>
      </c>
      <c r="BB17" s="400">
        <v>0</v>
      </c>
      <c r="BC17" s="401">
        <v>0</v>
      </c>
      <c r="BD17" s="400">
        <v>0</v>
      </c>
      <c r="BE17" s="401">
        <v>0</v>
      </c>
      <c r="BF17" s="400">
        <v>0</v>
      </c>
      <c r="BG17" s="401">
        <v>0</v>
      </c>
      <c r="BH17" s="400"/>
      <c r="BI17" s="401"/>
      <c r="BJ17" s="400"/>
      <c r="BK17" s="401"/>
      <c r="BL17" s="400">
        <v>6</v>
      </c>
      <c r="BM17" s="401">
        <v>0</v>
      </c>
      <c r="BN17" s="400">
        <v>0</v>
      </c>
      <c r="BO17" s="401">
        <v>0</v>
      </c>
      <c r="BP17" s="400">
        <v>0</v>
      </c>
      <c r="BQ17" s="401">
        <v>0</v>
      </c>
      <c r="BR17" s="400">
        <v>0</v>
      </c>
      <c r="BS17" s="401">
        <v>0</v>
      </c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24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3202</v>
      </c>
      <c r="B18" s="386" t="s">
        <v>3203</v>
      </c>
      <c r="C18" s="392" t="s">
        <v>3186</v>
      </c>
      <c r="D18" s="387" t="s">
        <v>3204</v>
      </c>
      <c r="E18" s="388" t="s">
        <v>3205</v>
      </c>
      <c r="F18" s="389" t="s">
        <v>3182</v>
      </c>
      <c r="G18" s="389" t="s">
        <v>3183</v>
      </c>
      <c r="H18" s="390" t="s">
        <v>1482</v>
      </c>
      <c r="I18" s="391" t="s">
        <v>1482</v>
      </c>
      <c r="J18" s="353" t="s">
        <v>3184</v>
      </c>
      <c r="K18" s="355" t="s">
        <v>3188</v>
      </c>
      <c r="L18" s="400">
        <v>0</v>
      </c>
      <c r="M18" s="401">
        <v>0</v>
      </c>
      <c r="N18" s="400">
        <v>0</v>
      </c>
      <c r="O18" s="401">
        <v>0</v>
      </c>
      <c r="P18" s="400">
        <v>0</v>
      </c>
      <c r="Q18" s="401">
        <v>0</v>
      </c>
      <c r="R18" s="400"/>
      <c r="S18" s="401"/>
      <c r="T18" s="400"/>
      <c r="U18" s="401"/>
      <c r="V18" s="400">
        <v>0</v>
      </c>
      <c r="W18" s="401">
        <v>0</v>
      </c>
      <c r="X18" s="400">
        <v>0</v>
      </c>
      <c r="Y18" s="401">
        <v>0</v>
      </c>
      <c r="Z18" s="400">
        <v>0</v>
      </c>
      <c r="AA18" s="401">
        <v>0</v>
      </c>
      <c r="AB18" s="400">
        <v>0</v>
      </c>
      <c r="AC18" s="401">
        <v>0</v>
      </c>
      <c r="AD18" s="400">
        <v>0</v>
      </c>
      <c r="AE18" s="401">
        <v>0</v>
      </c>
      <c r="AF18" s="400"/>
      <c r="AG18" s="401"/>
      <c r="AH18" s="400"/>
      <c r="AI18" s="401"/>
      <c r="AJ18" s="400">
        <v>0</v>
      </c>
      <c r="AK18" s="401">
        <v>0</v>
      </c>
      <c r="AL18" s="400">
        <v>0</v>
      </c>
      <c r="AM18" s="401">
        <v>0</v>
      </c>
      <c r="AN18" s="400">
        <v>0</v>
      </c>
      <c r="AO18" s="401">
        <v>0</v>
      </c>
      <c r="AP18" s="400">
        <v>0</v>
      </c>
      <c r="AQ18" s="401">
        <v>0</v>
      </c>
      <c r="AR18" s="400">
        <v>0</v>
      </c>
      <c r="AS18" s="401">
        <v>0</v>
      </c>
      <c r="AT18" s="400"/>
      <c r="AU18" s="401"/>
      <c r="AV18" s="400"/>
      <c r="AW18" s="401"/>
      <c r="AX18" s="400">
        <v>0</v>
      </c>
      <c r="AY18" s="401">
        <v>0</v>
      </c>
      <c r="AZ18" s="400">
        <v>0</v>
      </c>
      <c r="BA18" s="401">
        <v>0</v>
      </c>
      <c r="BB18" s="400">
        <v>0</v>
      </c>
      <c r="BC18" s="401">
        <v>0</v>
      </c>
      <c r="BD18" s="400">
        <v>0</v>
      </c>
      <c r="BE18" s="401">
        <v>0</v>
      </c>
      <c r="BF18" s="400">
        <v>0</v>
      </c>
      <c r="BG18" s="401">
        <v>0</v>
      </c>
      <c r="BH18" s="400"/>
      <c r="BI18" s="401"/>
      <c r="BJ18" s="400"/>
      <c r="BK18" s="401"/>
      <c r="BL18" s="400">
        <v>0</v>
      </c>
      <c r="BM18" s="401">
        <v>0</v>
      </c>
      <c r="BN18" s="400">
        <v>0</v>
      </c>
      <c r="BO18" s="401">
        <v>0</v>
      </c>
      <c r="BP18" s="400">
        <v>0</v>
      </c>
      <c r="BQ18" s="401">
        <v>0</v>
      </c>
      <c r="BR18" s="400">
        <v>0</v>
      </c>
      <c r="BS18" s="401">
        <v>0</v>
      </c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3202</v>
      </c>
      <c r="B19" s="386" t="s">
        <v>3203</v>
      </c>
      <c r="C19" s="392" t="s">
        <v>3186</v>
      </c>
      <c r="D19" s="387" t="s">
        <v>3204</v>
      </c>
      <c r="E19" s="388" t="s">
        <v>3205</v>
      </c>
      <c r="F19" s="389" t="s">
        <v>3182</v>
      </c>
      <c r="G19" s="389" t="s">
        <v>3183</v>
      </c>
      <c r="H19" s="390" t="s">
        <v>1482</v>
      </c>
      <c r="I19" s="391" t="s">
        <v>1482</v>
      </c>
      <c r="J19" s="353" t="s">
        <v>3184</v>
      </c>
      <c r="K19" s="356" t="s">
        <v>3189</v>
      </c>
      <c r="L19" s="400">
        <v>0</v>
      </c>
      <c r="M19" s="401">
        <v>0</v>
      </c>
      <c r="N19" s="400">
        <v>0</v>
      </c>
      <c r="O19" s="401">
        <v>0</v>
      </c>
      <c r="P19" s="400">
        <v>0</v>
      </c>
      <c r="Q19" s="401">
        <v>0</v>
      </c>
      <c r="R19" s="400"/>
      <c r="S19" s="401"/>
      <c r="T19" s="400"/>
      <c r="U19" s="401"/>
      <c r="V19" s="400">
        <v>0</v>
      </c>
      <c r="W19" s="401">
        <v>0</v>
      </c>
      <c r="X19" s="400">
        <v>0</v>
      </c>
      <c r="Y19" s="401">
        <v>0</v>
      </c>
      <c r="Z19" s="400">
        <v>0</v>
      </c>
      <c r="AA19" s="401">
        <v>0</v>
      </c>
      <c r="AB19" s="400">
        <v>0</v>
      </c>
      <c r="AC19" s="401">
        <v>0</v>
      </c>
      <c r="AD19" s="400">
        <v>0</v>
      </c>
      <c r="AE19" s="401">
        <v>0</v>
      </c>
      <c r="AF19" s="400"/>
      <c r="AG19" s="401"/>
      <c r="AH19" s="400"/>
      <c r="AI19" s="401"/>
      <c r="AJ19" s="400">
        <v>0</v>
      </c>
      <c r="AK19" s="401">
        <v>0</v>
      </c>
      <c r="AL19" s="400">
        <v>0</v>
      </c>
      <c r="AM19" s="401">
        <v>0</v>
      </c>
      <c r="AN19" s="400">
        <v>0</v>
      </c>
      <c r="AO19" s="401">
        <v>0</v>
      </c>
      <c r="AP19" s="400">
        <v>0</v>
      </c>
      <c r="AQ19" s="401">
        <v>0</v>
      </c>
      <c r="AR19" s="400">
        <v>0</v>
      </c>
      <c r="AS19" s="401">
        <v>0</v>
      </c>
      <c r="AT19" s="400"/>
      <c r="AU19" s="401"/>
      <c r="AV19" s="400"/>
      <c r="AW19" s="401"/>
      <c r="AX19" s="400">
        <v>0</v>
      </c>
      <c r="AY19" s="401">
        <v>0</v>
      </c>
      <c r="AZ19" s="400">
        <v>0</v>
      </c>
      <c r="BA19" s="401">
        <v>0</v>
      </c>
      <c r="BB19" s="400">
        <v>0</v>
      </c>
      <c r="BC19" s="401">
        <v>0</v>
      </c>
      <c r="BD19" s="400">
        <v>0</v>
      </c>
      <c r="BE19" s="401">
        <v>0</v>
      </c>
      <c r="BF19" s="400">
        <v>0</v>
      </c>
      <c r="BG19" s="401">
        <v>0</v>
      </c>
      <c r="BH19" s="400"/>
      <c r="BI19" s="401"/>
      <c r="BJ19" s="400"/>
      <c r="BK19" s="401"/>
      <c r="BL19" s="400">
        <v>0</v>
      </c>
      <c r="BM19" s="401">
        <v>0</v>
      </c>
      <c r="BN19" s="400">
        <v>0</v>
      </c>
      <c r="BO19" s="401">
        <v>0</v>
      </c>
      <c r="BP19" s="400">
        <v>0</v>
      </c>
      <c r="BQ19" s="401">
        <v>0</v>
      </c>
      <c r="BR19" s="400">
        <v>0</v>
      </c>
      <c r="BS19" s="401">
        <v>0</v>
      </c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3202</v>
      </c>
      <c r="B20" s="393" t="s">
        <v>3203</v>
      </c>
      <c r="C20" s="394" t="s">
        <v>3186</v>
      </c>
      <c r="D20" s="395" t="s">
        <v>3204</v>
      </c>
      <c r="E20" s="411" t="s">
        <v>3205</v>
      </c>
      <c r="F20" s="396" t="s">
        <v>3182</v>
      </c>
      <c r="G20" s="396" t="s">
        <v>3183</v>
      </c>
      <c r="H20" s="397" t="s">
        <v>1482</v>
      </c>
      <c r="I20" s="899" t="s">
        <v>1482</v>
      </c>
      <c r="J20" s="353" t="s">
        <v>3184</v>
      </c>
      <c r="K20" s="357" t="s">
        <v>60</v>
      </c>
      <c r="L20" s="402">
        <v>0</v>
      </c>
      <c r="M20" s="403">
        <v>0</v>
      </c>
      <c r="N20" s="402">
        <v>0</v>
      </c>
      <c r="O20" s="403">
        <v>0</v>
      </c>
      <c r="P20" s="402">
        <v>0</v>
      </c>
      <c r="Q20" s="403">
        <v>0</v>
      </c>
      <c r="R20" s="402"/>
      <c r="S20" s="403"/>
      <c r="T20" s="402"/>
      <c r="U20" s="403"/>
      <c r="V20" s="402">
        <v>0</v>
      </c>
      <c r="W20" s="403">
        <v>0</v>
      </c>
      <c r="X20" s="402">
        <v>0</v>
      </c>
      <c r="Y20" s="403">
        <v>0</v>
      </c>
      <c r="Z20" s="402">
        <v>0</v>
      </c>
      <c r="AA20" s="403">
        <v>0</v>
      </c>
      <c r="AB20" s="402">
        <v>0</v>
      </c>
      <c r="AC20" s="403">
        <v>0</v>
      </c>
      <c r="AD20" s="402">
        <v>0</v>
      </c>
      <c r="AE20" s="403">
        <v>0</v>
      </c>
      <c r="AF20" s="402"/>
      <c r="AG20" s="403"/>
      <c r="AH20" s="402"/>
      <c r="AI20" s="403"/>
      <c r="AJ20" s="402">
        <v>0</v>
      </c>
      <c r="AK20" s="403">
        <v>0</v>
      </c>
      <c r="AL20" s="402">
        <v>0</v>
      </c>
      <c r="AM20" s="403">
        <v>0</v>
      </c>
      <c r="AN20" s="402">
        <v>0</v>
      </c>
      <c r="AO20" s="403">
        <v>0</v>
      </c>
      <c r="AP20" s="402">
        <v>0</v>
      </c>
      <c r="AQ20" s="403">
        <v>0</v>
      </c>
      <c r="AR20" s="402">
        <v>0</v>
      </c>
      <c r="AS20" s="403">
        <v>0</v>
      </c>
      <c r="AT20" s="402"/>
      <c r="AU20" s="403"/>
      <c r="AV20" s="402"/>
      <c r="AW20" s="403"/>
      <c r="AX20" s="402">
        <v>0</v>
      </c>
      <c r="AY20" s="403">
        <v>0</v>
      </c>
      <c r="AZ20" s="402">
        <v>0</v>
      </c>
      <c r="BA20" s="403">
        <v>0</v>
      </c>
      <c r="BB20" s="402">
        <v>0</v>
      </c>
      <c r="BC20" s="403">
        <v>0</v>
      </c>
      <c r="BD20" s="402">
        <v>0</v>
      </c>
      <c r="BE20" s="403">
        <v>0</v>
      </c>
      <c r="BF20" s="402">
        <v>0</v>
      </c>
      <c r="BG20" s="403">
        <v>0</v>
      </c>
      <c r="BH20" s="402"/>
      <c r="BI20" s="403"/>
      <c r="BJ20" s="402"/>
      <c r="BK20" s="403"/>
      <c r="BL20" s="402">
        <v>0</v>
      </c>
      <c r="BM20" s="403">
        <v>0</v>
      </c>
      <c r="BN20" s="402">
        <v>0</v>
      </c>
      <c r="BO20" s="403">
        <v>0</v>
      </c>
      <c r="BP20" s="402">
        <v>0</v>
      </c>
      <c r="BQ20" s="403">
        <v>0</v>
      </c>
      <c r="BR20" s="402">
        <v>0</v>
      </c>
      <c r="BS20" s="403">
        <v>0</v>
      </c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3206</v>
      </c>
      <c r="B21" s="526" t="s">
        <v>3207</v>
      </c>
      <c r="C21" s="527">
        <v>1</v>
      </c>
      <c r="D21" s="528" t="s">
        <v>3208</v>
      </c>
      <c r="E21" s="426" t="s">
        <v>3209</v>
      </c>
      <c r="F21" s="529" t="s">
        <v>3182</v>
      </c>
      <c r="G21" s="529" t="s">
        <v>3183</v>
      </c>
      <c r="H21" s="530" t="s">
        <v>1483</v>
      </c>
      <c r="I21" s="384" t="s">
        <v>1483</v>
      </c>
      <c r="J21" s="353" t="s">
        <v>3184</v>
      </c>
      <c r="K21" s="354" t="s">
        <v>3185</v>
      </c>
      <c r="L21" s="402">
        <v>0</v>
      </c>
      <c r="M21" s="403">
        <v>0</v>
      </c>
      <c r="N21" s="402">
        <v>0</v>
      </c>
      <c r="O21" s="403">
        <v>0</v>
      </c>
      <c r="P21" s="402">
        <v>0</v>
      </c>
      <c r="Q21" s="403">
        <v>0</v>
      </c>
      <c r="R21" s="402"/>
      <c r="S21" s="403"/>
      <c r="T21" s="402"/>
      <c r="U21" s="403"/>
      <c r="V21" s="402">
        <v>0</v>
      </c>
      <c r="W21" s="403">
        <v>0</v>
      </c>
      <c r="X21" s="402">
        <v>0</v>
      </c>
      <c r="Y21" s="403">
        <v>0</v>
      </c>
      <c r="Z21" s="402">
        <v>0</v>
      </c>
      <c r="AA21" s="403">
        <v>0</v>
      </c>
      <c r="AB21" s="402">
        <v>0</v>
      </c>
      <c r="AC21" s="403">
        <v>0</v>
      </c>
      <c r="AD21" s="402">
        <v>0</v>
      </c>
      <c r="AE21" s="403">
        <v>0</v>
      </c>
      <c r="AF21" s="402"/>
      <c r="AG21" s="403"/>
      <c r="AH21" s="402"/>
      <c r="AI21" s="403"/>
      <c r="AJ21" s="402">
        <v>0</v>
      </c>
      <c r="AK21" s="403">
        <v>0</v>
      </c>
      <c r="AL21" s="402">
        <v>0</v>
      </c>
      <c r="AM21" s="403">
        <v>0</v>
      </c>
      <c r="AN21" s="402">
        <v>0</v>
      </c>
      <c r="AO21" s="403">
        <v>0</v>
      </c>
      <c r="AP21" s="402">
        <v>0</v>
      </c>
      <c r="AQ21" s="403">
        <v>0</v>
      </c>
      <c r="AR21" s="402">
        <v>0</v>
      </c>
      <c r="AS21" s="403">
        <v>0</v>
      </c>
      <c r="AT21" s="402"/>
      <c r="AU21" s="403"/>
      <c r="AV21" s="402"/>
      <c r="AW21" s="403"/>
      <c r="AX21" s="402">
        <v>0</v>
      </c>
      <c r="AY21" s="403">
        <v>0</v>
      </c>
      <c r="AZ21" s="402">
        <v>0</v>
      </c>
      <c r="BA21" s="403">
        <v>0</v>
      </c>
      <c r="BB21" s="402">
        <v>0</v>
      </c>
      <c r="BC21" s="403">
        <v>0</v>
      </c>
      <c r="BD21" s="402">
        <v>0</v>
      </c>
      <c r="BE21" s="403">
        <v>0</v>
      </c>
      <c r="BF21" s="402">
        <v>0</v>
      </c>
      <c r="BG21" s="403">
        <v>0</v>
      </c>
      <c r="BH21" s="402"/>
      <c r="BI21" s="403"/>
      <c r="BJ21" s="402"/>
      <c r="BK21" s="403"/>
      <c r="BL21" s="402">
        <v>0</v>
      </c>
      <c r="BM21" s="403">
        <v>0</v>
      </c>
      <c r="BN21" s="402">
        <v>0</v>
      </c>
      <c r="BO21" s="403">
        <v>0</v>
      </c>
      <c r="BP21" s="402">
        <v>0</v>
      </c>
      <c r="BQ21" s="403">
        <v>0</v>
      </c>
      <c r="BR21" s="402">
        <v>0</v>
      </c>
      <c r="BS21" s="403">
        <v>0</v>
      </c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3206</v>
      </c>
      <c r="B22" s="386" t="s">
        <v>3207</v>
      </c>
      <c r="C22" s="352" t="s">
        <v>3186</v>
      </c>
      <c r="D22" s="387" t="s">
        <v>3208</v>
      </c>
      <c r="E22" s="388" t="s">
        <v>3209</v>
      </c>
      <c r="F22" s="389" t="s">
        <v>3182</v>
      </c>
      <c r="G22" s="389" t="s">
        <v>3183</v>
      </c>
      <c r="H22" s="390" t="s">
        <v>1483</v>
      </c>
      <c r="I22" s="391" t="s">
        <v>1483</v>
      </c>
      <c r="J22" s="353" t="s">
        <v>3184</v>
      </c>
      <c r="K22" s="353" t="s">
        <v>3187</v>
      </c>
      <c r="L22" s="400">
        <v>0</v>
      </c>
      <c r="M22" s="401">
        <v>0</v>
      </c>
      <c r="N22" s="400">
        <v>0</v>
      </c>
      <c r="O22" s="401">
        <v>0</v>
      </c>
      <c r="P22" s="400">
        <v>0</v>
      </c>
      <c r="Q22" s="401">
        <v>0</v>
      </c>
      <c r="R22" s="400"/>
      <c r="S22" s="401"/>
      <c r="T22" s="400"/>
      <c r="U22" s="401"/>
      <c r="V22" s="400">
        <v>4</v>
      </c>
      <c r="W22" s="401">
        <v>0</v>
      </c>
      <c r="X22" s="400">
        <v>0</v>
      </c>
      <c r="Y22" s="401">
        <v>0</v>
      </c>
      <c r="Z22" s="400">
        <v>0</v>
      </c>
      <c r="AA22" s="401">
        <v>0</v>
      </c>
      <c r="AB22" s="400">
        <v>0</v>
      </c>
      <c r="AC22" s="401">
        <v>0</v>
      </c>
      <c r="AD22" s="400">
        <v>0</v>
      </c>
      <c r="AE22" s="401">
        <v>0</v>
      </c>
      <c r="AF22" s="400"/>
      <c r="AG22" s="401"/>
      <c r="AH22" s="400"/>
      <c r="AI22" s="401"/>
      <c r="AJ22" s="400">
        <v>4</v>
      </c>
      <c r="AK22" s="401">
        <v>0</v>
      </c>
      <c r="AL22" s="400">
        <v>0</v>
      </c>
      <c r="AM22" s="401">
        <v>0</v>
      </c>
      <c r="AN22" s="400">
        <v>0</v>
      </c>
      <c r="AO22" s="401">
        <v>0</v>
      </c>
      <c r="AP22" s="400">
        <v>0</v>
      </c>
      <c r="AQ22" s="401">
        <v>0</v>
      </c>
      <c r="AR22" s="400">
        <v>0</v>
      </c>
      <c r="AS22" s="401">
        <v>0</v>
      </c>
      <c r="AT22" s="400"/>
      <c r="AU22" s="401"/>
      <c r="AV22" s="400"/>
      <c r="AW22" s="401"/>
      <c r="AX22" s="400">
        <v>4</v>
      </c>
      <c r="AY22" s="401">
        <v>0</v>
      </c>
      <c r="AZ22" s="400">
        <v>0</v>
      </c>
      <c r="BA22" s="401">
        <v>0</v>
      </c>
      <c r="BB22" s="400">
        <v>0</v>
      </c>
      <c r="BC22" s="401">
        <v>0</v>
      </c>
      <c r="BD22" s="400">
        <v>0</v>
      </c>
      <c r="BE22" s="401">
        <v>0</v>
      </c>
      <c r="BF22" s="400">
        <v>0</v>
      </c>
      <c r="BG22" s="401">
        <v>0</v>
      </c>
      <c r="BH22" s="400"/>
      <c r="BI22" s="401"/>
      <c r="BJ22" s="400"/>
      <c r="BK22" s="401"/>
      <c r="BL22" s="400">
        <v>4</v>
      </c>
      <c r="BM22" s="401">
        <v>0</v>
      </c>
      <c r="BN22" s="400">
        <v>0</v>
      </c>
      <c r="BO22" s="401">
        <v>0</v>
      </c>
      <c r="BP22" s="400">
        <v>0</v>
      </c>
      <c r="BQ22" s="401">
        <v>0</v>
      </c>
      <c r="BR22" s="400">
        <v>0</v>
      </c>
      <c r="BS22" s="401">
        <v>0</v>
      </c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16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3206</v>
      </c>
      <c r="B23" s="386" t="s">
        <v>3207</v>
      </c>
      <c r="C23" s="392" t="s">
        <v>3186</v>
      </c>
      <c r="D23" s="387" t="s">
        <v>3208</v>
      </c>
      <c r="E23" s="388" t="s">
        <v>3209</v>
      </c>
      <c r="F23" s="389" t="s">
        <v>3182</v>
      </c>
      <c r="G23" s="389" t="s">
        <v>3183</v>
      </c>
      <c r="H23" s="390" t="s">
        <v>1483</v>
      </c>
      <c r="I23" s="391" t="s">
        <v>1483</v>
      </c>
      <c r="J23" s="353" t="s">
        <v>3184</v>
      </c>
      <c r="K23" s="355" t="s">
        <v>3188</v>
      </c>
      <c r="L23" s="400">
        <v>0</v>
      </c>
      <c r="M23" s="401">
        <v>0</v>
      </c>
      <c r="N23" s="400">
        <v>0</v>
      </c>
      <c r="O23" s="401">
        <v>0</v>
      </c>
      <c r="P23" s="400">
        <v>0</v>
      </c>
      <c r="Q23" s="401">
        <v>0</v>
      </c>
      <c r="R23" s="400"/>
      <c r="S23" s="401"/>
      <c r="T23" s="400"/>
      <c r="U23" s="401"/>
      <c r="V23" s="400">
        <v>0</v>
      </c>
      <c r="W23" s="401">
        <v>0</v>
      </c>
      <c r="X23" s="400">
        <v>0</v>
      </c>
      <c r="Y23" s="401">
        <v>0</v>
      </c>
      <c r="Z23" s="400">
        <v>0</v>
      </c>
      <c r="AA23" s="401">
        <v>0</v>
      </c>
      <c r="AB23" s="400">
        <v>0</v>
      </c>
      <c r="AC23" s="401">
        <v>0</v>
      </c>
      <c r="AD23" s="400">
        <v>0</v>
      </c>
      <c r="AE23" s="401">
        <v>0</v>
      </c>
      <c r="AF23" s="400"/>
      <c r="AG23" s="401"/>
      <c r="AH23" s="400"/>
      <c r="AI23" s="401"/>
      <c r="AJ23" s="400">
        <v>0</v>
      </c>
      <c r="AK23" s="401">
        <v>0</v>
      </c>
      <c r="AL23" s="400">
        <v>0</v>
      </c>
      <c r="AM23" s="401">
        <v>0</v>
      </c>
      <c r="AN23" s="400">
        <v>0</v>
      </c>
      <c r="AO23" s="401">
        <v>0</v>
      </c>
      <c r="AP23" s="400">
        <v>0</v>
      </c>
      <c r="AQ23" s="401">
        <v>0</v>
      </c>
      <c r="AR23" s="400">
        <v>0</v>
      </c>
      <c r="AS23" s="401">
        <v>0</v>
      </c>
      <c r="AT23" s="400"/>
      <c r="AU23" s="401"/>
      <c r="AV23" s="400"/>
      <c r="AW23" s="401"/>
      <c r="AX23" s="400">
        <v>0</v>
      </c>
      <c r="AY23" s="401">
        <v>0</v>
      </c>
      <c r="AZ23" s="400">
        <v>0</v>
      </c>
      <c r="BA23" s="401">
        <v>0</v>
      </c>
      <c r="BB23" s="400">
        <v>0</v>
      </c>
      <c r="BC23" s="401">
        <v>0</v>
      </c>
      <c r="BD23" s="400">
        <v>0</v>
      </c>
      <c r="BE23" s="401">
        <v>0</v>
      </c>
      <c r="BF23" s="400">
        <v>0</v>
      </c>
      <c r="BG23" s="401">
        <v>0</v>
      </c>
      <c r="BH23" s="400"/>
      <c r="BI23" s="401"/>
      <c r="BJ23" s="400"/>
      <c r="BK23" s="401"/>
      <c r="BL23" s="400">
        <v>0</v>
      </c>
      <c r="BM23" s="401">
        <v>0</v>
      </c>
      <c r="BN23" s="400">
        <v>0</v>
      </c>
      <c r="BO23" s="401">
        <v>0</v>
      </c>
      <c r="BP23" s="400">
        <v>0</v>
      </c>
      <c r="BQ23" s="401">
        <v>0</v>
      </c>
      <c r="BR23" s="400">
        <v>0</v>
      </c>
      <c r="BS23" s="401">
        <v>0</v>
      </c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3206</v>
      </c>
      <c r="B24" s="386" t="s">
        <v>3207</v>
      </c>
      <c r="C24" s="392" t="s">
        <v>3186</v>
      </c>
      <c r="D24" s="387" t="s">
        <v>3208</v>
      </c>
      <c r="E24" s="388" t="s">
        <v>3209</v>
      </c>
      <c r="F24" s="389" t="s">
        <v>3182</v>
      </c>
      <c r="G24" s="389" t="s">
        <v>3183</v>
      </c>
      <c r="H24" s="390" t="s">
        <v>1483</v>
      </c>
      <c r="I24" s="391" t="s">
        <v>1483</v>
      </c>
      <c r="J24" s="353" t="s">
        <v>3184</v>
      </c>
      <c r="K24" s="356" t="s">
        <v>3189</v>
      </c>
      <c r="L24" s="400">
        <v>0</v>
      </c>
      <c r="M24" s="401">
        <v>0</v>
      </c>
      <c r="N24" s="400">
        <v>0</v>
      </c>
      <c r="O24" s="401">
        <v>0</v>
      </c>
      <c r="P24" s="400">
        <v>0</v>
      </c>
      <c r="Q24" s="401">
        <v>0</v>
      </c>
      <c r="R24" s="400"/>
      <c r="S24" s="401"/>
      <c r="T24" s="400"/>
      <c r="U24" s="401"/>
      <c r="V24" s="400">
        <v>0</v>
      </c>
      <c r="W24" s="401">
        <v>0</v>
      </c>
      <c r="X24" s="400">
        <v>0</v>
      </c>
      <c r="Y24" s="401">
        <v>0</v>
      </c>
      <c r="Z24" s="400">
        <v>0</v>
      </c>
      <c r="AA24" s="401">
        <v>0</v>
      </c>
      <c r="AB24" s="400">
        <v>0</v>
      </c>
      <c r="AC24" s="401">
        <v>0</v>
      </c>
      <c r="AD24" s="400">
        <v>0</v>
      </c>
      <c r="AE24" s="401">
        <v>0</v>
      </c>
      <c r="AF24" s="400"/>
      <c r="AG24" s="401"/>
      <c r="AH24" s="400"/>
      <c r="AI24" s="401"/>
      <c r="AJ24" s="400">
        <v>0</v>
      </c>
      <c r="AK24" s="401">
        <v>0</v>
      </c>
      <c r="AL24" s="400">
        <v>0</v>
      </c>
      <c r="AM24" s="401">
        <v>0</v>
      </c>
      <c r="AN24" s="400">
        <v>0</v>
      </c>
      <c r="AO24" s="401">
        <v>0</v>
      </c>
      <c r="AP24" s="400">
        <v>0</v>
      </c>
      <c r="AQ24" s="401">
        <v>0</v>
      </c>
      <c r="AR24" s="400">
        <v>0</v>
      </c>
      <c r="AS24" s="401">
        <v>0</v>
      </c>
      <c r="AT24" s="400"/>
      <c r="AU24" s="401"/>
      <c r="AV24" s="400"/>
      <c r="AW24" s="401"/>
      <c r="AX24" s="400">
        <v>0</v>
      </c>
      <c r="AY24" s="401">
        <v>0</v>
      </c>
      <c r="AZ24" s="400">
        <v>0</v>
      </c>
      <c r="BA24" s="401">
        <v>0</v>
      </c>
      <c r="BB24" s="400">
        <v>0</v>
      </c>
      <c r="BC24" s="401">
        <v>0</v>
      </c>
      <c r="BD24" s="400">
        <v>0</v>
      </c>
      <c r="BE24" s="401">
        <v>0</v>
      </c>
      <c r="BF24" s="400">
        <v>0</v>
      </c>
      <c r="BG24" s="401">
        <v>0</v>
      </c>
      <c r="BH24" s="400"/>
      <c r="BI24" s="401"/>
      <c r="BJ24" s="400"/>
      <c r="BK24" s="401"/>
      <c r="BL24" s="400">
        <v>0</v>
      </c>
      <c r="BM24" s="401">
        <v>0</v>
      </c>
      <c r="BN24" s="400">
        <v>0</v>
      </c>
      <c r="BO24" s="401">
        <v>0</v>
      </c>
      <c r="BP24" s="400">
        <v>0</v>
      </c>
      <c r="BQ24" s="401">
        <v>0</v>
      </c>
      <c r="BR24" s="400">
        <v>0</v>
      </c>
      <c r="BS24" s="401">
        <v>0</v>
      </c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3206</v>
      </c>
      <c r="B25" s="393" t="s">
        <v>3207</v>
      </c>
      <c r="C25" s="394" t="s">
        <v>3186</v>
      </c>
      <c r="D25" s="395" t="s">
        <v>3208</v>
      </c>
      <c r="E25" s="411" t="s">
        <v>3209</v>
      </c>
      <c r="F25" s="396" t="s">
        <v>3182</v>
      </c>
      <c r="G25" s="396" t="s">
        <v>3183</v>
      </c>
      <c r="H25" s="397" t="s">
        <v>1483</v>
      </c>
      <c r="I25" s="899" t="s">
        <v>1483</v>
      </c>
      <c r="J25" s="353" t="s">
        <v>3184</v>
      </c>
      <c r="K25" s="357" t="s">
        <v>60</v>
      </c>
      <c r="L25" s="402">
        <v>0</v>
      </c>
      <c r="M25" s="403">
        <v>0</v>
      </c>
      <c r="N25" s="402">
        <v>0</v>
      </c>
      <c r="O25" s="403">
        <v>0</v>
      </c>
      <c r="P25" s="402">
        <v>0</v>
      </c>
      <c r="Q25" s="403">
        <v>0</v>
      </c>
      <c r="R25" s="402"/>
      <c r="S25" s="403"/>
      <c r="T25" s="402"/>
      <c r="U25" s="403"/>
      <c r="V25" s="402">
        <v>0</v>
      </c>
      <c r="W25" s="403">
        <v>0</v>
      </c>
      <c r="X25" s="402">
        <v>0</v>
      </c>
      <c r="Y25" s="403">
        <v>0</v>
      </c>
      <c r="Z25" s="402">
        <v>0</v>
      </c>
      <c r="AA25" s="403">
        <v>0</v>
      </c>
      <c r="AB25" s="402">
        <v>0</v>
      </c>
      <c r="AC25" s="403">
        <v>0</v>
      </c>
      <c r="AD25" s="402">
        <v>0</v>
      </c>
      <c r="AE25" s="403">
        <v>0</v>
      </c>
      <c r="AF25" s="402"/>
      <c r="AG25" s="403"/>
      <c r="AH25" s="402"/>
      <c r="AI25" s="403"/>
      <c r="AJ25" s="402">
        <v>0</v>
      </c>
      <c r="AK25" s="403">
        <v>0</v>
      </c>
      <c r="AL25" s="402">
        <v>0</v>
      </c>
      <c r="AM25" s="403">
        <v>0</v>
      </c>
      <c r="AN25" s="402">
        <v>0</v>
      </c>
      <c r="AO25" s="403">
        <v>0</v>
      </c>
      <c r="AP25" s="402">
        <v>0</v>
      </c>
      <c r="AQ25" s="403">
        <v>0</v>
      </c>
      <c r="AR25" s="402">
        <v>0</v>
      </c>
      <c r="AS25" s="403">
        <v>0</v>
      </c>
      <c r="AT25" s="402"/>
      <c r="AU25" s="403"/>
      <c r="AV25" s="402"/>
      <c r="AW25" s="403"/>
      <c r="AX25" s="402">
        <v>0</v>
      </c>
      <c r="AY25" s="403">
        <v>0</v>
      </c>
      <c r="AZ25" s="402">
        <v>0</v>
      </c>
      <c r="BA25" s="403">
        <v>0</v>
      </c>
      <c r="BB25" s="402">
        <v>0</v>
      </c>
      <c r="BC25" s="403">
        <v>0</v>
      </c>
      <c r="BD25" s="402">
        <v>0</v>
      </c>
      <c r="BE25" s="403">
        <v>0</v>
      </c>
      <c r="BF25" s="402">
        <v>0</v>
      </c>
      <c r="BG25" s="403">
        <v>0</v>
      </c>
      <c r="BH25" s="402"/>
      <c r="BI25" s="403"/>
      <c r="BJ25" s="402"/>
      <c r="BK25" s="403"/>
      <c r="BL25" s="402">
        <v>0</v>
      </c>
      <c r="BM25" s="403">
        <v>0</v>
      </c>
      <c r="BN25" s="402">
        <v>0</v>
      </c>
      <c r="BO25" s="403">
        <v>0</v>
      </c>
      <c r="BP25" s="402">
        <v>0</v>
      </c>
      <c r="BQ25" s="403">
        <v>0</v>
      </c>
      <c r="BR25" s="402">
        <v>0</v>
      </c>
      <c r="BS25" s="403">
        <v>0</v>
      </c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3210</v>
      </c>
      <c r="B26" s="526" t="s">
        <v>3211</v>
      </c>
      <c r="C26" s="527">
        <v>2</v>
      </c>
      <c r="D26" s="528" t="s">
        <v>3212</v>
      </c>
      <c r="E26" s="426" t="s">
        <v>3213</v>
      </c>
      <c r="F26" s="529" t="s">
        <v>3182</v>
      </c>
      <c r="G26" s="529" t="s">
        <v>3183</v>
      </c>
      <c r="H26" s="530" t="s">
        <v>1485</v>
      </c>
      <c r="I26" s="384" t="s">
        <v>1485</v>
      </c>
      <c r="J26" s="353" t="s">
        <v>3190</v>
      </c>
      <c r="K26" s="354" t="s">
        <v>3185</v>
      </c>
      <c r="L26" s="402">
        <v>0</v>
      </c>
      <c r="M26" s="403">
        <v>0</v>
      </c>
      <c r="N26" s="402">
        <v>0</v>
      </c>
      <c r="O26" s="403">
        <v>0</v>
      </c>
      <c r="P26" s="402">
        <v>0</v>
      </c>
      <c r="Q26" s="403">
        <v>0</v>
      </c>
      <c r="R26" s="402"/>
      <c r="S26" s="403"/>
      <c r="T26" s="402"/>
      <c r="U26" s="403"/>
      <c r="V26" s="402">
        <v>0</v>
      </c>
      <c r="W26" s="403">
        <v>0</v>
      </c>
      <c r="X26" s="402">
        <v>0</v>
      </c>
      <c r="Y26" s="403">
        <v>0</v>
      </c>
      <c r="Z26" s="402">
        <v>0</v>
      </c>
      <c r="AA26" s="403">
        <v>0</v>
      </c>
      <c r="AB26" s="402">
        <v>0</v>
      </c>
      <c r="AC26" s="403">
        <v>0</v>
      </c>
      <c r="AD26" s="402">
        <v>0</v>
      </c>
      <c r="AE26" s="403">
        <v>0</v>
      </c>
      <c r="AF26" s="402"/>
      <c r="AG26" s="403"/>
      <c r="AH26" s="402"/>
      <c r="AI26" s="403"/>
      <c r="AJ26" s="402">
        <v>0</v>
      </c>
      <c r="AK26" s="403">
        <v>0</v>
      </c>
      <c r="AL26" s="402">
        <v>0</v>
      </c>
      <c r="AM26" s="403">
        <v>0</v>
      </c>
      <c r="AN26" s="402">
        <v>0</v>
      </c>
      <c r="AO26" s="403">
        <v>0</v>
      </c>
      <c r="AP26" s="402">
        <v>0</v>
      </c>
      <c r="AQ26" s="403">
        <v>0</v>
      </c>
      <c r="AR26" s="402">
        <v>0</v>
      </c>
      <c r="AS26" s="403">
        <v>0</v>
      </c>
      <c r="AT26" s="402"/>
      <c r="AU26" s="403"/>
      <c r="AV26" s="402"/>
      <c r="AW26" s="403"/>
      <c r="AX26" s="402">
        <v>0</v>
      </c>
      <c r="AY26" s="403">
        <v>0</v>
      </c>
      <c r="AZ26" s="402">
        <v>0</v>
      </c>
      <c r="BA26" s="403">
        <v>0</v>
      </c>
      <c r="BB26" s="402">
        <v>0</v>
      </c>
      <c r="BC26" s="403">
        <v>0</v>
      </c>
      <c r="BD26" s="402">
        <v>0</v>
      </c>
      <c r="BE26" s="403">
        <v>0</v>
      </c>
      <c r="BF26" s="402">
        <v>0</v>
      </c>
      <c r="BG26" s="403">
        <v>0</v>
      </c>
      <c r="BH26" s="402"/>
      <c r="BI26" s="403"/>
      <c r="BJ26" s="402"/>
      <c r="BK26" s="403"/>
      <c r="BL26" s="402">
        <v>0</v>
      </c>
      <c r="BM26" s="403">
        <v>0</v>
      </c>
      <c r="BN26" s="402">
        <v>0</v>
      </c>
      <c r="BO26" s="403">
        <v>0</v>
      </c>
      <c r="BP26" s="402">
        <v>0</v>
      </c>
      <c r="BQ26" s="403">
        <v>0</v>
      </c>
      <c r="BR26" s="402">
        <v>0</v>
      </c>
      <c r="BS26" s="403">
        <v>0</v>
      </c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3210</v>
      </c>
      <c r="B27" s="386" t="s">
        <v>3211</v>
      </c>
      <c r="C27" s="352" t="s">
        <v>3186</v>
      </c>
      <c r="D27" s="387" t="s">
        <v>3212</v>
      </c>
      <c r="E27" s="388" t="s">
        <v>3213</v>
      </c>
      <c r="F27" s="389" t="s">
        <v>3182</v>
      </c>
      <c r="G27" s="389" t="s">
        <v>3183</v>
      </c>
      <c r="H27" s="390" t="s">
        <v>1485</v>
      </c>
      <c r="I27" s="391" t="s">
        <v>1485</v>
      </c>
      <c r="J27" s="353" t="s">
        <v>3190</v>
      </c>
      <c r="K27" s="353" t="s">
        <v>3187</v>
      </c>
      <c r="L27" s="400">
        <v>0</v>
      </c>
      <c r="M27" s="401">
        <v>0</v>
      </c>
      <c r="N27" s="400">
        <v>0</v>
      </c>
      <c r="O27" s="401">
        <v>0</v>
      </c>
      <c r="P27" s="400">
        <v>0</v>
      </c>
      <c r="Q27" s="401">
        <v>0</v>
      </c>
      <c r="R27" s="400"/>
      <c r="S27" s="401"/>
      <c r="T27" s="400"/>
      <c r="U27" s="401"/>
      <c r="V27" s="400">
        <v>0</v>
      </c>
      <c r="W27" s="401">
        <v>0</v>
      </c>
      <c r="X27" s="400">
        <v>0</v>
      </c>
      <c r="Y27" s="401">
        <v>0</v>
      </c>
      <c r="Z27" s="400">
        <v>0</v>
      </c>
      <c r="AA27" s="401">
        <v>0</v>
      </c>
      <c r="AB27" s="400">
        <v>0</v>
      </c>
      <c r="AC27" s="401">
        <v>0</v>
      </c>
      <c r="AD27" s="400">
        <v>0</v>
      </c>
      <c r="AE27" s="401">
        <v>0</v>
      </c>
      <c r="AF27" s="400"/>
      <c r="AG27" s="401"/>
      <c r="AH27" s="400"/>
      <c r="AI27" s="401"/>
      <c r="AJ27" s="400">
        <v>0</v>
      </c>
      <c r="AK27" s="401">
        <v>0</v>
      </c>
      <c r="AL27" s="400">
        <v>0</v>
      </c>
      <c r="AM27" s="401">
        <v>0</v>
      </c>
      <c r="AN27" s="400">
        <v>0</v>
      </c>
      <c r="AO27" s="401">
        <v>0</v>
      </c>
      <c r="AP27" s="400">
        <v>0</v>
      </c>
      <c r="AQ27" s="401">
        <v>0</v>
      </c>
      <c r="AR27" s="400">
        <v>0</v>
      </c>
      <c r="AS27" s="401">
        <v>0</v>
      </c>
      <c r="AT27" s="400"/>
      <c r="AU27" s="401"/>
      <c r="AV27" s="400"/>
      <c r="AW27" s="401"/>
      <c r="AX27" s="400">
        <v>0</v>
      </c>
      <c r="AY27" s="401">
        <v>0</v>
      </c>
      <c r="AZ27" s="400">
        <v>0</v>
      </c>
      <c r="BA27" s="401">
        <v>0</v>
      </c>
      <c r="BB27" s="400">
        <v>0</v>
      </c>
      <c r="BC27" s="401">
        <v>0</v>
      </c>
      <c r="BD27" s="400">
        <v>0</v>
      </c>
      <c r="BE27" s="401">
        <v>0</v>
      </c>
      <c r="BF27" s="400">
        <v>0</v>
      </c>
      <c r="BG27" s="401">
        <v>0</v>
      </c>
      <c r="BH27" s="400"/>
      <c r="BI27" s="401"/>
      <c r="BJ27" s="400"/>
      <c r="BK27" s="401"/>
      <c r="BL27" s="400">
        <v>0</v>
      </c>
      <c r="BM27" s="401">
        <v>0</v>
      </c>
      <c r="BN27" s="400">
        <v>0</v>
      </c>
      <c r="BO27" s="401">
        <v>0</v>
      </c>
      <c r="BP27" s="400">
        <v>0</v>
      </c>
      <c r="BQ27" s="401">
        <v>0</v>
      </c>
      <c r="BR27" s="400">
        <v>0</v>
      </c>
      <c r="BS27" s="401">
        <v>0</v>
      </c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3210</v>
      </c>
      <c r="B28" s="386" t="s">
        <v>3211</v>
      </c>
      <c r="C28" s="392" t="s">
        <v>3186</v>
      </c>
      <c r="D28" s="387" t="s">
        <v>3212</v>
      </c>
      <c r="E28" s="388" t="s">
        <v>3213</v>
      </c>
      <c r="F28" s="389" t="s">
        <v>3182</v>
      </c>
      <c r="G28" s="389" t="s">
        <v>3183</v>
      </c>
      <c r="H28" s="390" t="s">
        <v>1485</v>
      </c>
      <c r="I28" s="391" t="s">
        <v>1485</v>
      </c>
      <c r="J28" s="353" t="s">
        <v>3190</v>
      </c>
      <c r="K28" s="355" t="s">
        <v>3188</v>
      </c>
      <c r="L28" s="400">
        <v>0</v>
      </c>
      <c r="M28" s="401">
        <v>0</v>
      </c>
      <c r="N28" s="400">
        <v>0</v>
      </c>
      <c r="O28" s="401">
        <v>0</v>
      </c>
      <c r="P28" s="400">
        <v>0</v>
      </c>
      <c r="Q28" s="401">
        <v>0</v>
      </c>
      <c r="R28" s="400"/>
      <c r="S28" s="401"/>
      <c r="T28" s="400"/>
      <c r="U28" s="401"/>
      <c r="V28" s="400">
        <v>0</v>
      </c>
      <c r="W28" s="401">
        <v>0</v>
      </c>
      <c r="X28" s="400">
        <v>0</v>
      </c>
      <c r="Y28" s="401">
        <v>0</v>
      </c>
      <c r="Z28" s="400">
        <v>0</v>
      </c>
      <c r="AA28" s="401">
        <v>0</v>
      </c>
      <c r="AB28" s="400">
        <v>0</v>
      </c>
      <c r="AC28" s="401">
        <v>0</v>
      </c>
      <c r="AD28" s="400">
        <v>0</v>
      </c>
      <c r="AE28" s="401">
        <v>0</v>
      </c>
      <c r="AF28" s="400"/>
      <c r="AG28" s="401"/>
      <c r="AH28" s="400"/>
      <c r="AI28" s="401"/>
      <c r="AJ28" s="400">
        <v>0</v>
      </c>
      <c r="AK28" s="401">
        <v>0</v>
      </c>
      <c r="AL28" s="400">
        <v>0</v>
      </c>
      <c r="AM28" s="401">
        <v>0</v>
      </c>
      <c r="AN28" s="400">
        <v>0</v>
      </c>
      <c r="AO28" s="401">
        <v>0</v>
      </c>
      <c r="AP28" s="400">
        <v>0</v>
      </c>
      <c r="AQ28" s="401">
        <v>0</v>
      </c>
      <c r="AR28" s="400">
        <v>0</v>
      </c>
      <c r="AS28" s="401">
        <v>0</v>
      </c>
      <c r="AT28" s="400"/>
      <c r="AU28" s="401"/>
      <c r="AV28" s="400"/>
      <c r="AW28" s="401"/>
      <c r="AX28" s="400">
        <v>0</v>
      </c>
      <c r="AY28" s="401">
        <v>0</v>
      </c>
      <c r="AZ28" s="400">
        <v>0</v>
      </c>
      <c r="BA28" s="401">
        <v>0</v>
      </c>
      <c r="BB28" s="400">
        <v>0</v>
      </c>
      <c r="BC28" s="401">
        <v>0</v>
      </c>
      <c r="BD28" s="400">
        <v>0</v>
      </c>
      <c r="BE28" s="401">
        <v>0</v>
      </c>
      <c r="BF28" s="400">
        <v>0</v>
      </c>
      <c r="BG28" s="401">
        <v>0</v>
      </c>
      <c r="BH28" s="400"/>
      <c r="BI28" s="401"/>
      <c r="BJ28" s="400"/>
      <c r="BK28" s="401"/>
      <c r="BL28" s="400">
        <v>0</v>
      </c>
      <c r="BM28" s="401">
        <v>0</v>
      </c>
      <c r="BN28" s="400">
        <v>0</v>
      </c>
      <c r="BO28" s="401">
        <v>0</v>
      </c>
      <c r="BP28" s="400">
        <v>0</v>
      </c>
      <c r="BQ28" s="401">
        <v>0</v>
      </c>
      <c r="BR28" s="400">
        <v>0</v>
      </c>
      <c r="BS28" s="401">
        <v>0</v>
      </c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3210</v>
      </c>
      <c r="B29" s="386" t="s">
        <v>3211</v>
      </c>
      <c r="C29" s="392" t="s">
        <v>3186</v>
      </c>
      <c r="D29" s="387" t="s">
        <v>3212</v>
      </c>
      <c r="E29" s="388" t="s">
        <v>3213</v>
      </c>
      <c r="F29" s="389" t="s">
        <v>3182</v>
      </c>
      <c r="G29" s="389" t="s">
        <v>3183</v>
      </c>
      <c r="H29" s="390" t="s">
        <v>1485</v>
      </c>
      <c r="I29" s="391" t="s">
        <v>1485</v>
      </c>
      <c r="J29" s="353" t="s">
        <v>3190</v>
      </c>
      <c r="K29" s="356" t="s">
        <v>3189</v>
      </c>
      <c r="L29" s="400">
        <v>0</v>
      </c>
      <c r="M29" s="401">
        <v>0</v>
      </c>
      <c r="N29" s="400">
        <v>0</v>
      </c>
      <c r="O29" s="401">
        <v>0</v>
      </c>
      <c r="P29" s="400">
        <v>0</v>
      </c>
      <c r="Q29" s="401">
        <v>0</v>
      </c>
      <c r="R29" s="400"/>
      <c r="S29" s="401"/>
      <c r="T29" s="400"/>
      <c r="U29" s="401"/>
      <c r="V29" s="400">
        <v>0</v>
      </c>
      <c r="W29" s="401">
        <v>0</v>
      </c>
      <c r="X29" s="400">
        <v>0</v>
      </c>
      <c r="Y29" s="401">
        <v>0</v>
      </c>
      <c r="Z29" s="400">
        <v>0</v>
      </c>
      <c r="AA29" s="401">
        <v>0</v>
      </c>
      <c r="AB29" s="400">
        <v>0</v>
      </c>
      <c r="AC29" s="401">
        <v>0</v>
      </c>
      <c r="AD29" s="400">
        <v>0</v>
      </c>
      <c r="AE29" s="401">
        <v>0</v>
      </c>
      <c r="AF29" s="400"/>
      <c r="AG29" s="401"/>
      <c r="AH29" s="400"/>
      <c r="AI29" s="401"/>
      <c r="AJ29" s="400">
        <v>0</v>
      </c>
      <c r="AK29" s="401">
        <v>0</v>
      </c>
      <c r="AL29" s="400">
        <v>0</v>
      </c>
      <c r="AM29" s="401">
        <v>0</v>
      </c>
      <c r="AN29" s="400">
        <v>0</v>
      </c>
      <c r="AO29" s="401">
        <v>0</v>
      </c>
      <c r="AP29" s="400">
        <v>0</v>
      </c>
      <c r="AQ29" s="401">
        <v>0</v>
      </c>
      <c r="AR29" s="400">
        <v>0</v>
      </c>
      <c r="AS29" s="401">
        <v>0</v>
      </c>
      <c r="AT29" s="400"/>
      <c r="AU29" s="401"/>
      <c r="AV29" s="400"/>
      <c r="AW29" s="401"/>
      <c r="AX29" s="400">
        <v>0</v>
      </c>
      <c r="AY29" s="401">
        <v>0</v>
      </c>
      <c r="AZ29" s="400">
        <v>0</v>
      </c>
      <c r="BA29" s="401">
        <v>0</v>
      </c>
      <c r="BB29" s="400">
        <v>0</v>
      </c>
      <c r="BC29" s="401">
        <v>0</v>
      </c>
      <c r="BD29" s="400">
        <v>0</v>
      </c>
      <c r="BE29" s="401">
        <v>0</v>
      </c>
      <c r="BF29" s="400">
        <v>0</v>
      </c>
      <c r="BG29" s="401">
        <v>0</v>
      </c>
      <c r="BH29" s="400"/>
      <c r="BI29" s="401"/>
      <c r="BJ29" s="400"/>
      <c r="BK29" s="401"/>
      <c r="BL29" s="400">
        <v>0</v>
      </c>
      <c r="BM29" s="401">
        <v>0</v>
      </c>
      <c r="BN29" s="400">
        <v>0</v>
      </c>
      <c r="BO29" s="401">
        <v>0</v>
      </c>
      <c r="BP29" s="400">
        <v>0</v>
      </c>
      <c r="BQ29" s="401">
        <v>0</v>
      </c>
      <c r="BR29" s="400">
        <v>0</v>
      </c>
      <c r="BS29" s="401">
        <v>0</v>
      </c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3210</v>
      </c>
      <c r="B30" s="393" t="s">
        <v>3211</v>
      </c>
      <c r="C30" s="394" t="s">
        <v>3186</v>
      </c>
      <c r="D30" s="395" t="s">
        <v>3212</v>
      </c>
      <c r="E30" s="411" t="s">
        <v>3213</v>
      </c>
      <c r="F30" s="396" t="s">
        <v>3182</v>
      </c>
      <c r="G30" s="396" t="s">
        <v>3183</v>
      </c>
      <c r="H30" s="397" t="s">
        <v>1485</v>
      </c>
      <c r="I30" s="899" t="s">
        <v>1485</v>
      </c>
      <c r="J30" s="353" t="s">
        <v>3190</v>
      </c>
      <c r="K30" s="357" t="s">
        <v>60</v>
      </c>
      <c r="L30" s="402">
        <v>0</v>
      </c>
      <c r="M30" s="403">
        <v>0</v>
      </c>
      <c r="N30" s="402">
        <v>0</v>
      </c>
      <c r="O30" s="403">
        <v>0</v>
      </c>
      <c r="P30" s="402">
        <v>0</v>
      </c>
      <c r="Q30" s="403">
        <v>0</v>
      </c>
      <c r="R30" s="402"/>
      <c r="S30" s="403"/>
      <c r="T30" s="402"/>
      <c r="U30" s="403"/>
      <c r="V30" s="402">
        <v>0</v>
      </c>
      <c r="W30" s="403">
        <v>0</v>
      </c>
      <c r="X30" s="402">
        <v>0</v>
      </c>
      <c r="Y30" s="403">
        <v>0</v>
      </c>
      <c r="Z30" s="402">
        <v>0</v>
      </c>
      <c r="AA30" s="403">
        <v>0</v>
      </c>
      <c r="AB30" s="402">
        <v>0</v>
      </c>
      <c r="AC30" s="403">
        <v>0</v>
      </c>
      <c r="AD30" s="402">
        <v>0</v>
      </c>
      <c r="AE30" s="403">
        <v>0</v>
      </c>
      <c r="AF30" s="402"/>
      <c r="AG30" s="403"/>
      <c r="AH30" s="402"/>
      <c r="AI30" s="403"/>
      <c r="AJ30" s="402">
        <v>0</v>
      </c>
      <c r="AK30" s="403">
        <v>0</v>
      </c>
      <c r="AL30" s="402">
        <v>0</v>
      </c>
      <c r="AM30" s="403">
        <v>0</v>
      </c>
      <c r="AN30" s="402">
        <v>0</v>
      </c>
      <c r="AO30" s="403">
        <v>0</v>
      </c>
      <c r="AP30" s="402">
        <v>0</v>
      </c>
      <c r="AQ30" s="403">
        <v>0</v>
      </c>
      <c r="AR30" s="402">
        <v>0</v>
      </c>
      <c r="AS30" s="403">
        <v>0</v>
      </c>
      <c r="AT30" s="402"/>
      <c r="AU30" s="403"/>
      <c r="AV30" s="402"/>
      <c r="AW30" s="403"/>
      <c r="AX30" s="402">
        <v>0</v>
      </c>
      <c r="AY30" s="403">
        <v>0</v>
      </c>
      <c r="AZ30" s="402">
        <v>0</v>
      </c>
      <c r="BA30" s="403">
        <v>0</v>
      </c>
      <c r="BB30" s="402">
        <v>0</v>
      </c>
      <c r="BC30" s="403">
        <v>0</v>
      </c>
      <c r="BD30" s="402">
        <v>0</v>
      </c>
      <c r="BE30" s="403">
        <v>0</v>
      </c>
      <c r="BF30" s="402">
        <v>0</v>
      </c>
      <c r="BG30" s="403">
        <v>0</v>
      </c>
      <c r="BH30" s="402"/>
      <c r="BI30" s="403"/>
      <c r="BJ30" s="402"/>
      <c r="BK30" s="403"/>
      <c r="BL30" s="402">
        <v>0</v>
      </c>
      <c r="BM30" s="403">
        <v>0</v>
      </c>
      <c r="BN30" s="402">
        <v>0</v>
      </c>
      <c r="BO30" s="403">
        <v>0</v>
      </c>
      <c r="BP30" s="402">
        <v>0</v>
      </c>
      <c r="BQ30" s="403">
        <v>0</v>
      </c>
      <c r="BR30" s="402">
        <v>0</v>
      </c>
      <c r="BS30" s="403">
        <v>0</v>
      </c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3214</v>
      </c>
      <c r="B31" s="526" t="s">
        <v>3215</v>
      </c>
      <c r="C31" s="527">
        <v>2</v>
      </c>
      <c r="D31" s="528" t="s">
        <v>3216</v>
      </c>
      <c r="E31" s="426" t="s">
        <v>3217</v>
      </c>
      <c r="F31" s="529" t="s">
        <v>3182</v>
      </c>
      <c r="G31" s="529" t="s">
        <v>3183</v>
      </c>
      <c r="H31" s="530" t="s">
        <v>1488</v>
      </c>
      <c r="I31" s="384" t="s">
        <v>1488</v>
      </c>
      <c r="J31" s="353" t="s">
        <v>3190</v>
      </c>
      <c r="K31" s="354" t="s">
        <v>3185</v>
      </c>
      <c r="L31" s="402">
        <v>0</v>
      </c>
      <c r="M31" s="403">
        <v>0</v>
      </c>
      <c r="N31" s="402">
        <v>0</v>
      </c>
      <c r="O31" s="403">
        <v>0</v>
      </c>
      <c r="P31" s="402">
        <v>0</v>
      </c>
      <c r="Q31" s="403">
        <v>0</v>
      </c>
      <c r="R31" s="402"/>
      <c r="S31" s="403"/>
      <c r="T31" s="402"/>
      <c r="U31" s="403"/>
      <c r="V31" s="402">
        <v>0</v>
      </c>
      <c r="W31" s="403">
        <v>1</v>
      </c>
      <c r="X31" s="402">
        <v>0</v>
      </c>
      <c r="Y31" s="403">
        <v>0</v>
      </c>
      <c r="Z31" s="402">
        <v>0</v>
      </c>
      <c r="AA31" s="403">
        <v>0</v>
      </c>
      <c r="AB31" s="402">
        <v>0</v>
      </c>
      <c r="AC31" s="403">
        <v>0</v>
      </c>
      <c r="AD31" s="402">
        <v>0</v>
      </c>
      <c r="AE31" s="403">
        <v>0</v>
      </c>
      <c r="AF31" s="402"/>
      <c r="AG31" s="403"/>
      <c r="AH31" s="402"/>
      <c r="AI31" s="403"/>
      <c r="AJ31" s="402">
        <v>0</v>
      </c>
      <c r="AK31" s="403">
        <v>1</v>
      </c>
      <c r="AL31" s="402">
        <v>0</v>
      </c>
      <c r="AM31" s="403">
        <v>0</v>
      </c>
      <c r="AN31" s="402">
        <v>0</v>
      </c>
      <c r="AO31" s="403">
        <v>0</v>
      </c>
      <c r="AP31" s="402">
        <v>0</v>
      </c>
      <c r="AQ31" s="403">
        <v>0</v>
      </c>
      <c r="AR31" s="402">
        <v>0</v>
      </c>
      <c r="AS31" s="403">
        <v>0</v>
      </c>
      <c r="AT31" s="402"/>
      <c r="AU31" s="403"/>
      <c r="AV31" s="402"/>
      <c r="AW31" s="403"/>
      <c r="AX31" s="402">
        <v>0</v>
      </c>
      <c r="AY31" s="403">
        <v>1</v>
      </c>
      <c r="AZ31" s="402">
        <v>0</v>
      </c>
      <c r="BA31" s="403">
        <v>0</v>
      </c>
      <c r="BB31" s="402">
        <v>0</v>
      </c>
      <c r="BC31" s="403">
        <v>0</v>
      </c>
      <c r="BD31" s="402">
        <v>0</v>
      </c>
      <c r="BE31" s="403">
        <v>0</v>
      </c>
      <c r="BF31" s="402">
        <v>0</v>
      </c>
      <c r="BG31" s="403">
        <v>0</v>
      </c>
      <c r="BH31" s="402"/>
      <c r="BI31" s="403"/>
      <c r="BJ31" s="402"/>
      <c r="BK31" s="403"/>
      <c r="BL31" s="402">
        <v>0</v>
      </c>
      <c r="BM31" s="403">
        <v>1</v>
      </c>
      <c r="BN31" s="402">
        <v>0</v>
      </c>
      <c r="BO31" s="403">
        <v>0</v>
      </c>
      <c r="BP31" s="402">
        <v>0</v>
      </c>
      <c r="BQ31" s="403">
        <v>0</v>
      </c>
      <c r="BR31" s="402">
        <v>0</v>
      </c>
      <c r="BS31" s="403">
        <v>0</v>
      </c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4</v>
      </c>
    </row>
    <row r="32" spans="1:75" s="64" customFormat="1" ht="21.95" customHeight="1" x14ac:dyDescent="0.2">
      <c r="A32" s="385" t="s">
        <v>3214</v>
      </c>
      <c r="B32" s="386" t="s">
        <v>3215</v>
      </c>
      <c r="C32" s="352" t="s">
        <v>3186</v>
      </c>
      <c r="D32" s="387" t="s">
        <v>3216</v>
      </c>
      <c r="E32" s="388" t="s">
        <v>3217</v>
      </c>
      <c r="F32" s="389" t="s">
        <v>3182</v>
      </c>
      <c r="G32" s="389" t="s">
        <v>3183</v>
      </c>
      <c r="H32" s="390" t="s">
        <v>1488</v>
      </c>
      <c r="I32" s="391" t="s">
        <v>1488</v>
      </c>
      <c r="J32" s="353" t="s">
        <v>3190</v>
      </c>
      <c r="K32" s="353" t="s">
        <v>3187</v>
      </c>
      <c r="L32" s="400">
        <v>0</v>
      </c>
      <c r="M32" s="401">
        <v>0</v>
      </c>
      <c r="N32" s="400">
        <v>0</v>
      </c>
      <c r="O32" s="401">
        <v>0</v>
      </c>
      <c r="P32" s="400">
        <v>0</v>
      </c>
      <c r="Q32" s="401">
        <v>0</v>
      </c>
      <c r="R32" s="400"/>
      <c r="S32" s="401"/>
      <c r="T32" s="400"/>
      <c r="U32" s="401"/>
      <c r="V32" s="400">
        <v>3</v>
      </c>
      <c r="W32" s="401">
        <v>0</v>
      </c>
      <c r="X32" s="400">
        <v>0</v>
      </c>
      <c r="Y32" s="401">
        <v>0</v>
      </c>
      <c r="Z32" s="400">
        <v>0</v>
      </c>
      <c r="AA32" s="401">
        <v>0</v>
      </c>
      <c r="AB32" s="400">
        <v>0</v>
      </c>
      <c r="AC32" s="401">
        <v>0</v>
      </c>
      <c r="AD32" s="400">
        <v>0</v>
      </c>
      <c r="AE32" s="401">
        <v>0</v>
      </c>
      <c r="AF32" s="400"/>
      <c r="AG32" s="401"/>
      <c r="AH32" s="400"/>
      <c r="AI32" s="401"/>
      <c r="AJ32" s="400">
        <v>3</v>
      </c>
      <c r="AK32" s="401">
        <v>0</v>
      </c>
      <c r="AL32" s="400">
        <v>0</v>
      </c>
      <c r="AM32" s="401">
        <v>0</v>
      </c>
      <c r="AN32" s="400">
        <v>0</v>
      </c>
      <c r="AO32" s="401">
        <v>0</v>
      </c>
      <c r="AP32" s="400">
        <v>0</v>
      </c>
      <c r="AQ32" s="401">
        <v>0</v>
      </c>
      <c r="AR32" s="400">
        <v>0</v>
      </c>
      <c r="AS32" s="401">
        <v>0</v>
      </c>
      <c r="AT32" s="400"/>
      <c r="AU32" s="401"/>
      <c r="AV32" s="400"/>
      <c r="AW32" s="401"/>
      <c r="AX32" s="400">
        <v>3</v>
      </c>
      <c r="AY32" s="401">
        <v>0</v>
      </c>
      <c r="AZ32" s="400">
        <v>0</v>
      </c>
      <c r="BA32" s="401">
        <v>0</v>
      </c>
      <c r="BB32" s="400">
        <v>0</v>
      </c>
      <c r="BC32" s="401">
        <v>0</v>
      </c>
      <c r="BD32" s="400">
        <v>0</v>
      </c>
      <c r="BE32" s="401">
        <v>0</v>
      </c>
      <c r="BF32" s="400">
        <v>0</v>
      </c>
      <c r="BG32" s="401">
        <v>0</v>
      </c>
      <c r="BH32" s="400"/>
      <c r="BI32" s="401"/>
      <c r="BJ32" s="400"/>
      <c r="BK32" s="401"/>
      <c r="BL32" s="400">
        <v>3</v>
      </c>
      <c r="BM32" s="401">
        <v>0</v>
      </c>
      <c r="BN32" s="400">
        <v>0</v>
      </c>
      <c r="BO32" s="401">
        <v>0</v>
      </c>
      <c r="BP32" s="400">
        <v>0</v>
      </c>
      <c r="BQ32" s="401">
        <v>0</v>
      </c>
      <c r="BR32" s="400">
        <v>0</v>
      </c>
      <c r="BS32" s="401">
        <v>0</v>
      </c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12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3214</v>
      </c>
      <c r="B33" s="386" t="s">
        <v>3215</v>
      </c>
      <c r="C33" s="392" t="s">
        <v>3186</v>
      </c>
      <c r="D33" s="387" t="s">
        <v>3216</v>
      </c>
      <c r="E33" s="388" t="s">
        <v>3217</v>
      </c>
      <c r="F33" s="389" t="s">
        <v>3182</v>
      </c>
      <c r="G33" s="389" t="s">
        <v>3183</v>
      </c>
      <c r="H33" s="390" t="s">
        <v>1488</v>
      </c>
      <c r="I33" s="391" t="s">
        <v>1488</v>
      </c>
      <c r="J33" s="353" t="s">
        <v>3190</v>
      </c>
      <c r="K33" s="355" t="s">
        <v>3188</v>
      </c>
      <c r="L33" s="400">
        <v>0</v>
      </c>
      <c r="M33" s="401">
        <v>0</v>
      </c>
      <c r="N33" s="400">
        <v>0</v>
      </c>
      <c r="O33" s="401">
        <v>0</v>
      </c>
      <c r="P33" s="400">
        <v>0</v>
      </c>
      <c r="Q33" s="401">
        <v>0</v>
      </c>
      <c r="R33" s="400"/>
      <c r="S33" s="401"/>
      <c r="T33" s="400"/>
      <c r="U33" s="401"/>
      <c r="V33" s="400">
        <v>0</v>
      </c>
      <c r="W33" s="401">
        <v>0</v>
      </c>
      <c r="X33" s="400">
        <v>0</v>
      </c>
      <c r="Y33" s="401">
        <v>0</v>
      </c>
      <c r="Z33" s="400">
        <v>0</v>
      </c>
      <c r="AA33" s="401">
        <v>0</v>
      </c>
      <c r="AB33" s="400">
        <v>0</v>
      </c>
      <c r="AC33" s="401">
        <v>0</v>
      </c>
      <c r="AD33" s="400">
        <v>0</v>
      </c>
      <c r="AE33" s="401">
        <v>0</v>
      </c>
      <c r="AF33" s="400"/>
      <c r="AG33" s="401"/>
      <c r="AH33" s="400"/>
      <c r="AI33" s="401"/>
      <c r="AJ33" s="400">
        <v>0</v>
      </c>
      <c r="AK33" s="401">
        <v>0</v>
      </c>
      <c r="AL33" s="400">
        <v>0</v>
      </c>
      <c r="AM33" s="401">
        <v>0</v>
      </c>
      <c r="AN33" s="400">
        <v>0</v>
      </c>
      <c r="AO33" s="401">
        <v>0</v>
      </c>
      <c r="AP33" s="400">
        <v>0</v>
      </c>
      <c r="AQ33" s="401">
        <v>0</v>
      </c>
      <c r="AR33" s="400">
        <v>0</v>
      </c>
      <c r="AS33" s="401">
        <v>0</v>
      </c>
      <c r="AT33" s="400"/>
      <c r="AU33" s="401"/>
      <c r="AV33" s="400"/>
      <c r="AW33" s="401"/>
      <c r="AX33" s="400">
        <v>0</v>
      </c>
      <c r="AY33" s="401">
        <v>0</v>
      </c>
      <c r="AZ33" s="400">
        <v>0</v>
      </c>
      <c r="BA33" s="401">
        <v>0</v>
      </c>
      <c r="BB33" s="400">
        <v>0</v>
      </c>
      <c r="BC33" s="401">
        <v>0</v>
      </c>
      <c r="BD33" s="400">
        <v>0</v>
      </c>
      <c r="BE33" s="401">
        <v>0</v>
      </c>
      <c r="BF33" s="400">
        <v>0</v>
      </c>
      <c r="BG33" s="401">
        <v>0</v>
      </c>
      <c r="BH33" s="400"/>
      <c r="BI33" s="401"/>
      <c r="BJ33" s="400"/>
      <c r="BK33" s="401"/>
      <c r="BL33" s="400">
        <v>0</v>
      </c>
      <c r="BM33" s="401">
        <v>0</v>
      </c>
      <c r="BN33" s="400">
        <v>0</v>
      </c>
      <c r="BO33" s="401">
        <v>0</v>
      </c>
      <c r="BP33" s="400">
        <v>0</v>
      </c>
      <c r="BQ33" s="401">
        <v>0</v>
      </c>
      <c r="BR33" s="400">
        <v>0</v>
      </c>
      <c r="BS33" s="401">
        <v>0</v>
      </c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3214</v>
      </c>
      <c r="B34" s="386" t="s">
        <v>3215</v>
      </c>
      <c r="C34" s="392" t="s">
        <v>3186</v>
      </c>
      <c r="D34" s="387" t="s">
        <v>3216</v>
      </c>
      <c r="E34" s="388" t="s">
        <v>3217</v>
      </c>
      <c r="F34" s="389" t="s">
        <v>3182</v>
      </c>
      <c r="G34" s="389" t="s">
        <v>3183</v>
      </c>
      <c r="H34" s="390" t="s">
        <v>1488</v>
      </c>
      <c r="I34" s="391" t="s">
        <v>1488</v>
      </c>
      <c r="J34" s="353" t="s">
        <v>3190</v>
      </c>
      <c r="K34" s="356" t="s">
        <v>3189</v>
      </c>
      <c r="L34" s="400">
        <v>0</v>
      </c>
      <c r="M34" s="401">
        <v>0</v>
      </c>
      <c r="N34" s="400">
        <v>0</v>
      </c>
      <c r="O34" s="401">
        <v>0</v>
      </c>
      <c r="P34" s="400">
        <v>0</v>
      </c>
      <c r="Q34" s="401">
        <v>0</v>
      </c>
      <c r="R34" s="400"/>
      <c r="S34" s="401"/>
      <c r="T34" s="400"/>
      <c r="U34" s="401"/>
      <c r="V34" s="400">
        <v>0</v>
      </c>
      <c r="W34" s="401">
        <v>0</v>
      </c>
      <c r="X34" s="400">
        <v>0</v>
      </c>
      <c r="Y34" s="401">
        <v>0</v>
      </c>
      <c r="Z34" s="400">
        <v>0</v>
      </c>
      <c r="AA34" s="401">
        <v>0</v>
      </c>
      <c r="AB34" s="400">
        <v>0</v>
      </c>
      <c r="AC34" s="401">
        <v>0</v>
      </c>
      <c r="AD34" s="400">
        <v>0</v>
      </c>
      <c r="AE34" s="401">
        <v>0</v>
      </c>
      <c r="AF34" s="400"/>
      <c r="AG34" s="401"/>
      <c r="AH34" s="400"/>
      <c r="AI34" s="401"/>
      <c r="AJ34" s="400">
        <v>0</v>
      </c>
      <c r="AK34" s="401">
        <v>0</v>
      </c>
      <c r="AL34" s="400">
        <v>0</v>
      </c>
      <c r="AM34" s="401">
        <v>0</v>
      </c>
      <c r="AN34" s="400">
        <v>0</v>
      </c>
      <c r="AO34" s="401">
        <v>0</v>
      </c>
      <c r="AP34" s="400">
        <v>0</v>
      </c>
      <c r="AQ34" s="401">
        <v>0</v>
      </c>
      <c r="AR34" s="400">
        <v>0</v>
      </c>
      <c r="AS34" s="401">
        <v>0</v>
      </c>
      <c r="AT34" s="400"/>
      <c r="AU34" s="401"/>
      <c r="AV34" s="400"/>
      <c r="AW34" s="401"/>
      <c r="AX34" s="400">
        <v>0</v>
      </c>
      <c r="AY34" s="401">
        <v>0</v>
      </c>
      <c r="AZ34" s="400">
        <v>0</v>
      </c>
      <c r="BA34" s="401">
        <v>0</v>
      </c>
      <c r="BB34" s="400">
        <v>0</v>
      </c>
      <c r="BC34" s="401">
        <v>0</v>
      </c>
      <c r="BD34" s="400">
        <v>0</v>
      </c>
      <c r="BE34" s="401">
        <v>0</v>
      </c>
      <c r="BF34" s="400">
        <v>0</v>
      </c>
      <c r="BG34" s="401">
        <v>0</v>
      </c>
      <c r="BH34" s="400"/>
      <c r="BI34" s="401"/>
      <c r="BJ34" s="400"/>
      <c r="BK34" s="401"/>
      <c r="BL34" s="400">
        <v>0</v>
      </c>
      <c r="BM34" s="401">
        <v>0</v>
      </c>
      <c r="BN34" s="400">
        <v>0</v>
      </c>
      <c r="BO34" s="401">
        <v>0</v>
      </c>
      <c r="BP34" s="400">
        <v>0</v>
      </c>
      <c r="BQ34" s="401">
        <v>0</v>
      </c>
      <c r="BR34" s="400">
        <v>0</v>
      </c>
      <c r="BS34" s="401">
        <v>0</v>
      </c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3214</v>
      </c>
      <c r="B35" s="393" t="s">
        <v>3215</v>
      </c>
      <c r="C35" s="394" t="s">
        <v>3186</v>
      </c>
      <c r="D35" s="395" t="s">
        <v>3216</v>
      </c>
      <c r="E35" s="411" t="s">
        <v>3217</v>
      </c>
      <c r="F35" s="396" t="s">
        <v>3182</v>
      </c>
      <c r="G35" s="396" t="s">
        <v>3183</v>
      </c>
      <c r="H35" s="397" t="s">
        <v>1488</v>
      </c>
      <c r="I35" s="899" t="s">
        <v>1488</v>
      </c>
      <c r="J35" s="353" t="s">
        <v>3190</v>
      </c>
      <c r="K35" s="357" t="s">
        <v>60</v>
      </c>
      <c r="L35" s="402">
        <v>0</v>
      </c>
      <c r="M35" s="403">
        <v>0</v>
      </c>
      <c r="N35" s="402">
        <v>0</v>
      </c>
      <c r="O35" s="403">
        <v>0</v>
      </c>
      <c r="P35" s="402">
        <v>0</v>
      </c>
      <c r="Q35" s="403">
        <v>0</v>
      </c>
      <c r="R35" s="402"/>
      <c r="S35" s="403"/>
      <c r="T35" s="402"/>
      <c r="U35" s="403"/>
      <c r="V35" s="402">
        <v>0</v>
      </c>
      <c r="W35" s="403">
        <v>0</v>
      </c>
      <c r="X35" s="402">
        <v>0</v>
      </c>
      <c r="Y35" s="403">
        <v>0</v>
      </c>
      <c r="Z35" s="402">
        <v>0</v>
      </c>
      <c r="AA35" s="403">
        <v>0</v>
      </c>
      <c r="AB35" s="402">
        <v>0</v>
      </c>
      <c r="AC35" s="403">
        <v>0</v>
      </c>
      <c r="AD35" s="402">
        <v>0</v>
      </c>
      <c r="AE35" s="403">
        <v>0</v>
      </c>
      <c r="AF35" s="402"/>
      <c r="AG35" s="403"/>
      <c r="AH35" s="402"/>
      <c r="AI35" s="403"/>
      <c r="AJ35" s="402">
        <v>0</v>
      </c>
      <c r="AK35" s="403">
        <v>0</v>
      </c>
      <c r="AL35" s="402">
        <v>0</v>
      </c>
      <c r="AM35" s="403">
        <v>0</v>
      </c>
      <c r="AN35" s="402">
        <v>0</v>
      </c>
      <c r="AO35" s="403">
        <v>0</v>
      </c>
      <c r="AP35" s="402">
        <v>0</v>
      </c>
      <c r="AQ35" s="403">
        <v>0</v>
      </c>
      <c r="AR35" s="402">
        <v>0</v>
      </c>
      <c r="AS35" s="403">
        <v>0</v>
      </c>
      <c r="AT35" s="402"/>
      <c r="AU35" s="403"/>
      <c r="AV35" s="402"/>
      <c r="AW35" s="403"/>
      <c r="AX35" s="402">
        <v>0</v>
      </c>
      <c r="AY35" s="403">
        <v>0</v>
      </c>
      <c r="AZ35" s="402">
        <v>0</v>
      </c>
      <c r="BA35" s="403">
        <v>0</v>
      </c>
      <c r="BB35" s="402">
        <v>0</v>
      </c>
      <c r="BC35" s="403">
        <v>0</v>
      </c>
      <c r="BD35" s="402">
        <v>0</v>
      </c>
      <c r="BE35" s="403">
        <v>0</v>
      </c>
      <c r="BF35" s="402">
        <v>0</v>
      </c>
      <c r="BG35" s="403">
        <v>0</v>
      </c>
      <c r="BH35" s="402"/>
      <c r="BI35" s="403"/>
      <c r="BJ35" s="402"/>
      <c r="BK35" s="403"/>
      <c r="BL35" s="402">
        <v>0</v>
      </c>
      <c r="BM35" s="403">
        <v>0</v>
      </c>
      <c r="BN35" s="402">
        <v>0</v>
      </c>
      <c r="BO35" s="403">
        <v>0</v>
      </c>
      <c r="BP35" s="402">
        <v>0</v>
      </c>
      <c r="BQ35" s="403">
        <v>0</v>
      </c>
      <c r="BR35" s="402">
        <v>0</v>
      </c>
      <c r="BS35" s="403">
        <v>0</v>
      </c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3218</v>
      </c>
      <c r="B36" s="526" t="s">
        <v>3219</v>
      </c>
      <c r="C36" s="527">
        <v>2</v>
      </c>
      <c r="D36" s="528" t="s">
        <v>3220</v>
      </c>
      <c r="E36" s="426" t="s">
        <v>3221</v>
      </c>
      <c r="F36" s="529" t="s">
        <v>3182</v>
      </c>
      <c r="G36" s="529" t="s">
        <v>3183</v>
      </c>
      <c r="H36" s="530" t="s">
        <v>1489</v>
      </c>
      <c r="I36" s="384" t="s">
        <v>1489</v>
      </c>
      <c r="J36" s="353" t="s">
        <v>3190</v>
      </c>
      <c r="K36" s="354" t="s">
        <v>3185</v>
      </c>
      <c r="L36" s="402">
        <v>0</v>
      </c>
      <c r="M36" s="403">
        <v>0</v>
      </c>
      <c r="N36" s="402">
        <v>0</v>
      </c>
      <c r="O36" s="403">
        <v>0</v>
      </c>
      <c r="P36" s="402">
        <v>0</v>
      </c>
      <c r="Q36" s="403">
        <v>0</v>
      </c>
      <c r="R36" s="402"/>
      <c r="S36" s="403"/>
      <c r="T36" s="402"/>
      <c r="U36" s="403"/>
      <c r="V36" s="402">
        <v>0</v>
      </c>
      <c r="W36" s="403">
        <v>0</v>
      </c>
      <c r="X36" s="402">
        <v>0</v>
      </c>
      <c r="Y36" s="403">
        <v>0</v>
      </c>
      <c r="Z36" s="402">
        <v>0</v>
      </c>
      <c r="AA36" s="403">
        <v>0</v>
      </c>
      <c r="AB36" s="402">
        <v>0</v>
      </c>
      <c r="AC36" s="403">
        <v>0</v>
      </c>
      <c r="AD36" s="402">
        <v>0</v>
      </c>
      <c r="AE36" s="403">
        <v>0</v>
      </c>
      <c r="AF36" s="402"/>
      <c r="AG36" s="403"/>
      <c r="AH36" s="402"/>
      <c r="AI36" s="403"/>
      <c r="AJ36" s="402">
        <v>0</v>
      </c>
      <c r="AK36" s="403">
        <v>0</v>
      </c>
      <c r="AL36" s="402">
        <v>0</v>
      </c>
      <c r="AM36" s="403">
        <v>0</v>
      </c>
      <c r="AN36" s="402">
        <v>0</v>
      </c>
      <c r="AO36" s="403">
        <v>0</v>
      </c>
      <c r="AP36" s="402">
        <v>0</v>
      </c>
      <c r="AQ36" s="403">
        <v>0</v>
      </c>
      <c r="AR36" s="402">
        <v>0</v>
      </c>
      <c r="AS36" s="403">
        <v>0</v>
      </c>
      <c r="AT36" s="402"/>
      <c r="AU36" s="403"/>
      <c r="AV36" s="402"/>
      <c r="AW36" s="403"/>
      <c r="AX36" s="402">
        <v>0</v>
      </c>
      <c r="AY36" s="403">
        <v>0</v>
      </c>
      <c r="AZ36" s="402">
        <v>0</v>
      </c>
      <c r="BA36" s="403">
        <v>0</v>
      </c>
      <c r="BB36" s="402">
        <v>0</v>
      </c>
      <c r="BC36" s="403">
        <v>0</v>
      </c>
      <c r="BD36" s="402">
        <v>0</v>
      </c>
      <c r="BE36" s="403">
        <v>0</v>
      </c>
      <c r="BF36" s="402">
        <v>0</v>
      </c>
      <c r="BG36" s="403">
        <v>0</v>
      </c>
      <c r="BH36" s="402"/>
      <c r="BI36" s="403"/>
      <c r="BJ36" s="402"/>
      <c r="BK36" s="403"/>
      <c r="BL36" s="402">
        <v>0</v>
      </c>
      <c r="BM36" s="403">
        <v>0</v>
      </c>
      <c r="BN36" s="402">
        <v>0</v>
      </c>
      <c r="BO36" s="403">
        <v>0</v>
      </c>
      <c r="BP36" s="402">
        <v>0</v>
      </c>
      <c r="BQ36" s="403">
        <v>0</v>
      </c>
      <c r="BR36" s="402">
        <v>0</v>
      </c>
      <c r="BS36" s="403">
        <v>0</v>
      </c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3218</v>
      </c>
      <c r="B37" s="386" t="s">
        <v>3219</v>
      </c>
      <c r="C37" s="352" t="s">
        <v>3186</v>
      </c>
      <c r="D37" s="387" t="s">
        <v>3220</v>
      </c>
      <c r="E37" s="388" t="s">
        <v>3221</v>
      </c>
      <c r="F37" s="389" t="s">
        <v>3182</v>
      </c>
      <c r="G37" s="389" t="s">
        <v>3183</v>
      </c>
      <c r="H37" s="390" t="s">
        <v>1489</v>
      </c>
      <c r="I37" s="391" t="s">
        <v>1489</v>
      </c>
      <c r="J37" s="353" t="s">
        <v>3190</v>
      </c>
      <c r="K37" s="353" t="s">
        <v>3187</v>
      </c>
      <c r="L37" s="400">
        <v>0</v>
      </c>
      <c r="M37" s="401">
        <v>0</v>
      </c>
      <c r="N37" s="400">
        <v>0</v>
      </c>
      <c r="O37" s="401">
        <v>0</v>
      </c>
      <c r="P37" s="400">
        <v>0</v>
      </c>
      <c r="Q37" s="401">
        <v>0</v>
      </c>
      <c r="R37" s="400"/>
      <c r="S37" s="401"/>
      <c r="T37" s="400"/>
      <c r="U37" s="401"/>
      <c r="V37" s="400">
        <v>5</v>
      </c>
      <c r="W37" s="401">
        <v>0</v>
      </c>
      <c r="X37" s="400">
        <v>0</v>
      </c>
      <c r="Y37" s="401">
        <v>0</v>
      </c>
      <c r="Z37" s="400">
        <v>0</v>
      </c>
      <c r="AA37" s="401">
        <v>0</v>
      </c>
      <c r="AB37" s="400">
        <v>0</v>
      </c>
      <c r="AC37" s="401">
        <v>0</v>
      </c>
      <c r="AD37" s="400">
        <v>0</v>
      </c>
      <c r="AE37" s="401">
        <v>0</v>
      </c>
      <c r="AF37" s="400"/>
      <c r="AG37" s="401"/>
      <c r="AH37" s="400"/>
      <c r="AI37" s="401"/>
      <c r="AJ37" s="400">
        <v>5</v>
      </c>
      <c r="AK37" s="401">
        <v>0</v>
      </c>
      <c r="AL37" s="400">
        <v>0</v>
      </c>
      <c r="AM37" s="401">
        <v>0</v>
      </c>
      <c r="AN37" s="400">
        <v>0</v>
      </c>
      <c r="AO37" s="401">
        <v>0</v>
      </c>
      <c r="AP37" s="400">
        <v>0</v>
      </c>
      <c r="AQ37" s="401">
        <v>0</v>
      </c>
      <c r="AR37" s="400">
        <v>0</v>
      </c>
      <c r="AS37" s="401">
        <v>0</v>
      </c>
      <c r="AT37" s="400"/>
      <c r="AU37" s="401"/>
      <c r="AV37" s="400"/>
      <c r="AW37" s="401"/>
      <c r="AX37" s="400">
        <v>5</v>
      </c>
      <c r="AY37" s="401">
        <v>0</v>
      </c>
      <c r="AZ37" s="400">
        <v>0</v>
      </c>
      <c r="BA37" s="401">
        <v>0</v>
      </c>
      <c r="BB37" s="400">
        <v>0</v>
      </c>
      <c r="BC37" s="401">
        <v>0</v>
      </c>
      <c r="BD37" s="400">
        <v>0</v>
      </c>
      <c r="BE37" s="401">
        <v>0</v>
      </c>
      <c r="BF37" s="400">
        <v>0</v>
      </c>
      <c r="BG37" s="401">
        <v>0</v>
      </c>
      <c r="BH37" s="400"/>
      <c r="BI37" s="401"/>
      <c r="BJ37" s="400"/>
      <c r="BK37" s="401"/>
      <c r="BL37" s="400">
        <v>5</v>
      </c>
      <c r="BM37" s="401">
        <v>0</v>
      </c>
      <c r="BN37" s="400">
        <v>0</v>
      </c>
      <c r="BO37" s="401">
        <v>0</v>
      </c>
      <c r="BP37" s="400">
        <v>0</v>
      </c>
      <c r="BQ37" s="401">
        <v>0</v>
      </c>
      <c r="BR37" s="400">
        <v>0</v>
      </c>
      <c r="BS37" s="401">
        <v>0</v>
      </c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20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3218</v>
      </c>
      <c r="B38" s="386" t="s">
        <v>3219</v>
      </c>
      <c r="C38" s="392" t="s">
        <v>3186</v>
      </c>
      <c r="D38" s="387" t="s">
        <v>3220</v>
      </c>
      <c r="E38" s="388" t="s">
        <v>3221</v>
      </c>
      <c r="F38" s="389" t="s">
        <v>3182</v>
      </c>
      <c r="G38" s="389" t="s">
        <v>3183</v>
      </c>
      <c r="H38" s="390" t="s">
        <v>1489</v>
      </c>
      <c r="I38" s="391" t="s">
        <v>1489</v>
      </c>
      <c r="J38" s="353" t="s">
        <v>3190</v>
      </c>
      <c r="K38" s="355" t="s">
        <v>3188</v>
      </c>
      <c r="L38" s="400">
        <v>0</v>
      </c>
      <c r="M38" s="401">
        <v>0</v>
      </c>
      <c r="N38" s="400">
        <v>0</v>
      </c>
      <c r="O38" s="401">
        <v>0</v>
      </c>
      <c r="P38" s="400">
        <v>0</v>
      </c>
      <c r="Q38" s="401">
        <v>0</v>
      </c>
      <c r="R38" s="400"/>
      <c r="S38" s="401"/>
      <c r="T38" s="400"/>
      <c r="U38" s="401"/>
      <c r="V38" s="400">
        <v>0</v>
      </c>
      <c r="W38" s="401">
        <v>0</v>
      </c>
      <c r="X38" s="400">
        <v>0</v>
      </c>
      <c r="Y38" s="401">
        <v>0</v>
      </c>
      <c r="Z38" s="400">
        <v>0</v>
      </c>
      <c r="AA38" s="401">
        <v>0</v>
      </c>
      <c r="AB38" s="400">
        <v>0</v>
      </c>
      <c r="AC38" s="401">
        <v>0</v>
      </c>
      <c r="AD38" s="400">
        <v>0</v>
      </c>
      <c r="AE38" s="401">
        <v>0</v>
      </c>
      <c r="AF38" s="400"/>
      <c r="AG38" s="401"/>
      <c r="AH38" s="400"/>
      <c r="AI38" s="401"/>
      <c r="AJ38" s="400">
        <v>0</v>
      </c>
      <c r="AK38" s="401">
        <v>0</v>
      </c>
      <c r="AL38" s="400">
        <v>0</v>
      </c>
      <c r="AM38" s="401">
        <v>0</v>
      </c>
      <c r="AN38" s="400">
        <v>0</v>
      </c>
      <c r="AO38" s="401">
        <v>0</v>
      </c>
      <c r="AP38" s="400">
        <v>0</v>
      </c>
      <c r="AQ38" s="401">
        <v>0</v>
      </c>
      <c r="AR38" s="400">
        <v>0</v>
      </c>
      <c r="AS38" s="401">
        <v>0</v>
      </c>
      <c r="AT38" s="400"/>
      <c r="AU38" s="401"/>
      <c r="AV38" s="400"/>
      <c r="AW38" s="401"/>
      <c r="AX38" s="400">
        <v>0</v>
      </c>
      <c r="AY38" s="401">
        <v>0</v>
      </c>
      <c r="AZ38" s="400">
        <v>0</v>
      </c>
      <c r="BA38" s="401">
        <v>0</v>
      </c>
      <c r="BB38" s="400">
        <v>0</v>
      </c>
      <c r="BC38" s="401">
        <v>0</v>
      </c>
      <c r="BD38" s="400">
        <v>0</v>
      </c>
      <c r="BE38" s="401">
        <v>0</v>
      </c>
      <c r="BF38" s="400">
        <v>0</v>
      </c>
      <c r="BG38" s="401">
        <v>0</v>
      </c>
      <c r="BH38" s="400"/>
      <c r="BI38" s="401"/>
      <c r="BJ38" s="400"/>
      <c r="BK38" s="401"/>
      <c r="BL38" s="400">
        <v>0</v>
      </c>
      <c r="BM38" s="401">
        <v>0</v>
      </c>
      <c r="BN38" s="400">
        <v>0</v>
      </c>
      <c r="BO38" s="401">
        <v>0</v>
      </c>
      <c r="BP38" s="400">
        <v>0</v>
      </c>
      <c r="BQ38" s="401">
        <v>0</v>
      </c>
      <c r="BR38" s="400">
        <v>0</v>
      </c>
      <c r="BS38" s="401">
        <v>0</v>
      </c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3218</v>
      </c>
      <c r="B39" s="386" t="s">
        <v>3219</v>
      </c>
      <c r="C39" s="392" t="s">
        <v>3186</v>
      </c>
      <c r="D39" s="387" t="s">
        <v>3220</v>
      </c>
      <c r="E39" s="388" t="s">
        <v>3221</v>
      </c>
      <c r="F39" s="389" t="s">
        <v>3182</v>
      </c>
      <c r="G39" s="389" t="s">
        <v>3183</v>
      </c>
      <c r="H39" s="390" t="s">
        <v>1489</v>
      </c>
      <c r="I39" s="391" t="s">
        <v>1489</v>
      </c>
      <c r="J39" s="353" t="s">
        <v>3190</v>
      </c>
      <c r="K39" s="356" t="s">
        <v>3189</v>
      </c>
      <c r="L39" s="400">
        <v>0</v>
      </c>
      <c r="M39" s="401">
        <v>0</v>
      </c>
      <c r="N39" s="400">
        <v>0</v>
      </c>
      <c r="O39" s="401">
        <v>0</v>
      </c>
      <c r="P39" s="400">
        <v>0</v>
      </c>
      <c r="Q39" s="401">
        <v>0</v>
      </c>
      <c r="R39" s="400"/>
      <c r="S39" s="401"/>
      <c r="T39" s="400"/>
      <c r="U39" s="401"/>
      <c r="V39" s="400">
        <v>0</v>
      </c>
      <c r="W39" s="401">
        <v>0</v>
      </c>
      <c r="X39" s="400">
        <v>0</v>
      </c>
      <c r="Y39" s="401">
        <v>0</v>
      </c>
      <c r="Z39" s="400">
        <v>0</v>
      </c>
      <c r="AA39" s="401">
        <v>0</v>
      </c>
      <c r="AB39" s="400">
        <v>0</v>
      </c>
      <c r="AC39" s="401">
        <v>0</v>
      </c>
      <c r="AD39" s="400">
        <v>0</v>
      </c>
      <c r="AE39" s="401">
        <v>0</v>
      </c>
      <c r="AF39" s="400"/>
      <c r="AG39" s="401"/>
      <c r="AH39" s="400"/>
      <c r="AI39" s="401"/>
      <c r="AJ39" s="400">
        <v>0</v>
      </c>
      <c r="AK39" s="401">
        <v>0</v>
      </c>
      <c r="AL39" s="400">
        <v>0</v>
      </c>
      <c r="AM39" s="401">
        <v>0</v>
      </c>
      <c r="AN39" s="400">
        <v>0</v>
      </c>
      <c r="AO39" s="401">
        <v>0</v>
      </c>
      <c r="AP39" s="400">
        <v>0</v>
      </c>
      <c r="AQ39" s="401">
        <v>0</v>
      </c>
      <c r="AR39" s="400">
        <v>0</v>
      </c>
      <c r="AS39" s="401">
        <v>0</v>
      </c>
      <c r="AT39" s="400"/>
      <c r="AU39" s="401"/>
      <c r="AV39" s="400"/>
      <c r="AW39" s="401"/>
      <c r="AX39" s="400">
        <v>0</v>
      </c>
      <c r="AY39" s="401">
        <v>0</v>
      </c>
      <c r="AZ39" s="400">
        <v>0</v>
      </c>
      <c r="BA39" s="401">
        <v>0</v>
      </c>
      <c r="BB39" s="400">
        <v>0</v>
      </c>
      <c r="BC39" s="401">
        <v>0</v>
      </c>
      <c r="BD39" s="400">
        <v>0</v>
      </c>
      <c r="BE39" s="401">
        <v>0</v>
      </c>
      <c r="BF39" s="400">
        <v>0</v>
      </c>
      <c r="BG39" s="401">
        <v>0</v>
      </c>
      <c r="BH39" s="400"/>
      <c r="BI39" s="401"/>
      <c r="BJ39" s="400"/>
      <c r="BK39" s="401"/>
      <c r="BL39" s="400">
        <v>0</v>
      </c>
      <c r="BM39" s="401">
        <v>0</v>
      </c>
      <c r="BN39" s="400">
        <v>0</v>
      </c>
      <c r="BO39" s="401">
        <v>0</v>
      </c>
      <c r="BP39" s="400">
        <v>0</v>
      </c>
      <c r="BQ39" s="401">
        <v>0</v>
      </c>
      <c r="BR39" s="400">
        <v>0</v>
      </c>
      <c r="BS39" s="401">
        <v>0</v>
      </c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3218</v>
      </c>
      <c r="B40" s="393" t="s">
        <v>3219</v>
      </c>
      <c r="C40" s="394" t="s">
        <v>3186</v>
      </c>
      <c r="D40" s="395" t="s">
        <v>3220</v>
      </c>
      <c r="E40" s="411" t="s">
        <v>3221</v>
      </c>
      <c r="F40" s="396" t="s">
        <v>3182</v>
      </c>
      <c r="G40" s="396" t="s">
        <v>3183</v>
      </c>
      <c r="H40" s="397" t="s">
        <v>1489</v>
      </c>
      <c r="I40" s="899" t="s">
        <v>1489</v>
      </c>
      <c r="J40" s="353" t="s">
        <v>3190</v>
      </c>
      <c r="K40" s="357" t="s">
        <v>60</v>
      </c>
      <c r="L40" s="402">
        <v>0</v>
      </c>
      <c r="M40" s="403">
        <v>0</v>
      </c>
      <c r="N40" s="402">
        <v>0</v>
      </c>
      <c r="O40" s="403">
        <v>0</v>
      </c>
      <c r="P40" s="402">
        <v>0</v>
      </c>
      <c r="Q40" s="403">
        <v>0</v>
      </c>
      <c r="R40" s="402"/>
      <c r="S40" s="403"/>
      <c r="T40" s="402"/>
      <c r="U40" s="403"/>
      <c r="V40" s="402">
        <v>0</v>
      </c>
      <c r="W40" s="403">
        <v>0</v>
      </c>
      <c r="X40" s="402">
        <v>0</v>
      </c>
      <c r="Y40" s="403">
        <v>0</v>
      </c>
      <c r="Z40" s="402">
        <v>0</v>
      </c>
      <c r="AA40" s="403">
        <v>0</v>
      </c>
      <c r="AB40" s="402">
        <v>0</v>
      </c>
      <c r="AC40" s="403">
        <v>0</v>
      </c>
      <c r="AD40" s="402">
        <v>0</v>
      </c>
      <c r="AE40" s="403">
        <v>0</v>
      </c>
      <c r="AF40" s="402"/>
      <c r="AG40" s="403"/>
      <c r="AH40" s="402"/>
      <c r="AI40" s="403"/>
      <c r="AJ40" s="402">
        <v>0</v>
      </c>
      <c r="AK40" s="403">
        <v>0</v>
      </c>
      <c r="AL40" s="402">
        <v>0</v>
      </c>
      <c r="AM40" s="403">
        <v>0</v>
      </c>
      <c r="AN40" s="402">
        <v>0</v>
      </c>
      <c r="AO40" s="403">
        <v>0</v>
      </c>
      <c r="AP40" s="402">
        <v>0</v>
      </c>
      <c r="AQ40" s="403">
        <v>0</v>
      </c>
      <c r="AR40" s="402">
        <v>0</v>
      </c>
      <c r="AS40" s="403">
        <v>0</v>
      </c>
      <c r="AT40" s="402"/>
      <c r="AU40" s="403"/>
      <c r="AV40" s="402"/>
      <c r="AW40" s="403"/>
      <c r="AX40" s="402">
        <v>0</v>
      </c>
      <c r="AY40" s="403">
        <v>0</v>
      </c>
      <c r="AZ40" s="402">
        <v>0</v>
      </c>
      <c r="BA40" s="403">
        <v>0</v>
      </c>
      <c r="BB40" s="402">
        <v>0</v>
      </c>
      <c r="BC40" s="403">
        <v>0</v>
      </c>
      <c r="BD40" s="402">
        <v>0</v>
      </c>
      <c r="BE40" s="403">
        <v>0</v>
      </c>
      <c r="BF40" s="402">
        <v>0</v>
      </c>
      <c r="BG40" s="403">
        <v>0</v>
      </c>
      <c r="BH40" s="402"/>
      <c r="BI40" s="403"/>
      <c r="BJ40" s="402"/>
      <c r="BK40" s="403"/>
      <c r="BL40" s="402">
        <v>0</v>
      </c>
      <c r="BM40" s="403">
        <v>0</v>
      </c>
      <c r="BN40" s="402">
        <v>0</v>
      </c>
      <c r="BO40" s="403">
        <v>0</v>
      </c>
      <c r="BP40" s="402">
        <v>0</v>
      </c>
      <c r="BQ40" s="403">
        <v>0</v>
      </c>
      <c r="BR40" s="402">
        <v>0</v>
      </c>
      <c r="BS40" s="403">
        <v>0</v>
      </c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3222</v>
      </c>
      <c r="B41" s="526" t="s">
        <v>3223</v>
      </c>
      <c r="C41" s="527">
        <v>1</v>
      </c>
      <c r="D41" s="528" t="s">
        <v>3224</v>
      </c>
      <c r="E41" s="426" t="s">
        <v>3225</v>
      </c>
      <c r="F41" s="529" t="s">
        <v>3182</v>
      </c>
      <c r="G41" s="529" t="s">
        <v>3183</v>
      </c>
      <c r="H41" s="530" t="s">
        <v>1490</v>
      </c>
      <c r="I41" s="384" t="s">
        <v>1490</v>
      </c>
      <c r="J41" s="353" t="s">
        <v>3184</v>
      </c>
      <c r="K41" s="354" t="s">
        <v>3185</v>
      </c>
      <c r="L41" s="402">
        <v>0</v>
      </c>
      <c r="M41" s="403">
        <v>0</v>
      </c>
      <c r="N41" s="402">
        <v>0</v>
      </c>
      <c r="O41" s="403">
        <v>0</v>
      </c>
      <c r="P41" s="402">
        <v>0</v>
      </c>
      <c r="Q41" s="403">
        <v>0</v>
      </c>
      <c r="R41" s="402"/>
      <c r="S41" s="403"/>
      <c r="T41" s="402"/>
      <c r="U41" s="403"/>
      <c r="V41" s="402">
        <v>0</v>
      </c>
      <c r="W41" s="403">
        <v>0</v>
      </c>
      <c r="X41" s="402">
        <v>0</v>
      </c>
      <c r="Y41" s="403">
        <v>0</v>
      </c>
      <c r="Z41" s="402">
        <v>0</v>
      </c>
      <c r="AA41" s="403">
        <v>0</v>
      </c>
      <c r="AB41" s="402">
        <v>0</v>
      </c>
      <c r="AC41" s="403">
        <v>0</v>
      </c>
      <c r="AD41" s="402">
        <v>0</v>
      </c>
      <c r="AE41" s="403">
        <v>0</v>
      </c>
      <c r="AF41" s="402"/>
      <c r="AG41" s="403"/>
      <c r="AH41" s="402"/>
      <c r="AI41" s="403"/>
      <c r="AJ41" s="402">
        <v>0</v>
      </c>
      <c r="AK41" s="403">
        <v>0</v>
      </c>
      <c r="AL41" s="402">
        <v>0</v>
      </c>
      <c r="AM41" s="403">
        <v>0</v>
      </c>
      <c r="AN41" s="402">
        <v>0</v>
      </c>
      <c r="AO41" s="403">
        <v>0</v>
      </c>
      <c r="AP41" s="402">
        <v>0</v>
      </c>
      <c r="AQ41" s="403">
        <v>0</v>
      </c>
      <c r="AR41" s="402">
        <v>0</v>
      </c>
      <c r="AS41" s="403">
        <v>0</v>
      </c>
      <c r="AT41" s="402"/>
      <c r="AU41" s="403"/>
      <c r="AV41" s="402"/>
      <c r="AW41" s="403"/>
      <c r="AX41" s="402">
        <v>0</v>
      </c>
      <c r="AY41" s="403">
        <v>0</v>
      </c>
      <c r="AZ41" s="402">
        <v>0</v>
      </c>
      <c r="BA41" s="403">
        <v>0</v>
      </c>
      <c r="BB41" s="402">
        <v>0</v>
      </c>
      <c r="BC41" s="403">
        <v>0</v>
      </c>
      <c r="BD41" s="402">
        <v>0</v>
      </c>
      <c r="BE41" s="403">
        <v>0</v>
      </c>
      <c r="BF41" s="402">
        <v>0</v>
      </c>
      <c r="BG41" s="403">
        <v>0</v>
      </c>
      <c r="BH41" s="402"/>
      <c r="BI41" s="403"/>
      <c r="BJ41" s="402"/>
      <c r="BK41" s="403"/>
      <c r="BL41" s="402">
        <v>0</v>
      </c>
      <c r="BM41" s="403">
        <v>0</v>
      </c>
      <c r="BN41" s="402">
        <v>0</v>
      </c>
      <c r="BO41" s="403">
        <v>0</v>
      </c>
      <c r="BP41" s="402">
        <v>0</v>
      </c>
      <c r="BQ41" s="403">
        <v>0</v>
      </c>
      <c r="BR41" s="402">
        <v>0</v>
      </c>
      <c r="BS41" s="403">
        <v>0</v>
      </c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3222</v>
      </c>
      <c r="B42" s="386" t="s">
        <v>3223</v>
      </c>
      <c r="C42" s="352" t="s">
        <v>3186</v>
      </c>
      <c r="D42" s="387" t="s">
        <v>3224</v>
      </c>
      <c r="E42" s="388" t="s">
        <v>3225</v>
      </c>
      <c r="F42" s="389" t="s">
        <v>3182</v>
      </c>
      <c r="G42" s="389" t="s">
        <v>3183</v>
      </c>
      <c r="H42" s="390" t="s">
        <v>1490</v>
      </c>
      <c r="I42" s="391" t="s">
        <v>1490</v>
      </c>
      <c r="J42" s="353" t="s">
        <v>3184</v>
      </c>
      <c r="K42" s="353" t="s">
        <v>3187</v>
      </c>
      <c r="L42" s="400">
        <v>0</v>
      </c>
      <c r="M42" s="401">
        <v>0</v>
      </c>
      <c r="N42" s="400">
        <v>0</v>
      </c>
      <c r="O42" s="401">
        <v>0</v>
      </c>
      <c r="P42" s="400">
        <v>0</v>
      </c>
      <c r="Q42" s="401">
        <v>0</v>
      </c>
      <c r="R42" s="400"/>
      <c r="S42" s="401"/>
      <c r="T42" s="400"/>
      <c r="U42" s="401"/>
      <c r="V42" s="400">
        <v>0</v>
      </c>
      <c r="W42" s="401">
        <v>0</v>
      </c>
      <c r="X42" s="400">
        <v>0</v>
      </c>
      <c r="Y42" s="401">
        <v>0</v>
      </c>
      <c r="Z42" s="400">
        <v>0</v>
      </c>
      <c r="AA42" s="401">
        <v>0</v>
      </c>
      <c r="AB42" s="400">
        <v>0</v>
      </c>
      <c r="AC42" s="401">
        <v>0</v>
      </c>
      <c r="AD42" s="400">
        <v>0</v>
      </c>
      <c r="AE42" s="401">
        <v>0</v>
      </c>
      <c r="AF42" s="400"/>
      <c r="AG42" s="401"/>
      <c r="AH42" s="400"/>
      <c r="AI42" s="401"/>
      <c r="AJ42" s="400">
        <v>0</v>
      </c>
      <c r="AK42" s="401">
        <v>0</v>
      </c>
      <c r="AL42" s="400">
        <v>0</v>
      </c>
      <c r="AM42" s="401">
        <v>0</v>
      </c>
      <c r="AN42" s="400">
        <v>0</v>
      </c>
      <c r="AO42" s="401">
        <v>0</v>
      </c>
      <c r="AP42" s="400">
        <v>0</v>
      </c>
      <c r="AQ42" s="401">
        <v>0</v>
      </c>
      <c r="AR42" s="400">
        <v>0</v>
      </c>
      <c r="AS42" s="401">
        <v>0</v>
      </c>
      <c r="AT42" s="400"/>
      <c r="AU42" s="401"/>
      <c r="AV42" s="400"/>
      <c r="AW42" s="401"/>
      <c r="AX42" s="400">
        <v>0</v>
      </c>
      <c r="AY42" s="401">
        <v>0</v>
      </c>
      <c r="AZ42" s="400">
        <v>0</v>
      </c>
      <c r="BA42" s="401">
        <v>0</v>
      </c>
      <c r="BB42" s="400">
        <v>0</v>
      </c>
      <c r="BC42" s="401">
        <v>0</v>
      </c>
      <c r="BD42" s="400">
        <v>0</v>
      </c>
      <c r="BE42" s="401">
        <v>0</v>
      </c>
      <c r="BF42" s="400">
        <v>0</v>
      </c>
      <c r="BG42" s="401">
        <v>0</v>
      </c>
      <c r="BH42" s="400"/>
      <c r="BI42" s="401"/>
      <c r="BJ42" s="400"/>
      <c r="BK42" s="401"/>
      <c r="BL42" s="400">
        <v>0</v>
      </c>
      <c r="BM42" s="401">
        <v>0</v>
      </c>
      <c r="BN42" s="400">
        <v>0</v>
      </c>
      <c r="BO42" s="401">
        <v>0</v>
      </c>
      <c r="BP42" s="400">
        <v>0</v>
      </c>
      <c r="BQ42" s="401">
        <v>0</v>
      </c>
      <c r="BR42" s="400">
        <v>0</v>
      </c>
      <c r="BS42" s="401">
        <v>0</v>
      </c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3222</v>
      </c>
      <c r="B43" s="386" t="s">
        <v>3223</v>
      </c>
      <c r="C43" s="392" t="s">
        <v>3186</v>
      </c>
      <c r="D43" s="387" t="s">
        <v>3224</v>
      </c>
      <c r="E43" s="388" t="s">
        <v>3225</v>
      </c>
      <c r="F43" s="389" t="s">
        <v>3182</v>
      </c>
      <c r="G43" s="389" t="s">
        <v>3183</v>
      </c>
      <c r="H43" s="390" t="s">
        <v>1490</v>
      </c>
      <c r="I43" s="391" t="s">
        <v>1490</v>
      </c>
      <c r="J43" s="353" t="s">
        <v>3184</v>
      </c>
      <c r="K43" s="355" t="s">
        <v>3188</v>
      </c>
      <c r="L43" s="400">
        <v>0</v>
      </c>
      <c r="M43" s="401">
        <v>0</v>
      </c>
      <c r="N43" s="400">
        <v>0</v>
      </c>
      <c r="O43" s="401">
        <v>0</v>
      </c>
      <c r="P43" s="400">
        <v>0</v>
      </c>
      <c r="Q43" s="401">
        <v>0</v>
      </c>
      <c r="R43" s="400"/>
      <c r="S43" s="401"/>
      <c r="T43" s="400"/>
      <c r="U43" s="401"/>
      <c r="V43" s="400">
        <v>0</v>
      </c>
      <c r="W43" s="401">
        <v>0</v>
      </c>
      <c r="X43" s="400">
        <v>0</v>
      </c>
      <c r="Y43" s="401">
        <v>0</v>
      </c>
      <c r="Z43" s="400">
        <v>0</v>
      </c>
      <c r="AA43" s="401">
        <v>0</v>
      </c>
      <c r="AB43" s="400">
        <v>0</v>
      </c>
      <c r="AC43" s="401">
        <v>0</v>
      </c>
      <c r="AD43" s="400">
        <v>0</v>
      </c>
      <c r="AE43" s="401">
        <v>0</v>
      </c>
      <c r="AF43" s="400"/>
      <c r="AG43" s="401"/>
      <c r="AH43" s="400"/>
      <c r="AI43" s="401"/>
      <c r="AJ43" s="400">
        <v>0</v>
      </c>
      <c r="AK43" s="401">
        <v>0</v>
      </c>
      <c r="AL43" s="400">
        <v>0</v>
      </c>
      <c r="AM43" s="401">
        <v>0</v>
      </c>
      <c r="AN43" s="400">
        <v>0</v>
      </c>
      <c r="AO43" s="401">
        <v>0</v>
      </c>
      <c r="AP43" s="400">
        <v>0</v>
      </c>
      <c r="AQ43" s="401">
        <v>0</v>
      </c>
      <c r="AR43" s="400">
        <v>0</v>
      </c>
      <c r="AS43" s="401">
        <v>0</v>
      </c>
      <c r="AT43" s="400"/>
      <c r="AU43" s="401"/>
      <c r="AV43" s="400"/>
      <c r="AW43" s="401"/>
      <c r="AX43" s="400">
        <v>0</v>
      </c>
      <c r="AY43" s="401">
        <v>0</v>
      </c>
      <c r="AZ43" s="400">
        <v>0</v>
      </c>
      <c r="BA43" s="401">
        <v>0</v>
      </c>
      <c r="BB43" s="400">
        <v>0</v>
      </c>
      <c r="BC43" s="401">
        <v>0</v>
      </c>
      <c r="BD43" s="400">
        <v>0</v>
      </c>
      <c r="BE43" s="401">
        <v>0</v>
      </c>
      <c r="BF43" s="400">
        <v>0</v>
      </c>
      <c r="BG43" s="401">
        <v>0</v>
      </c>
      <c r="BH43" s="400"/>
      <c r="BI43" s="401"/>
      <c r="BJ43" s="400"/>
      <c r="BK43" s="401"/>
      <c r="BL43" s="400">
        <v>0</v>
      </c>
      <c r="BM43" s="401">
        <v>0</v>
      </c>
      <c r="BN43" s="400">
        <v>0</v>
      </c>
      <c r="BO43" s="401">
        <v>0</v>
      </c>
      <c r="BP43" s="400">
        <v>0</v>
      </c>
      <c r="BQ43" s="401">
        <v>0</v>
      </c>
      <c r="BR43" s="400">
        <v>0</v>
      </c>
      <c r="BS43" s="401">
        <v>0</v>
      </c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3222</v>
      </c>
      <c r="B44" s="386" t="s">
        <v>3223</v>
      </c>
      <c r="C44" s="392" t="s">
        <v>3186</v>
      </c>
      <c r="D44" s="387" t="s">
        <v>3224</v>
      </c>
      <c r="E44" s="388" t="s">
        <v>3225</v>
      </c>
      <c r="F44" s="389" t="s">
        <v>3182</v>
      </c>
      <c r="G44" s="389" t="s">
        <v>3183</v>
      </c>
      <c r="H44" s="390" t="s">
        <v>1490</v>
      </c>
      <c r="I44" s="391" t="s">
        <v>1490</v>
      </c>
      <c r="J44" s="353" t="s">
        <v>3184</v>
      </c>
      <c r="K44" s="356" t="s">
        <v>3189</v>
      </c>
      <c r="L44" s="400">
        <v>0</v>
      </c>
      <c r="M44" s="401">
        <v>0</v>
      </c>
      <c r="N44" s="400">
        <v>0</v>
      </c>
      <c r="O44" s="401">
        <v>0</v>
      </c>
      <c r="P44" s="400">
        <v>0</v>
      </c>
      <c r="Q44" s="401">
        <v>0</v>
      </c>
      <c r="R44" s="400"/>
      <c r="S44" s="401"/>
      <c r="T44" s="400"/>
      <c r="U44" s="401"/>
      <c r="V44" s="400">
        <v>0</v>
      </c>
      <c r="W44" s="401">
        <v>0</v>
      </c>
      <c r="X44" s="400">
        <v>0</v>
      </c>
      <c r="Y44" s="401">
        <v>0</v>
      </c>
      <c r="Z44" s="400">
        <v>0</v>
      </c>
      <c r="AA44" s="401">
        <v>0</v>
      </c>
      <c r="AB44" s="400">
        <v>0</v>
      </c>
      <c r="AC44" s="401">
        <v>0</v>
      </c>
      <c r="AD44" s="400">
        <v>0</v>
      </c>
      <c r="AE44" s="401">
        <v>0</v>
      </c>
      <c r="AF44" s="400"/>
      <c r="AG44" s="401"/>
      <c r="AH44" s="400"/>
      <c r="AI44" s="401"/>
      <c r="AJ44" s="400">
        <v>0</v>
      </c>
      <c r="AK44" s="401">
        <v>0</v>
      </c>
      <c r="AL44" s="400">
        <v>0</v>
      </c>
      <c r="AM44" s="401">
        <v>0</v>
      </c>
      <c r="AN44" s="400">
        <v>0</v>
      </c>
      <c r="AO44" s="401">
        <v>0</v>
      </c>
      <c r="AP44" s="400">
        <v>0</v>
      </c>
      <c r="AQ44" s="401">
        <v>0</v>
      </c>
      <c r="AR44" s="400">
        <v>0</v>
      </c>
      <c r="AS44" s="401">
        <v>0</v>
      </c>
      <c r="AT44" s="400"/>
      <c r="AU44" s="401"/>
      <c r="AV44" s="400"/>
      <c r="AW44" s="401"/>
      <c r="AX44" s="400">
        <v>0</v>
      </c>
      <c r="AY44" s="401">
        <v>0</v>
      </c>
      <c r="AZ44" s="400">
        <v>0</v>
      </c>
      <c r="BA44" s="401">
        <v>0</v>
      </c>
      <c r="BB44" s="400">
        <v>0</v>
      </c>
      <c r="BC44" s="401">
        <v>0</v>
      </c>
      <c r="BD44" s="400">
        <v>0</v>
      </c>
      <c r="BE44" s="401">
        <v>0</v>
      </c>
      <c r="BF44" s="400">
        <v>0</v>
      </c>
      <c r="BG44" s="401">
        <v>0</v>
      </c>
      <c r="BH44" s="400"/>
      <c r="BI44" s="401"/>
      <c r="BJ44" s="400"/>
      <c r="BK44" s="401"/>
      <c r="BL44" s="400">
        <v>0</v>
      </c>
      <c r="BM44" s="401">
        <v>0</v>
      </c>
      <c r="BN44" s="400">
        <v>0</v>
      </c>
      <c r="BO44" s="401">
        <v>0</v>
      </c>
      <c r="BP44" s="400">
        <v>0</v>
      </c>
      <c r="BQ44" s="401">
        <v>0</v>
      </c>
      <c r="BR44" s="400">
        <v>0</v>
      </c>
      <c r="BS44" s="401">
        <v>0</v>
      </c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3222</v>
      </c>
      <c r="B45" s="393" t="s">
        <v>3223</v>
      </c>
      <c r="C45" s="394" t="s">
        <v>3186</v>
      </c>
      <c r="D45" s="395" t="s">
        <v>3224</v>
      </c>
      <c r="E45" s="411" t="s">
        <v>3225</v>
      </c>
      <c r="F45" s="396" t="s">
        <v>3182</v>
      </c>
      <c r="G45" s="396" t="s">
        <v>3183</v>
      </c>
      <c r="H45" s="397" t="s">
        <v>1490</v>
      </c>
      <c r="I45" s="899" t="s">
        <v>1490</v>
      </c>
      <c r="J45" s="353" t="s">
        <v>3184</v>
      </c>
      <c r="K45" s="357" t="s">
        <v>60</v>
      </c>
      <c r="L45" s="402">
        <v>0</v>
      </c>
      <c r="M45" s="403">
        <v>0</v>
      </c>
      <c r="N45" s="402">
        <v>0</v>
      </c>
      <c r="O45" s="403">
        <v>0</v>
      </c>
      <c r="P45" s="402">
        <v>0</v>
      </c>
      <c r="Q45" s="403">
        <v>0</v>
      </c>
      <c r="R45" s="402"/>
      <c r="S45" s="403"/>
      <c r="T45" s="402"/>
      <c r="U45" s="403"/>
      <c r="V45" s="402">
        <v>0</v>
      </c>
      <c r="W45" s="403">
        <v>0</v>
      </c>
      <c r="X45" s="402">
        <v>0</v>
      </c>
      <c r="Y45" s="403">
        <v>0</v>
      </c>
      <c r="Z45" s="402">
        <v>0</v>
      </c>
      <c r="AA45" s="403">
        <v>0</v>
      </c>
      <c r="AB45" s="402">
        <v>0</v>
      </c>
      <c r="AC45" s="403">
        <v>0</v>
      </c>
      <c r="AD45" s="402">
        <v>0</v>
      </c>
      <c r="AE45" s="403">
        <v>0</v>
      </c>
      <c r="AF45" s="402"/>
      <c r="AG45" s="403"/>
      <c r="AH45" s="402"/>
      <c r="AI45" s="403"/>
      <c r="AJ45" s="402">
        <v>0</v>
      </c>
      <c r="AK45" s="403">
        <v>0</v>
      </c>
      <c r="AL45" s="402">
        <v>0</v>
      </c>
      <c r="AM45" s="403">
        <v>0</v>
      </c>
      <c r="AN45" s="402">
        <v>0</v>
      </c>
      <c r="AO45" s="403">
        <v>0</v>
      </c>
      <c r="AP45" s="402">
        <v>0</v>
      </c>
      <c r="AQ45" s="403">
        <v>0</v>
      </c>
      <c r="AR45" s="402">
        <v>0</v>
      </c>
      <c r="AS45" s="403">
        <v>0</v>
      </c>
      <c r="AT45" s="402"/>
      <c r="AU45" s="403"/>
      <c r="AV45" s="402"/>
      <c r="AW45" s="403"/>
      <c r="AX45" s="402">
        <v>0</v>
      </c>
      <c r="AY45" s="403">
        <v>0</v>
      </c>
      <c r="AZ45" s="402">
        <v>0</v>
      </c>
      <c r="BA45" s="403">
        <v>0</v>
      </c>
      <c r="BB45" s="402">
        <v>0</v>
      </c>
      <c r="BC45" s="403">
        <v>0</v>
      </c>
      <c r="BD45" s="402">
        <v>0</v>
      </c>
      <c r="BE45" s="403">
        <v>0</v>
      </c>
      <c r="BF45" s="402">
        <v>0</v>
      </c>
      <c r="BG45" s="403">
        <v>0</v>
      </c>
      <c r="BH45" s="402"/>
      <c r="BI45" s="403"/>
      <c r="BJ45" s="402"/>
      <c r="BK45" s="403"/>
      <c r="BL45" s="402">
        <v>0</v>
      </c>
      <c r="BM45" s="403">
        <v>0</v>
      </c>
      <c r="BN45" s="402">
        <v>0</v>
      </c>
      <c r="BO45" s="403">
        <v>0</v>
      </c>
      <c r="BP45" s="402">
        <v>0</v>
      </c>
      <c r="BQ45" s="403">
        <v>0</v>
      </c>
      <c r="BR45" s="402">
        <v>0</v>
      </c>
      <c r="BS45" s="403">
        <v>0</v>
      </c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3226</v>
      </c>
      <c r="B46" s="526" t="s">
        <v>3227</v>
      </c>
      <c r="C46" s="527">
        <v>1</v>
      </c>
      <c r="D46" s="528" t="s">
        <v>3228</v>
      </c>
      <c r="E46" s="426" t="s">
        <v>3229</v>
      </c>
      <c r="F46" s="529" t="s">
        <v>3182</v>
      </c>
      <c r="G46" s="529" t="s">
        <v>3183</v>
      </c>
      <c r="H46" s="530" t="s">
        <v>1492</v>
      </c>
      <c r="I46" s="384" t="s">
        <v>1492</v>
      </c>
      <c r="J46" s="353" t="s">
        <v>3184</v>
      </c>
      <c r="K46" s="354" t="s">
        <v>3185</v>
      </c>
      <c r="L46" s="402">
        <v>0</v>
      </c>
      <c r="M46" s="403">
        <v>0</v>
      </c>
      <c r="N46" s="402">
        <v>0</v>
      </c>
      <c r="O46" s="403">
        <v>0</v>
      </c>
      <c r="P46" s="402">
        <v>0</v>
      </c>
      <c r="Q46" s="403">
        <v>0</v>
      </c>
      <c r="R46" s="402"/>
      <c r="S46" s="403"/>
      <c r="T46" s="402"/>
      <c r="U46" s="403"/>
      <c r="V46" s="402">
        <v>0</v>
      </c>
      <c r="W46" s="403">
        <v>0</v>
      </c>
      <c r="X46" s="402">
        <v>0</v>
      </c>
      <c r="Y46" s="403">
        <v>0</v>
      </c>
      <c r="Z46" s="402">
        <v>0</v>
      </c>
      <c r="AA46" s="403">
        <v>0</v>
      </c>
      <c r="AB46" s="402">
        <v>0</v>
      </c>
      <c r="AC46" s="403">
        <v>0</v>
      </c>
      <c r="AD46" s="402">
        <v>0</v>
      </c>
      <c r="AE46" s="403">
        <v>0</v>
      </c>
      <c r="AF46" s="402"/>
      <c r="AG46" s="403"/>
      <c r="AH46" s="402"/>
      <c r="AI46" s="403"/>
      <c r="AJ46" s="402">
        <v>0</v>
      </c>
      <c r="AK46" s="403">
        <v>0</v>
      </c>
      <c r="AL46" s="402">
        <v>0</v>
      </c>
      <c r="AM46" s="403">
        <v>0</v>
      </c>
      <c r="AN46" s="402">
        <v>0</v>
      </c>
      <c r="AO46" s="403">
        <v>0</v>
      </c>
      <c r="AP46" s="402">
        <v>0</v>
      </c>
      <c r="AQ46" s="403">
        <v>0</v>
      </c>
      <c r="AR46" s="402">
        <v>0</v>
      </c>
      <c r="AS46" s="403">
        <v>0</v>
      </c>
      <c r="AT46" s="402"/>
      <c r="AU46" s="403"/>
      <c r="AV46" s="402"/>
      <c r="AW46" s="403"/>
      <c r="AX46" s="402">
        <v>0</v>
      </c>
      <c r="AY46" s="403">
        <v>0</v>
      </c>
      <c r="AZ46" s="402">
        <v>0</v>
      </c>
      <c r="BA46" s="403">
        <v>0</v>
      </c>
      <c r="BB46" s="402">
        <v>0</v>
      </c>
      <c r="BC46" s="403">
        <v>0</v>
      </c>
      <c r="BD46" s="402">
        <v>0</v>
      </c>
      <c r="BE46" s="403">
        <v>0</v>
      </c>
      <c r="BF46" s="402">
        <v>0</v>
      </c>
      <c r="BG46" s="403">
        <v>0</v>
      </c>
      <c r="BH46" s="402"/>
      <c r="BI46" s="403"/>
      <c r="BJ46" s="402"/>
      <c r="BK46" s="403"/>
      <c r="BL46" s="402">
        <v>0</v>
      </c>
      <c r="BM46" s="403">
        <v>0</v>
      </c>
      <c r="BN46" s="402">
        <v>0</v>
      </c>
      <c r="BO46" s="403">
        <v>0</v>
      </c>
      <c r="BP46" s="402">
        <v>0</v>
      </c>
      <c r="BQ46" s="403">
        <v>0</v>
      </c>
      <c r="BR46" s="402">
        <v>0</v>
      </c>
      <c r="BS46" s="403">
        <v>0</v>
      </c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3226</v>
      </c>
      <c r="B47" s="386" t="s">
        <v>3227</v>
      </c>
      <c r="C47" s="352" t="s">
        <v>3186</v>
      </c>
      <c r="D47" s="387" t="s">
        <v>3228</v>
      </c>
      <c r="E47" s="388" t="s">
        <v>3229</v>
      </c>
      <c r="F47" s="389" t="s">
        <v>3182</v>
      </c>
      <c r="G47" s="389" t="s">
        <v>3183</v>
      </c>
      <c r="H47" s="390" t="s">
        <v>1492</v>
      </c>
      <c r="I47" s="391" t="s">
        <v>1492</v>
      </c>
      <c r="J47" s="353" t="s">
        <v>3184</v>
      </c>
      <c r="K47" s="353" t="s">
        <v>3187</v>
      </c>
      <c r="L47" s="400">
        <v>0</v>
      </c>
      <c r="M47" s="401">
        <v>0</v>
      </c>
      <c r="N47" s="400">
        <v>0</v>
      </c>
      <c r="O47" s="401">
        <v>0</v>
      </c>
      <c r="P47" s="400">
        <v>0</v>
      </c>
      <c r="Q47" s="401">
        <v>0</v>
      </c>
      <c r="R47" s="400"/>
      <c r="S47" s="401"/>
      <c r="T47" s="400"/>
      <c r="U47" s="401"/>
      <c r="V47" s="400">
        <v>0</v>
      </c>
      <c r="W47" s="401">
        <v>0</v>
      </c>
      <c r="X47" s="400">
        <v>0</v>
      </c>
      <c r="Y47" s="401">
        <v>0</v>
      </c>
      <c r="Z47" s="400">
        <v>0</v>
      </c>
      <c r="AA47" s="401">
        <v>0</v>
      </c>
      <c r="AB47" s="400">
        <v>0</v>
      </c>
      <c r="AC47" s="401">
        <v>0</v>
      </c>
      <c r="AD47" s="400">
        <v>0</v>
      </c>
      <c r="AE47" s="401">
        <v>0</v>
      </c>
      <c r="AF47" s="400"/>
      <c r="AG47" s="401"/>
      <c r="AH47" s="400"/>
      <c r="AI47" s="401"/>
      <c r="AJ47" s="400">
        <v>0</v>
      </c>
      <c r="AK47" s="401">
        <v>0</v>
      </c>
      <c r="AL47" s="400">
        <v>0</v>
      </c>
      <c r="AM47" s="401">
        <v>0</v>
      </c>
      <c r="AN47" s="400">
        <v>0</v>
      </c>
      <c r="AO47" s="401">
        <v>0</v>
      </c>
      <c r="AP47" s="400">
        <v>0</v>
      </c>
      <c r="AQ47" s="401">
        <v>0</v>
      </c>
      <c r="AR47" s="400">
        <v>0</v>
      </c>
      <c r="AS47" s="401">
        <v>0</v>
      </c>
      <c r="AT47" s="400"/>
      <c r="AU47" s="401"/>
      <c r="AV47" s="400"/>
      <c r="AW47" s="401"/>
      <c r="AX47" s="400">
        <v>0</v>
      </c>
      <c r="AY47" s="401">
        <v>0</v>
      </c>
      <c r="AZ47" s="400">
        <v>0</v>
      </c>
      <c r="BA47" s="401">
        <v>0</v>
      </c>
      <c r="BB47" s="400">
        <v>0</v>
      </c>
      <c r="BC47" s="401">
        <v>0</v>
      </c>
      <c r="BD47" s="400">
        <v>0</v>
      </c>
      <c r="BE47" s="401">
        <v>0</v>
      </c>
      <c r="BF47" s="400">
        <v>0</v>
      </c>
      <c r="BG47" s="401">
        <v>0</v>
      </c>
      <c r="BH47" s="400"/>
      <c r="BI47" s="401"/>
      <c r="BJ47" s="400"/>
      <c r="BK47" s="401"/>
      <c r="BL47" s="400">
        <v>0</v>
      </c>
      <c r="BM47" s="401">
        <v>0</v>
      </c>
      <c r="BN47" s="400">
        <v>0</v>
      </c>
      <c r="BO47" s="401">
        <v>0</v>
      </c>
      <c r="BP47" s="400">
        <v>0</v>
      </c>
      <c r="BQ47" s="401">
        <v>0</v>
      </c>
      <c r="BR47" s="400">
        <v>0</v>
      </c>
      <c r="BS47" s="401">
        <v>0</v>
      </c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3226</v>
      </c>
      <c r="B48" s="386" t="s">
        <v>3227</v>
      </c>
      <c r="C48" s="392" t="s">
        <v>3186</v>
      </c>
      <c r="D48" s="387" t="s">
        <v>3228</v>
      </c>
      <c r="E48" s="388" t="s">
        <v>3229</v>
      </c>
      <c r="F48" s="389" t="s">
        <v>3182</v>
      </c>
      <c r="G48" s="389" t="s">
        <v>3183</v>
      </c>
      <c r="H48" s="390" t="s">
        <v>1492</v>
      </c>
      <c r="I48" s="391" t="s">
        <v>1492</v>
      </c>
      <c r="J48" s="353" t="s">
        <v>3184</v>
      </c>
      <c r="K48" s="355" t="s">
        <v>3188</v>
      </c>
      <c r="L48" s="400">
        <v>0</v>
      </c>
      <c r="M48" s="401">
        <v>0</v>
      </c>
      <c r="N48" s="400">
        <v>0</v>
      </c>
      <c r="O48" s="401">
        <v>0</v>
      </c>
      <c r="P48" s="400">
        <v>0</v>
      </c>
      <c r="Q48" s="401">
        <v>0</v>
      </c>
      <c r="R48" s="400"/>
      <c r="S48" s="401"/>
      <c r="T48" s="400"/>
      <c r="U48" s="401"/>
      <c r="V48" s="400">
        <v>0</v>
      </c>
      <c r="W48" s="401">
        <v>0</v>
      </c>
      <c r="X48" s="400">
        <v>0</v>
      </c>
      <c r="Y48" s="401">
        <v>0</v>
      </c>
      <c r="Z48" s="400">
        <v>0</v>
      </c>
      <c r="AA48" s="401">
        <v>0</v>
      </c>
      <c r="AB48" s="400">
        <v>0</v>
      </c>
      <c r="AC48" s="401">
        <v>0</v>
      </c>
      <c r="AD48" s="400">
        <v>0</v>
      </c>
      <c r="AE48" s="401">
        <v>0</v>
      </c>
      <c r="AF48" s="400"/>
      <c r="AG48" s="401"/>
      <c r="AH48" s="400"/>
      <c r="AI48" s="401"/>
      <c r="AJ48" s="400">
        <v>0</v>
      </c>
      <c r="AK48" s="401">
        <v>0</v>
      </c>
      <c r="AL48" s="400">
        <v>0</v>
      </c>
      <c r="AM48" s="401">
        <v>0</v>
      </c>
      <c r="AN48" s="400">
        <v>0</v>
      </c>
      <c r="AO48" s="401">
        <v>0</v>
      </c>
      <c r="AP48" s="400">
        <v>0</v>
      </c>
      <c r="AQ48" s="401">
        <v>0</v>
      </c>
      <c r="AR48" s="400">
        <v>0</v>
      </c>
      <c r="AS48" s="401">
        <v>0</v>
      </c>
      <c r="AT48" s="400"/>
      <c r="AU48" s="401"/>
      <c r="AV48" s="400"/>
      <c r="AW48" s="401"/>
      <c r="AX48" s="400">
        <v>0</v>
      </c>
      <c r="AY48" s="401">
        <v>0</v>
      </c>
      <c r="AZ48" s="400">
        <v>0</v>
      </c>
      <c r="BA48" s="401">
        <v>0</v>
      </c>
      <c r="BB48" s="400">
        <v>0</v>
      </c>
      <c r="BC48" s="401">
        <v>0</v>
      </c>
      <c r="BD48" s="400">
        <v>0</v>
      </c>
      <c r="BE48" s="401">
        <v>0</v>
      </c>
      <c r="BF48" s="400">
        <v>0</v>
      </c>
      <c r="BG48" s="401">
        <v>0</v>
      </c>
      <c r="BH48" s="400"/>
      <c r="BI48" s="401"/>
      <c r="BJ48" s="400"/>
      <c r="BK48" s="401"/>
      <c r="BL48" s="400">
        <v>0</v>
      </c>
      <c r="BM48" s="401">
        <v>0</v>
      </c>
      <c r="BN48" s="400">
        <v>0</v>
      </c>
      <c r="BO48" s="401">
        <v>0</v>
      </c>
      <c r="BP48" s="400">
        <v>0</v>
      </c>
      <c r="BQ48" s="401">
        <v>0</v>
      </c>
      <c r="BR48" s="400">
        <v>0</v>
      </c>
      <c r="BS48" s="401">
        <v>0</v>
      </c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3226</v>
      </c>
      <c r="B49" s="386" t="s">
        <v>3227</v>
      </c>
      <c r="C49" s="392" t="s">
        <v>3186</v>
      </c>
      <c r="D49" s="387" t="s">
        <v>3228</v>
      </c>
      <c r="E49" s="388" t="s">
        <v>3229</v>
      </c>
      <c r="F49" s="389" t="s">
        <v>3182</v>
      </c>
      <c r="G49" s="389" t="s">
        <v>3183</v>
      </c>
      <c r="H49" s="390" t="s">
        <v>1492</v>
      </c>
      <c r="I49" s="391" t="s">
        <v>1492</v>
      </c>
      <c r="J49" s="353" t="s">
        <v>3184</v>
      </c>
      <c r="K49" s="356" t="s">
        <v>3189</v>
      </c>
      <c r="L49" s="400">
        <v>0</v>
      </c>
      <c r="M49" s="401">
        <v>0</v>
      </c>
      <c r="N49" s="400">
        <v>0</v>
      </c>
      <c r="O49" s="401">
        <v>0</v>
      </c>
      <c r="P49" s="400">
        <v>0</v>
      </c>
      <c r="Q49" s="401">
        <v>0</v>
      </c>
      <c r="R49" s="400"/>
      <c r="S49" s="401"/>
      <c r="T49" s="400"/>
      <c r="U49" s="401"/>
      <c r="V49" s="400">
        <v>0</v>
      </c>
      <c r="W49" s="401">
        <v>0</v>
      </c>
      <c r="X49" s="400">
        <v>0</v>
      </c>
      <c r="Y49" s="401">
        <v>0</v>
      </c>
      <c r="Z49" s="400">
        <v>0</v>
      </c>
      <c r="AA49" s="401">
        <v>0</v>
      </c>
      <c r="AB49" s="400">
        <v>0</v>
      </c>
      <c r="AC49" s="401">
        <v>0</v>
      </c>
      <c r="AD49" s="400">
        <v>0</v>
      </c>
      <c r="AE49" s="401">
        <v>0</v>
      </c>
      <c r="AF49" s="400"/>
      <c r="AG49" s="401"/>
      <c r="AH49" s="400"/>
      <c r="AI49" s="401"/>
      <c r="AJ49" s="400">
        <v>0</v>
      </c>
      <c r="AK49" s="401">
        <v>0</v>
      </c>
      <c r="AL49" s="400">
        <v>0</v>
      </c>
      <c r="AM49" s="401">
        <v>0</v>
      </c>
      <c r="AN49" s="400">
        <v>0</v>
      </c>
      <c r="AO49" s="401">
        <v>0</v>
      </c>
      <c r="AP49" s="400">
        <v>0</v>
      </c>
      <c r="AQ49" s="401">
        <v>0</v>
      </c>
      <c r="AR49" s="400">
        <v>0</v>
      </c>
      <c r="AS49" s="401">
        <v>0</v>
      </c>
      <c r="AT49" s="400"/>
      <c r="AU49" s="401"/>
      <c r="AV49" s="400"/>
      <c r="AW49" s="401"/>
      <c r="AX49" s="400">
        <v>0</v>
      </c>
      <c r="AY49" s="401">
        <v>0</v>
      </c>
      <c r="AZ49" s="400">
        <v>0</v>
      </c>
      <c r="BA49" s="401">
        <v>0</v>
      </c>
      <c r="BB49" s="400">
        <v>0</v>
      </c>
      <c r="BC49" s="401">
        <v>0</v>
      </c>
      <c r="BD49" s="400">
        <v>0</v>
      </c>
      <c r="BE49" s="401">
        <v>0</v>
      </c>
      <c r="BF49" s="400">
        <v>0</v>
      </c>
      <c r="BG49" s="401">
        <v>0</v>
      </c>
      <c r="BH49" s="400"/>
      <c r="BI49" s="401"/>
      <c r="BJ49" s="400"/>
      <c r="BK49" s="401"/>
      <c r="BL49" s="400">
        <v>0</v>
      </c>
      <c r="BM49" s="401">
        <v>0</v>
      </c>
      <c r="BN49" s="400">
        <v>0</v>
      </c>
      <c r="BO49" s="401">
        <v>0</v>
      </c>
      <c r="BP49" s="400">
        <v>0</v>
      </c>
      <c r="BQ49" s="401">
        <v>0</v>
      </c>
      <c r="BR49" s="400">
        <v>0</v>
      </c>
      <c r="BS49" s="401">
        <v>0</v>
      </c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3226</v>
      </c>
      <c r="B50" s="393" t="s">
        <v>3227</v>
      </c>
      <c r="C50" s="394" t="s">
        <v>3186</v>
      </c>
      <c r="D50" s="395" t="s">
        <v>3228</v>
      </c>
      <c r="E50" s="411" t="s">
        <v>3229</v>
      </c>
      <c r="F50" s="396" t="s">
        <v>3182</v>
      </c>
      <c r="G50" s="396" t="s">
        <v>3183</v>
      </c>
      <c r="H50" s="397" t="s">
        <v>1492</v>
      </c>
      <c r="I50" s="899" t="s">
        <v>1492</v>
      </c>
      <c r="J50" s="353" t="s">
        <v>3184</v>
      </c>
      <c r="K50" s="357" t="s">
        <v>60</v>
      </c>
      <c r="L50" s="402">
        <v>0</v>
      </c>
      <c r="M50" s="403">
        <v>0</v>
      </c>
      <c r="N50" s="402">
        <v>0</v>
      </c>
      <c r="O50" s="403">
        <v>0</v>
      </c>
      <c r="P50" s="402">
        <v>0</v>
      </c>
      <c r="Q50" s="403">
        <v>0</v>
      </c>
      <c r="R50" s="402"/>
      <c r="S50" s="403"/>
      <c r="T50" s="402"/>
      <c r="U50" s="403"/>
      <c r="V50" s="402">
        <v>0</v>
      </c>
      <c r="W50" s="403">
        <v>0</v>
      </c>
      <c r="X50" s="402">
        <v>0</v>
      </c>
      <c r="Y50" s="403">
        <v>0</v>
      </c>
      <c r="Z50" s="402">
        <v>0</v>
      </c>
      <c r="AA50" s="403">
        <v>0</v>
      </c>
      <c r="AB50" s="402">
        <v>0</v>
      </c>
      <c r="AC50" s="403">
        <v>0</v>
      </c>
      <c r="AD50" s="402">
        <v>0</v>
      </c>
      <c r="AE50" s="403">
        <v>0</v>
      </c>
      <c r="AF50" s="402"/>
      <c r="AG50" s="403"/>
      <c r="AH50" s="402"/>
      <c r="AI50" s="403"/>
      <c r="AJ50" s="402">
        <v>0</v>
      </c>
      <c r="AK50" s="403">
        <v>0</v>
      </c>
      <c r="AL50" s="402">
        <v>0</v>
      </c>
      <c r="AM50" s="403">
        <v>0</v>
      </c>
      <c r="AN50" s="402">
        <v>0</v>
      </c>
      <c r="AO50" s="403">
        <v>0</v>
      </c>
      <c r="AP50" s="402">
        <v>0</v>
      </c>
      <c r="AQ50" s="403">
        <v>0</v>
      </c>
      <c r="AR50" s="402">
        <v>0</v>
      </c>
      <c r="AS50" s="403">
        <v>0</v>
      </c>
      <c r="AT50" s="402"/>
      <c r="AU50" s="403"/>
      <c r="AV50" s="402"/>
      <c r="AW50" s="403"/>
      <c r="AX50" s="402">
        <v>0</v>
      </c>
      <c r="AY50" s="403">
        <v>0</v>
      </c>
      <c r="AZ50" s="402">
        <v>0</v>
      </c>
      <c r="BA50" s="403">
        <v>0</v>
      </c>
      <c r="BB50" s="402">
        <v>0</v>
      </c>
      <c r="BC50" s="403">
        <v>0</v>
      </c>
      <c r="BD50" s="402">
        <v>0</v>
      </c>
      <c r="BE50" s="403">
        <v>0</v>
      </c>
      <c r="BF50" s="402">
        <v>0</v>
      </c>
      <c r="BG50" s="403">
        <v>0</v>
      </c>
      <c r="BH50" s="402"/>
      <c r="BI50" s="403"/>
      <c r="BJ50" s="402"/>
      <c r="BK50" s="403"/>
      <c r="BL50" s="402">
        <v>0</v>
      </c>
      <c r="BM50" s="403">
        <v>0</v>
      </c>
      <c r="BN50" s="402">
        <v>0</v>
      </c>
      <c r="BO50" s="403">
        <v>0</v>
      </c>
      <c r="BP50" s="402">
        <v>0</v>
      </c>
      <c r="BQ50" s="403">
        <v>0</v>
      </c>
      <c r="BR50" s="402">
        <v>0</v>
      </c>
      <c r="BS50" s="403">
        <v>0</v>
      </c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3230</v>
      </c>
      <c r="B51" s="526" t="s">
        <v>3231</v>
      </c>
      <c r="C51" s="527">
        <v>1</v>
      </c>
      <c r="D51" s="528" t="s">
        <v>3232</v>
      </c>
      <c r="E51" s="426" t="s">
        <v>3233</v>
      </c>
      <c r="F51" s="529" t="s">
        <v>3182</v>
      </c>
      <c r="G51" s="529" t="s">
        <v>3183</v>
      </c>
      <c r="H51" s="530" t="s">
        <v>1493</v>
      </c>
      <c r="I51" s="384" t="s">
        <v>1493</v>
      </c>
      <c r="J51" s="353" t="s">
        <v>3184</v>
      </c>
      <c r="K51" s="354" t="s">
        <v>3185</v>
      </c>
      <c r="L51" s="402">
        <v>0</v>
      </c>
      <c r="M51" s="403">
        <v>0</v>
      </c>
      <c r="N51" s="402">
        <v>0</v>
      </c>
      <c r="O51" s="403">
        <v>0</v>
      </c>
      <c r="P51" s="402">
        <v>0</v>
      </c>
      <c r="Q51" s="403">
        <v>0</v>
      </c>
      <c r="R51" s="402"/>
      <c r="S51" s="403"/>
      <c r="T51" s="402"/>
      <c r="U51" s="403"/>
      <c r="V51" s="402">
        <v>0</v>
      </c>
      <c r="W51" s="403">
        <v>0</v>
      </c>
      <c r="X51" s="402">
        <v>0</v>
      </c>
      <c r="Y51" s="403">
        <v>0</v>
      </c>
      <c r="Z51" s="402">
        <v>0</v>
      </c>
      <c r="AA51" s="403">
        <v>0</v>
      </c>
      <c r="AB51" s="402">
        <v>0</v>
      </c>
      <c r="AC51" s="403">
        <v>0</v>
      </c>
      <c r="AD51" s="402">
        <v>0</v>
      </c>
      <c r="AE51" s="403">
        <v>0</v>
      </c>
      <c r="AF51" s="402"/>
      <c r="AG51" s="403"/>
      <c r="AH51" s="402"/>
      <c r="AI51" s="403"/>
      <c r="AJ51" s="402">
        <v>0</v>
      </c>
      <c r="AK51" s="403">
        <v>0</v>
      </c>
      <c r="AL51" s="402">
        <v>0</v>
      </c>
      <c r="AM51" s="403">
        <v>0</v>
      </c>
      <c r="AN51" s="402">
        <v>0</v>
      </c>
      <c r="AO51" s="403">
        <v>0</v>
      </c>
      <c r="AP51" s="402">
        <v>0</v>
      </c>
      <c r="AQ51" s="403">
        <v>0</v>
      </c>
      <c r="AR51" s="402">
        <v>0</v>
      </c>
      <c r="AS51" s="403">
        <v>0</v>
      </c>
      <c r="AT51" s="402"/>
      <c r="AU51" s="403"/>
      <c r="AV51" s="402"/>
      <c r="AW51" s="403"/>
      <c r="AX51" s="402">
        <v>0</v>
      </c>
      <c r="AY51" s="403">
        <v>0</v>
      </c>
      <c r="AZ51" s="402">
        <v>0</v>
      </c>
      <c r="BA51" s="403">
        <v>0</v>
      </c>
      <c r="BB51" s="402">
        <v>0</v>
      </c>
      <c r="BC51" s="403">
        <v>0</v>
      </c>
      <c r="BD51" s="402">
        <v>0</v>
      </c>
      <c r="BE51" s="403">
        <v>0</v>
      </c>
      <c r="BF51" s="402">
        <v>0</v>
      </c>
      <c r="BG51" s="403">
        <v>0</v>
      </c>
      <c r="BH51" s="402"/>
      <c r="BI51" s="403"/>
      <c r="BJ51" s="402"/>
      <c r="BK51" s="403"/>
      <c r="BL51" s="402">
        <v>0</v>
      </c>
      <c r="BM51" s="403">
        <v>0</v>
      </c>
      <c r="BN51" s="402">
        <v>0</v>
      </c>
      <c r="BO51" s="403">
        <v>0</v>
      </c>
      <c r="BP51" s="402">
        <v>0</v>
      </c>
      <c r="BQ51" s="403">
        <v>0</v>
      </c>
      <c r="BR51" s="402">
        <v>0</v>
      </c>
      <c r="BS51" s="403">
        <v>0</v>
      </c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3230</v>
      </c>
      <c r="B52" s="386" t="s">
        <v>3231</v>
      </c>
      <c r="C52" s="352" t="s">
        <v>3186</v>
      </c>
      <c r="D52" s="387" t="s">
        <v>3232</v>
      </c>
      <c r="E52" s="388" t="s">
        <v>3233</v>
      </c>
      <c r="F52" s="389" t="s">
        <v>3182</v>
      </c>
      <c r="G52" s="389" t="s">
        <v>3183</v>
      </c>
      <c r="H52" s="390" t="s">
        <v>1493</v>
      </c>
      <c r="I52" s="391" t="s">
        <v>1493</v>
      </c>
      <c r="J52" s="353" t="s">
        <v>3184</v>
      </c>
      <c r="K52" s="353" t="s">
        <v>3187</v>
      </c>
      <c r="L52" s="400">
        <v>0</v>
      </c>
      <c r="M52" s="401">
        <v>0</v>
      </c>
      <c r="N52" s="400">
        <v>0</v>
      </c>
      <c r="O52" s="401">
        <v>0</v>
      </c>
      <c r="P52" s="400">
        <v>0</v>
      </c>
      <c r="Q52" s="401">
        <v>0</v>
      </c>
      <c r="R52" s="400"/>
      <c r="S52" s="401"/>
      <c r="T52" s="400"/>
      <c r="U52" s="401"/>
      <c r="V52" s="400">
        <v>0</v>
      </c>
      <c r="W52" s="401">
        <v>0</v>
      </c>
      <c r="X52" s="400">
        <v>0</v>
      </c>
      <c r="Y52" s="401">
        <v>0</v>
      </c>
      <c r="Z52" s="400">
        <v>0</v>
      </c>
      <c r="AA52" s="401">
        <v>0</v>
      </c>
      <c r="AB52" s="400">
        <v>0</v>
      </c>
      <c r="AC52" s="401">
        <v>0</v>
      </c>
      <c r="AD52" s="400">
        <v>0</v>
      </c>
      <c r="AE52" s="401">
        <v>0</v>
      </c>
      <c r="AF52" s="400"/>
      <c r="AG52" s="401"/>
      <c r="AH52" s="400"/>
      <c r="AI52" s="401"/>
      <c r="AJ52" s="400">
        <v>0</v>
      </c>
      <c r="AK52" s="401">
        <v>0</v>
      </c>
      <c r="AL52" s="400">
        <v>0</v>
      </c>
      <c r="AM52" s="401">
        <v>0</v>
      </c>
      <c r="AN52" s="400">
        <v>0</v>
      </c>
      <c r="AO52" s="401">
        <v>0</v>
      </c>
      <c r="AP52" s="400">
        <v>0</v>
      </c>
      <c r="AQ52" s="401">
        <v>0</v>
      </c>
      <c r="AR52" s="400">
        <v>0</v>
      </c>
      <c r="AS52" s="401">
        <v>0</v>
      </c>
      <c r="AT52" s="400"/>
      <c r="AU52" s="401"/>
      <c r="AV52" s="400"/>
      <c r="AW52" s="401"/>
      <c r="AX52" s="400">
        <v>0</v>
      </c>
      <c r="AY52" s="401">
        <v>0</v>
      </c>
      <c r="AZ52" s="400">
        <v>0</v>
      </c>
      <c r="BA52" s="401">
        <v>0</v>
      </c>
      <c r="BB52" s="400">
        <v>0</v>
      </c>
      <c r="BC52" s="401">
        <v>0</v>
      </c>
      <c r="BD52" s="400">
        <v>0</v>
      </c>
      <c r="BE52" s="401">
        <v>0</v>
      </c>
      <c r="BF52" s="400">
        <v>0</v>
      </c>
      <c r="BG52" s="401">
        <v>0</v>
      </c>
      <c r="BH52" s="400"/>
      <c r="BI52" s="401"/>
      <c r="BJ52" s="400"/>
      <c r="BK52" s="401"/>
      <c r="BL52" s="400">
        <v>0</v>
      </c>
      <c r="BM52" s="401">
        <v>0</v>
      </c>
      <c r="BN52" s="400">
        <v>0</v>
      </c>
      <c r="BO52" s="401">
        <v>0</v>
      </c>
      <c r="BP52" s="400">
        <v>0</v>
      </c>
      <c r="BQ52" s="401">
        <v>0</v>
      </c>
      <c r="BR52" s="400">
        <v>0</v>
      </c>
      <c r="BS52" s="401">
        <v>0</v>
      </c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3230</v>
      </c>
      <c r="B53" s="386" t="s">
        <v>3231</v>
      </c>
      <c r="C53" s="392" t="s">
        <v>3186</v>
      </c>
      <c r="D53" s="387" t="s">
        <v>3232</v>
      </c>
      <c r="E53" s="388" t="s">
        <v>3233</v>
      </c>
      <c r="F53" s="389" t="s">
        <v>3182</v>
      </c>
      <c r="G53" s="389" t="s">
        <v>3183</v>
      </c>
      <c r="H53" s="390" t="s">
        <v>1493</v>
      </c>
      <c r="I53" s="391" t="s">
        <v>1493</v>
      </c>
      <c r="J53" s="353" t="s">
        <v>3184</v>
      </c>
      <c r="K53" s="355" t="s">
        <v>3188</v>
      </c>
      <c r="L53" s="400">
        <v>0</v>
      </c>
      <c r="M53" s="401">
        <v>0</v>
      </c>
      <c r="N53" s="400">
        <v>0</v>
      </c>
      <c r="O53" s="401">
        <v>0</v>
      </c>
      <c r="P53" s="400">
        <v>0</v>
      </c>
      <c r="Q53" s="401">
        <v>0</v>
      </c>
      <c r="R53" s="400"/>
      <c r="S53" s="401"/>
      <c r="T53" s="400"/>
      <c r="U53" s="401"/>
      <c r="V53" s="400">
        <v>0</v>
      </c>
      <c r="W53" s="401">
        <v>0</v>
      </c>
      <c r="X53" s="400">
        <v>0</v>
      </c>
      <c r="Y53" s="401">
        <v>0</v>
      </c>
      <c r="Z53" s="400">
        <v>0</v>
      </c>
      <c r="AA53" s="401">
        <v>0</v>
      </c>
      <c r="AB53" s="400">
        <v>0</v>
      </c>
      <c r="AC53" s="401">
        <v>0</v>
      </c>
      <c r="AD53" s="400">
        <v>0</v>
      </c>
      <c r="AE53" s="401">
        <v>0</v>
      </c>
      <c r="AF53" s="400"/>
      <c r="AG53" s="401"/>
      <c r="AH53" s="400"/>
      <c r="AI53" s="401"/>
      <c r="AJ53" s="400">
        <v>0</v>
      </c>
      <c r="AK53" s="401">
        <v>0</v>
      </c>
      <c r="AL53" s="400">
        <v>0</v>
      </c>
      <c r="AM53" s="401">
        <v>0</v>
      </c>
      <c r="AN53" s="400">
        <v>0</v>
      </c>
      <c r="AO53" s="401">
        <v>0</v>
      </c>
      <c r="AP53" s="400">
        <v>0</v>
      </c>
      <c r="AQ53" s="401">
        <v>0</v>
      </c>
      <c r="AR53" s="400">
        <v>0</v>
      </c>
      <c r="AS53" s="401">
        <v>0</v>
      </c>
      <c r="AT53" s="400"/>
      <c r="AU53" s="401"/>
      <c r="AV53" s="400"/>
      <c r="AW53" s="401"/>
      <c r="AX53" s="400">
        <v>0</v>
      </c>
      <c r="AY53" s="401">
        <v>0</v>
      </c>
      <c r="AZ53" s="400">
        <v>0</v>
      </c>
      <c r="BA53" s="401">
        <v>0</v>
      </c>
      <c r="BB53" s="400">
        <v>0</v>
      </c>
      <c r="BC53" s="401">
        <v>0</v>
      </c>
      <c r="BD53" s="400">
        <v>0</v>
      </c>
      <c r="BE53" s="401">
        <v>0</v>
      </c>
      <c r="BF53" s="400">
        <v>0</v>
      </c>
      <c r="BG53" s="401">
        <v>0</v>
      </c>
      <c r="BH53" s="400"/>
      <c r="BI53" s="401"/>
      <c r="BJ53" s="400"/>
      <c r="BK53" s="401"/>
      <c r="BL53" s="400">
        <v>0</v>
      </c>
      <c r="BM53" s="401">
        <v>0</v>
      </c>
      <c r="BN53" s="400">
        <v>0</v>
      </c>
      <c r="BO53" s="401">
        <v>0</v>
      </c>
      <c r="BP53" s="400">
        <v>0</v>
      </c>
      <c r="BQ53" s="401">
        <v>0</v>
      </c>
      <c r="BR53" s="400">
        <v>0</v>
      </c>
      <c r="BS53" s="401">
        <v>0</v>
      </c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3230</v>
      </c>
      <c r="B54" s="386" t="s">
        <v>3231</v>
      </c>
      <c r="C54" s="392" t="s">
        <v>3186</v>
      </c>
      <c r="D54" s="387" t="s">
        <v>3232</v>
      </c>
      <c r="E54" s="388" t="s">
        <v>3233</v>
      </c>
      <c r="F54" s="389" t="s">
        <v>3182</v>
      </c>
      <c r="G54" s="389" t="s">
        <v>3183</v>
      </c>
      <c r="H54" s="390" t="s">
        <v>1493</v>
      </c>
      <c r="I54" s="391" t="s">
        <v>1493</v>
      </c>
      <c r="J54" s="353" t="s">
        <v>3184</v>
      </c>
      <c r="K54" s="356" t="s">
        <v>3189</v>
      </c>
      <c r="L54" s="400">
        <v>0</v>
      </c>
      <c r="M54" s="401">
        <v>0</v>
      </c>
      <c r="N54" s="400">
        <v>0</v>
      </c>
      <c r="O54" s="401">
        <v>0</v>
      </c>
      <c r="P54" s="400">
        <v>0</v>
      </c>
      <c r="Q54" s="401">
        <v>0</v>
      </c>
      <c r="R54" s="400"/>
      <c r="S54" s="401"/>
      <c r="T54" s="400"/>
      <c r="U54" s="401"/>
      <c r="V54" s="400">
        <v>0</v>
      </c>
      <c r="W54" s="401">
        <v>0</v>
      </c>
      <c r="X54" s="400">
        <v>0</v>
      </c>
      <c r="Y54" s="401">
        <v>0</v>
      </c>
      <c r="Z54" s="400">
        <v>0</v>
      </c>
      <c r="AA54" s="401">
        <v>0</v>
      </c>
      <c r="AB54" s="400">
        <v>0</v>
      </c>
      <c r="AC54" s="401">
        <v>0</v>
      </c>
      <c r="AD54" s="400">
        <v>0</v>
      </c>
      <c r="AE54" s="401">
        <v>0</v>
      </c>
      <c r="AF54" s="400"/>
      <c r="AG54" s="401"/>
      <c r="AH54" s="400"/>
      <c r="AI54" s="401"/>
      <c r="AJ54" s="400">
        <v>0</v>
      </c>
      <c r="AK54" s="401">
        <v>0</v>
      </c>
      <c r="AL54" s="400">
        <v>0</v>
      </c>
      <c r="AM54" s="401">
        <v>0</v>
      </c>
      <c r="AN54" s="400">
        <v>0</v>
      </c>
      <c r="AO54" s="401">
        <v>0</v>
      </c>
      <c r="AP54" s="400">
        <v>0</v>
      </c>
      <c r="AQ54" s="401">
        <v>0</v>
      </c>
      <c r="AR54" s="400">
        <v>0</v>
      </c>
      <c r="AS54" s="401">
        <v>0</v>
      </c>
      <c r="AT54" s="400"/>
      <c r="AU54" s="401"/>
      <c r="AV54" s="400"/>
      <c r="AW54" s="401"/>
      <c r="AX54" s="400">
        <v>0</v>
      </c>
      <c r="AY54" s="401">
        <v>0</v>
      </c>
      <c r="AZ54" s="400">
        <v>0</v>
      </c>
      <c r="BA54" s="401">
        <v>0</v>
      </c>
      <c r="BB54" s="400">
        <v>0</v>
      </c>
      <c r="BC54" s="401">
        <v>0</v>
      </c>
      <c r="BD54" s="400">
        <v>0</v>
      </c>
      <c r="BE54" s="401">
        <v>0</v>
      </c>
      <c r="BF54" s="400">
        <v>0</v>
      </c>
      <c r="BG54" s="401">
        <v>0</v>
      </c>
      <c r="BH54" s="400"/>
      <c r="BI54" s="401"/>
      <c r="BJ54" s="400"/>
      <c r="BK54" s="401"/>
      <c r="BL54" s="400">
        <v>0</v>
      </c>
      <c r="BM54" s="401">
        <v>0</v>
      </c>
      <c r="BN54" s="400">
        <v>0</v>
      </c>
      <c r="BO54" s="401">
        <v>0</v>
      </c>
      <c r="BP54" s="400">
        <v>0</v>
      </c>
      <c r="BQ54" s="401">
        <v>0</v>
      </c>
      <c r="BR54" s="400">
        <v>0</v>
      </c>
      <c r="BS54" s="401">
        <v>0</v>
      </c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3230</v>
      </c>
      <c r="B55" s="393" t="s">
        <v>3231</v>
      </c>
      <c r="C55" s="394" t="s">
        <v>3186</v>
      </c>
      <c r="D55" s="395" t="s">
        <v>3232</v>
      </c>
      <c r="E55" s="411" t="s">
        <v>3233</v>
      </c>
      <c r="F55" s="396" t="s">
        <v>3182</v>
      </c>
      <c r="G55" s="396" t="s">
        <v>3183</v>
      </c>
      <c r="H55" s="397" t="s">
        <v>1493</v>
      </c>
      <c r="I55" s="899" t="s">
        <v>1493</v>
      </c>
      <c r="J55" s="353" t="s">
        <v>3184</v>
      </c>
      <c r="K55" s="357" t="s">
        <v>60</v>
      </c>
      <c r="L55" s="402">
        <v>0</v>
      </c>
      <c r="M55" s="403">
        <v>0</v>
      </c>
      <c r="N55" s="402">
        <v>0</v>
      </c>
      <c r="O55" s="403">
        <v>0</v>
      </c>
      <c r="P55" s="402">
        <v>0</v>
      </c>
      <c r="Q55" s="403">
        <v>0</v>
      </c>
      <c r="R55" s="402"/>
      <c r="S55" s="403"/>
      <c r="T55" s="402"/>
      <c r="U55" s="403"/>
      <c r="V55" s="402">
        <v>0</v>
      </c>
      <c r="W55" s="403">
        <v>0</v>
      </c>
      <c r="X55" s="402">
        <v>0</v>
      </c>
      <c r="Y55" s="403">
        <v>0</v>
      </c>
      <c r="Z55" s="402">
        <v>0</v>
      </c>
      <c r="AA55" s="403">
        <v>0</v>
      </c>
      <c r="AB55" s="402">
        <v>0</v>
      </c>
      <c r="AC55" s="403">
        <v>0</v>
      </c>
      <c r="AD55" s="402">
        <v>0</v>
      </c>
      <c r="AE55" s="403">
        <v>0</v>
      </c>
      <c r="AF55" s="402"/>
      <c r="AG55" s="403"/>
      <c r="AH55" s="402"/>
      <c r="AI55" s="403"/>
      <c r="AJ55" s="402">
        <v>0</v>
      </c>
      <c r="AK55" s="403">
        <v>0</v>
      </c>
      <c r="AL55" s="402">
        <v>0</v>
      </c>
      <c r="AM55" s="403">
        <v>0</v>
      </c>
      <c r="AN55" s="402">
        <v>0</v>
      </c>
      <c r="AO55" s="403">
        <v>0</v>
      </c>
      <c r="AP55" s="402">
        <v>0</v>
      </c>
      <c r="AQ55" s="403">
        <v>0</v>
      </c>
      <c r="AR55" s="402">
        <v>0</v>
      </c>
      <c r="AS55" s="403">
        <v>0</v>
      </c>
      <c r="AT55" s="402"/>
      <c r="AU55" s="403"/>
      <c r="AV55" s="402"/>
      <c r="AW55" s="403"/>
      <c r="AX55" s="402">
        <v>0</v>
      </c>
      <c r="AY55" s="403">
        <v>0</v>
      </c>
      <c r="AZ55" s="402">
        <v>0</v>
      </c>
      <c r="BA55" s="403">
        <v>0</v>
      </c>
      <c r="BB55" s="402">
        <v>0</v>
      </c>
      <c r="BC55" s="403">
        <v>0</v>
      </c>
      <c r="BD55" s="402">
        <v>0</v>
      </c>
      <c r="BE55" s="403">
        <v>0</v>
      </c>
      <c r="BF55" s="402">
        <v>0</v>
      </c>
      <c r="BG55" s="403">
        <v>0</v>
      </c>
      <c r="BH55" s="402"/>
      <c r="BI55" s="403"/>
      <c r="BJ55" s="402"/>
      <c r="BK55" s="403"/>
      <c r="BL55" s="402">
        <v>0</v>
      </c>
      <c r="BM55" s="403">
        <v>0</v>
      </c>
      <c r="BN55" s="402">
        <v>0</v>
      </c>
      <c r="BO55" s="403">
        <v>0</v>
      </c>
      <c r="BP55" s="402">
        <v>0</v>
      </c>
      <c r="BQ55" s="403">
        <v>0</v>
      </c>
      <c r="BR55" s="402">
        <v>0</v>
      </c>
      <c r="BS55" s="403">
        <v>0</v>
      </c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3234</v>
      </c>
      <c r="B56" s="526" t="s">
        <v>3235</v>
      </c>
      <c r="C56" s="527">
        <v>1</v>
      </c>
      <c r="D56" s="528" t="s">
        <v>3236</v>
      </c>
      <c r="E56" s="426" t="s">
        <v>3237</v>
      </c>
      <c r="F56" s="529" t="s">
        <v>3182</v>
      </c>
      <c r="G56" s="529" t="s">
        <v>3183</v>
      </c>
      <c r="H56" s="530" t="s">
        <v>1496</v>
      </c>
      <c r="I56" s="384" t="s">
        <v>1496</v>
      </c>
      <c r="J56" s="353" t="s">
        <v>3184</v>
      </c>
      <c r="K56" s="354" t="s">
        <v>3185</v>
      </c>
      <c r="L56" s="402">
        <v>0</v>
      </c>
      <c r="M56" s="403">
        <v>0</v>
      </c>
      <c r="N56" s="402">
        <v>0</v>
      </c>
      <c r="O56" s="403">
        <v>0</v>
      </c>
      <c r="P56" s="402">
        <v>0</v>
      </c>
      <c r="Q56" s="403">
        <v>0</v>
      </c>
      <c r="R56" s="402"/>
      <c r="S56" s="403"/>
      <c r="T56" s="402"/>
      <c r="U56" s="403"/>
      <c r="V56" s="402">
        <v>0</v>
      </c>
      <c r="W56" s="403">
        <v>0</v>
      </c>
      <c r="X56" s="402">
        <v>0</v>
      </c>
      <c r="Y56" s="403">
        <v>0</v>
      </c>
      <c r="Z56" s="402">
        <v>0</v>
      </c>
      <c r="AA56" s="403">
        <v>0</v>
      </c>
      <c r="AB56" s="402">
        <v>0</v>
      </c>
      <c r="AC56" s="403">
        <v>0</v>
      </c>
      <c r="AD56" s="402">
        <v>0</v>
      </c>
      <c r="AE56" s="403">
        <v>0</v>
      </c>
      <c r="AF56" s="402"/>
      <c r="AG56" s="403"/>
      <c r="AH56" s="402"/>
      <c r="AI56" s="403"/>
      <c r="AJ56" s="402">
        <v>0</v>
      </c>
      <c r="AK56" s="403">
        <v>0</v>
      </c>
      <c r="AL56" s="402">
        <v>0</v>
      </c>
      <c r="AM56" s="403">
        <v>0</v>
      </c>
      <c r="AN56" s="402">
        <v>0</v>
      </c>
      <c r="AO56" s="403">
        <v>0</v>
      </c>
      <c r="AP56" s="402">
        <v>0</v>
      </c>
      <c r="AQ56" s="403">
        <v>0</v>
      </c>
      <c r="AR56" s="402">
        <v>0</v>
      </c>
      <c r="AS56" s="403">
        <v>0</v>
      </c>
      <c r="AT56" s="402"/>
      <c r="AU56" s="403"/>
      <c r="AV56" s="402"/>
      <c r="AW56" s="403"/>
      <c r="AX56" s="402">
        <v>0</v>
      </c>
      <c r="AY56" s="403">
        <v>0</v>
      </c>
      <c r="AZ56" s="402">
        <v>0</v>
      </c>
      <c r="BA56" s="403">
        <v>0</v>
      </c>
      <c r="BB56" s="402">
        <v>0</v>
      </c>
      <c r="BC56" s="403">
        <v>0</v>
      </c>
      <c r="BD56" s="402">
        <v>0</v>
      </c>
      <c r="BE56" s="403">
        <v>0</v>
      </c>
      <c r="BF56" s="402">
        <v>0</v>
      </c>
      <c r="BG56" s="403">
        <v>0</v>
      </c>
      <c r="BH56" s="402"/>
      <c r="BI56" s="403"/>
      <c r="BJ56" s="402"/>
      <c r="BK56" s="403"/>
      <c r="BL56" s="402">
        <v>0</v>
      </c>
      <c r="BM56" s="403">
        <v>0</v>
      </c>
      <c r="BN56" s="402">
        <v>0</v>
      </c>
      <c r="BO56" s="403">
        <v>0</v>
      </c>
      <c r="BP56" s="402">
        <v>0</v>
      </c>
      <c r="BQ56" s="403">
        <v>0</v>
      </c>
      <c r="BR56" s="402">
        <v>0</v>
      </c>
      <c r="BS56" s="403">
        <v>0</v>
      </c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3234</v>
      </c>
      <c r="B57" s="386" t="s">
        <v>3235</v>
      </c>
      <c r="C57" s="352" t="s">
        <v>3186</v>
      </c>
      <c r="D57" s="387" t="s">
        <v>3236</v>
      </c>
      <c r="E57" s="388" t="s">
        <v>3237</v>
      </c>
      <c r="F57" s="389" t="s">
        <v>3182</v>
      </c>
      <c r="G57" s="389" t="s">
        <v>3183</v>
      </c>
      <c r="H57" s="390" t="s">
        <v>1496</v>
      </c>
      <c r="I57" s="391" t="s">
        <v>1496</v>
      </c>
      <c r="J57" s="353" t="s">
        <v>3184</v>
      </c>
      <c r="K57" s="353" t="s">
        <v>3187</v>
      </c>
      <c r="L57" s="400">
        <v>0</v>
      </c>
      <c r="M57" s="401">
        <v>0</v>
      </c>
      <c r="N57" s="400">
        <v>0</v>
      </c>
      <c r="O57" s="401">
        <v>0</v>
      </c>
      <c r="P57" s="400">
        <v>0</v>
      </c>
      <c r="Q57" s="401">
        <v>0</v>
      </c>
      <c r="R57" s="400"/>
      <c r="S57" s="401"/>
      <c r="T57" s="400"/>
      <c r="U57" s="401"/>
      <c r="V57" s="400">
        <v>11</v>
      </c>
      <c r="W57" s="401">
        <v>0</v>
      </c>
      <c r="X57" s="400">
        <v>0</v>
      </c>
      <c r="Y57" s="401">
        <v>0</v>
      </c>
      <c r="Z57" s="400">
        <v>0</v>
      </c>
      <c r="AA57" s="401">
        <v>0</v>
      </c>
      <c r="AB57" s="400">
        <v>0</v>
      </c>
      <c r="AC57" s="401">
        <v>0</v>
      </c>
      <c r="AD57" s="400">
        <v>0</v>
      </c>
      <c r="AE57" s="401">
        <v>0</v>
      </c>
      <c r="AF57" s="400"/>
      <c r="AG57" s="401"/>
      <c r="AH57" s="400"/>
      <c r="AI57" s="401"/>
      <c r="AJ57" s="400">
        <v>11</v>
      </c>
      <c r="AK57" s="401">
        <v>0</v>
      </c>
      <c r="AL57" s="400">
        <v>0</v>
      </c>
      <c r="AM57" s="401">
        <v>0</v>
      </c>
      <c r="AN57" s="400">
        <v>0</v>
      </c>
      <c r="AO57" s="401">
        <v>0</v>
      </c>
      <c r="AP57" s="400">
        <v>0</v>
      </c>
      <c r="AQ57" s="401">
        <v>0</v>
      </c>
      <c r="AR57" s="400">
        <v>0</v>
      </c>
      <c r="AS57" s="401">
        <v>0</v>
      </c>
      <c r="AT57" s="400"/>
      <c r="AU57" s="401"/>
      <c r="AV57" s="400"/>
      <c r="AW57" s="401"/>
      <c r="AX57" s="400">
        <v>11</v>
      </c>
      <c r="AY57" s="401">
        <v>0</v>
      </c>
      <c r="AZ57" s="400">
        <v>0</v>
      </c>
      <c r="BA57" s="401">
        <v>0</v>
      </c>
      <c r="BB57" s="400">
        <v>0</v>
      </c>
      <c r="BC57" s="401">
        <v>0</v>
      </c>
      <c r="BD57" s="400">
        <v>0</v>
      </c>
      <c r="BE57" s="401">
        <v>0</v>
      </c>
      <c r="BF57" s="400">
        <v>0</v>
      </c>
      <c r="BG57" s="401">
        <v>0</v>
      </c>
      <c r="BH57" s="400"/>
      <c r="BI57" s="401"/>
      <c r="BJ57" s="400"/>
      <c r="BK57" s="401"/>
      <c r="BL57" s="400">
        <v>11</v>
      </c>
      <c r="BM57" s="401">
        <v>0</v>
      </c>
      <c r="BN57" s="400">
        <v>0</v>
      </c>
      <c r="BO57" s="401">
        <v>0</v>
      </c>
      <c r="BP57" s="400">
        <v>0</v>
      </c>
      <c r="BQ57" s="401">
        <v>0</v>
      </c>
      <c r="BR57" s="400">
        <v>0</v>
      </c>
      <c r="BS57" s="401">
        <v>0</v>
      </c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44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3234</v>
      </c>
      <c r="B58" s="386" t="s">
        <v>3235</v>
      </c>
      <c r="C58" s="392" t="s">
        <v>3186</v>
      </c>
      <c r="D58" s="387" t="s">
        <v>3236</v>
      </c>
      <c r="E58" s="388" t="s">
        <v>3237</v>
      </c>
      <c r="F58" s="389" t="s">
        <v>3182</v>
      </c>
      <c r="G58" s="389" t="s">
        <v>3183</v>
      </c>
      <c r="H58" s="390" t="s">
        <v>1496</v>
      </c>
      <c r="I58" s="391" t="s">
        <v>1496</v>
      </c>
      <c r="J58" s="353" t="s">
        <v>3184</v>
      </c>
      <c r="K58" s="355" t="s">
        <v>3188</v>
      </c>
      <c r="L58" s="400">
        <v>0</v>
      </c>
      <c r="M58" s="401">
        <v>0</v>
      </c>
      <c r="N58" s="400">
        <v>0</v>
      </c>
      <c r="O58" s="401">
        <v>0</v>
      </c>
      <c r="P58" s="400">
        <v>0</v>
      </c>
      <c r="Q58" s="401">
        <v>0</v>
      </c>
      <c r="R58" s="400"/>
      <c r="S58" s="401"/>
      <c r="T58" s="400"/>
      <c r="U58" s="401"/>
      <c r="V58" s="400">
        <v>0</v>
      </c>
      <c r="W58" s="401">
        <v>0</v>
      </c>
      <c r="X58" s="400">
        <v>0</v>
      </c>
      <c r="Y58" s="401">
        <v>0</v>
      </c>
      <c r="Z58" s="400">
        <v>0</v>
      </c>
      <c r="AA58" s="401">
        <v>0</v>
      </c>
      <c r="AB58" s="400">
        <v>0</v>
      </c>
      <c r="AC58" s="401">
        <v>0</v>
      </c>
      <c r="AD58" s="400">
        <v>0</v>
      </c>
      <c r="AE58" s="401">
        <v>0</v>
      </c>
      <c r="AF58" s="400"/>
      <c r="AG58" s="401"/>
      <c r="AH58" s="400"/>
      <c r="AI58" s="401"/>
      <c r="AJ58" s="400">
        <v>0</v>
      </c>
      <c r="AK58" s="401">
        <v>0</v>
      </c>
      <c r="AL58" s="400">
        <v>0</v>
      </c>
      <c r="AM58" s="401">
        <v>0</v>
      </c>
      <c r="AN58" s="400">
        <v>0</v>
      </c>
      <c r="AO58" s="401">
        <v>0</v>
      </c>
      <c r="AP58" s="400">
        <v>0</v>
      </c>
      <c r="AQ58" s="401">
        <v>0</v>
      </c>
      <c r="AR58" s="400">
        <v>0</v>
      </c>
      <c r="AS58" s="401">
        <v>0</v>
      </c>
      <c r="AT58" s="400"/>
      <c r="AU58" s="401"/>
      <c r="AV58" s="400"/>
      <c r="AW58" s="401"/>
      <c r="AX58" s="400">
        <v>0</v>
      </c>
      <c r="AY58" s="401">
        <v>0</v>
      </c>
      <c r="AZ58" s="400">
        <v>0</v>
      </c>
      <c r="BA58" s="401">
        <v>0</v>
      </c>
      <c r="BB58" s="400">
        <v>0</v>
      </c>
      <c r="BC58" s="401">
        <v>0</v>
      </c>
      <c r="BD58" s="400">
        <v>0</v>
      </c>
      <c r="BE58" s="401">
        <v>0</v>
      </c>
      <c r="BF58" s="400">
        <v>0</v>
      </c>
      <c r="BG58" s="401">
        <v>0</v>
      </c>
      <c r="BH58" s="400"/>
      <c r="BI58" s="401"/>
      <c r="BJ58" s="400"/>
      <c r="BK58" s="401"/>
      <c r="BL58" s="400">
        <v>0</v>
      </c>
      <c r="BM58" s="401">
        <v>0</v>
      </c>
      <c r="BN58" s="400">
        <v>0</v>
      </c>
      <c r="BO58" s="401">
        <v>0</v>
      </c>
      <c r="BP58" s="400">
        <v>0</v>
      </c>
      <c r="BQ58" s="401">
        <v>0</v>
      </c>
      <c r="BR58" s="400">
        <v>0</v>
      </c>
      <c r="BS58" s="401">
        <v>0</v>
      </c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3234</v>
      </c>
      <c r="B59" s="386" t="s">
        <v>3235</v>
      </c>
      <c r="C59" s="392" t="s">
        <v>3186</v>
      </c>
      <c r="D59" s="387" t="s">
        <v>3236</v>
      </c>
      <c r="E59" s="388" t="s">
        <v>3237</v>
      </c>
      <c r="F59" s="389" t="s">
        <v>3182</v>
      </c>
      <c r="G59" s="389" t="s">
        <v>3183</v>
      </c>
      <c r="H59" s="390" t="s">
        <v>1496</v>
      </c>
      <c r="I59" s="391" t="s">
        <v>1496</v>
      </c>
      <c r="J59" s="353" t="s">
        <v>3184</v>
      </c>
      <c r="K59" s="356" t="s">
        <v>3189</v>
      </c>
      <c r="L59" s="400">
        <v>0</v>
      </c>
      <c r="M59" s="401">
        <v>0</v>
      </c>
      <c r="N59" s="400">
        <v>0</v>
      </c>
      <c r="O59" s="401">
        <v>0</v>
      </c>
      <c r="P59" s="400">
        <v>0</v>
      </c>
      <c r="Q59" s="401">
        <v>0</v>
      </c>
      <c r="R59" s="400"/>
      <c r="S59" s="401"/>
      <c r="T59" s="400"/>
      <c r="U59" s="401"/>
      <c r="V59" s="400">
        <v>0</v>
      </c>
      <c r="W59" s="401">
        <v>0</v>
      </c>
      <c r="X59" s="400">
        <v>0</v>
      </c>
      <c r="Y59" s="401">
        <v>0</v>
      </c>
      <c r="Z59" s="400">
        <v>0</v>
      </c>
      <c r="AA59" s="401">
        <v>0</v>
      </c>
      <c r="AB59" s="400">
        <v>0</v>
      </c>
      <c r="AC59" s="401">
        <v>0</v>
      </c>
      <c r="AD59" s="400">
        <v>0</v>
      </c>
      <c r="AE59" s="401">
        <v>0</v>
      </c>
      <c r="AF59" s="400"/>
      <c r="AG59" s="401"/>
      <c r="AH59" s="400"/>
      <c r="AI59" s="401"/>
      <c r="AJ59" s="400">
        <v>0</v>
      </c>
      <c r="AK59" s="401">
        <v>0</v>
      </c>
      <c r="AL59" s="400">
        <v>0</v>
      </c>
      <c r="AM59" s="401">
        <v>0</v>
      </c>
      <c r="AN59" s="400">
        <v>0</v>
      </c>
      <c r="AO59" s="401">
        <v>0</v>
      </c>
      <c r="AP59" s="400">
        <v>0</v>
      </c>
      <c r="AQ59" s="401">
        <v>0</v>
      </c>
      <c r="AR59" s="400">
        <v>0</v>
      </c>
      <c r="AS59" s="401">
        <v>0</v>
      </c>
      <c r="AT59" s="400"/>
      <c r="AU59" s="401"/>
      <c r="AV59" s="400"/>
      <c r="AW59" s="401"/>
      <c r="AX59" s="400">
        <v>0</v>
      </c>
      <c r="AY59" s="401">
        <v>0</v>
      </c>
      <c r="AZ59" s="400">
        <v>0</v>
      </c>
      <c r="BA59" s="401">
        <v>0</v>
      </c>
      <c r="BB59" s="400">
        <v>0</v>
      </c>
      <c r="BC59" s="401">
        <v>0</v>
      </c>
      <c r="BD59" s="400">
        <v>0</v>
      </c>
      <c r="BE59" s="401">
        <v>0</v>
      </c>
      <c r="BF59" s="400">
        <v>0</v>
      </c>
      <c r="BG59" s="401">
        <v>0</v>
      </c>
      <c r="BH59" s="400"/>
      <c r="BI59" s="401"/>
      <c r="BJ59" s="400"/>
      <c r="BK59" s="401"/>
      <c r="BL59" s="400">
        <v>0</v>
      </c>
      <c r="BM59" s="401">
        <v>0</v>
      </c>
      <c r="BN59" s="400">
        <v>0</v>
      </c>
      <c r="BO59" s="401">
        <v>0</v>
      </c>
      <c r="BP59" s="400">
        <v>0</v>
      </c>
      <c r="BQ59" s="401">
        <v>0</v>
      </c>
      <c r="BR59" s="400">
        <v>0</v>
      </c>
      <c r="BS59" s="401">
        <v>0</v>
      </c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3234</v>
      </c>
      <c r="B60" s="393" t="s">
        <v>3235</v>
      </c>
      <c r="C60" s="394" t="s">
        <v>3186</v>
      </c>
      <c r="D60" s="395" t="s">
        <v>3236</v>
      </c>
      <c r="E60" s="411" t="s">
        <v>3237</v>
      </c>
      <c r="F60" s="396" t="s">
        <v>3182</v>
      </c>
      <c r="G60" s="396" t="s">
        <v>3183</v>
      </c>
      <c r="H60" s="397" t="s">
        <v>1496</v>
      </c>
      <c r="I60" s="899" t="s">
        <v>1496</v>
      </c>
      <c r="J60" s="353" t="s">
        <v>3184</v>
      </c>
      <c r="K60" s="357" t="s">
        <v>60</v>
      </c>
      <c r="L60" s="402">
        <v>0</v>
      </c>
      <c r="M60" s="403">
        <v>0</v>
      </c>
      <c r="N60" s="402">
        <v>0</v>
      </c>
      <c r="O60" s="403">
        <v>0</v>
      </c>
      <c r="P60" s="402">
        <v>0</v>
      </c>
      <c r="Q60" s="403">
        <v>0</v>
      </c>
      <c r="R60" s="402"/>
      <c r="S60" s="403"/>
      <c r="T60" s="402"/>
      <c r="U60" s="403"/>
      <c r="V60" s="402">
        <v>0</v>
      </c>
      <c r="W60" s="403">
        <v>0</v>
      </c>
      <c r="X60" s="402">
        <v>0</v>
      </c>
      <c r="Y60" s="403">
        <v>0</v>
      </c>
      <c r="Z60" s="402">
        <v>0</v>
      </c>
      <c r="AA60" s="403">
        <v>0</v>
      </c>
      <c r="AB60" s="402">
        <v>0</v>
      </c>
      <c r="AC60" s="403">
        <v>0</v>
      </c>
      <c r="AD60" s="402">
        <v>0</v>
      </c>
      <c r="AE60" s="403">
        <v>0</v>
      </c>
      <c r="AF60" s="402"/>
      <c r="AG60" s="403"/>
      <c r="AH60" s="402"/>
      <c r="AI60" s="403"/>
      <c r="AJ60" s="402">
        <v>0</v>
      </c>
      <c r="AK60" s="403">
        <v>0</v>
      </c>
      <c r="AL60" s="402">
        <v>0</v>
      </c>
      <c r="AM60" s="403">
        <v>0</v>
      </c>
      <c r="AN60" s="402">
        <v>0</v>
      </c>
      <c r="AO60" s="403">
        <v>0</v>
      </c>
      <c r="AP60" s="402">
        <v>0</v>
      </c>
      <c r="AQ60" s="403">
        <v>0</v>
      </c>
      <c r="AR60" s="402">
        <v>0</v>
      </c>
      <c r="AS60" s="403">
        <v>0</v>
      </c>
      <c r="AT60" s="402"/>
      <c r="AU60" s="403"/>
      <c r="AV60" s="402"/>
      <c r="AW60" s="403"/>
      <c r="AX60" s="402">
        <v>0</v>
      </c>
      <c r="AY60" s="403">
        <v>0</v>
      </c>
      <c r="AZ60" s="402">
        <v>0</v>
      </c>
      <c r="BA60" s="403">
        <v>0</v>
      </c>
      <c r="BB60" s="402">
        <v>0</v>
      </c>
      <c r="BC60" s="403">
        <v>0</v>
      </c>
      <c r="BD60" s="402">
        <v>0</v>
      </c>
      <c r="BE60" s="403">
        <v>0</v>
      </c>
      <c r="BF60" s="402">
        <v>0</v>
      </c>
      <c r="BG60" s="403">
        <v>0</v>
      </c>
      <c r="BH60" s="402"/>
      <c r="BI60" s="403"/>
      <c r="BJ60" s="402"/>
      <c r="BK60" s="403"/>
      <c r="BL60" s="402">
        <v>0</v>
      </c>
      <c r="BM60" s="403">
        <v>0</v>
      </c>
      <c r="BN60" s="402">
        <v>0</v>
      </c>
      <c r="BO60" s="403">
        <v>0</v>
      </c>
      <c r="BP60" s="402">
        <v>0</v>
      </c>
      <c r="BQ60" s="403">
        <v>0</v>
      </c>
      <c r="BR60" s="402">
        <v>0</v>
      </c>
      <c r="BS60" s="403">
        <v>0</v>
      </c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3238</v>
      </c>
      <c r="B61" s="526" t="s">
        <v>3239</v>
      </c>
      <c r="C61" s="527">
        <v>1</v>
      </c>
      <c r="D61" s="528" t="s">
        <v>3240</v>
      </c>
      <c r="E61" s="426" t="s">
        <v>3241</v>
      </c>
      <c r="F61" s="529" t="s">
        <v>3182</v>
      </c>
      <c r="G61" s="529" t="s">
        <v>3183</v>
      </c>
      <c r="H61" s="530" t="s">
        <v>1497</v>
      </c>
      <c r="I61" s="384" t="s">
        <v>1497</v>
      </c>
      <c r="J61" s="353" t="s">
        <v>3184</v>
      </c>
      <c r="K61" s="354" t="s">
        <v>3185</v>
      </c>
      <c r="L61" s="402">
        <v>0</v>
      </c>
      <c r="M61" s="403">
        <v>0</v>
      </c>
      <c r="N61" s="402">
        <v>0</v>
      </c>
      <c r="O61" s="403">
        <v>0</v>
      </c>
      <c r="P61" s="402">
        <v>0</v>
      </c>
      <c r="Q61" s="403">
        <v>0</v>
      </c>
      <c r="R61" s="402"/>
      <c r="S61" s="403"/>
      <c r="T61" s="402"/>
      <c r="U61" s="403"/>
      <c r="V61" s="402">
        <v>0</v>
      </c>
      <c r="W61" s="403">
        <v>0</v>
      </c>
      <c r="X61" s="402">
        <v>0</v>
      </c>
      <c r="Y61" s="403">
        <v>0</v>
      </c>
      <c r="Z61" s="402">
        <v>0</v>
      </c>
      <c r="AA61" s="403">
        <v>0</v>
      </c>
      <c r="AB61" s="402">
        <v>0</v>
      </c>
      <c r="AC61" s="403">
        <v>0</v>
      </c>
      <c r="AD61" s="402">
        <v>0</v>
      </c>
      <c r="AE61" s="403">
        <v>0</v>
      </c>
      <c r="AF61" s="402"/>
      <c r="AG61" s="403"/>
      <c r="AH61" s="402"/>
      <c r="AI61" s="403"/>
      <c r="AJ61" s="402">
        <v>0</v>
      </c>
      <c r="AK61" s="403">
        <v>0</v>
      </c>
      <c r="AL61" s="402">
        <v>0</v>
      </c>
      <c r="AM61" s="403">
        <v>0</v>
      </c>
      <c r="AN61" s="402">
        <v>0</v>
      </c>
      <c r="AO61" s="403">
        <v>0</v>
      </c>
      <c r="AP61" s="402">
        <v>0</v>
      </c>
      <c r="AQ61" s="403">
        <v>0</v>
      </c>
      <c r="AR61" s="402">
        <v>0</v>
      </c>
      <c r="AS61" s="403">
        <v>0</v>
      </c>
      <c r="AT61" s="402"/>
      <c r="AU61" s="403"/>
      <c r="AV61" s="402"/>
      <c r="AW61" s="403"/>
      <c r="AX61" s="402">
        <v>0</v>
      </c>
      <c r="AY61" s="403">
        <v>0</v>
      </c>
      <c r="AZ61" s="402">
        <v>0</v>
      </c>
      <c r="BA61" s="403">
        <v>0</v>
      </c>
      <c r="BB61" s="402">
        <v>0</v>
      </c>
      <c r="BC61" s="403">
        <v>0</v>
      </c>
      <c r="BD61" s="402">
        <v>0</v>
      </c>
      <c r="BE61" s="403">
        <v>0</v>
      </c>
      <c r="BF61" s="402">
        <v>0</v>
      </c>
      <c r="BG61" s="403">
        <v>0</v>
      </c>
      <c r="BH61" s="402"/>
      <c r="BI61" s="403"/>
      <c r="BJ61" s="402"/>
      <c r="BK61" s="403"/>
      <c r="BL61" s="402">
        <v>0</v>
      </c>
      <c r="BM61" s="403">
        <v>0</v>
      </c>
      <c r="BN61" s="402">
        <v>0</v>
      </c>
      <c r="BO61" s="403">
        <v>0</v>
      </c>
      <c r="BP61" s="402">
        <v>0</v>
      </c>
      <c r="BQ61" s="403">
        <v>0</v>
      </c>
      <c r="BR61" s="402">
        <v>0</v>
      </c>
      <c r="BS61" s="403">
        <v>0</v>
      </c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3238</v>
      </c>
      <c r="B62" s="386" t="s">
        <v>3239</v>
      </c>
      <c r="C62" s="352" t="s">
        <v>3186</v>
      </c>
      <c r="D62" s="387" t="s">
        <v>3240</v>
      </c>
      <c r="E62" s="388" t="s">
        <v>3241</v>
      </c>
      <c r="F62" s="389" t="s">
        <v>3182</v>
      </c>
      <c r="G62" s="389" t="s">
        <v>3183</v>
      </c>
      <c r="H62" s="390" t="s">
        <v>1497</v>
      </c>
      <c r="I62" s="391" t="s">
        <v>1497</v>
      </c>
      <c r="J62" s="353" t="s">
        <v>3184</v>
      </c>
      <c r="K62" s="353" t="s">
        <v>3187</v>
      </c>
      <c r="L62" s="400">
        <v>0</v>
      </c>
      <c r="M62" s="401">
        <v>0</v>
      </c>
      <c r="N62" s="400">
        <v>0</v>
      </c>
      <c r="O62" s="401">
        <v>0</v>
      </c>
      <c r="P62" s="400">
        <v>0</v>
      </c>
      <c r="Q62" s="401">
        <v>0</v>
      </c>
      <c r="R62" s="400"/>
      <c r="S62" s="401"/>
      <c r="T62" s="400"/>
      <c r="U62" s="401"/>
      <c r="V62" s="400">
        <v>0</v>
      </c>
      <c r="W62" s="401">
        <v>0</v>
      </c>
      <c r="X62" s="400">
        <v>0</v>
      </c>
      <c r="Y62" s="401">
        <v>0</v>
      </c>
      <c r="Z62" s="400">
        <v>0</v>
      </c>
      <c r="AA62" s="401">
        <v>0</v>
      </c>
      <c r="AB62" s="400">
        <v>0</v>
      </c>
      <c r="AC62" s="401">
        <v>0</v>
      </c>
      <c r="AD62" s="400">
        <v>0</v>
      </c>
      <c r="AE62" s="401">
        <v>0</v>
      </c>
      <c r="AF62" s="400"/>
      <c r="AG62" s="401"/>
      <c r="AH62" s="400"/>
      <c r="AI62" s="401"/>
      <c r="AJ62" s="400">
        <v>0</v>
      </c>
      <c r="AK62" s="401">
        <v>0</v>
      </c>
      <c r="AL62" s="400">
        <v>0</v>
      </c>
      <c r="AM62" s="401">
        <v>0</v>
      </c>
      <c r="AN62" s="400">
        <v>0</v>
      </c>
      <c r="AO62" s="401">
        <v>0</v>
      </c>
      <c r="AP62" s="400">
        <v>0</v>
      </c>
      <c r="AQ62" s="401">
        <v>0</v>
      </c>
      <c r="AR62" s="400">
        <v>0</v>
      </c>
      <c r="AS62" s="401">
        <v>0</v>
      </c>
      <c r="AT62" s="400"/>
      <c r="AU62" s="401"/>
      <c r="AV62" s="400"/>
      <c r="AW62" s="401"/>
      <c r="AX62" s="400">
        <v>0</v>
      </c>
      <c r="AY62" s="401">
        <v>0</v>
      </c>
      <c r="AZ62" s="400">
        <v>0</v>
      </c>
      <c r="BA62" s="401">
        <v>0</v>
      </c>
      <c r="BB62" s="400">
        <v>0</v>
      </c>
      <c r="BC62" s="401">
        <v>0</v>
      </c>
      <c r="BD62" s="400">
        <v>0</v>
      </c>
      <c r="BE62" s="401">
        <v>0</v>
      </c>
      <c r="BF62" s="400">
        <v>0</v>
      </c>
      <c r="BG62" s="401">
        <v>0</v>
      </c>
      <c r="BH62" s="400"/>
      <c r="BI62" s="401"/>
      <c r="BJ62" s="400"/>
      <c r="BK62" s="401"/>
      <c r="BL62" s="400">
        <v>0</v>
      </c>
      <c r="BM62" s="401">
        <v>0</v>
      </c>
      <c r="BN62" s="400">
        <v>0</v>
      </c>
      <c r="BO62" s="401">
        <v>0</v>
      </c>
      <c r="BP62" s="400">
        <v>0</v>
      </c>
      <c r="BQ62" s="401">
        <v>0</v>
      </c>
      <c r="BR62" s="400">
        <v>0</v>
      </c>
      <c r="BS62" s="401">
        <v>0</v>
      </c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3238</v>
      </c>
      <c r="B63" s="386" t="s">
        <v>3239</v>
      </c>
      <c r="C63" s="392" t="s">
        <v>3186</v>
      </c>
      <c r="D63" s="387" t="s">
        <v>3240</v>
      </c>
      <c r="E63" s="388" t="s">
        <v>3241</v>
      </c>
      <c r="F63" s="389" t="s">
        <v>3182</v>
      </c>
      <c r="G63" s="389" t="s">
        <v>3183</v>
      </c>
      <c r="H63" s="390" t="s">
        <v>1497</v>
      </c>
      <c r="I63" s="391" t="s">
        <v>1497</v>
      </c>
      <c r="J63" s="353" t="s">
        <v>3184</v>
      </c>
      <c r="K63" s="355" t="s">
        <v>3188</v>
      </c>
      <c r="L63" s="400">
        <v>0</v>
      </c>
      <c r="M63" s="401">
        <v>0</v>
      </c>
      <c r="N63" s="400">
        <v>0</v>
      </c>
      <c r="O63" s="401">
        <v>0</v>
      </c>
      <c r="P63" s="400">
        <v>0</v>
      </c>
      <c r="Q63" s="401">
        <v>0</v>
      </c>
      <c r="R63" s="400"/>
      <c r="S63" s="401"/>
      <c r="T63" s="400"/>
      <c r="U63" s="401"/>
      <c r="V63" s="400">
        <v>0</v>
      </c>
      <c r="W63" s="401">
        <v>0</v>
      </c>
      <c r="X63" s="400">
        <v>0</v>
      </c>
      <c r="Y63" s="401">
        <v>0</v>
      </c>
      <c r="Z63" s="400">
        <v>0</v>
      </c>
      <c r="AA63" s="401">
        <v>0</v>
      </c>
      <c r="AB63" s="400">
        <v>0</v>
      </c>
      <c r="AC63" s="401">
        <v>0</v>
      </c>
      <c r="AD63" s="400">
        <v>0</v>
      </c>
      <c r="AE63" s="401">
        <v>0</v>
      </c>
      <c r="AF63" s="400"/>
      <c r="AG63" s="401"/>
      <c r="AH63" s="400"/>
      <c r="AI63" s="401"/>
      <c r="AJ63" s="400">
        <v>0</v>
      </c>
      <c r="AK63" s="401">
        <v>0</v>
      </c>
      <c r="AL63" s="400">
        <v>0</v>
      </c>
      <c r="AM63" s="401">
        <v>0</v>
      </c>
      <c r="AN63" s="400">
        <v>0</v>
      </c>
      <c r="AO63" s="401">
        <v>0</v>
      </c>
      <c r="AP63" s="400">
        <v>0</v>
      </c>
      <c r="AQ63" s="401">
        <v>0</v>
      </c>
      <c r="AR63" s="400">
        <v>0</v>
      </c>
      <c r="AS63" s="401">
        <v>0</v>
      </c>
      <c r="AT63" s="400"/>
      <c r="AU63" s="401"/>
      <c r="AV63" s="400"/>
      <c r="AW63" s="401"/>
      <c r="AX63" s="400">
        <v>0</v>
      </c>
      <c r="AY63" s="401">
        <v>0</v>
      </c>
      <c r="AZ63" s="400">
        <v>0</v>
      </c>
      <c r="BA63" s="401">
        <v>0</v>
      </c>
      <c r="BB63" s="400">
        <v>0</v>
      </c>
      <c r="BC63" s="401">
        <v>0</v>
      </c>
      <c r="BD63" s="400">
        <v>0</v>
      </c>
      <c r="BE63" s="401">
        <v>0</v>
      </c>
      <c r="BF63" s="400">
        <v>0</v>
      </c>
      <c r="BG63" s="401">
        <v>0</v>
      </c>
      <c r="BH63" s="400"/>
      <c r="BI63" s="401"/>
      <c r="BJ63" s="400"/>
      <c r="BK63" s="401"/>
      <c r="BL63" s="400">
        <v>0</v>
      </c>
      <c r="BM63" s="401">
        <v>0</v>
      </c>
      <c r="BN63" s="400">
        <v>0</v>
      </c>
      <c r="BO63" s="401">
        <v>0</v>
      </c>
      <c r="BP63" s="400">
        <v>0</v>
      </c>
      <c r="BQ63" s="401">
        <v>0</v>
      </c>
      <c r="BR63" s="400">
        <v>0</v>
      </c>
      <c r="BS63" s="401">
        <v>0</v>
      </c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3238</v>
      </c>
      <c r="B64" s="386" t="s">
        <v>3239</v>
      </c>
      <c r="C64" s="392" t="s">
        <v>3186</v>
      </c>
      <c r="D64" s="387" t="s">
        <v>3240</v>
      </c>
      <c r="E64" s="388" t="s">
        <v>3241</v>
      </c>
      <c r="F64" s="389" t="s">
        <v>3182</v>
      </c>
      <c r="G64" s="389" t="s">
        <v>3183</v>
      </c>
      <c r="H64" s="390" t="s">
        <v>1497</v>
      </c>
      <c r="I64" s="391" t="s">
        <v>1497</v>
      </c>
      <c r="J64" s="353" t="s">
        <v>3184</v>
      </c>
      <c r="K64" s="356" t="s">
        <v>3189</v>
      </c>
      <c r="L64" s="400">
        <v>0</v>
      </c>
      <c r="M64" s="401">
        <v>0</v>
      </c>
      <c r="N64" s="400">
        <v>0</v>
      </c>
      <c r="O64" s="401">
        <v>0</v>
      </c>
      <c r="P64" s="400">
        <v>0</v>
      </c>
      <c r="Q64" s="401">
        <v>0</v>
      </c>
      <c r="R64" s="400"/>
      <c r="S64" s="401"/>
      <c r="T64" s="400"/>
      <c r="U64" s="401"/>
      <c r="V64" s="400">
        <v>0</v>
      </c>
      <c r="W64" s="401">
        <v>0</v>
      </c>
      <c r="X64" s="400">
        <v>0</v>
      </c>
      <c r="Y64" s="401">
        <v>0</v>
      </c>
      <c r="Z64" s="400">
        <v>0</v>
      </c>
      <c r="AA64" s="401">
        <v>0</v>
      </c>
      <c r="AB64" s="400">
        <v>0</v>
      </c>
      <c r="AC64" s="401">
        <v>0</v>
      </c>
      <c r="AD64" s="400">
        <v>0</v>
      </c>
      <c r="AE64" s="401">
        <v>0</v>
      </c>
      <c r="AF64" s="400"/>
      <c r="AG64" s="401"/>
      <c r="AH64" s="400"/>
      <c r="AI64" s="401"/>
      <c r="AJ64" s="400">
        <v>0</v>
      </c>
      <c r="AK64" s="401">
        <v>0</v>
      </c>
      <c r="AL64" s="400">
        <v>0</v>
      </c>
      <c r="AM64" s="401">
        <v>0</v>
      </c>
      <c r="AN64" s="400">
        <v>0</v>
      </c>
      <c r="AO64" s="401">
        <v>0</v>
      </c>
      <c r="AP64" s="400">
        <v>0</v>
      </c>
      <c r="AQ64" s="401">
        <v>0</v>
      </c>
      <c r="AR64" s="400">
        <v>0</v>
      </c>
      <c r="AS64" s="401">
        <v>0</v>
      </c>
      <c r="AT64" s="400"/>
      <c r="AU64" s="401"/>
      <c r="AV64" s="400"/>
      <c r="AW64" s="401"/>
      <c r="AX64" s="400">
        <v>0</v>
      </c>
      <c r="AY64" s="401">
        <v>0</v>
      </c>
      <c r="AZ64" s="400">
        <v>0</v>
      </c>
      <c r="BA64" s="401">
        <v>0</v>
      </c>
      <c r="BB64" s="400">
        <v>0</v>
      </c>
      <c r="BC64" s="401">
        <v>0</v>
      </c>
      <c r="BD64" s="400">
        <v>0</v>
      </c>
      <c r="BE64" s="401">
        <v>0</v>
      </c>
      <c r="BF64" s="400">
        <v>0</v>
      </c>
      <c r="BG64" s="401">
        <v>0</v>
      </c>
      <c r="BH64" s="400"/>
      <c r="BI64" s="401"/>
      <c r="BJ64" s="400"/>
      <c r="BK64" s="401"/>
      <c r="BL64" s="400">
        <v>0</v>
      </c>
      <c r="BM64" s="401">
        <v>0</v>
      </c>
      <c r="BN64" s="400">
        <v>0</v>
      </c>
      <c r="BO64" s="401">
        <v>0</v>
      </c>
      <c r="BP64" s="400">
        <v>0</v>
      </c>
      <c r="BQ64" s="401">
        <v>0</v>
      </c>
      <c r="BR64" s="400">
        <v>0</v>
      </c>
      <c r="BS64" s="401">
        <v>0</v>
      </c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3238</v>
      </c>
      <c r="B65" s="393" t="s">
        <v>3239</v>
      </c>
      <c r="C65" s="394" t="s">
        <v>3186</v>
      </c>
      <c r="D65" s="395" t="s">
        <v>3240</v>
      </c>
      <c r="E65" s="411" t="s">
        <v>3241</v>
      </c>
      <c r="F65" s="396" t="s">
        <v>3182</v>
      </c>
      <c r="G65" s="396" t="s">
        <v>3183</v>
      </c>
      <c r="H65" s="397" t="s">
        <v>1497</v>
      </c>
      <c r="I65" s="899" t="s">
        <v>1497</v>
      </c>
      <c r="J65" s="353" t="s">
        <v>3184</v>
      </c>
      <c r="K65" s="357" t="s">
        <v>60</v>
      </c>
      <c r="L65" s="402">
        <v>0</v>
      </c>
      <c r="M65" s="403">
        <v>0</v>
      </c>
      <c r="N65" s="402">
        <v>0</v>
      </c>
      <c r="O65" s="403">
        <v>0</v>
      </c>
      <c r="P65" s="402">
        <v>0</v>
      </c>
      <c r="Q65" s="403">
        <v>0</v>
      </c>
      <c r="R65" s="402"/>
      <c r="S65" s="403"/>
      <c r="T65" s="402"/>
      <c r="U65" s="403"/>
      <c r="V65" s="402">
        <v>0</v>
      </c>
      <c r="W65" s="403">
        <v>0</v>
      </c>
      <c r="X65" s="402">
        <v>0</v>
      </c>
      <c r="Y65" s="403">
        <v>0</v>
      </c>
      <c r="Z65" s="402">
        <v>0</v>
      </c>
      <c r="AA65" s="403">
        <v>0</v>
      </c>
      <c r="AB65" s="402">
        <v>0</v>
      </c>
      <c r="AC65" s="403">
        <v>0</v>
      </c>
      <c r="AD65" s="402">
        <v>0</v>
      </c>
      <c r="AE65" s="403">
        <v>0</v>
      </c>
      <c r="AF65" s="402"/>
      <c r="AG65" s="403"/>
      <c r="AH65" s="402"/>
      <c r="AI65" s="403"/>
      <c r="AJ65" s="402">
        <v>0</v>
      </c>
      <c r="AK65" s="403">
        <v>0</v>
      </c>
      <c r="AL65" s="402">
        <v>0</v>
      </c>
      <c r="AM65" s="403">
        <v>0</v>
      </c>
      <c r="AN65" s="402">
        <v>0</v>
      </c>
      <c r="AO65" s="403">
        <v>0</v>
      </c>
      <c r="AP65" s="402">
        <v>0</v>
      </c>
      <c r="AQ65" s="403">
        <v>0</v>
      </c>
      <c r="AR65" s="402">
        <v>0</v>
      </c>
      <c r="AS65" s="403">
        <v>0</v>
      </c>
      <c r="AT65" s="402"/>
      <c r="AU65" s="403"/>
      <c r="AV65" s="402"/>
      <c r="AW65" s="403"/>
      <c r="AX65" s="402">
        <v>0</v>
      </c>
      <c r="AY65" s="403">
        <v>0</v>
      </c>
      <c r="AZ65" s="402">
        <v>0</v>
      </c>
      <c r="BA65" s="403">
        <v>0</v>
      </c>
      <c r="BB65" s="402">
        <v>0</v>
      </c>
      <c r="BC65" s="403">
        <v>0</v>
      </c>
      <c r="BD65" s="402">
        <v>0</v>
      </c>
      <c r="BE65" s="403">
        <v>0</v>
      </c>
      <c r="BF65" s="402">
        <v>0</v>
      </c>
      <c r="BG65" s="403">
        <v>0</v>
      </c>
      <c r="BH65" s="402"/>
      <c r="BI65" s="403"/>
      <c r="BJ65" s="402"/>
      <c r="BK65" s="403"/>
      <c r="BL65" s="402">
        <v>0</v>
      </c>
      <c r="BM65" s="403">
        <v>0</v>
      </c>
      <c r="BN65" s="402">
        <v>0</v>
      </c>
      <c r="BO65" s="403">
        <v>0</v>
      </c>
      <c r="BP65" s="402">
        <v>0</v>
      </c>
      <c r="BQ65" s="403">
        <v>0</v>
      </c>
      <c r="BR65" s="402">
        <v>0</v>
      </c>
      <c r="BS65" s="403">
        <v>0</v>
      </c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3242</v>
      </c>
      <c r="B66" s="526" t="s">
        <v>3243</v>
      </c>
      <c r="C66" s="527">
        <v>1</v>
      </c>
      <c r="D66" s="528" t="s">
        <v>3244</v>
      </c>
      <c r="E66" s="426" t="s">
        <v>3245</v>
      </c>
      <c r="F66" s="529" t="s">
        <v>3182</v>
      </c>
      <c r="G66" s="529" t="s">
        <v>3183</v>
      </c>
      <c r="H66" s="530" t="s">
        <v>1498</v>
      </c>
      <c r="I66" s="384" t="s">
        <v>1498</v>
      </c>
      <c r="J66" s="353" t="s">
        <v>3184</v>
      </c>
      <c r="K66" s="354" t="s">
        <v>3185</v>
      </c>
      <c r="L66" s="402">
        <v>0</v>
      </c>
      <c r="M66" s="403">
        <v>0</v>
      </c>
      <c r="N66" s="402">
        <v>0</v>
      </c>
      <c r="O66" s="403">
        <v>0</v>
      </c>
      <c r="P66" s="402">
        <v>0</v>
      </c>
      <c r="Q66" s="403">
        <v>0</v>
      </c>
      <c r="R66" s="402"/>
      <c r="S66" s="403"/>
      <c r="T66" s="402"/>
      <c r="U66" s="403"/>
      <c r="V66" s="402">
        <v>0</v>
      </c>
      <c r="W66" s="403">
        <v>0</v>
      </c>
      <c r="X66" s="402">
        <v>0</v>
      </c>
      <c r="Y66" s="403">
        <v>0</v>
      </c>
      <c r="Z66" s="402">
        <v>0</v>
      </c>
      <c r="AA66" s="403">
        <v>0</v>
      </c>
      <c r="AB66" s="402">
        <v>0</v>
      </c>
      <c r="AC66" s="403">
        <v>0</v>
      </c>
      <c r="AD66" s="402">
        <v>0</v>
      </c>
      <c r="AE66" s="403">
        <v>0</v>
      </c>
      <c r="AF66" s="402"/>
      <c r="AG66" s="403"/>
      <c r="AH66" s="402"/>
      <c r="AI66" s="403"/>
      <c r="AJ66" s="402">
        <v>0</v>
      </c>
      <c r="AK66" s="403">
        <v>0</v>
      </c>
      <c r="AL66" s="402">
        <v>0</v>
      </c>
      <c r="AM66" s="403">
        <v>0</v>
      </c>
      <c r="AN66" s="402">
        <v>0</v>
      </c>
      <c r="AO66" s="403">
        <v>0</v>
      </c>
      <c r="AP66" s="402">
        <v>0</v>
      </c>
      <c r="AQ66" s="403">
        <v>0</v>
      </c>
      <c r="AR66" s="402">
        <v>0</v>
      </c>
      <c r="AS66" s="403">
        <v>0</v>
      </c>
      <c r="AT66" s="402"/>
      <c r="AU66" s="403"/>
      <c r="AV66" s="402"/>
      <c r="AW66" s="403"/>
      <c r="AX66" s="402">
        <v>0</v>
      </c>
      <c r="AY66" s="403">
        <v>0</v>
      </c>
      <c r="AZ66" s="402">
        <v>0</v>
      </c>
      <c r="BA66" s="403">
        <v>0</v>
      </c>
      <c r="BB66" s="402">
        <v>0</v>
      </c>
      <c r="BC66" s="403">
        <v>0</v>
      </c>
      <c r="BD66" s="402">
        <v>0</v>
      </c>
      <c r="BE66" s="403">
        <v>0</v>
      </c>
      <c r="BF66" s="402">
        <v>0</v>
      </c>
      <c r="BG66" s="403">
        <v>0</v>
      </c>
      <c r="BH66" s="402"/>
      <c r="BI66" s="403"/>
      <c r="BJ66" s="402"/>
      <c r="BK66" s="403"/>
      <c r="BL66" s="402">
        <v>0</v>
      </c>
      <c r="BM66" s="403">
        <v>0</v>
      </c>
      <c r="BN66" s="402">
        <v>0</v>
      </c>
      <c r="BO66" s="403">
        <v>0</v>
      </c>
      <c r="BP66" s="402">
        <v>0</v>
      </c>
      <c r="BQ66" s="403">
        <v>0</v>
      </c>
      <c r="BR66" s="402">
        <v>0</v>
      </c>
      <c r="BS66" s="403">
        <v>0</v>
      </c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3242</v>
      </c>
      <c r="B67" s="386" t="s">
        <v>3243</v>
      </c>
      <c r="C67" s="352" t="s">
        <v>3186</v>
      </c>
      <c r="D67" s="387" t="s">
        <v>3244</v>
      </c>
      <c r="E67" s="388" t="s">
        <v>3245</v>
      </c>
      <c r="F67" s="389" t="s">
        <v>3182</v>
      </c>
      <c r="G67" s="389" t="s">
        <v>3183</v>
      </c>
      <c r="H67" s="390" t="s">
        <v>1498</v>
      </c>
      <c r="I67" s="391" t="s">
        <v>1498</v>
      </c>
      <c r="J67" s="353" t="s">
        <v>3184</v>
      </c>
      <c r="K67" s="353" t="s">
        <v>3187</v>
      </c>
      <c r="L67" s="400">
        <v>0</v>
      </c>
      <c r="M67" s="401">
        <v>0</v>
      </c>
      <c r="N67" s="400">
        <v>0</v>
      </c>
      <c r="O67" s="401">
        <v>0</v>
      </c>
      <c r="P67" s="400">
        <v>0</v>
      </c>
      <c r="Q67" s="401">
        <v>0</v>
      </c>
      <c r="R67" s="400"/>
      <c r="S67" s="401"/>
      <c r="T67" s="400"/>
      <c r="U67" s="401"/>
      <c r="V67" s="400">
        <v>0</v>
      </c>
      <c r="W67" s="401">
        <v>0</v>
      </c>
      <c r="X67" s="400">
        <v>0</v>
      </c>
      <c r="Y67" s="401">
        <v>0</v>
      </c>
      <c r="Z67" s="400">
        <v>0</v>
      </c>
      <c r="AA67" s="401">
        <v>0</v>
      </c>
      <c r="AB67" s="400">
        <v>0</v>
      </c>
      <c r="AC67" s="401">
        <v>0</v>
      </c>
      <c r="AD67" s="400">
        <v>0</v>
      </c>
      <c r="AE67" s="401">
        <v>0</v>
      </c>
      <c r="AF67" s="400"/>
      <c r="AG67" s="401"/>
      <c r="AH67" s="400"/>
      <c r="AI67" s="401"/>
      <c r="AJ67" s="400">
        <v>0</v>
      </c>
      <c r="AK67" s="401">
        <v>0</v>
      </c>
      <c r="AL67" s="400">
        <v>0</v>
      </c>
      <c r="AM67" s="401">
        <v>0</v>
      </c>
      <c r="AN67" s="400">
        <v>0</v>
      </c>
      <c r="AO67" s="401">
        <v>0</v>
      </c>
      <c r="AP67" s="400">
        <v>0</v>
      </c>
      <c r="AQ67" s="401">
        <v>0</v>
      </c>
      <c r="AR67" s="400">
        <v>0</v>
      </c>
      <c r="AS67" s="401">
        <v>0</v>
      </c>
      <c r="AT67" s="400"/>
      <c r="AU67" s="401"/>
      <c r="AV67" s="400"/>
      <c r="AW67" s="401"/>
      <c r="AX67" s="400">
        <v>0</v>
      </c>
      <c r="AY67" s="401">
        <v>0</v>
      </c>
      <c r="AZ67" s="400">
        <v>0</v>
      </c>
      <c r="BA67" s="401">
        <v>0</v>
      </c>
      <c r="BB67" s="400">
        <v>0</v>
      </c>
      <c r="BC67" s="401">
        <v>0</v>
      </c>
      <c r="BD67" s="400">
        <v>0</v>
      </c>
      <c r="BE67" s="401">
        <v>0</v>
      </c>
      <c r="BF67" s="400">
        <v>0</v>
      </c>
      <c r="BG67" s="401">
        <v>0</v>
      </c>
      <c r="BH67" s="400"/>
      <c r="BI67" s="401"/>
      <c r="BJ67" s="400"/>
      <c r="BK67" s="401"/>
      <c r="BL67" s="400">
        <v>0</v>
      </c>
      <c r="BM67" s="401">
        <v>0</v>
      </c>
      <c r="BN67" s="400">
        <v>0</v>
      </c>
      <c r="BO67" s="401">
        <v>0</v>
      </c>
      <c r="BP67" s="400">
        <v>0</v>
      </c>
      <c r="BQ67" s="401">
        <v>0</v>
      </c>
      <c r="BR67" s="400">
        <v>0</v>
      </c>
      <c r="BS67" s="401">
        <v>0</v>
      </c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3242</v>
      </c>
      <c r="B68" s="386" t="s">
        <v>3243</v>
      </c>
      <c r="C68" s="392" t="s">
        <v>3186</v>
      </c>
      <c r="D68" s="387" t="s">
        <v>3244</v>
      </c>
      <c r="E68" s="388" t="s">
        <v>3245</v>
      </c>
      <c r="F68" s="389" t="s">
        <v>3182</v>
      </c>
      <c r="G68" s="389" t="s">
        <v>3183</v>
      </c>
      <c r="H68" s="390" t="s">
        <v>1498</v>
      </c>
      <c r="I68" s="391" t="s">
        <v>1498</v>
      </c>
      <c r="J68" s="353" t="s">
        <v>3184</v>
      </c>
      <c r="K68" s="355" t="s">
        <v>3188</v>
      </c>
      <c r="L68" s="400">
        <v>0</v>
      </c>
      <c r="M68" s="401">
        <v>0</v>
      </c>
      <c r="N68" s="400">
        <v>0</v>
      </c>
      <c r="O68" s="401">
        <v>0</v>
      </c>
      <c r="P68" s="400">
        <v>0</v>
      </c>
      <c r="Q68" s="401">
        <v>0</v>
      </c>
      <c r="R68" s="400"/>
      <c r="S68" s="401"/>
      <c r="T68" s="400"/>
      <c r="U68" s="401"/>
      <c r="V68" s="400">
        <v>0</v>
      </c>
      <c r="W68" s="401">
        <v>0</v>
      </c>
      <c r="X68" s="400">
        <v>0</v>
      </c>
      <c r="Y68" s="401">
        <v>0</v>
      </c>
      <c r="Z68" s="400">
        <v>0</v>
      </c>
      <c r="AA68" s="401">
        <v>0</v>
      </c>
      <c r="AB68" s="400">
        <v>0</v>
      </c>
      <c r="AC68" s="401">
        <v>0</v>
      </c>
      <c r="AD68" s="400">
        <v>0</v>
      </c>
      <c r="AE68" s="401">
        <v>0</v>
      </c>
      <c r="AF68" s="400"/>
      <c r="AG68" s="401"/>
      <c r="AH68" s="400"/>
      <c r="AI68" s="401"/>
      <c r="AJ68" s="400">
        <v>0</v>
      </c>
      <c r="AK68" s="401">
        <v>0</v>
      </c>
      <c r="AL68" s="400">
        <v>0</v>
      </c>
      <c r="AM68" s="401">
        <v>0</v>
      </c>
      <c r="AN68" s="400">
        <v>0</v>
      </c>
      <c r="AO68" s="401">
        <v>0</v>
      </c>
      <c r="AP68" s="400">
        <v>0</v>
      </c>
      <c r="AQ68" s="401">
        <v>0</v>
      </c>
      <c r="AR68" s="400">
        <v>0</v>
      </c>
      <c r="AS68" s="401">
        <v>0</v>
      </c>
      <c r="AT68" s="400"/>
      <c r="AU68" s="401"/>
      <c r="AV68" s="400"/>
      <c r="AW68" s="401"/>
      <c r="AX68" s="400">
        <v>0</v>
      </c>
      <c r="AY68" s="401">
        <v>0</v>
      </c>
      <c r="AZ68" s="400">
        <v>0</v>
      </c>
      <c r="BA68" s="401">
        <v>0</v>
      </c>
      <c r="BB68" s="400">
        <v>0</v>
      </c>
      <c r="BC68" s="401">
        <v>0</v>
      </c>
      <c r="BD68" s="400">
        <v>0</v>
      </c>
      <c r="BE68" s="401">
        <v>0</v>
      </c>
      <c r="BF68" s="400">
        <v>0</v>
      </c>
      <c r="BG68" s="401">
        <v>0</v>
      </c>
      <c r="BH68" s="400"/>
      <c r="BI68" s="401"/>
      <c r="BJ68" s="400"/>
      <c r="BK68" s="401"/>
      <c r="BL68" s="400">
        <v>0</v>
      </c>
      <c r="BM68" s="401">
        <v>0</v>
      </c>
      <c r="BN68" s="400">
        <v>0</v>
      </c>
      <c r="BO68" s="401">
        <v>0</v>
      </c>
      <c r="BP68" s="400">
        <v>0</v>
      </c>
      <c r="BQ68" s="401">
        <v>0</v>
      </c>
      <c r="BR68" s="400">
        <v>0</v>
      </c>
      <c r="BS68" s="401">
        <v>0</v>
      </c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3242</v>
      </c>
      <c r="B69" s="386" t="s">
        <v>3243</v>
      </c>
      <c r="C69" s="392" t="s">
        <v>3186</v>
      </c>
      <c r="D69" s="387" t="s">
        <v>3244</v>
      </c>
      <c r="E69" s="388" t="s">
        <v>3245</v>
      </c>
      <c r="F69" s="389" t="s">
        <v>3182</v>
      </c>
      <c r="G69" s="389" t="s">
        <v>3183</v>
      </c>
      <c r="H69" s="390" t="s">
        <v>1498</v>
      </c>
      <c r="I69" s="391" t="s">
        <v>1498</v>
      </c>
      <c r="J69" s="353" t="s">
        <v>3184</v>
      </c>
      <c r="K69" s="356" t="s">
        <v>3189</v>
      </c>
      <c r="L69" s="400">
        <v>0</v>
      </c>
      <c r="M69" s="401">
        <v>0</v>
      </c>
      <c r="N69" s="400">
        <v>0</v>
      </c>
      <c r="O69" s="401">
        <v>0</v>
      </c>
      <c r="P69" s="400">
        <v>0</v>
      </c>
      <c r="Q69" s="401">
        <v>0</v>
      </c>
      <c r="R69" s="400"/>
      <c r="S69" s="401"/>
      <c r="T69" s="400"/>
      <c r="U69" s="401"/>
      <c r="V69" s="400">
        <v>0</v>
      </c>
      <c r="W69" s="401">
        <v>0</v>
      </c>
      <c r="X69" s="400">
        <v>0</v>
      </c>
      <c r="Y69" s="401">
        <v>0</v>
      </c>
      <c r="Z69" s="400">
        <v>0</v>
      </c>
      <c r="AA69" s="401">
        <v>0</v>
      </c>
      <c r="AB69" s="400">
        <v>0</v>
      </c>
      <c r="AC69" s="401">
        <v>0</v>
      </c>
      <c r="AD69" s="400">
        <v>0</v>
      </c>
      <c r="AE69" s="401">
        <v>0</v>
      </c>
      <c r="AF69" s="400"/>
      <c r="AG69" s="401"/>
      <c r="AH69" s="400"/>
      <c r="AI69" s="401"/>
      <c r="AJ69" s="400">
        <v>0</v>
      </c>
      <c r="AK69" s="401">
        <v>0</v>
      </c>
      <c r="AL69" s="400">
        <v>0</v>
      </c>
      <c r="AM69" s="401">
        <v>0</v>
      </c>
      <c r="AN69" s="400">
        <v>0</v>
      </c>
      <c r="AO69" s="401">
        <v>0</v>
      </c>
      <c r="AP69" s="400">
        <v>0</v>
      </c>
      <c r="AQ69" s="401">
        <v>0</v>
      </c>
      <c r="AR69" s="400">
        <v>0</v>
      </c>
      <c r="AS69" s="401">
        <v>0</v>
      </c>
      <c r="AT69" s="400"/>
      <c r="AU69" s="401"/>
      <c r="AV69" s="400"/>
      <c r="AW69" s="401"/>
      <c r="AX69" s="400">
        <v>0</v>
      </c>
      <c r="AY69" s="401">
        <v>0</v>
      </c>
      <c r="AZ69" s="400">
        <v>0</v>
      </c>
      <c r="BA69" s="401">
        <v>0</v>
      </c>
      <c r="BB69" s="400">
        <v>0</v>
      </c>
      <c r="BC69" s="401">
        <v>0</v>
      </c>
      <c r="BD69" s="400">
        <v>0</v>
      </c>
      <c r="BE69" s="401">
        <v>0</v>
      </c>
      <c r="BF69" s="400">
        <v>0</v>
      </c>
      <c r="BG69" s="401">
        <v>0</v>
      </c>
      <c r="BH69" s="400"/>
      <c r="BI69" s="401"/>
      <c r="BJ69" s="400"/>
      <c r="BK69" s="401"/>
      <c r="BL69" s="400">
        <v>0</v>
      </c>
      <c r="BM69" s="401">
        <v>0</v>
      </c>
      <c r="BN69" s="400">
        <v>0</v>
      </c>
      <c r="BO69" s="401">
        <v>0</v>
      </c>
      <c r="BP69" s="400">
        <v>0</v>
      </c>
      <c r="BQ69" s="401">
        <v>0</v>
      </c>
      <c r="BR69" s="400">
        <v>0</v>
      </c>
      <c r="BS69" s="401">
        <v>0</v>
      </c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3242</v>
      </c>
      <c r="B70" s="393" t="s">
        <v>3243</v>
      </c>
      <c r="C70" s="394" t="s">
        <v>3186</v>
      </c>
      <c r="D70" s="395" t="s">
        <v>3244</v>
      </c>
      <c r="E70" s="411" t="s">
        <v>3245</v>
      </c>
      <c r="F70" s="396" t="s">
        <v>3182</v>
      </c>
      <c r="G70" s="396" t="s">
        <v>3183</v>
      </c>
      <c r="H70" s="397" t="s">
        <v>1498</v>
      </c>
      <c r="I70" s="899" t="s">
        <v>1498</v>
      </c>
      <c r="J70" s="353" t="s">
        <v>3184</v>
      </c>
      <c r="K70" s="357" t="s">
        <v>60</v>
      </c>
      <c r="L70" s="402">
        <v>0</v>
      </c>
      <c r="M70" s="403">
        <v>0</v>
      </c>
      <c r="N70" s="402">
        <v>0</v>
      </c>
      <c r="O70" s="403">
        <v>0</v>
      </c>
      <c r="P70" s="402">
        <v>0</v>
      </c>
      <c r="Q70" s="403">
        <v>0</v>
      </c>
      <c r="R70" s="402"/>
      <c r="S70" s="403"/>
      <c r="T70" s="402"/>
      <c r="U70" s="403"/>
      <c r="V70" s="402">
        <v>0</v>
      </c>
      <c r="W70" s="403">
        <v>0</v>
      </c>
      <c r="X70" s="402">
        <v>0</v>
      </c>
      <c r="Y70" s="403">
        <v>0</v>
      </c>
      <c r="Z70" s="402">
        <v>0</v>
      </c>
      <c r="AA70" s="403">
        <v>0</v>
      </c>
      <c r="AB70" s="402">
        <v>0</v>
      </c>
      <c r="AC70" s="403">
        <v>0</v>
      </c>
      <c r="AD70" s="402">
        <v>0</v>
      </c>
      <c r="AE70" s="403">
        <v>0</v>
      </c>
      <c r="AF70" s="402"/>
      <c r="AG70" s="403"/>
      <c r="AH70" s="402"/>
      <c r="AI70" s="403"/>
      <c r="AJ70" s="402">
        <v>0</v>
      </c>
      <c r="AK70" s="403">
        <v>0</v>
      </c>
      <c r="AL70" s="402">
        <v>0</v>
      </c>
      <c r="AM70" s="403">
        <v>0</v>
      </c>
      <c r="AN70" s="402">
        <v>0</v>
      </c>
      <c r="AO70" s="403">
        <v>0</v>
      </c>
      <c r="AP70" s="402">
        <v>0</v>
      </c>
      <c r="AQ70" s="403">
        <v>0</v>
      </c>
      <c r="AR70" s="402">
        <v>0</v>
      </c>
      <c r="AS70" s="403">
        <v>0</v>
      </c>
      <c r="AT70" s="402"/>
      <c r="AU70" s="403"/>
      <c r="AV70" s="402"/>
      <c r="AW70" s="403"/>
      <c r="AX70" s="402">
        <v>0</v>
      </c>
      <c r="AY70" s="403">
        <v>0</v>
      </c>
      <c r="AZ70" s="402">
        <v>0</v>
      </c>
      <c r="BA70" s="403">
        <v>0</v>
      </c>
      <c r="BB70" s="402">
        <v>0</v>
      </c>
      <c r="BC70" s="403">
        <v>0</v>
      </c>
      <c r="BD70" s="402">
        <v>0</v>
      </c>
      <c r="BE70" s="403">
        <v>0</v>
      </c>
      <c r="BF70" s="402">
        <v>0</v>
      </c>
      <c r="BG70" s="403">
        <v>0</v>
      </c>
      <c r="BH70" s="402"/>
      <c r="BI70" s="403"/>
      <c r="BJ70" s="402"/>
      <c r="BK70" s="403"/>
      <c r="BL70" s="402">
        <v>0</v>
      </c>
      <c r="BM70" s="403">
        <v>0</v>
      </c>
      <c r="BN70" s="402">
        <v>0</v>
      </c>
      <c r="BO70" s="403">
        <v>0</v>
      </c>
      <c r="BP70" s="402">
        <v>0</v>
      </c>
      <c r="BQ70" s="403">
        <v>0</v>
      </c>
      <c r="BR70" s="402">
        <v>0</v>
      </c>
      <c r="BS70" s="403">
        <v>0</v>
      </c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3246</v>
      </c>
      <c r="B71" s="526" t="s">
        <v>3247</v>
      </c>
      <c r="C71" s="527">
        <v>4</v>
      </c>
      <c r="D71" s="528" t="s">
        <v>3248</v>
      </c>
      <c r="E71" s="426" t="s">
        <v>3249</v>
      </c>
      <c r="F71" s="529" t="s">
        <v>3182</v>
      </c>
      <c r="G71" s="529" t="s">
        <v>3183</v>
      </c>
      <c r="H71" s="530" t="s">
        <v>1499</v>
      </c>
      <c r="I71" s="384" t="s">
        <v>1499</v>
      </c>
      <c r="J71" s="353" t="s">
        <v>3184</v>
      </c>
      <c r="K71" s="354" t="s">
        <v>3185</v>
      </c>
      <c r="L71" s="402">
        <v>0</v>
      </c>
      <c r="M71" s="403">
        <v>0</v>
      </c>
      <c r="N71" s="402">
        <v>0</v>
      </c>
      <c r="O71" s="403">
        <v>0</v>
      </c>
      <c r="P71" s="402">
        <v>0</v>
      </c>
      <c r="Q71" s="403">
        <v>0</v>
      </c>
      <c r="R71" s="402"/>
      <c r="S71" s="403"/>
      <c r="T71" s="402"/>
      <c r="U71" s="403"/>
      <c r="V71" s="402">
        <v>0</v>
      </c>
      <c r="W71" s="403">
        <v>0</v>
      </c>
      <c r="X71" s="402">
        <v>0</v>
      </c>
      <c r="Y71" s="403">
        <v>0</v>
      </c>
      <c r="Z71" s="402">
        <v>0</v>
      </c>
      <c r="AA71" s="403">
        <v>0</v>
      </c>
      <c r="AB71" s="402">
        <v>0</v>
      </c>
      <c r="AC71" s="403">
        <v>0</v>
      </c>
      <c r="AD71" s="402">
        <v>0</v>
      </c>
      <c r="AE71" s="403">
        <v>0</v>
      </c>
      <c r="AF71" s="402"/>
      <c r="AG71" s="403"/>
      <c r="AH71" s="402"/>
      <c r="AI71" s="403"/>
      <c r="AJ71" s="402">
        <v>0</v>
      </c>
      <c r="AK71" s="403">
        <v>0</v>
      </c>
      <c r="AL71" s="402">
        <v>0</v>
      </c>
      <c r="AM71" s="403">
        <v>0</v>
      </c>
      <c r="AN71" s="402">
        <v>0</v>
      </c>
      <c r="AO71" s="403">
        <v>0</v>
      </c>
      <c r="AP71" s="402">
        <v>0</v>
      </c>
      <c r="AQ71" s="403">
        <v>0</v>
      </c>
      <c r="AR71" s="402">
        <v>0</v>
      </c>
      <c r="AS71" s="403">
        <v>0</v>
      </c>
      <c r="AT71" s="402"/>
      <c r="AU71" s="403"/>
      <c r="AV71" s="402"/>
      <c r="AW71" s="403"/>
      <c r="AX71" s="402">
        <v>0</v>
      </c>
      <c r="AY71" s="403">
        <v>0</v>
      </c>
      <c r="AZ71" s="402">
        <v>0</v>
      </c>
      <c r="BA71" s="403">
        <v>0</v>
      </c>
      <c r="BB71" s="402">
        <v>0</v>
      </c>
      <c r="BC71" s="403">
        <v>0</v>
      </c>
      <c r="BD71" s="402">
        <v>0</v>
      </c>
      <c r="BE71" s="403">
        <v>0</v>
      </c>
      <c r="BF71" s="402">
        <v>0</v>
      </c>
      <c r="BG71" s="403">
        <v>0</v>
      </c>
      <c r="BH71" s="402"/>
      <c r="BI71" s="403"/>
      <c r="BJ71" s="402"/>
      <c r="BK71" s="403"/>
      <c r="BL71" s="402">
        <v>0</v>
      </c>
      <c r="BM71" s="403">
        <v>0</v>
      </c>
      <c r="BN71" s="402">
        <v>0</v>
      </c>
      <c r="BO71" s="403">
        <v>0</v>
      </c>
      <c r="BP71" s="402">
        <v>0</v>
      </c>
      <c r="BQ71" s="403">
        <v>0</v>
      </c>
      <c r="BR71" s="402">
        <v>0</v>
      </c>
      <c r="BS71" s="403">
        <v>0</v>
      </c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3246</v>
      </c>
      <c r="B72" s="386" t="s">
        <v>3247</v>
      </c>
      <c r="C72" s="352" t="s">
        <v>3191</v>
      </c>
      <c r="D72" s="387" t="s">
        <v>3248</v>
      </c>
      <c r="E72" s="388" t="s">
        <v>3249</v>
      </c>
      <c r="F72" s="389" t="s">
        <v>3182</v>
      </c>
      <c r="G72" s="389" t="s">
        <v>3183</v>
      </c>
      <c r="H72" s="390" t="s">
        <v>1499</v>
      </c>
      <c r="I72" s="391" t="s">
        <v>1499</v>
      </c>
      <c r="J72" s="353" t="s">
        <v>3184</v>
      </c>
      <c r="K72" s="353" t="s">
        <v>3187</v>
      </c>
      <c r="L72" s="400">
        <v>0</v>
      </c>
      <c r="M72" s="401">
        <v>0</v>
      </c>
      <c r="N72" s="400">
        <v>0</v>
      </c>
      <c r="O72" s="401">
        <v>0</v>
      </c>
      <c r="P72" s="400">
        <v>0</v>
      </c>
      <c r="Q72" s="401">
        <v>0</v>
      </c>
      <c r="R72" s="400"/>
      <c r="S72" s="401"/>
      <c r="T72" s="400"/>
      <c r="U72" s="401"/>
      <c r="V72" s="400">
        <v>0</v>
      </c>
      <c r="W72" s="401">
        <v>0</v>
      </c>
      <c r="X72" s="400">
        <v>0</v>
      </c>
      <c r="Y72" s="401">
        <v>0</v>
      </c>
      <c r="Z72" s="400">
        <v>0</v>
      </c>
      <c r="AA72" s="401">
        <v>0</v>
      </c>
      <c r="AB72" s="400">
        <v>0</v>
      </c>
      <c r="AC72" s="401">
        <v>0</v>
      </c>
      <c r="AD72" s="400">
        <v>0</v>
      </c>
      <c r="AE72" s="401">
        <v>0</v>
      </c>
      <c r="AF72" s="400"/>
      <c r="AG72" s="401"/>
      <c r="AH72" s="400"/>
      <c r="AI72" s="401"/>
      <c r="AJ72" s="400">
        <v>0</v>
      </c>
      <c r="AK72" s="401">
        <v>0</v>
      </c>
      <c r="AL72" s="400">
        <v>0</v>
      </c>
      <c r="AM72" s="401">
        <v>0</v>
      </c>
      <c r="AN72" s="400">
        <v>0</v>
      </c>
      <c r="AO72" s="401">
        <v>0</v>
      </c>
      <c r="AP72" s="400">
        <v>0</v>
      </c>
      <c r="AQ72" s="401">
        <v>0</v>
      </c>
      <c r="AR72" s="400">
        <v>0</v>
      </c>
      <c r="AS72" s="401">
        <v>0</v>
      </c>
      <c r="AT72" s="400"/>
      <c r="AU72" s="401"/>
      <c r="AV72" s="400"/>
      <c r="AW72" s="401"/>
      <c r="AX72" s="400">
        <v>0</v>
      </c>
      <c r="AY72" s="401">
        <v>0</v>
      </c>
      <c r="AZ72" s="400">
        <v>0</v>
      </c>
      <c r="BA72" s="401">
        <v>0</v>
      </c>
      <c r="BB72" s="400">
        <v>0</v>
      </c>
      <c r="BC72" s="401">
        <v>0</v>
      </c>
      <c r="BD72" s="400">
        <v>0</v>
      </c>
      <c r="BE72" s="401">
        <v>0</v>
      </c>
      <c r="BF72" s="400">
        <v>0</v>
      </c>
      <c r="BG72" s="401">
        <v>0</v>
      </c>
      <c r="BH72" s="400"/>
      <c r="BI72" s="401"/>
      <c r="BJ72" s="400"/>
      <c r="BK72" s="401"/>
      <c r="BL72" s="400">
        <v>0</v>
      </c>
      <c r="BM72" s="401">
        <v>0</v>
      </c>
      <c r="BN72" s="400">
        <v>0</v>
      </c>
      <c r="BO72" s="401">
        <v>0</v>
      </c>
      <c r="BP72" s="400">
        <v>0</v>
      </c>
      <c r="BQ72" s="401">
        <v>0</v>
      </c>
      <c r="BR72" s="400">
        <v>0</v>
      </c>
      <c r="BS72" s="401">
        <v>0</v>
      </c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3246</v>
      </c>
      <c r="B73" s="386" t="s">
        <v>3247</v>
      </c>
      <c r="C73" s="392" t="s">
        <v>3191</v>
      </c>
      <c r="D73" s="387" t="s">
        <v>3248</v>
      </c>
      <c r="E73" s="388" t="s">
        <v>3249</v>
      </c>
      <c r="F73" s="389" t="s">
        <v>3182</v>
      </c>
      <c r="G73" s="389" t="s">
        <v>3183</v>
      </c>
      <c r="H73" s="390" t="s">
        <v>1499</v>
      </c>
      <c r="I73" s="391" t="s">
        <v>1499</v>
      </c>
      <c r="J73" s="353" t="s">
        <v>3184</v>
      </c>
      <c r="K73" s="355" t="s">
        <v>3188</v>
      </c>
      <c r="L73" s="400">
        <v>0</v>
      </c>
      <c r="M73" s="401">
        <v>0</v>
      </c>
      <c r="N73" s="400">
        <v>0</v>
      </c>
      <c r="O73" s="401">
        <v>0</v>
      </c>
      <c r="P73" s="400">
        <v>0</v>
      </c>
      <c r="Q73" s="401">
        <v>0</v>
      </c>
      <c r="R73" s="400"/>
      <c r="S73" s="401"/>
      <c r="T73" s="400"/>
      <c r="U73" s="401"/>
      <c r="V73" s="400">
        <v>0</v>
      </c>
      <c r="W73" s="401">
        <v>0</v>
      </c>
      <c r="X73" s="400">
        <v>0</v>
      </c>
      <c r="Y73" s="401">
        <v>0</v>
      </c>
      <c r="Z73" s="400">
        <v>0</v>
      </c>
      <c r="AA73" s="401">
        <v>0</v>
      </c>
      <c r="AB73" s="400">
        <v>0</v>
      </c>
      <c r="AC73" s="401">
        <v>0</v>
      </c>
      <c r="AD73" s="400">
        <v>0</v>
      </c>
      <c r="AE73" s="401">
        <v>0</v>
      </c>
      <c r="AF73" s="400"/>
      <c r="AG73" s="401"/>
      <c r="AH73" s="400"/>
      <c r="AI73" s="401"/>
      <c r="AJ73" s="400">
        <v>0</v>
      </c>
      <c r="AK73" s="401">
        <v>0</v>
      </c>
      <c r="AL73" s="400">
        <v>0</v>
      </c>
      <c r="AM73" s="401">
        <v>0</v>
      </c>
      <c r="AN73" s="400">
        <v>0</v>
      </c>
      <c r="AO73" s="401">
        <v>0</v>
      </c>
      <c r="AP73" s="400">
        <v>0</v>
      </c>
      <c r="AQ73" s="401">
        <v>0</v>
      </c>
      <c r="AR73" s="400">
        <v>0</v>
      </c>
      <c r="AS73" s="401">
        <v>0</v>
      </c>
      <c r="AT73" s="400"/>
      <c r="AU73" s="401"/>
      <c r="AV73" s="400"/>
      <c r="AW73" s="401"/>
      <c r="AX73" s="400">
        <v>0</v>
      </c>
      <c r="AY73" s="401">
        <v>0</v>
      </c>
      <c r="AZ73" s="400">
        <v>0</v>
      </c>
      <c r="BA73" s="401">
        <v>0</v>
      </c>
      <c r="BB73" s="400">
        <v>0</v>
      </c>
      <c r="BC73" s="401">
        <v>0</v>
      </c>
      <c r="BD73" s="400">
        <v>0</v>
      </c>
      <c r="BE73" s="401">
        <v>0</v>
      </c>
      <c r="BF73" s="400">
        <v>0</v>
      </c>
      <c r="BG73" s="401">
        <v>0</v>
      </c>
      <c r="BH73" s="400"/>
      <c r="BI73" s="401"/>
      <c r="BJ73" s="400"/>
      <c r="BK73" s="401"/>
      <c r="BL73" s="400">
        <v>0</v>
      </c>
      <c r="BM73" s="401">
        <v>0</v>
      </c>
      <c r="BN73" s="400">
        <v>0</v>
      </c>
      <c r="BO73" s="401">
        <v>0</v>
      </c>
      <c r="BP73" s="400">
        <v>0</v>
      </c>
      <c r="BQ73" s="401">
        <v>0</v>
      </c>
      <c r="BR73" s="400">
        <v>0</v>
      </c>
      <c r="BS73" s="401">
        <v>0</v>
      </c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3246</v>
      </c>
      <c r="B74" s="386" t="s">
        <v>3247</v>
      </c>
      <c r="C74" s="392" t="s">
        <v>3191</v>
      </c>
      <c r="D74" s="387" t="s">
        <v>3248</v>
      </c>
      <c r="E74" s="388" t="s">
        <v>3249</v>
      </c>
      <c r="F74" s="389" t="s">
        <v>3182</v>
      </c>
      <c r="G74" s="389" t="s">
        <v>3183</v>
      </c>
      <c r="H74" s="390" t="s">
        <v>1499</v>
      </c>
      <c r="I74" s="391" t="s">
        <v>1499</v>
      </c>
      <c r="J74" s="353" t="s">
        <v>3184</v>
      </c>
      <c r="K74" s="356" t="s">
        <v>3189</v>
      </c>
      <c r="L74" s="400">
        <v>0</v>
      </c>
      <c r="M74" s="401">
        <v>0</v>
      </c>
      <c r="N74" s="400">
        <v>0</v>
      </c>
      <c r="O74" s="401">
        <v>0</v>
      </c>
      <c r="P74" s="400">
        <v>0</v>
      </c>
      <c r="Q74" s="401">
        <v>0</v>
      </c>
      <c r="R74" s="400"/>
      <c r="S74" s="401"/>
      <c r="T74" s="400"/>
      <c r="U74" s="401"/>
      <c r="V74" s="400">
        <v>0</v>
      </c>
      <c r="W74" s="401">
        <v>0</v>
      </c>
      <c r="X74" s="400">
        <v>0</v>
      </c>
      <c r="Y74" s="401">
        <v>0</v>
      </c>
      <c r="Z74" s="400">
        <v>0</v>
      </c>
      <c r="AA74" s="401">
        <v>0</v>
      </c>
      <c r="AB74" s="400">
        <v>0</v>
      </c>
      <c r="AC74" s="401">
        <v>0</v>
      </c>
      <c r="AD74" s="400">
        <v>0</v>
      </c>
      <c r="AE74" s="401">
        <v>0</v>
      </c>
      <c r="AF74" s="400"/>
      <c r="AG74" s="401"/>
      <c r="AH74" s="400"/>
      <c r="AI74" s="401"/>
      <c r="AJ74" s="400">
        <v>0</v>
      </c>
      <c r="AK74" s="401">
        <v>0</v>
      </c>
      <c r="AL74" s="400">
        <v>0</v>
      </c>
      <c r="AM74" s="401">
        <v>0</v>
      </c>
      <c r="AN74" s="400">
        <v>0</v>
      </c>
      <c r="AO74" s="401">
        <v>0</v>
      </c>
      <c r="AP74" s="400">
        <v>0</v>
      </c>
      <c r="AQ74" s="401">
        <v>0</v>
      </c>
      <c r="AR74" s="400">
        <v>0</v>
      </c>
      <c r="AS74" s="401">
        <v>0</v>
      </c>
      <c r="AT74" s="400"/>
      <c r="AU74" s="401"/>
      <c r="AV74" s="400"/>
      <c r="AW74" s="401"/>
      <c r="AX74" s="400">
        <v>0</v>
      </c>
      <c r="AY74" s="401">
        <v>0</v>
      </c>
      <c r="AZ74" s="400">
        <v>0</v>
      </c>
      <c r="BA74" s="401">
        <v>0</v>
      </c>
      <c r="BB74" s="400">
        <v>0</v>
      </c>
      <c r="BC74" s="401">
        <v>0</v>
      </c>
      <c r="BD74" s="400">
        <v>0</v>
      </c>
      <c r="BE74" s="401">
        <v>0</v>
      </c>
      <c r="BF74" s="400">
        <v>0</v>
      </c>
      <c r="BG74" s="401">
        <v>0</v>
      </c>
      <c r="BH74" s="400"/>
      <c r="BI74" s="401"/>
      <c r="BJ74" s="400"/>
      <c r="BK74" s="401"/>
      <c r="BL74" s="400">
        <v>0</v>
      </c>
      <c r="BM74" s="401">
        <v>0</v>
      </c>
      <c r="BN74" s="400">
        <v>0</v>
      </c>
      <c r="BO74" s="401">
        <v>0</v>
      </c>
      <c r="BP74" s="400">
        <v>0</v>
      </c>
      <c r="BQ74" s="401">
        <v>0</v>
      </c>
      <c r="BR74" s="400">
        <v>0</v>
      </c>
      <c r="BS74" s="401">
        <v>0</v>
      </c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3246</v>
      </c>
      <c r="B75" s="393" t="s">
        <v>3247</v>
      </c>
      <c r="C75" s="394" t="s">
        <v>3191</v>
      </c>
      <c r="D75" s="395" t="s">
        <v>3248</v>
      </c>
      <c r="E75" s="411" t="s">
        <v>3249</v>
      </c>
      <c r="F75" s="396" t="s">
        <v>3182</v>
      </c>
      <c r="G75" s="396" t="s">
        <v>3183</v>
      </c>
      <c r="H75" s="397" t="s">
        <v>1499</v>
      </c>
      <c r="I75" s="899" t="s">
        <v>1499</v>
      </c>
      <c r="J75" s="353" t="s">
        <v>3184</v>
      </c>
      <c r="K75" s="357" t="s">
        <v>60</v>
      </c>
      <c r="L75" s="402">
        <v>0</v>
      </c>
      <c r="M75" s="403">
        <v>0</v>
      </c>
      <c r="N75" s="402">
        <v>0</v>
      </c>
      <c r="O75" s="403">
        <v>0</v>
      </c>
      <c r="P75" s="402">
        <v>0</v>
      </c>
      <c r="Q75" s="403">
        <v>0</v>
      </c>
      <c r="R75" s="402"/>
      <c r="S75" s="403"/>
      <c r="T75" s="402"/>
      <c r="U75" s="403"/>
      <c r="V75" s="402">
        <v>0</v>
      </c>
      <c r="W75" s="403">
        <v>0</v>
      </c>
      <c r="X75" s="402">
        <v>0</v>
      </c>
      <c r="Y75" s="403">
        <v>0</v>
      </c>
      <c r="Z75" s="402">
        <v>0</v>
      </c>
      <c r="AA75" s="403">
        <v>0</v>
      </c>
      <c r="AB75" s="402">
        <v>0</v>
      </c>
      <c r="AC75" s="403">
        <v>0</v>
      </c>
      <c r="AD75" s="402">
        <v>0</v>
      </c>
      <c r="AE75" s="403">
        <v>0</v>
      </c>
      <c r="AF75" s="402"/>
      <c r="AG75" s="403"/>
      <c r="AH75" s="402"/>
      <c r="AI75" s="403"/>
      <c r="AJ75" s="402">
        <v>0</v>
      </c>
      <c r="AK75" s="403">
        <v>0</v>
      </c>
      <c r="AL75" s="402">
        <v>0</v>
      </c>
      <c r="AM75" s="403">
        <v>0</v>
      </c>
      <c r="AN75" s="402">
        <v>0</v>
      </c>
      <c r="AO75" s="403">
        <v>0</v>
      </c>
      <c r="AP75" s="402">
        <v>0</v>
      </c>
      <c r="AQ75" s="403">
        <v>0</v>
      </c>
      <c r="AR75" s="402">
        <v>0</v>
      </c>
      <c r="AS75" s="403">
        <v>0</v>
      </c>
      <c r="AT75" s="402"/>
      <c r="AU75" s="403"/>
      <c r="AV75" s="402"/>
      <c r="AW75" s="403"/>
      <c r="AX75" s="402">
        <v>0</v>
      </c>
      <c r="AY75" s="403">
        <v>0</v>
      </c>
      <c r="AZ75" s="402">
        <v>0</v>
      </c>
      <c r="BA75" s="403">
        <v>0</v>
      </c>
      <c r="BB75" s="402">
        <v>0</v>
      </c>
      <c r="BC75" s="403">
        <v>0</v>
      </c>
      <c r="BD75" s="402">
        <v>0</v>
      </c>
      <c r="BE75" s="403">
        <v>0</v>
      </c>
      <c r="BF75" s="402">
        <v>0</v>
      </c>
      <c r="BG75" s="403">
        <v>0</v>
      </c>
      <c r="BH75" s="402"/>
      <c r="BI75" s="403"/>
      <c r="BJ75" s="402"/>
      <c r="BK75" s="403"/>
      <c r="BL75" s="402">
        <v>0</v>
      </c>
      <c r="BM75" s="403">
        <v>0</v>
      </c>
      <c r="BN75" s="402">
        <v>0</v>
      </c>
      <c r="BO75" s="403">
        <v>0</v>
      </c>
      <c r="BP75" s="402">
        <v>0</v>
      </c>
      <c r="BQ75" s="403">
        <v>0</v>
      </c>
      <c r="BR75" s="402">
        <v>0</v>
      </c>
      <c r="BS75" s="403">
        <v>0</v>
      </c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3250</v>
      </c>
      <c r="B76" s="526" t="s">
        <v>3251</v>
      </c>
      <c r="C76" s="527">
        <v>1</v>
      </c>
      <c r="D76" s="528" t="s">
        <v>3252</v>
      </c>
      <c r="E76" s="426" t="s">
        <v>3253</v>
      </c>
      <c r="F76" s="529" t="s">
        <v>3182</v>
      </c>
      <c r="G76" s="529" t="s">
        <v>3183</v>
      </c>
      <c r="H76" s="530" t="s">
        <v>1500</v>
      </c>
      <c r="I76" s="384" t="s">
        <v>1500</v>
      </c>
      <c r="J76" s="353" t="s">
        <v>3184</v>
      </c>
      <c r="K76" s="354" t="s">
        <v>3185</v>
      </c>
      <c r="L76" s="402">
        <v>0</v>
      </c>
      <c r="M76" s="403">
        <v>0</v>
      </c>
      <c r="N76" s="402">
        <v>0</v>
      </c>
      <c r="O76" s="403">
        <v>0</v>
      </c>
      <c r="P76" s="402">
        <v>0</v>
      </c>
      <c r="Q76" s="403">
        <v>0</v>
      </c>
      <c r="R76" s="402"/>
      <c r="S76" s="403"/>
      <c r="T76" s="402"/>
      <c r="U76" s="403"/>
      <c r="V76" s="402">
        <v>0</v>
      </c>
      <c r="W76" s="403">
        <v>0</v>
      </c>
      <c r="X76" s="402">
        <v>0</v>
      </c>
      <c r="Y76" s="403">
        <v>0</v>
      </c>
      <c r="Z76" s="402">
        <v>0</v>
      </c>
      <c r="AA76" s="403">
        <v>0</v>
      </c>
      <c r="AB76" s="402">
        <v>0</v>
      </c>
      <c r="AC76" s="403">
        <v>0</v>
      </c>
      <c r="AD76" s="402">
        <v>0</v>
      </c>
      <c r="AE76" s="403">
        <v>0</v>
      </c>
      <c r="AF76" s="402"/>
      <c r="AG76" s="403"/>
      <c r="AH76" s="402"/>
      <c r="AI76" s="403"/>
      <c r="AJ76" s="402">
        <v>0</v>
      </c>
      <c r="AK76" s="403">
        <v>0</v>
      </c>
      <c r="AL76" s="402">
        <v>0</v>
      </c>
      <c r="AM76" s="403">
        <v>0</v>
      </c>
      <c r="AN76" s="402">
        <v>0</v>
      </c>
      <c r="AO76" s="403">
        <v>0</v>
      </c>
      <c r="AP76" s="402">
        <v>0</v>
      </c>
      <c r="AQ76" s="403">
        <v>0</v>
      </c>
      <c r="AR76" s="402">
        <v>0</v>
      </c>
      <c r="AS76" s="403">
        <v>0</v>
      </c>
      <c r="AT76" s="402"/>
      <c r="AU76" s="403"/>
      <c r="AV76" s="402"/>
      <c r="AW76" s="403"/>
      <c r="AX76" s="402">
        <v>0</v>
      </c>
      <c r="AY76" s="403">
        <v>0</v>
      </c>
      <c r="AZ76" s="402">
        <v>0</v>
      </c>
      <c r="BA76" s="403">
        <v>0</v>
      </c>
      <c r="BB76" s="402">
        <v>0</v>
      </c>
      <c r="BC76" s="403">
        <v>0</v>
      </c>
      <c r="BD76" s="402">
        <v>0</v>
      </c>
      <c r="BE76" s="403">
        <v>0</v>
      </c>
      <c r="BF76" s="402">
        <v>0</v>
      </c>
      <c r="BG76" s="403">
        <v>0</v>
      </c>
      <c r="BH76" s="402"/>
      <c r="BI76" s="403"/>
      <c r="BJ76" s="402"/>
      <c r="BK76" s="403"/>
      <c r="BL76" s="402">
        <v>0</v>
      </c>
      <c r="BM76" s="403">
        <v>0</v>
      </c>
      <c r="BN76" s="402">
        <v>0</v>
      </c>
      <c r="BO76" s="403">
        <v>0</v>
      </c>
      <c r="BP76" s="402">
        <v>0</v>
      </c>
      <c r="BQ76" s="403">
        <v>0</v>
      </c>
      <c r="BR76" s="402">
        <v>0</v>
      </c>
      <c r="BS76" s="403">
        <v>0</v>
      </c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3250</v>
      </c>
      <c r="B77" s="386" t="s">
        <v>3251</v>
      </c>
      <c r="C77" s="352" t="s">
        <v>3186</v>
      </c>
      <c r="D77" s="387" t="s">
        <v>3252</v>
      </c>
      <c r="E77" s="388" t="s">
        <v>3253</v>
      </c>
      <c r="F77" s="389" t="s">
        <v>3182</v>
      </c>
      <c r="G77" s="389" t="s">
        <v>3183</v>
      </c>
      <c r="H77" s="390" t="s">
        <v>1500</v>
      </c>
      <c r="I77" s="391" t="s">
        <v>1500</v>
      </c>
      <c r="J77" s="353" t="s">
        <v>3184</v>
      </c>
      <c r="K77" s="353" t="s">
        <v>3187</v>
      </c>
      <c r="L77" s="400">
        <v>0</v>
      </c>
      <c r="M77" s="401">
        <v>0</v>
      </c>
      <c r="N77" s="400">
        <v>0</v>
      </c>
      <c r="O77" s="401">
        <v>0</v>
      </c>
      <c r="P77" s="400">
        <v>0</v>
      </c>
      <c r="Q77" s="401">
        <v>0</v>
      </c>
      <c r="R77" s="400"/>
      <c r="S77" s="401"/>
      <c r="T77" s="400"/>
      <c r="U77" s="401"/>
      <c r="V77" s="400">
        <v>8</v>
      </c>
      <c r="W77" s="401">
        <v>0</v>
      </c>
      <c r="X77" s="400">
        <v>0</v>
      </c>
      <c r="Y77" s="401">
        <v>0</v>
      </c>
      <c r="Z77" s="400">
        <v>0</v>
      </c>
      <c r="AA77" s="401">
        <v>0</v>
      </c>
      <c r="AB77" s="400">
        <v>0</v>
      </c>
      <c r="AC77" s="401">
        <v>0</v>
      </c>
      <c r="AD77" s="400">
        <v>0</v>
      </c>
      <c r="AE77" s="401">
        <v>0</v>
      </c>
      <c r="AF77" s="400"/>
      <c r="AG77" s="401"/>
      <c r="AH77" s="400"/>
      <c r="AI77" s="401"/>
      <c r="AJ77" s="400">
        <v>8</v>
      </c>
      <c r="AK77" s="401">
        <v>0</v>
      </c>
      <c r="AL77" s="400">
        <v>0</v>
      </c>
      <c r="AM77" s="401">
        <v>0</v>
      </c>
      <c r="AN77" s="400">
        <v>0</v>
      </c>
      <c r="AO77" s="401">
        <v>0</v>
      </c>
      <c r="AP77" s="400">
        <v>0</v>
      </c>
      <c r="AQ77" s="401">
        <v>0</v>
      </c>
      <c r="AR77" s="400">
        <v>0</v>
      </c>
      <c r="AS77" s="401">
        <v>0</v>
      </c>
      <c r="AT77" s="400"/>
      <c r="AU77" s="401"/>
      <c r="AV77" s="400"/>
      <c r="AW77" s="401"/>
      <c r="AX77" s="400">
        <v>8</v>
      </c>
      <c r="AY77" s="401">
        <v>0</v>
      </c>
      <c r="AZ77" s="400">
        <v>0</v>
      </c>
      <c r="BA77" s="401">
        <v>0</v>
      </c>
      <c r="BB77" s="400">
        <v>0</v>
      </c>
      <c r="BC77" s="401">
        <v>0</v>
      </c>
      <c r="BD77" s="400">
        <v>0</v>
      </c>
      <c r="BE77" s="401">
        <v>0</v>
      </c>
      <c r="BF77" s="400">
        <v>0</v>
      </c>
      <c r="BG77" s="401">
        <v>0</v>
      </c>
      <c r="BH77" s="400"/>
      <c r="BI77" s="401"/>
      <c r="BJ77" s="400"/>
      <c r="BK77" s="401"/>
      <c r="BL77" s="400">
        <v>8</v>
      </c>
      <c r="BM77" s="401">
        <v>0</v>
      </c>
      <c r="BN77" s="400">
        <v>0</v>
      </c>
      <c r="BO77" s="401">
        <v>0</v>
      </c>
      <c r="BP77" s="400">
        <v>0</v>
      </c>
      <c r="BQ77" s="401">
        <v>0</v>
      </c>
      <c r="BR77" s="400">
        <v>0</v>
      </c>
      <c r="BS77" s="401">
        <v>0</v>
      </c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32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3250</v>
      </c>
      <c r="B78" s="386" t="s">
        <v>3251</v>
      </c>
      <c r="C78" s="392" t="s">
        <v>3186</v>
      </c>
      <c r="D78" s="387" t="s">
        <v>3252</v>
      </c>
      <c r="E78" s="388" t="s">
        <v>3253</v>
      </c>
      <c r="F78" s="389" t="s">
        <v>3182</v>
      </c>
      <c r="G78" s="389" t="s">
        <v>3183</v>
      </c>
      <c r="H78" s="390" t="s">
        <v>1500</v>
      </c>
      <c r="I78" s="391" t="s">
        <v>1500</v>
      </c>
      <c r="J78" s="353" t="s">
        <v>3184</v>
      </c>
      <c r="K78" s="355" t="s">
        <v>3188</v>
      </c>
      <c r="L78" s="400">
        <v>0</v>
      </c>
      <c r="M78" s="401">
        <v>0</v>
      </c>
      <c r="N78" s="400">
        <v>0</v>
      </c>
      <c r="O78" s="401">
        <v>0</v>
      </c>
      <c r="P78" s="400">
        <v>0</v>
      </c>
      <c r="Q78" s="401">
        <v>0</v>
      </c>
      <c r="R78" s="400"/>
      <c r="S78" s="401"/>
      <c r="T78" s="400"/>
      <c r="U78" s="401"/>
      <c r="V78" s="400">
        <v>0</v>
      </c>
      <c r="W78" s="401">
        <v>0</v>
      </c>
      <c r="X78" s="400">
        <v>0</v>
      </c>
      <c r="Y78" s="401">
        <v>0</v>
      </c>
      <c r="Z78" s="400">
        <v>0</v>
      </c>
      <c r="AA78" s="401">
        <v>0</v>
      </c>
      <c r="AB78" s="400">
        <v>0</v>
      </c>
      <c r="AC78" s="401">
        <v>0</v>
      </c>
      <c r="AD78" s="400">
        <v>0</v>
      </c>
      <c r="AE78" s="401">
        <v>0</v>
      </c>
      <c r="AF78" s="400"/>
      <c r="AG78" s="401"/>
      <c r="AH78" s="400"/>
      <c r="AI78" s="401"/>
      <c r="AJ78" s="400">
        <v>0</v>
      </c>
      <c r="AK78" s="401">
        <v>0</v>
      </c>
      <c r="AL78" s="400">
        <v>0</v>
      </c>
      <c r="AM78" s="401">
        <v>0</v>
      </c>
      <c r="AN78" s="400">
        <v>0</v>
      </c>
      <c r="AO78" s="401">
        <v>0</v>
      </c>
      <c r="AP78" s="400">
        <v>0</v>
      </c>
      <c r="AQ78" s="401">
        <v>0</v>
      </c>
      <c r="AR78" s="400">
        <v>0</v>
      </c>
      <c r="AS78" s="401">
        <v>0</v>
      </c>
      <c r="AT78" s="400"/>
      <c r="AU78" s="401"/>
      <c r="AV78" s="400"/>
      <c r="AW78" s="401"/>
      <c r="AX78" s="400">
        <v>0</v>
      </c>
      <c r="AY78" s="401">
        <v>0</v>
      </c>
      <c r="AZ78" s="400">
        <v>0</v>
      </c>
      <c r="BA78" s="401">
        <v>0</v>
      </c>
      <c r="BB78" s="400">
        <v>0</v>
      </c>
      <c r="BC78" s="401">
        <v>0</v>
      </c>
      <c r="BD78" s="400">
        <v>0</v>
      </c>
      <c r="BE78" s="401">
        <v>0</v>
      </c>
      <c r="BF78" s="400">
        <v>0</v>
      </c>
      <c r="BG78" s="401">
        <v>0</v>
      </c>
      <c r="BH78" s="400"/>
      <c r="BI78" s="401"/>
      <c r="BJ78" s="400"/>
      <c r="BK78" s="401"/>
      <c r="BL78" s="400">
        <v>0</v>
      </c>
      <c r="BM78" s="401">
        <v>0</v>
      </c>
      <c r="BN78" s="400">
        <v>0</v>
      </c>
      <c r="BO78" s="401">
        <v>0</v>
      </c>
      <c r="BP78" s="400">
        <v>0</v>
      </c>
      <c r="BQ78" s="401">
        <v>0</v>
      </c>
      <c r="BR78" s="400">
        <v>0</v>
      </c>
      <c r="BS78" s="401">
        <v>0</v>
      </c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3250</v>
      </c>
      <c r="B79" s="386" t="s">
        <v>3251</v>
      </c>
      <c r="C79" s="392" t="s">
        <v>3186</v>
      </c>
      <c r="D79" s="387" t="s">
        <v>3252</v>
      </c>
      <c r="E79" s="388" t="s">
        <v>3253</v>
      </c>
      <c r="F79" s="389" t="s">
        <v>3182</v>
      </c>
      <c r="G79" s="389" t="s">
        <v>3183</v>
      </c>
      <c r="H79" s="390" t="s">
        <v>1500</v>
      </c>
      <c r="I79" s="391" t="s">
        <v>1500</v>
      </c>
      <c r="J79" s="353" t="s">
        <v>3184</v>
      </c>
      <c r="K79" s="356" t="s">
        <v>3189</v>
      </c>
      <c r="L79" s="400">
        <v>0</v>
      </c>
      <c r="M79" s="401">
        <v>0</v>
      </c>
      <c r="N79" s="400">
        <v>0</v>
      </c>
      <c r="O79" s="401">
        <v>0</v>
      </c>
      <c r="P79" s="400">
        <v>0</v>
      </c>
      <c r="Q79" s="401">
        <v>0</v>
      </c>
      <c r="R79" s="400"/>
      <c r="S79" s="401"/>
      <c r="T79" s="400"/>
      <c r="U79" s="401"/>
      <c r="V79" s="400">
        <v>0</v>
      </c>
      <c r="W79" s="401">
        <v>0</v>
      </c>
      <c r="X79" s="400">
        <v>0</v>
      </c>
      <c r="Y79" s="401">
        <v>0</v>
      </c>
      <c r="Z79" s="400">
        <v>0</v>
      </c>
      <c r="AA79" s="401">
        <v>0</v>
      </c>
      <c r="AB79" s="400">
        <v>0</v>
      </c>
      <c r="AC79" s="401">
        <v>0</v>
      </c>
      <c r="AD79" s="400">
        <v>0</v>
      </c>
      <c r="AE79" s="401">
        <v>0</v>
      </c>
      <c r="AF79" s="400"/>
      <c r="AG79" s="401"/>
      <c r="AH79" s="400"/>
      <c r="AI79" s="401"/>
      <c r="AJ79" s="400">
        <v>0</v>
      </c>
      <c r="AK79" s="401">
        <v>0</v>
      </c>
      <c r="AL79" s="400">
        <v>0</v>
      </c>
      <c r="AM79" s="401">
        <v>0</v>
      </c>
      <c r="AN79" s="400">
        <v>0</v>
      </c>
      <c r="AO79" s="401">
        <v>0</v>
      </c>
      <c r="AP79" s="400">
        <v>0</v>
      </c>
      <c r="AQ79" s="401">
        <v>0</v>
      </c>
      <c r="AR79" s="400">
        <v>0</v>
      </c>
      <c r="AS79" s="401">
        <v>0</v>
      </c>
      <c r="AT79" s="400"/>
      <c r="AU79" s="401"/>
      <c r="AV79" s="400"/>
      <c r="AW79" s="401"/>
      <c r="AX79" s="400">
        <v>0</v>
      </c>
      <c r="AY79" s="401">
        <v>0</v>
      </c>
      <c r="AZ79" s="400">
        <v>0</v>
      </c>
      <c r="BA79" s="401">
        <v>0</v>
      </c>
      <c r="BB79" s="400">
        <v>0</v>
      </c>
      <c r="BC79" s="401">
        <v>0</v>
      </c>
      <c r="BD79" s="400">
        <v>0</v>
      </c>
      <c r="BE79" s="401">
        <v>0</v>
      </c>
      <c r="BF79" s="400">
        <v>0</v>
      </c>
      <c r="BG79" s="401">
        <v>0</v>
      </c>
      <c r="BH79" s="400"/>
      <c r="BI79" s="401"/>
      <c r="BJ79" s="400"/>
      <c r="BK79" s="401"/>
      <c r="BL79" s="400">
        <v>0</v>
      </c>
      <c r="BM79" s="401">
        <v>0</v>
      </c>
      <c r="BN79" s="400">
        <v>0</v>
      </c>
      <c r="BO79" s="401">
        <v>0</v>
      </c>
      <c r="BP79" s="400">
        <v>0</v>
      </c>
      <c r="BQ79" s="401">
        <v>0</v>
      </c>
      <c r="BR79" s="400">
        <v>0</v>
      </c>
      <c r="BS79" s="401">
        <v>0</v>
      </c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3250</v>
      </c>
      <c r="B80" s="393" t="s">
        <v>3251</v>
      </c>
      <c r="C80" s="394" t="s">
        <v>3186</v>
      </c>
      <c r="D80" s="395" t="s">
        <v>3252</v>
      </c>
      <c r="E80" s="411" t="s">
        <v>3253</v>
      </c>
      <c r="F80" s="396" t="s">
        <v>3182</v>
      </c>
      <c r="G80" s="396" t="s">
        <v>3183</v>
      </c>
      <c r="H80" s="397" t="s">
        <v>1500</v>
      </c>
      <c r="I80" s="899" t="s">
        <v>1500</v>
      </c>
      <c r="J80" s="353" t="s">
        <v>3184</v>
      </c>
      <c r="K80" s="357" t="s">
        <v>60</v>
      </c>
      <c r="L80" s="402">
        <v>0</v>
      </c>
      <c r="M80" s="403">
        <v>0</v>
      </c>
      <c r="N80" s="402">
        <v>0</v>
      </c>
      <c r="O80" s="403">
        <v>0</v>
      </c>
      <c r="P80" s="402">
        <v>0</v>
      </c>
      <c r="Q80" s="403">
        <v>0</v>
      </c>
      <c r="R80" s="402"/>
      <c r="S80" s="403"/>
      <c r="T80" s="402"/>
      <c r="U80" s="403"/>
      <c r="V80" s="402">
        <v>0</v>
      </c>
      <c r="W80" s="403">
        <v>0</v>
      </c>
      <c r="X80" s="402">
        <v>0</v>
      </c>
      <c r="Y80" s="403">
        <v>0</v>
      </c>
      <c r="Z80" s="402">
        <v>0</v>
      </c>
      <c r="AA80" s="403">
        <v>0</v>
      </c>
      <c r="AB80" s="402">
        <v>0</v>
      </c>
      <c r="AC80" s="403">
        <v>0</v>
      </c>
      <c r="AD80" s="402">
        <v>0</v>
      </c>
      <c r="AE80" s="403">
        <v>0</v>
      </c>
      <c r="AF80" s="402"/>
      <c r="AG80" s="403"/>
      <c r="AH80" s="402"/>
      <c r="AI80" s="403"/>
      <c r="AJ80" s="402">
        <v>0</v>
      </c>
      <c r="AK80" s="403">
        <v>0</v>
      </c>
      <c r="AL80" s="402">
        <v>0</v>
      </c>
      <c r="AM80" s="403">
        <v>0</v>
      </c>
      <c r="AN80" s="402">
        <v>0</v>
      </c>
      <c r="AO80" s="403">
        <v>0</v>
      </c>
      <c r="AP80" s="402">
        <v>0</v>
      </c>
      <c r="AQ80" s="403">
        <v>0</v>
      </c>
      <c r="AR80" s="402">
        <v>0</v>
      </c>
      <c r="AS80" s="403">
        <v>0</v>
      </c>
      <c r="AT80" s="402"/>
      <c r="AU80" s="403"/>
      <c r="AV80" s="402"/>
      <c r="AW80" s="403"/>
      <c r="AX80" s="402">
        <v>0</v>
      </c>
      <c r="AY80" s="403">
        <v>0</v>
      </c>
      <c r="AZ80" s="402">
        <v>0</v>
      </c>
      <c r="BA80" s="403">
        <v>0</v>
      </c>
      <c r="BB80" s="402">
        <v>0</v>
      </c>
      <c r="BC80" s="403">
        <v>0</v>
      </c>
      <c r="BD80" s="402">
        <v>0</v>
      </c>
      <c r="BE80" s="403">
        <v>0</v>
      </c>
      <c r="BF80" s="402">
        <v>0</v>
      </c>
      <c r="BG80" s="403">
        <v>0</v>
      </c>
      <c r="BH80" s="402"/>
      <c r="BI80" s="403"/>
      <c r="BJ80" s="402"/>
      <c r="BK80" s="403"/>
      <c r="BL80" s="402">
        <v>0</v>
      </c>
      <c r="BM80" s="403">
        <v>0</v>
      </c>
      <c r="BN80" s="402">
        <v>0</v>
      </c>
      <c r="BO80" s="403">
        <v>0</v>
      </c>
      <c r="BP80" s="402">
        <v>0</v>
      </c>
      <c r="BQ80" s="403">
        <v>0</v>
      </c>
      <c r="BR80" s="402">
        <v>0</v>
      </c>
      <c r="BS80" s="403">
        <v>0</v>
      </c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3254</v>
      </c>
      <c r="B81" s="526" t="s">
        <v>3255</v>
      </c>
      <c r="C81" s="527">
        <v>1</v>
      </c>
      <c r="D81" s="528" t="s">
        <v>3256</v>
      </c>
      <c r="E81" s="426" t="s">
        <v>3257</v>
      </c>
      <c r="F81" s="529" t="s">
        <v>3182</v>
      </c>
      <c r="G81" s="529" t="s">
        <v>3183</v>
      </c>
      <c r="H81" s="530" t="s">
        <v>1503</v>
      </c>
      <c r="I81" s="384" t="s">
        <v>1503</v>
      </c>
      <c r="J81" s="353" t="s">
        <v>3184</v>
      </c>
      <c r="K81" s="354" t="s">
        <v>3185</v>
      </c>
      <c r="L81" s="402">
        <v>0</v>
      </c>
      <c r="M81" s="403">
        <v>0</v>
      </c>
      <c r="N81" s="402">
        <v>0</v>
      </c>
      <c r="O81" s="403">
        <v>0</v>
      </c>
      <c r="P81" s="402">
        <v>0</v>
      </c>
      <c r="Q81" s="403">
        <v>0</v>
      </c>
      <c r="R81" s="402"/>
      <c r="S81" s="403"/>
      <c r="T81" s="402"/>
      <c r="U81" s="403"/>
      <c r="V81" s="402">
        <v>0</v>
      </c>
      <c r="W81" s="403">
        <v>0</v>
      </c>
      <c r="X81" s="402">
        <v>0</v>
      </c>
      <c r="Y81" s="403">
        <v>0</v>
      </c>
      <c r="Z81" s="402">
        <v>0</v>
      </c>
      <c r="AA81" s="403">
        <v>0</v>
      </c>
      <c r="AB81" s="402">
        <v>0</v>
      </c>
      <c r="AC81" s="403">
        <v>0</v>
      </c>
      <c r="AD81" s="402">
        <v>0</v>
      </c>
      <c r="AE81" s="403">
        <v>0</v>
      </c>
      <c r="AF81" s="402"/>
      <c r="AG81" s="403"/>
      <c r="AH81" s="402"/>
      <c r="AI81" s="403"/>
      <c r="AJ81" s="402">
        <v>0</v>
      </c>
      <c r="AK81" s="403">
        <v>0</v>
      </c>
      <c r="AL81" s="402">
        <v>0</v>
      </c>
      <c r="AM81" s="403">
        <v>0</v>
      </c>
      <c r="AN81" s="402">
        <v>0</v>
      </c>
      <c r="AO81" s="403">
        <v>0</v>
      </c>
      <c r="AP81" s="402">
        <v>0</v>
      </c>
      <c r="AQ81" s="403">
        <v>0</v>
      </c>
      <c r="AR81" s="402">
        <v>0</v>
      </c>
      <c r="AS81" s="403">
        <v>0</v>
      </c>
      <c r="AT81" s="402"/>
      <c r="AU81" s="403"/>
      <c r="AV81" s="402"/>
      <c r="AW81" s="403"/>
      <c r="AX81" s="402">
        <v>0</v>
      </c>
      <c r="AY81" s="403">
        <v>0</v>
      </c>
      <c r="AZ81" s="402">
        <v>0</v>
      </c>
      <c r="BA81" s="403">
        <v>0</v>
      </c>
      <c r="BB81" s="402">
        <v>0</v>
      </c>
      <c r="BC81" s="403">
        <v>0</v>
      </c>
      <c r="BD81" s="402">
        <v>0</v>
      </c>
      <c r="BE81" s="403">
        <v>0</v>
      </c>
      <c r="BF81" s="402">
        <v>0</v>
      </c>
      <c r="BG81" s="403">
        <v>0</v>
      </c>
      <c r="BH81" s="402"/>
      <c r="BI81" s="403"/>
      <c r="BJ81" s="402"/>
      <c r="BK81" s="403"/>
      <c r="BL81" s="402">
        <v>0</v>
      </c>
      <c r="BM81" s="403">
        <v>0</v>
      </c>
      <c r="BN81" s="402">
        <v>0</v>
      </c>
      <c r="BO81" s="403">
        <v>0</v>
      </c>
      <c r="BP81" s="402">
        <v>0</v>
      </c>
      <c r="BQ81" s="403">
        <v>0</v>
      </c>
      <c r="BR81" s="402">
        <v>0</v>
      </c>
      <c r="BS81" s="403">
        <v>0</v>
      </c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3254</v>
      </c>
      <c r="B82" s="386" t="s">
        <v>3255</v>
      </c>
      <c r="C82" s="352" t="s">
        <v>3186</v>
      </c>
      <c r="D82" s="387" t="s">
        <v>3256</v>
      </c>
      <c r="E82" s="388" t="s">
        <v>3257</v>
      </c>
      <c r="F82" s="389" t="s">
        <v>3182</v>
      </c>
      <c r="G82" s="389" t="s">
        <v>3183</v>
      </c>
      <c r="H82" s="390" t="s">
        <v>1503</v>
      </c>
      <c r="I82" s="391" t="s">
        <v>1503</v>
      </c>
      <c r="J82" s="353" t="s">
        <v>3184</v>
      </c>
      <c r="K82" s="353" t="s">
        <v>3187</v>
      </c>
      <c r="L82" s="400">
        <v>0</v>
      </c>
      <c r="M82" s="401">
        <v>0</v>
      </c>
      <c r="N82" s="400">
        <v>0</v>
      </c>
      <c r="O82" s="401">
        <v>0</v>
      </c>
      <c r="P82" s="400">
        <v>0</v>
      </c>
      <c r="Q82" s="401">
        <v>0</v>
      </c>
      <c r="R82" s="400"/>
      <c r="S82" s="401"/>
      <c r="T82" s="400"/>
      <c r="U82" s="401"/>
      <c r="V82" s="400">
        <v>0</v>
      </c>
      <c r="W82" s="401">
        <v>0</v>
      </c>
      <c r="X82" s="400">
        <v>0</v>
      </c>
      <c r="Y82" s="401">
        <v>0</v>
      </c>
      <c r="Z82" s="400">
        <v>0</v>
      </c>
      <c r="AA82" s="401">
        <v>0</v>
      </c>
      <c r="AB82" s="400">
        <v>0</v>
      </c>
      <c r="AC82" s="401">
        <v>0</v>
      </c>
      <c r="AD82" s="400">
        <v>0</v>
      </c>
      <c r="AE82" s="401">
        <v>0</v>
      </c>
      <c r="AF82" s="400"/>
      <c r="AG82" s="401"/>
      <c r="AH82" s="400"/>
      <c r="AI82" s="401"/>
      <c r="AJ82" s="400">
        <v>0</v>
      </c>
      <c r="AK82" s="401">
        <v>0</v>
      </c>
      <c r="AL82" s="400">
        <v>0</v>
      </c>
      <c r="AM82" s="401">
        <v>0</v>
      </c>
      <c r="AN82" s="400">
        <v>0</v>
      </c>
      <c r="AO82" s="401">
        <v>0</v>
      </c>
      <c r="AP82" s="400">
        <v>0</v>
      </c>
      <c r="AQ82" s="401">
        <v>0</v>
      </c>
      <c r="AR82" s="400">
        <v>0</v>
      </c>
      <c r="AS82" s="401">
        <v>0</v>
      </c>
      <c r="AT82" s="400"/>
      <c r="AU82" s="401"/>
      <c r="AV82" s="400"/>
      <c r="AW82" s="401"/>
      <c r="AX82" s="400">
        <v>0</v>
      </c>
      <c r="AY82" s="401">
        <v>0</v>
      </c>
      <c r="AZ82" s="400">
        <v>0</v>
      </c>
      <c r="BA82" s="401">
        <v>0</v>
      </c>
      <c r="BB82" s="400">
        <v>0</v>
      </c>
      <c r="BC82" s="401">
        <v>0</v>
      </c>
      <c r="BD82" s="400">
        <v>0</v>
      </c>
      <c r="BE82" s="401">
        <v>0</v>
      </c>
      <c r="BF82" s="400">
        <v>0</v>
      </c>
      <c r="BG82" s="401">
        <v>0</v>
      </c>
      <c r="BH82" s="400"/>
      <c r="BI82" s="401"/>
      <c r="BJ82" s="400"/>
      <c r="BK82" s="401"/>
      <c r="BL82" s="400">
        <v>0</v>
      </c>
      <c r="BM82" s="401">
        <v>0</v>
      </c>
      <c r="BN82" s="400">
        <v>0</v>
      </c>
      <c r="BO82" s="401">
        <v>0</v>
      </c>
      <c r="BP82" s="400">
        <v>0</v>
      </c>
      <c r="BQ82" s="401">
        <v>0</v>
      </c>
      <c r="BR82" s="400">
        <v>0</v>
      </c>
      <c r="BS82" s="401">
        <v>0</v>
      </c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3254</v>
      </c>
      <c r="B83" s="386" t="s">
        <v>3255</v>
      </c>
      <c r="C83" s="392" t="s">
        <v>3186</v>
      </c>
      <c r="D83" s="387" t="s">
        <v>3256</v>
      </c>
      <c r="E83" s="388" t="s">
        <v>3257</v>
      </c>
      <c r="F83" s="389" t="s">
        <v>3182</v>
      </c>
      <c r="G83" s="389" t="s">
        <v>3183</v>
      </c>
      <c r="H83" s="390" t="s">
        <v>1503</v>
      </c>
      <c r="I83" s="391" t="s">
        <v>1503</v>
      </c>
      <c r="J83" s="353" t="s">
        <v>3184</v>
      </c>
      <c r="K83" s="355" t="s">
        <v>3188</v>
      </c>
      <c r="L83" s="400">
        <v>0</v>
      </c>
      <c r="M83" s="401">
        <v>0</v>
      </c>
      <c r="N83" s="400">
        <v>0</v>
      </c>
      <c r="O83" s="401">
        <v>0</v>
      </c>
      <c r="P83" s="400">
        <v>0</v>
      </c>
      <c r="Q83" s="401">
        <v>0</v>
      </c>
      <c r="R83" s="400"/>
      <c r="S83" s="401"/>
      <c r="T83" s="400"/>
      <c r="U83" s="401"/>
      <c r="V83" s="400">
        <v>0</v>
      </c>
      <c r="W83" s="401">
        <v>0</v>
      </c>
      <c r="X83" s="400">
        <v>0</v>
      </c>
      <c r="Y83" s="401">
        <v>0</v>
      </c>
      <c r="Z83" s="400">
        <v>0</v>
      </c>
      <c r="AA83" s="401">
        <v>0</v>
      </c>
      <c r="AB83" s="400">
        <v>0</v>
      </c>
      <c r="AC83" s="401">
        <v>0</v>
      </c>
      <c r="AD83" s="400">
        <v>0</v>
      </c>
      <c r="AE83" s="401">
        <v>0</v>
      </c>
      <c r="AF83" s="400"/>
      <c r="AG83" s="401"/>
      <c r="AH83" s="400"/>
      <c r="AI83" s="401"/>
      <c r="AJ83" s="400">
        <v>0</v>
      </c>
      <c r="AK83" s="401">
        <v>0</v>
      </c>
      <c r="AL83" s="400">
        <v>0</v>
      </c>
      <c r="AM83" s="401">
        <v>0</v>
      </c>
      <c r="AN83" s="400">
        <v>0</v>
      </c>
      <c r="AO83" s="401">
        <v>0</v>
      </c>
      <c r="AP83" s="400">
        <v>0</v>
      </c>
      <c r="AQ83" s="401">
        <v>0</v>
      </c>
      <c r="AR83" s="400">
        <v>0</v>
      </c>
      <c r="AS83" s="401">
        <v>0</v>
      </c>
      <c r="AT83" s="400"/>
      <c r="AU83" s="401"/>
      <c r="AV83" s="400"/>
      <c r="AW83" s="401"/>
      <c r="AX83" s="400">
        <v>0</v>
      </c>
      <c r="AY83" s="401">
        <v>0</v>
      </c>
      <c r="AZ83" s="400">
        <v>0</v>
      </c>
      <c r="BA83" s="401">
        <v>0</v>
      </c>
      <c r="BB83" s="400">
        <v>0</v>
      </c>
      <c r="BC83" s="401">
        <v>0</v>
      </c>
      <c r="BD83" s="400">
        <v>0</v>
      </c>
      <c r="BE83" s="401">
        <v>0</v>
      </c>
      <c r="BF83" s="400">
        <v>0</v>
      </c>
      <c r="BG83" s="401">
        <v>0</v>
      </c>
      <c r="BH83" s="400"/>
      <c r="BI83" s="401"/>
      <c r="BJ83" s="400"/>
      <c r="BK83" s="401"/>
      <c r="BL83" s="400">
        <v>0</v>
      </c>
      <c r="BM83" s="401">
        <v>0</v>
      </c>
      <c r="BN83" s="400">
        <v>0</v>
      </c>
      <c r="BO83" s="401">
        <v>0</v>
      </c>
      <c r="BP83" s="400">
        <v>0</v>
      </c>
      <c r="BQ83" s="401">
        <v>0</v>
      </c>
      <c r="BR83" s="400">
        <v>0</v>
      </c>
      <c r="BS83" s="401">
        <v>0</v>
      </c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3254</v>
      </c>
      <c r="B84" s="386" t="s">
        <v>3255</v>
      </c>
      <c r="C84" s="392" t="s">
        <v>3186</v>
      </c>
      <c r="D84" s="387" t="s">
        <v>3256</v>
      </c>
      <c r="E84" s="388" t="s">
        <v>3257</v>
      </c>
      <c r="F84" s="389" t="s">
        <v>3182</v>
      </c>
      <c r="G84" s="389" t="s">
        <v>3183</v>
      </c>
      <c r="H84" s="390" t="s">
        <v>1503</v>
      </c>
      <c r="I84" s="391" t="s">
        <v>1503</v>
      </c>
      <c r="J84" s="353" t="s">
        <v>3184</v>
      </c>
      <c r="K84" s="356" t="s">
        <v>3189</v>
      </c>
      <c r="L84" s="400">
        <v>0</v>
      </c>
      <c r="M84" s="401">
        <v>0</v>
      </c>
      <c r="N84" s="400">
        <v>0</v>
      </c>
      <c r="O84" s="401">
        <v>0</v>
      </c>
      <c r="P84" s="400">
        <v>0</v>
      </c>
      <c r="Q84" s="401">
        <v>0</v>
      </c>
      <c r="R84" s="400"/>
      <c r="S84" s="401"/>
      <c r="T84" s="400"/>
      <c r="U84" s="401"/>
      <c r="V84" s="400">
        <v>0</v>
      </c>
      <c r="W84" s="401">
        <v>0</v>
      </c>
      <c r="X84" s="400">
        <v>0</v>
      </c>
      <c r="Y84" s="401">
        <v>0</v>
      </c>
      <c r="Z84" s="400">
        <v>0</v>
      </c>
      <c r="AA84" s="401">
        <v>0</v>
      </c>
      <c r="AB84" s="400">
        <v>0</v>
      </c>
      <c r="AC84" s="401">
        <v>0</v>
      </c>
      <c r="AD84" s="400">
        <v>0</v>
      </c>
      <c r="AE84" s="401">
        <v>0</v>
      </c>
      <c r="AF84" s="400"/>
      <c r="AG84" s="401"/>
      <c r="AH84" s="400"/>
      <c r="AI84" s="401"/>
      <c r="AJ84" s="400">
        <v>0</v>
      </c>
      <c r="AK84" s="401">
        <v>0</v>
      </c>
      <c r="AL84" s="400">
        <v>0</v>
      </c>
      <c r="AM84" s="401">
        <v>0</v>
      </c>
      <c r="AN84" s="400">
        <v>0</v>
      </c>
      <c r="AO84" s="401">
        <v>0</v>
      </c>
      <c r="AP84" s="400">
        <v>0</v>
      </c>
      <c r="AQ84" s="401">
        <v>0</v>
      </c>
      <c r="AR84" s="400">
        <v>0</v>
      </c>
      <c r="AS84" s="401">
        <v>0</v>
      </c>
      <c r="AT84" s="400"/>
      <c r="AU84" s="401"/>
      <c r="AV84" s="400"/>
      <c r="AW84" s="401"/>
      <c r="AX84" s="400">
        <v>0</v>
      </c>
      <c r="AY84" s="401">
        <v>0</v>
      </c>
      <c r="AZ84" s="400">
        <v>0</v>
      </c>
      <c r="BA84" s="401">
        <v>0</v>
      </c>
      <c r="BB84" s="400">
        <v>0</v>
      </c>
      <c r="BC84" s="401">
        <v>0</v>
      </c>
      <c r="BD84" s="400">
        <v>0</v>
      </c>
      <c r="BE84" s="401">
        <v>0</v>
      </c>
      <c r="BF84" s="400">
        <v>0</v>
      </c>
      <c r="BG84" s="401">
        <v>0</v>
      </c>
      <c r="BH84" s="400"/>
      <c r="BI84" s="401"/>
      <c r="BJ84" s="400"/>
      <c r="BK84" s="401"/>
      <c r="BL84" s="400">
        <v>0</v>
      </c>
      <c r="BM84" s="401">
        <v>0</v>
      </c>
      <c r="BN84" s="400">
        <v>0</v>
      </c>
      <c r="BO84" s="401">
        <v>0</v>
      </c>
      <c r="BP84" s="400">
        <v>0</v>
      </c>
      <c r="BQ84" s="401">
        <v>0</v>
      </c>
      <c r="BR84" s="400">
        <v>0</v>
      </c>
      <c r="BS84" s="401">
        <v>0</v>
      </c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3254</v>
      </c>
      <c r="B85" s="393" t="s">
        <v>3255</v>
      </c>
      <c r="C85" s="394" t="s">
        <v>3186</v>
      </c>
      <c r="D85" s="395" t="s">
        <v>3256</v>
      </c>
      <c r="E85" s="411" t="s">
        <v>3257</v>
      </c>
      <c r="F85" s="396" t="s">
        <v>3182</v>
      </c>
      <c r="G85" s="396" t="s">
        <v>3183</v>
      </c>
      <c r="H85" s="397" t="s">
        <v>1503</v>
      </c>
      <c r="I85" s="899" t="s">
        <v>1503</v>
      </c>
      <c r="J85" s="353" t="s">
        <v>3184</v>
      </c>
      <c r="K85" s="357" t="s">
        <v>60</v>
      </c>
      <c r="L85" s="402">
        <v>0</v>
      </c>
      <c r="M85" s="403">
        <v>0</v>
      </c>
      <c r="N85" s="402">
        <v>0</v>
      </c>
      <c r="O85" s="403">
        <v>0</v>
      </c>
      <c r="P85" s="402">
        <v>0</v>
      </c>
      <c r="Q85" s="403">
        <v>0</v>
      </c>
      <c r="R85" s="402"/>
      <c r="S85" s="403"/>
      <c r="T85" s="402"/>
      <c r="U85" s="403"/>
      <c r="V85" s="402">
        <v>0</v>
      </c>
      <c r="W85" s="403">
        <v>0</v>
      </c>
      <c r="X85" s="402">
        <v>0</v>
      </c>
      <c r="Y85" s="403">
        <v>0</v>
      </c>
      <c r="Z85" s="402">
        <v>0</v>
      </c>
      <c r="AA85" s="403">
        <v>0</v>
      </c>
      <c r="AB85" s="402">
        <v>0</v>
      </c>
      <c r="AC85" s="403">
        <v>0</v>
      </c>
      <c r="AD85" s="402">
        <v>0</v>
      </c>
      <c r="AE85" s="403">
        <v>0</v>
      </c>
      <c r="AF85" s="402"/>
      <c r="AG85" s="403"/>
      <c r="AH85" s="402"/>
      <c r="AI85" s="403"/>
      <c r="AJ85" s="402">
        <v>0</v>
      </c>
      <c r="AK85" s="403">
        <v>0</v>
      </c>
      <c r="AL85" s="402">
        <v>0</v>
      </c>
      <c r="AM85" s="403">
        <v>0</v>
      </c>
      <c r="AN85" s="402">
        <v>0</v>
      </c>
      <c r="AO85" s="403">
        <v>0</v>
      </c>
      <c r="AP85" s="402">
        <v>0</v>
      </c>
      <c r="AQ85" s="403">
        <v>0</v>
      </c>
      <c r="AR85" s="402">
        <v>0</v>
      </c>
      <c r="AS85" s="403">
        <v>0</v>
      </c>
      <c r="AT85" s="402"/>
      <c r="AU85" s="403"/>
      <c r="AV85" s="402"/>
      <c r="AW85" s="403"/>
      <c r="AX85" s="402">
        <v>0</v>
      </c>
      <c r="AY85" s="403">
        <v>0</v>
      </c>
      <c r="AZ85" s="402">
        <v>0</v>
      </c>
      <c r="BA85" s="403">
        <v>0</v>
      </c>
      <c r="BB85" s="402">
        <v>0</v>
      </c>
      <c r="BC85" s="403">
        <v>0</v>
      </c>
      <c r="BD85" s="402">
        <v>0</v>
      </c>
      <c r="BE85" s="403">
        <v>0</v>
      </c>
      <c r="BF85" s="402">
        <v>0</v>
      </c>
      <c r="BG85" s="403">
        <v>0</v>
      </c>
      <c r="BH85" s="402"/>
      <c r="BI85" s="403"/>
      <c r="BJ85" s="402"/>
      <c r="BK85" s="403"/>
      <c r="BL85" s="402">
        <v>0</v>
      </c>
      <c r="BM85" s="403">
        <v>0</v>
      </c>
      <c r="BN85" s="402">
        <v>0</v>
      </c>
      <c r="BO85" s="403">
        <v>0</v>
      </c>
      <c r="BP85" s="402">
        <v>0</v>
      </c>
      <c r="BQ85" s="403">
        <v>0</v>
      </c>
      <c r="BR85" s="402">
        <v>0</v>
      </c>
      <c r="BS85" s="403">
        <v>0</v>
      </c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3258</v>
      </c>
      <c r="B86" s="526" t="s">
        <v>3259</v>
      </c>
      <c r="C86" s="527">
        <v>2</v>
      </c>
      <c r="D86" s="528" t="s">
        <v>3260</v>
      </c>
      <c r="E86" s="426" t="s">
        <v>3261</v>
      </c>
      <c r="F86" s="529" t="s">
        <v>3182</v>
      </c>
      <c r="G86" s="529" t="s">
        <v>3183</v>
      </c>
      <c r="H86" s="530" t="s">
        <v>1504</v>
      </c>
      <c r="I86" s="384" t="s">
        <v>1504</v>
      </c>
      <c r="J86" s="353" t="s">
        <v>3190</v>
      </c>
      <c r="K86" s="354" t="s">
        <v>3185</v>
      </c>
      <c r="L86" s="402">
        <v>0</v>
      </c>
      <c r="M86" s="403">
        <v>0</v>
      </c>
      <c r="N86" s="402">
        <v>0</v>
      </c>
      <c r="O86" s="403">
        <v>0</v>
      </c>
      <c r="P86" s="402">
        <v>0</v>
      </c>
      <c r="Q86" s="403">
        <v>0</v>
      </c>
      <c r="R86" s="402"/>
      <c r="S86" s="403"/>
      <c r="T86" s="402"/>
      <c r="U86" s="403"/>
      <c r="V86" s="402">
        <v>0</v>
      </c>
      <c r="W86" s="403">
        <v>0</v>
      </c>
      <c r="X86" s="402">
        <v>0</v>
      </c>
      <c r="Y86" s="403">
        <v>0</v>
      </c>
      <c r="Z86" s="402">
        <v>0</v>
      </c>
      <c r="AA86" s="403">
        <v>0</v>
      </c>
      <c r="AB86" s="402">
        <v>0</v>
      </c>
      <c r="AC86" s="403">
        <v>0</v>
      </c>
      <c r="AD86" s="402">
        <v>0</v>
      </c>
      <c r="AE86" s="403">
        <v>0</v>
      </c>
      <c r="AF86" s="402"/>
      <c r="AG86" s="403"/>
      <c r="AH86" s="402"/>
      <c r="AI86" s="403"/>
      <c r="AJ86" s="402">
        <v>0</v>
      </c>
      <c r="AK86" s="403">
        <v>0</v>
      </c>
      <c r="AL86" s="402">
        <v>0</v>
      </c>
      <c r="AM86" s="403">
        <v>0</v>
      </c>
      <c r="AN86" s="402">
        <v>0</v>
      </c>
      <c r="AO86" s="403">
        <v>0</v>
      </c>
      <c r="AP86" s="402">
        <v>0</v>
      </c>
      <c r="AQ86" s="403">
        <v>0</v>
      </c>
      <c r="AR86" s="402">
        <v>0</v>
      </c>
      <c r="AS86" s="403">
        <v>0</v>
      </c>
      <c r="AT86" s="402"/>
      <c r="AU86" s="403"/>
      <c r="AV86" s="402"/>
      <c r="AW86" s="403"/>
      <c r="AX86" s="402">
        <v>0</v>
      </c>
      <c r="AY86" s="403">
        <v>0</v>
      </c>
      <c r="AZ86" s="402">
        <v>0</v>
      </c>
      <c r="BA86" s="403">
        <v>0</v>
      </c>
      <c r="BB86" s="402">
        <v>0</v>
      </c>
      <c r="BC86" s="403">
        <v>0</v>
      </c>
      <c r="BD86" s="402">
        <v>0</v>
      </c>
      <c r="BE86" s="403">
        <v>0</v>
      </c>
      <c r="BF86" s="402">
        <v>0</v>
      </c>
      <c r="BG86" s="403">
        <v>0</v>
      </c>
      <c r="BH86" s="402"/>
      <c r="BI86" s="403"/>
      <c r="BJ86" s="402"/>
      <c r="BK86" s="403"/>
      <c r="BL86" s="402">
        <v>0</v>
      </c>
      <c r="BM86" s="403">
        <v>0</v>
      </c>
      <c r="BN86" s="402">
        <v>0</v>
      </c>
      <c r="BO86" s="403">
        <v>0</v>
      </c>
      <c r="BP86" s="402">
        <v>0</v>
      </c>
      <c r="BQ86" s="403">
        <v>0</v>
      </c>
      <c r="BR86" s="402">
        <v>0</v>
      </c>
      <c r="BS86" s="403">
        <v>0</v>
      </c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3258</v>
      </c>
      <c r="B87" s="386" t="s">
        <v>3259</v>
      </c>
      <c r="C87" s="352" t="s">
        <v>3186</v>
      </c>
      <c r="D87" s="387" t="s">
        <v>3260</v>
      </c>
      <c r="E87" s="388" t="s">
        <v>3261</v>
      </c>
      <c r="F87" s="389" t="s">
        <v>3182</v>
      </c>
      <c r="G87" s="389" t="s">
        <v>3183</v>
      </c>
      <c r="H87" s="390" t="s">
        <v>1504</v>
      </c>
      <c r="I87" s="391" t="s">
        <v>1504</v>
      </c>
      <c r="J87" s="353" t="s">
        <v>3190</v>
      </c>
      <c r="K87" s="353" t="s">
        <v>3187</v>
      </c>
      <c r="L87" s="400">
        <v>0</v>
      </c>
      <c r="M87" s="401">
        <v>0</v>
      </c>
      <c r="N87" s="400">
        <v>0</v>
      </c>
      <c r="O87" s="401">
        <v>0</v>
      </c>
      <c r="P87" s="400">
        <v>0</v>
      </c>
      <c r="Q87" s="401">
        <v>0</v>
      </c>
      <c r="R87" s="400"/>
      <c r="S87" s="401"/>
      <c r="T87" s="400"/>
      <c r="U87" s="401"/>
      <c r="V87" s="400">
        <v>2</v>
      </c>
      <c r="W87" s="401">
        <v>0</v>
      </c>
      <c r="X87" s="400">
        <v>0</v>
      </c>
      <c r="Y87" s="401">
        <v>0</v>
      </c>
      <c r="Z87" s="400">
        <v>0</v>
      </c>
      <c r="AA87" s="401">
        <v>0</v>
      </c>
      <c r="AB87" s="400">
        <v>0</v>
      </c>
      <c r="AC87" s="401">
        <v>0</v>
      </c>
      <c r="AD87" s="400">
        <v>0</v>
      </c>
      <c r="AE87" s="401">
        <v>0</v>
      </c>
      <c r="AF87" s="400"/>
      <c r="AG87" s="401"/>
      <c r="AH87" s="400"/>
      <c r="AI87" s="401"/>
      <c r="AJ87" s="400">
        <v>2</v>
      </c>
      <c r="AK87" s="401">
        <v>0</v>
      </c>
      <c r="AL87" s="400">
        <v>0</v>
      </c>
      <c r="AM87" s="401">
        <v>0</v>
      </c>
      <c r="AN87" s="400">
        <v>0</v>
      </c>
      <c r="AO87" s="401">
        <v>0</v>
      </c>
      <c r="AP87" s="400">
        <v>0</v>
      </c>
      <c r="AQ87" s="401">
        <v>0</v>
      </c>
      <c r="AR87" s="400">
        <v>0</v>
      </c>
      <c r="AS87" s="401">
        <v>0</v>
      </c>
      <c r="AT87" s="400"/>
      <c r="AU87" s="401"/>
      <c r="AV87" s="400"/>
      <c r="AW87" s="401"/>
      <c r="AX87" s="400">
        <v>2</v>
      </c>
      <c r="AY87" s="401">
        <v>0</v>
      </c>
      <c r="AZ87" s="400">
        <v>0</v>
      </c>
      <c r="BA87" s="401">
        <v>0</v>
      </c>
      <c r="BB87" s="400">
        <v>0</v>
      </c>
      <c r="BC87" s="401">
        <v>0</v>
      </c>
      <c r="BD87" s="400">
        <v>0</v>
      </c>
      <c r="BE87" s="401">
        <v>0</v>
      </c>
      <c r="BF87" s="400">
        <v>0</v>
      </c>
      <c r="BG87" s="401">
        <v>0</v>
      </c>
      <c r="BH87" s="400"/>
      <c r="BI87" s="401"/>
      <c r="BJ87" s="400"/>
      <c r="BK87" s="401"/>
      <c r="BL87" s="400">
        <v>2</v>
      </c>
      <c r="BM87" s="401">
        <v>0</v>
      </c>
      <c r="BN87" s="400">
        <v>0</v>
      </c>
      <c r="BO87" s="401">
        <v>0</v>
      </c>
      <c r="BP87" s="400">
        <v>0</v>
      </c>
      <c r="BQ87" s="401">
        <v>0</v>
      </c>
      <c r="BR87" s="400">
        <v>0</v>
      </c>
      <c r="BS87" s="401">
        <v>0</v>
      </c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8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3258</v>
      </c>
      <c r="B88" s="386" t="s">
        <v>3259</v>
      </c>
      <c r="C88" s="392" t="s">
        <v>3186</v>
      </c>
      <c r="D88" s="387" t="s">
        <v>3260</v>
      </c>
      <c r="E88" s="388" t="s">
        <v>3261</v>
      </c>
      <c r="F88" s="389" t="s">
        <v>3182</v>
      </c>
      <c r="G88" s="389" t="s">
        <v>3183</v>
      </c>
      <c r="H88" s="390" t="s">
        <v>1504</v>
      </c>
      <c r="I88" s="391" t="s">
        <v>1504</v>
      </c>
      <c r="J88" s="353" t="s">
        <v>3190</v>
      </c>
      <c r="K88" s="355" t="s">
        <v>3188</v>
      </c>
      <c r="L88" s="400">
        <v>0</v>
      </c>
      <c r="M88" s="401">
        <v>0</v>
      </c>
      <c r="N88" s="400">
        <v>0</v>
      </c>
      <c r="O88" s="401">
        <v>0</v>
      </c>
      <c r="P88" s="400">
        <v>0</v>
      </c>
      <c r="Q88" s="401">
        <v>0</v>
      </c>
      <c r="R88" s="400"/>
      <c r="S88" s="401"/>
      <c r="T88" s="400"/>
      <c r="U88" s="401"/>
      <c r="V88" s="400">
        <v>0</v>
      </c>
      <c r="W88" s="401">
        <v>0</v>
      </c>
      <c r="X88" s="400">
        <v>0</v>
      </c>
      <c r="Y88" s="401">
        <v>0</v>
      </c>
      <c r="Z88" s="400">
        <v>0</v>
      </c>
      <c r="AA88" s="401">
        <v>0</v>
      </c>
      <c r="AB88" s="400">
        <v>0</v>
      </c>
      <c r="AC88" s="401">
        <v>0</v>
      </c>
      <c r="AD88" s="400">
        <v>0</v>
      </c>
      <c r="AE88" s="401">
        <v>0</v>
      </c>
      <c r="AF88" s="400"/>
      <c r="AG88" s="401"/>
      <c r="AH88" s="400"/>
      <c r="AI88" s="401"/>
      <c r="AJ88" s="400">
        <v>0</v>
      </c>
      <c r="AK88" s="401">
        <v>0</v>
      </c>
      <c r="AL88" s="400">
        <v>0</v>
      </c>
      <c r="AM88" s="401">
        <v>0</v>
      </c>
      <c r="AN88" s="400">
        <v>0</v>
      </c>
      <c r="AO88" s="401">
        <v>0</v>
      </c>
      <c r="AP88" s="400">
        <v>0</v>
      </c>
      <c r="AQ88" s="401">
        <v>0</v>
      </c>
      <c r="AR88" s="400">
        <v>0</v>
      </c>
      <c r="AS88" s="401">
        <v>0</v>
      </c>
      <c r="AT88" s="400"/>
      <c r="AU88" s="401"/>
      <c r="AV88" s="400"/>
      <c r="AW88" s="401"/>
      <c r="AX88" s="400">
        <v>0</v>
      </c>
      <c r="AY88" s="401">
        <v>0</v>
      </c>
      <c r="AZ88" s="400">
        <v>0</v>
      </c>
      <c r="BA88" s="401">
        <v>0</v>
      </c>
      <c r="BB88" s="400">
        <v>0</v>
      </c>
      <c r="BC88" s="401">
        <v>0</v>
      </c>
      <c r="BD88" s="400">
        <v>0</v>
      </c>
      <c r="BE88" s="401">
        <v>0</v>
      </c>
      <c r="BF88" s="400">
        <v>0</v>
      </c>
      <c r="BG88" s="401">
        <v>0</v>
      </c>
      <c r="BH88" s="400"/>
      <c r="BI88" s="401"/>
      <c r="BJ88" s="400"/>
      <c r="BK88" s="401"/>
      <c r="BL88" s="400">
        <v>0</v>
      </c>
      <c r="BM88" s="401">
        <v>0</v>
      </c>
      <c r="BN88" s="400">
        <v>0</v>
      </c>
      <c r="BO88" s="401">
        <v>0</v>
      </c>
      <c r="BP88" s="400">
        <v>0</v>
      </c>
      <c r="BQ88" s="401">
        <v>0</v>
      </c>
      <c r="BR88" s="400">
        <v>0</v>
      </c>
      <c r="BS88" s="401">
        <v>0</v>
      </c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3258</v>
      </c>
      <c r="B89" s="386" t="s">
        <v>3259</v>
      </c>
      <c r="C89" s="392" t="s">
        <v>3186</v>
      </c>
      <c r="D89" s="387" t="s">
        <v>3260</v>
      </c>
      <c r="E89" s="388" t="s">
        <v>3261</v>
      </c>
      <c r="F89" s="389" t="s">
        <v>3182</v>
      </c>
      <c r="G89" s="389" t="s">
        <v>3183</v>
      </c>
      <c r="H89" s="390" t="s">
        <v>1504</v>
      </c>
      <c r="I89" s="391" t="s">
        <v>1504</v>
      </c>
      <c r="J89" s="353" t="s">
        <v>3190</v>
      </c>
      <c r="K89" s="356" t="s">
        <v>3189</v>
      </c>
      <c r="L89" s="400">
        <v>0</v>
      </c>
      <c r="M89" s="401">
        <v>0</v>
      </c>
      <c r="N89" s="400">
        <v>0</v>
      </c>
      <c r="O89" s="401">
        <v>0</v>
      </c>
      <c r="P89" s="400">
        <v>0</v>
      </c>
      <c r="Q89" s="401">
        <v>0</v>
      </c>
      <c r="R89" s="400"/>
      <c r="S89" s="401"/>
      <c r="T89" s="400"/>
      <c r="U89" s="401"/>
      <c r="V89" s="400">
        <v>0</v>
      </c>
      <c r="W89" s="401">
        <v>0</v>
      </c>
      <c r="X89" s="400">
        <v>0</v>
      </c>
      <c r="Y89" s="401">
        <v>0</v>
      </c>
      <c r="Z89" s="400">
        <v>0</v>
      </c>
      <c r="AA89" s="401">
        <v>0</v>
      </c>
      <c r="AB89" s="400">
        <v>0</v>
      </c>
      <c r="AC89" s="401">
        <v>0</v>
      </c>
      <c r="AD89" s="400">
        <v>0</v>
      </c>
      <c r="AE89" s="401">
        <v>0</v>
      </c>
      <c r="AF89" s="400"/>
      <c r="AG89" s="401"/>
      <c r="AH89" s="400"/>
      <c r="AI89" s="401"/>
      <c r="AJ89" s="400">
        <v>0</v>
      </c>
      <c r="AK89" s="401">
        <v>0</v>
      </c>
      <c r="AL89" s="400">
        <v>0</v>
      </c>
      <c r="AM89" s="401">
        <v>0</v>
      </c>
      <c r="AN89" s="400">
        <v>0</v>
      </c>
      <c r="AO89" s="401">
        <v>0</v>
      </c>
      <c r="AP89" s="400">
        <v>0</v>
      </c>
      <c r="AQ89" s="401">
        <v>0</v>
      </c>
      <c r="AR89" s="400">
        <v>0</v>
      </c>
      <c r="AS89" s="401">
        <v>0</v>
      </c>
      <c r="AT89" s="400"/>
      <c r="AU89" s="401"/>
      <c r="AV89" s="400"/>
      <c r="AW89" s="401"/>
      <c r="AX89" s="400">
        <v>0</v>
      </c>
      <c r="AY89" s="401">
        <v>0</v>
      </c>
      <c r="AZ89" s="400">
        <v>0</v>
      </c>
      <c r="BA89" s="401">
        <v>0</v>
      </c>
      <c r="BB89" s="400">
        <v>0</v>
      </c>
      <c r="BC89" s="401">
        <v>0</v>
      </c>
      <c r="BD89" s="400">
        <v>0</v>
      </c>
      <c r="BE89" s="401">
        <v>0</v>
      </c>
      <c r="BF89" s="400">
        <v>0</v>
      </c>
      <c r="BG89" s="401">
        <v>0</v>
      </c>
      <c r="BH89" s="400"/>
      <c r="BI89" s="401"/>
      <c r="BJ89" s="400"/>
      <c r="BK89" s="401"/>
      <c r="BL89" s="400">
        <v>0</v>
      </c>
      <c r="BM89" s="401">
        <v>0</v>
      </c>
      <c r="BN89" s="400">
        <v>0</v>
      </c>
      <c r="BO89" s="401">
        <v>0</v>
      </c>
      <c r="BP89" s="400">
        <v>0</v>
      </c>
      <c r="BQ89" s="401">
        <v>0</v>
      </c>
      <c r="BR89" s="400">
        <v>0</v>
      </c>
      <c r="BS89" s="401">
        <v>0</v>
      </c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3258</v>
      </c>
      <c r="B90" s="393" t="s">
        <v>3259</v>
      </c>
      <c r="C90" s="394" t="s">
        <v>3186</v>
      </c>
      <c r="D90" s="395" t="s">
        <v>3260</v>
      </c>
      <c r="E90" s="411" t="s">
        <v>3261</v>
      </c>
      <c r="F90" s="396" t="s">
        <v>3182</v>
      </c>
      <c r="G90" s="396" t="s">
        <v>3183</v>
      </c>
      <c r="H90" s="397" t="s">
        <v>1504</v>
      </c>
      <c r="I90" s="899" t="s">
        <v>1504</v>
      </c>
      <c r="J90" s="353" t="s">
        <v>3190</v>
      </c>
      <c r="K90" s="357" t="s">
        <v>60</v>
      </c>
      <c r="L90" s="402">
        <v>0</v>
      </c>
      <c r="M90" s="403">
        <v>0</v>
      </c>
      <c r="N90" s="402">
        <v>0</v>
      </c>
      <c r="O90" s="403">
        <v>0</v>
      </c>
      <c r="P90" s="402">
        <v>0</v>
      </c>
      <c r="Q90" s="403">
        <v>0</v>
      </c>
      <c r="R90" s="402"/>
      <c r="S90" s="403"/>
      <c r="T90" s="402"/>
      <c r="U90" s="403"/>
      <c r="V90" s="402">
        <v>0</v>
      </c>
      <c r="W90" s="403">
        <v>0</v>
      </c>
      <c r="X90" s="402">
        <v>0</v>
      </c>
      <c r="Y90" s="403">
        <v>0</v>
      </c>
      <c r="Z90" s="402">
        <v>0</v>
      </c>
      <c r="AA90" s="403">
        <v>0</v>
      </c>
      <c r="AB90" s="402">
        <v>0</v>
      </c>
      <c r="AC90" s="403">
        <v>0</v>
      </c>
      <c r="AD90" s="402">
        <v>0</v>
      </c>
      <c r="AE90" s="403">
        <v>0</v>
      </c>
      <c r="AF90" s="402"/>
      <c r="AG90" s="403"/>
      <c r="AH90" s="402"/>
      <c r="AI90" s="403"/>
      <c r="AJ90" s="402">
        <v>0</v>
      </c>
      <c r="AK90" s="403">
        <v>0</v>
      </c>
      <c r="AL90" s="402">
        <v>0</v>
      </c>
      <c r="AM90" s="403">
        <v>0</v>
      </c>
      <c r="AN90" s="402">
        <v>0</v>
      </c>
      <c r="AO90" s="403">
        <v>0</v>
      </c>
      <c r="AP90" s="402">
        <v>0</v>
      </c>
      <c r="AQ90" s="403">
        <v>0</v>
      </c>
      <c r="AR90" s="402">
        <v>0</v>
      </c>
      <c r="AS90" s="403">
        <v>0</v>
      </c>
      <c r="AT90" s="402"/>
      <c r="AU90" s="403"/>
      <c r="AV90" s="402"/>
      <c r="AW90" s="403"/>
      <c r="AX90" s="402">
        <v>0</v>
      </c>
      <c r="AY90" s="403">
        <v>0</v>
      </c>
      <c r="AZ90" s="402">
        <v>0</v>
      </c>
      <c r="BA90" s="403">
        <v>0</v>
      </c>
      <c r="BB90" s="402">
        <v>0</v>
      </c>
      <c r="BC90" s="403">
        <v>0</v>
      </c>
      <c r="BD90" s="402">
        <v>0</v>
      </c>
      <c r="BE90" s="403">
        <v>0</v>
      </c>
      <c r="BF90" s="402">
        <v>0</v>
      </c>
      <c r="BG90" s="403">
        <v>0</v>
      </c>
      <c r="BH90" s="402"/>
      <c r="BI90" s="403"/>
      <c r="BJ90" s="402"/>
      <c r="BK90" s="403"/>
      <c r="BL90" s="402">
        <v>0</v>
      </c>
      <c r="BM90" s="403">
        <v>0</v>
      </c>
      <c r="BN90" s="402">
        <v>0</v>
      </c>
      <c r="BO90" s="403">
        <v>0</v>
      </c>
      <c r="BP90" s="402">
        <v>0</v>
      </c>
      <c r="BQ90" s="403">
        <v>0</v>
      </c>
      <c r="BR90" s="402">
        <v>0</v>
      </c>
      <c r="BS90" s="403">
        <v>0</v>
      </c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3262</v>
      </c>
      <c r="B91" s="526" t="s">
        <v>3263</v>
      </c>
      <c r="C91" s="527">
        <v>1</v>
      </c>
      <c r="D91" s="528" t="s">
        <v>3264</v>
      </c>
      <c r="E91" s="426" t="s">
        <v>3265</v>
      </c>
      <c r="F91" s="529" t="s">
        <v>3182</v>
      </c>
      <c r="G91" s="529" t="s">
        <v>3183</v>
      </c>
      <c r="H91" s="530" t="s">
        <v>1505</v>
      </c>
      <c r="I91" s="384" t="s">
        <v>1505</v>
      </c>
      <c r="J91" s="353" t="s">
        <v>3184</v>
      </c>
      <c r="K91" s="354" t="s">
        <v>3185</v>
      </c>
      <c r="L91" s="402">
        <v>0</v>
      </c>
      <c r="M91" s="403">
        <v>0</v>
      </c>
      <c r="N91" s="402">
        <v>0</v>
      </c>
      <c r="O91" s="403">
        <v>0</v>
      </c>
      <c r="P91" s="402">
        <v>0</v>
      </c>
      <c r="Q91" s="403">
        <v>0</v>
      </c>
      <c r="R91" s="402"/>
      <c r="S91" s="403"/>
      <c r="T91" s="402"/>
      <c r="U91" s="403"/>
      <c r="V91" s="402">
        <v>0</v>
      </c>
      <c r="W91" s="403">
        <v>0</v>
      </c>
      <c r="X91" s="402">
        <v>0</v>
      </c>
      <c r="Y91" s="403">
        <v>0</v>
      </c>
      <c r="Z91" s="402">
        <v>0</v>
      </c>
      <c r="AA91" s="403">
        <v>0</v>
      </c>
      <c r="AB91" s="402">
        <v>0</v>
      </c>
      <c r="AC91" s="403">
        <v>0</v>
      </c>
      <c r="AD91" s="402">
        <v>0</v>
      </c>
      <c r="AE91" s="403">
        <v>0</v>
      </c>
      <c r="AF91" s="402"/>
      <c r="AG91" s="403"/>
      <c r="AH91" s="402"/>
      <c r="AI91" s="403"/>
      <c r="AJ91" s="402">
        <v>0</v>
      </c>
      <c r="AK91" s="403">
        <v>0</v>
      </c>
      <c r="AL91" s="402">
        <v>0</v>
      </c>
      <c r="AM91" s="403">
        <v>0</v>
      </c>
      <c r="AN91" s="402">
        <v>0</v>
      </c>
      <c r="AO91" s="403">
        <v>0</v>
      </c>
      <c r="AP91" s="402">
        <v>0</v>
      </c>
      <c r="AQ91" s="403">
        <v>0</v>
      </c>
      <c r="AR91" s="402">
        <v>0</v>
      </c>
      <c r="AS91" s="403">
        <v>0</v>
      </c>
      <c r="AT91" s="402"/>
      <c r="AU91" s="403"/>
      <c r="AV91" s="402"/>
      <c r="AW91" s="403"/>
      <c r="AX91" s="402">
        <v>0</v>
      </c>
      <c r="AY91" s="403">
        <v>0</v>
      </c>
      <c r="AZ91" s="402">
        <v>0</v>
      </c>
      <c r="BA91" s="403">
        <v>0</v>
      </c>
      <c r="BB91" s="402">
        <v>0</v>
      </c>
      <c r="BC91" s="403">
        <v>0</v>
      </c>
      <c r="BD91" s="402">
        <v>0</v>
      </c>
      <c r="BE91" s="403">
        <v>0</v>
      </c>
      <c r="BF91" s="402">
        <v>0</v>
      </c>
      <c r="BG91" s="403">
        <v>0</v>
      </c>
      <c r="BH91" s="402"/>
      <c r="BI91" s="403"/>
      <c r="BJ91" s="402"/>
      <c r="BK91" s="403"/>
      <c r="BL91" s="402">
        <v>0</v>
      </c>
      <c r="BM91" s="403">
        <v>0</v>
      </c>
      <c r="BN91" s="402">
        <v>0</v>
      </c>
      <c r="BO91" s="403">
        <v>0</v>
      </c>
      <c r="BP91" s="402">
        <v>0</v>
      </c>
      <c r="BQ91" s="403">
        <v>0</v>
      </c>
      <c r="BR91" s="402">
        <v>0</v>
      </c>
      <c r="BS91" s="403">
        <v>0</v>
      </c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3262</v>
      </c>
      <c r="B92" s="386" t="s">
        <v>3263</v>
      </c>
      <c r="C92" s="352" t="s">
        <v>3186</v>
      </c>
      <c r="D92" s="387" t="s">
        <v>3264</v>
      </c>
      <c r="E92" s="388" t="s">
        <v>3265</v>
      </c>
      <c r="F92" s="389" t="s">
        <v>3182</v>
      </c>
      <c r="G92" s="389" t="s">
        <v>3183</v>
      </c>
      <c r="H92" s="390" t="s">
        <v>1505</v>
      </c>
      <c r="I92" s="391" t="s">
        <v>1505</v>
      </c>
      <c r="J92" s="353" t="s">
        <v>3184</v>
      </c>
      <c r="K92" s="353" t="s">
        <v>3187</v>
      </c>
      <c r="L92" s="400">
        <v>0</v>
      </c>
      <c r="M92" s="401">
        <v>0</v>
      </c>
      <c r="N92" s="400">
        <v>0</v>
      </c>
      <c r="O92" s="401">
        <v>0</v>
      </c>
      <c r="P92" s="400">
        <v>0</v>
      </c>
      <c r="Q92" s="401">
        <v>0</v>
      </c>
      <c r="R92" s="400"/>
      <c r="S92" s="401"/>
      <c r="T92" s="400"/>
      <c r="U92" s="401"/>
      <c r="V92" s="400">
        <v>0</v>
      </c>
      <c r="W92" s="401">
        <v>0</v>
      </c>
      <c r="X92" s="400">
        <v>0</v>
      </c>
      <c r="Y92" s="401">
        <v>0</v>
      </c>
      <c r="Z92" s="400">
        <v>0</v>
      </c>
      <c r="AA92" s="401">
        <v>0</v>
      </c>
      <c r="AB92" s="400">
        <v>0</v>
      </c>
      <c r="AC92" s="401">
        <v>0</v>
      </c>
      <c r="AD92" s="400">
        <v>0</v>
      </c>
      <c r="AE92" s="401">
        <v>0</v>
      </c>
      <c r="AF92" s="400"/>
      <c r="AG92" s="401"/>
      <c r="AH92" s="400"/>
      <c r="AI92" s="401"/>
      <c r="AJ92" s="400">
        <v>0</v>
      </c>
      <c r="AK92" s="401">
        <v>0</v>
      </c>
      <c r="AL92" s="400">
        <v>0</v>
      </c>
      <c r="AM92" s="401">
        <v>0</v>
      </c>
      <c r="AN92" s="400">
        <v>0</v>
      </c>
      <c r="AO92" s="401">
        <v>0</v>
      </c>
      <c r="AP92" s="400">
        <v>0</v>
      </c>
      <c r="AQ92" s="401">
        <v>0</v>
      </c>
      <c r="AR92" s="400">
        <v>0</v>
      </c>
      <c r="AS92" s="401">
        <v>0</v>
      </c>
      <c r="AT92" s="400"/>
      <c r="AU92" s="401"/>
      <c r="AV92" s="400"/>
      <c r="AW92" s="401"/>
      <c r="AX92" s="400">
        <v>0</v>
      </c>
      <c r="AY92" s="401">
        <v>0</v>
      </c>
      <c r="AZ92" s="400">
        <v>0</v>
      </c>
      <c r="BA92" s="401">
        <v>0</v>
      </c>
      <c r="BB92" s="400">
        <v>0</v>
      </c>
      <c r="BC92" s="401">
        <v>0</v>
      </c>
      <c r="BD92" s="400">
        <v>0</v>
      </c>
      <c r="BE92" s="401">
        <v>0</v>
      </c>
      <c r="BF92" s="400">
        <v>0</v>
      </c>
      <c r="BG92" s="401">
        <v>0</v>
      </c>
      <c r="BH92" s="400"/>
      <c r="BI92" s="401"/>
      <c r="BJ92" s="400"/>
      <c r="BK92" s="401"/>
      <c r="BL92" s="400">
        <v>0</v>
      </c>
      <c r="BM92" s="401">
        <v>0</v>
      </c>
      <c r="BN92" s="400">
        <v>0</v>
      </c>
      <c r="BO92" s="401">
        <v>0</v>
      </c>
      <c r="BP92" s="400">
        <v>0</v>
      </c>
      <c r="BQ92" s="401">
        <v>0</v>
      </c>
      <c r="BR92" s="400">
        <v>0</v>
      </c>
      <c r="BS92" s="401">
        <v>0</v>
      </c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3262</v>
      </c>
      <c r="B93" s="386" t="s">
        <v>3263</v>
      </c>
      <c r="C93" s="392" t="s">
        <v>3186</v>
      </c>
      <c r="D93" s="387" t="s">
        <v>3264</v>
      </c>
      <c r="E93" s="388" t="s">
        <v>3265</v>
      </c>
      <c r="F93" s="389" t="s">
        <v>3182</v>
      </c>
      <c r="G93" s="389" t="s">
        <v>3183</v>
      </c>
      <c r="H93" s="390" t="s">
        <v>1505</v>
      </c>
      <c r="I93" s="391" t="s">
        <v>1505</v>
      </c>
      <c r="J93" s="353" t="s">
        <v>3184</v>
      </c>
      <c r="K93" s="355" t="s">
        <v>3188</v>
      </c>
      <c r="L93" s="400">
        <v>0</v>
      </c>
      <c r="M93" s="401">
        <v>0</v>
      </c>
      <c r="N93" s="400">
        <v>0</v>
      </c>
      <c r="O93" s="401">
        <v>0</v>
      </c>
      <c r="P93" s="400">
        <v>0</v>
      </c>
      <c r="Q93" s="401">
        <v>0</v>
      </c>
      <c r="R93" s="400"/>
      <c r="S93" s="401"/>
      <c r="T93" s="400"/>
      <c r="U93" s="401"/>
      <c r="V93" s="400">
        <v>0</v>
      </c>
      <c r="W93" s="401">
        <v>0</v>
      </c>
      <c r="X93" s="400">
        <v>0</v>
      </c>
      <c r="Y93" s="401">
        <v>0</v>
      </c>
      <c r="Z93" s="400">
        <v>0</v>
      </c>
      <c r="AA93" s="401">
        <v>0</v>
      </c>
      <c r="AB93" s="400">
        <v>0</v>
      </c>
      <c r="AC93" s="401">
        <v>0</v>
      </c>
      <c r="AD93" s="400">
        <v>0</v>
      </c>
      <c r="AE93" s="401">
        <v>0</v>
      </c>
      <c r="AF93" s="400"/>
      <c r="AG93" s="401"/>
      <c r="AH93" s="400"/>
      <c r="AI93" s="401"/>
      <c r="AJ93" s="400">
        <v>0</v>
      </c>
      <c r="AK93" s="401">
        <v>0</v>
      </c>
      <c r="AL93" s="400">
        <v>0</v>
      </c>
      <c r="AM93" s="401">
        <v>0</v>
      </c>
      <c r="AN93" s="400">
        <v>0</v>
      </c>
      <c r="AO93" s="401">
        <v>0</v>
      </c>
      <c r="AP93" s="400">
        <v>0</v>
      </c>
      <c r="AQ93" s="401">
        <v>0</v>
      </c>
      <c r="AR93" s="400">
        <v>0</v>
      </c>
      <c r="AS93" s="401">
        <v>0</v>
      </c>
      <c r="AT93" s="400"/>
      <c r="AU93" s="401"/>
      <c r="AV93" s="400"/>
      <c r="AW93" s="401"/>
      <c r="AX93" s="400">
        <v>0</v>
      </c>
      <c r="AY93" s="401">
        <v>0</v>
      </c>
      <c r="AZ93" s="400">
        <v>0</v>
      </c>
      <c r="BA93" s="401">
        <v>0</v>
      </c>
      <c r="BB93" s="400">
        <v>0</v>
      </c>
      <c r="BC93" s="401">
        <v>0</v>
      </c>
      <c r="BD93" s="400">
        <v>0</v>
      </c>
      <c r="BE93" s="401">
        <v>0</v>
      </c>
      <c r="BF93" s="400">
        <v>0</v>
      </c>
      <c r="BG93" s="401">
        <v>0</v>
      </c>
      <c r="BH93" s="400"/>
      <c r="BI93" s="401"/>
      <c r="BJ93" s="400"/>
      <c r="BK93" s="401"/>
      <c r="BL93" s="400">
        <v>0</v>
      </c>
      <c r="BM93" s="401">
        <v>0</v>
      </c>
      <c r="BN93" s="400">
        <v>0</v>
      </c>
      <c r="BO93" s="401">
        <v>0</v>
      </c>
      <c r="BP93" s="400">
        <v>0</v>
      </c>
      <c r="BQ93" s="401">
        <v>0</v>
      </c>
      <c r="BR93" s="400">
        <v>0</v>
      </c>
      <c r="BS93" s="401">
        <v>0</v>
      </c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3262</v>
      </c>
      <c r="B94" s="386" t="s">
        <v>3263</v>
      </c>
      <c r="C94" s="392" t="s">
        <v>3186</v>
      </c>
      <c r="D94" s="387" t="s">
        <v>3264</v>
      </c>
      <c r="E94" s="388" t="s">
        <v>3265</v>
      </c>
      <c r="F94" s="389" t="s">
        <v>3182</v>
      </c>
      <c r="G94" s="389" t="s">
        <v>3183</v>
      </c>
      <c r="H94" s="390" t="s">
        <v>1505</v>
      </c>
      <c r="I94" s="391" t="s">
        <v>1505</v>
      </c>
      <c r="J94" s="353" t="s">
        <v>3184</v>
      </c>
      <c r="K94" s="356" t="s">
        <v>3189</v>
      </c>
      <c r="L94" s="400">
        <v>0</v>
      </c>
      <c r="M94" s="401">
        <v>0</v>
      </c>
      <c r="N94" s="400">
        <v>0</v>
      </c>
      <c r="O94" s="401">
        <v>0</v>
      </c>
      <c r="P94" s="400">
        <v>0</v>
      </c>
      <c r="Q94" s="401">
        <v>0</v>
      </c>
      <c r="R94" s="400"/>
      <c r="S94" s="401"/>
      <c r="T94" s="400"/>
      <c r="U94" s="401"/>
      <c r="V94" s="400">
        <v>0</v>
      </c>
      <c r="W94" s="401">
        <v>0</v>
      </c>
      <c r="X94" s="400">
        <v>0</v>
      </c>
      <c r="Y94" s="401">
        <v>0</v>
      </c>
      <c r="Z94" s="400">
        <v>0</v>
      </c>
      <c r="AA94" s="401">
        <v>0</v>
      </c>
      <c r="AB94" s="400">
        <v>0</v>
      </c>
      <c r="AC94" s="401">
        <v>0</v>
      </c>
      <c r="AD94" s="400">
        <v>0</v>
      </c>
      <c r="AE94" s="401">
        <v>0</v>
      </c>
      <c r="AF94" s="400"/>
      <c r="AG94" s="401"/>
      <c r="AH94" s="400"/>
      <c r="AI94" s="401"/>
      <c r="AJ94" s="400">
        <v>0</v>
      </c>
      <c r="AK94" s="401">
        <v>0</v>
      </c>
      <c r="AL94" s="400">
        <v>0</v>
      </c>
      <c r="AM94" s="401">
        <v>0</v>
      </c>
      <c r="AN94" s="400">
        <v>0</v>
      </c>
      <c r="AO94" s="401">
        <v>0</v>
      </c>
      <c r="AP94" s="400">
        <v>0</v>
      </c>
      <c r="AQ94" s="401">
        <v>0</v>
      </c>
      <c r="AR94" s="400">
        <v>0</v>
      </c>
      <c r="AS94" s="401">
        <v>0</v>
      </c>
      <c r="AT94" s="400"/>
      <c r="AU94" s="401"/>
      <c r="AV94" s="400"/>
      <c r="AW94" s="401"/>
      <c r="AX94" s="400">
        <v>0</v>
      </c>
      <c r="AY94" s="401">
        <v>0</v>
      </c>
      <c r="AZ94" s="400">
        <v>0</v>
      </c>
      <c r="BA94" s="401">
        <v>0</v>
      </c>
      <c r="BB94" s="400">
        <v>0</v>
      </c>
      <c r="BC94" s="401">
        <v>0</v>
      </c>
      <c r="BD94" s="400">
        <v>0</v>
      </c>
      <c r="BE94" s="401">
        <v>0</v>
      </c>
      <c r="BF94" s="400">
        <v>0</v>
      </c>
      <c r="BG94" s="401">
        <v>0</v>
      </c>
      <c r="BH94" s="400"/>
      <c r="BI94" s="401"/>
      <c r="BJ94" s="400"/>
      <c r="BK94" s="401"/>
      <c r="BL94" s="400">
        <v>0</v>
      </c>
      <c r="BM94" s="401">
        <v>0</v>
      </c>
      <c r="BN94" s="400">
        <v>0</v>
      </c>
      <c r="BO94" s="401">
        <v>0</v>
      </c>
      <c r="BP94" s="400">
        <v>0</v>
      </c>
      <c r="BQ94" s="401">
        <v>0</v>
      </c>
      <c r="BR94" s="400">
        <v>0</v>
      </c>
      <c r="BS94" s="401">
        <v>0</v>
      </c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3262</v>
      </c>
      <c r="B95" s="393" t="s">
        <v>3263</v>
      </c>
      <c r="C95" s="394" t="s">
        <v>3186</v>
      </c>
      <c r="D95" s="395" t="s">
        <v>3264</v>
      </c>
      <c r="E95" s="411" t="s">
        <v>3265</v>
      </c>
      <c r="F95" s="396" t="s">
        <v>3182</v>
      </c>
      <c r="G95" s="396" t="s">
        <v>3183</v>
      </c>
      <c r="H95" s="397" t="s">
        <v>1505</v>
      </c>
      <c r="I95" s="899" t="s">
        <v>1505</v>
      </c>
      <c r="J95" s="353" t="s">
        <v>3184</v>
      </c>
      <c r="K95" s="357" t="s">
        <v>60</v>
      </c>
      <c r="L95" s="402">
        <v>0</v>
      </c>
      <c r="M95" s="403">
        <v>0</v>
      </c>
      <c r="N95" s="402">
        <v>0</v>
      </c>
      <c r="O95" s="403">
        <v>0</v>
      </c>
      <c r="P95" s="402">
        <v>0</v>
      </c>
      <c r="Q95" s="403">
        <v>0</v>
      </c>
      <c r="R95" s="402"/>
      <c r="S95" s="403"/>
      <c r="T95" s="402"/>
      <c r="U95" s="403"/>
      <c r="V95" s="402">
        <v>0</v>
      </c>
      <c r="W95" s="403">
        <v>0</v>
      </c>
      <c r="X95" s="402">
        <v>0</v>
      </c>
      <c r="Y95" s="403">
        <v>0</v>
      </c>
      <c r="Z95" s="402">
        <v>0</v>
      </c>
      <c r="AA95" s="403">
        <v>0</v>
      </c>
      <c r="AB95" s="402">
        <v>0</v>
      </c>
      <c r="AC95" s="403">
        <v>0</v>
      </c>
      <c r="AD95" s="402">
        <v>0</v>
      </c>
      <c r="AE95" s="403">
        <v>0</v>
      </c>
      <c r="AF95" s="402"/>
      <c r="AG95" s="403"/>
      <c r="AH95" s="402"/>
      <c r="AI95" s="403"/>
      <c r="AJ95" s="402">
        <v>0</v>
      </c>
      <c r="AK95" s="403">
        <v>0</v>
      </c>
      <c r="AL95" s="402">
        <v>0</v>
      </c>
      <c r="AM95" s="403">
        <v>0</v>
      </c>
      <c r="AN95" s="402">
        <v>0</v>
      </c>
      <c r="AO95" s="403">
        <v>0</v>
      </c>
      <c r="AP95" s="402">
        <v>0</v>
      </c>
      <c r="AQ95" s="403">
        <v>0</v>
      </c>
      <c r="AR95" s="402">
        <v>0</v>
      </c>
      <c r="AS95" s="403">
        <v>0</v>
      </c>
      <c r="AT95" s="402"/>
      <c r="AU95" s="403"/>
      <c r="AV95" s="402"/>
      <c r="AW95" s="403"/>
      <c r="AX95" s="402">
        <v>0</v>
      </c>
      <c r="AY95" s="403">
        <v>0</v>
      </c>
      <c r="AZ95" s="402">
        <v>0</v>
      </c>
      <c r="BA95" s="403">
        <v>0</v>
      </c>
      <c r="BB95" s="402">
        <v>0</v>
      </c>
      <c r="BC95" s="403">
        <v>0</v>
      </c>
      <c r="BD95" s="402">
        <v>0</v>
      </c>
      <c r="BE95" s="403">
        <v>0</v>
      </c>
      <c r="BF95" s="402">
        <v>0</v>
      </c>
      <c r="BG95" s="403">
        <v>0</v>
      </c>
      <c r="BH95" s="402"/>
      <c r="BI95" s="403"/>
      <c r="BJ95" s="402"/>
      <c r="BK95" s="403"/>
      <c r="BL95" s="402">
        <v>0</v>
      </c>
      <c r="BM95" s="403">
        <v>0</v>
      </c>
      <c r="BN95" s="402">
        <v>0</v>
      </c>
      <c r="BO95" s="403">
        <v>0</v>
      </c>
      <c r="BP95" s="402">
        <v>0</v>
      </c>
      <c r="BQ95" s="403">
        <v>0</v>
      </c>
      <c r="BR95" s="402">
        <v>0</v>
      </c>
      <c r="BS95" s="403">
        <v>0</v>
      </c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3266</v>
      </c>
      <c r="B96" s="526" t="s">
        <v>3267</v>
      </c>
      <c r="C96" s="527">
        <v>1</v>
      </c>
      <c r="D96" s="528" t="s">
        <v>3268</v>
      </c>
      <c r="E96" s="426" t="s">
        <v>3269</v>
      </c>
      <c r="F96" s="529" t="s">
        <v>3182</v>
      </c>
      <c r="G96" s="529" t="s">
        <v>3183</v>
      </c>
      <c r="H96" s="530" t="s">
        <v>1506</v>
      </c>
      <c r="I96" s="384" t="s">
        <v>1506</v>
      </c>
      <c r="J96" s="353" t="s">
        <v>3184</v>
      </c>
      <c r="K96" s="354" t="s">
        <v>3185</v>
      </c>
      <c r="L96" s="402">
        <v>0</v>
      </c>
      <c r="M96" s="403">
        <v>0</v>
      </c>
      <c r="N96" s="402">
        <v>0</v>
      </c>
      <c r="O96" s="403">
        <v>0</v>
      </c>
      <c r="P96" s="402">
        <v>0</v>
      </c>
      <c r="Q96" s="403">
        <v>0</v>
      </c>
      <c r="R96" s="402"/>
      <c r="S96" s="403"/>
      <c r="T96" s="402"/>
      <c r="U96" s="403"/>
      <c r="V96" s="402">
        <v>0</v>
      </c>
      <c r="W96" s="403">
        <v>0</v>
      </c>
      <c r="X96" s="402">
        <v>0</v>
      </c>
      <c r="Y96" s="403">
        <v>0</v>
      </c>
      <c r="Z96" s="402">
        <v>0</v>
      </c>
      <c r="AA96" s="403">
        <v>0</v>
      </c>
      <c r="AB96" s="402">
        <v>0</v>
      </c>
      <c r="AC96" s="403">
        <v>0</v>
      </c>
      <c r="AD96" s="402">
        <v>0</v>
      </c>
      <c r="AE96" s="403">
        <v>0</v>
      </c>
      <c r="AF96" s="402"/>
      <c r="AG96" s="403"/>
      <c r="AH96" s="402"/>
      <c r="AI96" s="403"/>
      <c r="AJ96" s="402">
        <v>0</v>
      </c>
      <c r="AK96" s="403">
        <v>0</v>
      </c>
      <c r="AL96" s="402">
        <v>0</v>
      </c>
      <c r="AM96" s="403">
        <v>0</v>
      </c>
      <c r="AN96" s="402">
        <v>0</v>
      </c>
      <c r="AO96" s="403">
        <v>0</v>
      </c>
      <c r="AP96" s="402">
        <v>0</v>
      </c>
      <c r="AQ96" s="403">
        <v>0</v>
      </c>
      <c r="AR96" s="402">
        <v>0</v>
      </c>
      <c r="AS96" s="403">
        <v>0</v>
      </c>
      <c r="AT96" s="402"/>
      <c r="AU96" s="403"/>
      <c r="AV96" s="402"/>
      <c r="AW96" s="403"/>
      <c r="AX96" s="402">
        <v>0</v>
      </c>
      <c r="AY96" s="403">
        <v>0</v>
      </c>
      <c r="AZ96" s="402">
        <v>0</v>
      </c>
      <c r="BA96" s="403">
        <v>0</v>
      </c>
      <c r="BB96" s="402">
        <v>0</v>
      </c>
      <c r="BC96" s="403">
        <v>0</v>
      </c>
      <c r="BD96" s="402">
        <v>0</v>
      </c>
      <c r="BE96" s="403">
        <v>0</v>
      </c>
      <c r="BF96" s="402">
        <v>0</v>
      </c>
      <c r="BG96" s="403">
        <v>0</v>
      </c>
      <c r="BH96" s="402"/>
      <c r="BI96" s="403"/>
      <c r="BJ96" s="402"/>
      <c r="BK96" s="403"/>
      <c r="BL96" s="402">
        <v>0</v>
      </c>
      <c r="BM96" s="403">
        <v>0</v>
      </c>
      <c r="BN96" s="402">
        <v>0</v>
      </c>
      <c r="BO96" s="403">
        <v>0</v>
      </c>
      <c r="BP96" s="402">
        <v>0</v>
      </c>
      <c r="BQ96" s="403">
        <v>0</v>
      </c>
      <c r="BR96" s="402">
        <v>0</v>
      </c>
      <c r="BS96" s="403">
        <v>0</v>
      </c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3266</v>
      </c>
      <c r="B97" s="386" t="s">
        <v>3267</v>
      </c>
      <c r="C97" s="352" t="s">
        <v>3186</v>
      </c>
      <c r="D97" s="387" t="s">
        <v>3268</v>
      </c>
      <c r="E97" s="388" t="s">
        <v>3269</v>
      </c>
      <c r="F97" s="389" t="s">
        <v>3182</v>
      </c>
      <c r="G97" s="389" t="s">
        <v>3183</v>
      </c>
      <c r="H97" s="390" t="s">
        <v>1506</v>
      </c>
      <c r="I97" s="391" t="s">
        <v>1506</v>
      </c>
      <c r="J97" s="353" t="s">
        <v>3184</v>
      </c>
      <c r="K97" s="353" t="s">
        <v>3187</v>
      </c>
      <c r="L97" s="400">
        <v>0</v>
      </c>
      <c r="M97" s="401">
        <v>0</v>
      </c>
      <c r="N97" s="400">
        <v>0</v>
      </c>
      <c r="O97" s="401">
        <v>0</v>
      </c>
      <c r="P97" s="400">
        <v>0</v>
      </c>
      <c r="Q97" s="401">
        <v>0</v>
      </c>
      <c r="R97" s="400"/>
      <c r="S97" s="401"/>
      <c r="T97" s="400"/>
      <c r="U97" s="401"/>
      <c r="V97" s="400">
        <v>2</v>
      </c>
      <c r="W97" s="401">
        <v>0</v>
      </c>
      <c r="X97" s="400">
        <v>0</v>
      </c>
      <c r="Y97" s="401">
        <v>0</v>
      </c>
      <c r="Z97" s="400">
        <v>0</v>
      </c>
      <c r="AA97" s="401">
        <v>0</v>
      </c>
      <c r="AB97" s="400">
        <v>0</v>
      </c>
      <c r="AC97" s="401">
        <v>0</v>
      </c>
      <c r="AD97" s="400">
        <v>0</v>
      </c>
      <c r="AE97" s="401">
        <v>0</v>
      </c>
      <c r="AF97" s="400"/>
      <c r="AG97" s="401"/>
      <c r="AH97" s="400"/>
      <c r="AI97" s="401"/>
      <c r="AJ97" s="400">
        <v>2</v>
      </c>
      <c r="AK97" s="401">
        <v>0</v>
      </c>
      <c r="AL97" s="400">
        <v>0</v>
      </c>
      <c r="AM97" s="401">
        <v>0</v>
      </c>
      <c r="AN97" s="400">
        <v>0</v>
      </c>
      <c r="AO97" s="401">
        <v>0</v>
      </c>
      <c r="AP97" s="400">
        <v>0</v>
      </c>
      <c r="AQ97" s="401">
        <v>0</v>
      </c>
      <c r="AR97" s="400">
        <v>0</v>
      </c>
      <c r="AS97" s="401">
        <v>0</v>
      </c>
      <c r="AT97" s="400"/>
      <c r="AU97" s="401"/>
      <c r="AV97" s="400"/>
      <c r="AW97" s="401"/>
      <c r="AX97" s="400">
        <v>2</v>
      </c>
      <c r="AY97" s="401">
        <v>0</v>
      </c>
      <c r="AZ97" s="400">
        <v>0</v>
      </c>
      <c r="BA97" s="401">
        <v>0</v>
      </c>
      <c r="BB97" s="400">
        <v>0</v>
      </c>
      <c r="BC97" s="401">
        <v>0</v>
      </c>
      <c r="BD97" s="400">
        <v>0</v>
      </c>
      <c r="BE97" s="401">
        <v>0</v>
      </c>
      <c r="BF97" s="400">
        <v>0</v>
      </c>
      <c r="BG97" s="401">
        <v>0</v>
      </c>
      <c r="BH97" s="400"/>
      <c r="BI97" s="401"/>
      <c r="BJ97" s="400"/>
      <c r="BK97" s="401"/>
      <c r="BL97" s="400">
        <v>2</v>
      </c>
      <c r="BM97" s="401">
        <v>0</v>
      </c>
      <c r="BN97" s="400">
        <v>0</v>
      </c>
      <c r="BO97" s="401">
        <v>0</v>
      </c>
      <c r="BP97" s="400">
        <v>0</v>
      </c>
      <c r="BQ97" s="401">
        <v>0</v>
      </c>
      <c r="BR97" s="400">
        <v>0</v>
      </c>
      <c r="BS97" s="401">
        <v>0</v>
      </c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8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3266</v>
      </c>
      <c r="B98" s="386" t="s">
        <v>3267</v>
      </c>
      <c r="C98" s="392" t="s">
        <v>3186</v>
      </c>
      <c r="D98" s="387" t="s">
        <v>3268</v>
      </c>
      <c r="E98" s="388" t="s">
        <v>3269</v>
      </c>
      <c r="F98" s="389" t="s">
        <v>3182</v>
      </c>
      <c r="G98" s="389" t="s">
        <v>3183</v>
      </c>
      <c r="H98" s="390" t="s">
        <v>1506</v>
      </c>
      <c r="I98" s="391" t="s">
        <v>1506</v>
      </c>
      <c r="J98" s="353" t="s">
        <v>3184</v>
      </c>
      <c r="K98" s="355" t="s">
        <v>3188</v>
      </c>
      <c r="L98" s="400">
        <v>0</v>
      </c>
      <c r="M98" s="401">
        <v>0</v>
      </c>
      <c r="N98" s="400">
        <v>0</v>
      </c>
      <c r="O98" s="401">
        <v>0</v>
      </c>
      <c r="P98" s="400">
        <v>0</v>
      </c>
      <c r="Q98" s="401">
        <v>0</v>
      </c>
      <c r="R98" s="400"/>
      <c r="S98" s="401"/>
      <c r="T98" s="400"/>
      <c r="U98" s="401"/>
      <c r="V98" s="400">
        <v>0</v>
      </c>
      <c r="W98" s="401">
        <v>0</v>
      </c>
      <c r="X98" s="400">
        <v>0</v>
      </c>
      <c r="Y98" s="401">
        <v>0</v>
      </c>
      <c r="Z98" s="400">
        <v>0</v>
      </c>
      <c r="AA98" s="401">
        <v>0</v>
      </c>
      <c r="AB98" s="400">
        <v>0</v>
      </c>
      <c r="AC98" s="401">
        <v>0</v>
      </c>
      <c r="AD98" s="400">
        <v>0</v>
      </c>
      <c r="AE98" s="401">
        <v>0</v>
      </c>
      <c r="AF98" s="400"/>
      <c r="AG98" s="401"/>
      <c r="AH98" s="400"/>
      <c r="AI98" s="401"/>
      <c r="AJ98" s="400">
        <v>0</v>
      </c>
      <c r="AK98" s="401">
        <v>0</v>
      </c>
      <c r="AL98" s="400">
        <v>0</v>
      </c>
      <c r="AM98" s="401">
        <v>0</v>
      </c>
      <c r="AN98" s="400">
        <v>0</v>
      </c>
      <c r="AO98" s="401">
        <v>0</v>
      </c>
      <c r="AP98" s="400">
        <v>0</v>
      </c>
      <c r="AQ98" s="401">
        <v>0</v>
      </c>
      <c r="AR98" s="400">
        <v>0</v>
      </c>
      <c r="AS98" s="401">
        <v>0</v>
      </c>
      <c r="AT98" s="400"/>
      <c r="AU98" s="401"/>
      <c r="AV98" s="400"/>
      <c r="AW98" s="401"/>
      <c r="AX98" s="400">
        <v>0</v>
      </c>
      <c r="AY98" s="401">
        <v>0</v>
      </c>
      <c r="AZ98" s="400">
        <v>0</v>
      </c>
      <c r="BA98" s="401">
        <v>0</v>
      </c>
      <c r="BB98" s="400">
        <v>0</v>
      </c>
      <c r="BC98" s="401">
        <v>0</v>
      </c>
      <c r="BD98" s="400">
        <v>0</v>
      </c>
      <c r="BE98" s="401">
        <v>0</v>
      </c>
      <c r="BF98" s="400">
        <v>0</v>
      </c>
      <c r="BG98" s="401">
        <v>0</v>
      </c>
      <c r="BH98" s="400"/>
      <c r="BI98" s="401"/>
      <c r="BJ98" s="400"/>
      <c r="BK98" s="401"/>
      <c r="BL98" s="400">
        <v>0</v>
      </c>
      <c r="BM98" s="401">
        <v>0</v>
      </c>
      <c r="BN98" s="400">
        <v>0</v>
      </c>
      <c r="BO98" s="401">
        <v>0</v>
      </c>
      <c r="BP98" s="400">
        <v>0</v>
      </c>
      <c r="BQ98" s="401">
        <v>0</v>
      </c>
      <c r="BR98" s="400">
        <v>0</v>
      </c>
      <c r="BS98" s="401">
        <v>0</v>
      </c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3266</v>
      </c>
      <c r="B99" s="386" t="s">
        <v>3267</v>
      </c>
      <c r="C99" s="392" t="s">
        <v>3186</v>
      </c>
      <c r="D99" s="387" t="s">
        <v>3268</v>
      </c>
      <c r="E99" s="388" t="s">
        <v>3269</v>
      </c>
      <c r="F99" s="389" t="s">
        <v>3182</v>
      </c>
      <c r="G99" s="389" t="s">
        <v>3183</v>
      </c>
      <c r="H99" s="390" t="s">
        <v>1506</v>
      </c>
      <c r="I99" s="391" t="s">
        <v>1506</v>
      </c>
      <c r="J99" s="353" t="s">
        <v>3184</v>
      </c>
      <c r="K99" s="356" t="s">
        <v>3189</v>
      </c>
      <c r="L99" s="400">
        <v>0</v>
      </c>
      <c r="M99" s="401">
        <v>0</v>
      </c>
      <c r="N99" s="400">
        <v>0</v>
      </c>
      <c r="O99" s="401">
        <v>0</v>
      </c>
      <c r="P99" s="400">
        <v>0</v>
      </c>
      <c r="Q99" s="401">
        <v>0</v>
      </c>
      <c r="R99" s="400"/>
      <c r="S99" s="401"/>
      <c r="T99" s="400"/>
      <c r="U99" s="401"/>
      <c r="V99" s="400">
        <v>0</v>
      </c>
      <c r="W99" s="401">
        <v>0</v>
      </c>
      <c r="X99" s="400">
        <v>0</v>
      </c>
      <c r="Y99" s="401">
        <v>0</v>
      </c>
      <c r="Z99" s="400">
        <v>0</v>
      </c>
      <c r="AA99" s="401">
        <v>0</v>
      </c>
      <c r="AB99" s="400">
        <v>0</v>
      </c>
      <c r="AC99" s="401">
        <v>0</v>
      </c>
      <c r="AD99" s="400">
        <v>0</v>
      </c>
      <c r="AE99" s="401">
        <v>0</v>
      </c>
      <c r="AF99" s="400"/>
      <c r="AG99" s="401"/>
      <c r="AH99" s="400"/>
      <c r="AI99" s="401"/>
      <c r="AJ99" s="400">
        <v>0</v>
      </c>
      <c r="AK99" s="401">
        <v>0</v>
      </c>
      <c r="AL99" s="400">
        <v>0</v>
      </c>
      <c r="AM99" s="401">
        <v>0</v>
      </c>
      <c r="AN99" s="400">
        <v>0</v>
      </c>
      <c r="AO99" s="401">
        <v>0</v>
      </c>
      <c r="AP99" s="400">
        <v>0</v>
      </c>
      <c r="AQ99" s="401">
        <v>0</v>
      </c>
      <c r="AR99" s="400">
        <v>0</v>
      </c>
      <c r="AS99" s="401">
        <v>0</v>
      </c>
      <c r="AT99" s="400"/>
      <c r="AU99" s="401"/>
      <c r="AV99" s="400"/>
      <c r="AW99" s="401"/>
      <c r="AX99" s="400">
        <v>0</v>
      </c>
      <c r="AY99" s="401">
        <v>0</v>
      </c>
      <c r="AZ99" s="400">
        <v>0</v>
      </c>
      <c r="BA99" s="401">
        <v>0</v>
      </c>
      <c r="BB99" s="400">
        <v>0</v>
      </c>
      <c r="BC99" s="401">
        <v>0</v>
      </c>
      <c r="BD99" s="400">
        <v>0</v>
      </c>
      <c r="BE99" s="401">
        <v>0</v>
      </c>
      <c r="BF99" s="400">
        <v>0</v>
      </c>
      <c r="BG99" s="401">
        <v>0</v>
      </c>
      <c r="BH99" s="400"/>
      <c r="BI99" s="401"/>
      <c r="BJ99" s="400"/>
      <c r="BK99" s="401"/>
      <c r="BL99" s="400">
        <v>0</v>
      </c>
      <c r="BM99" s="401">
        <v>0</v>
      </c>
      <c r="BN99" s="400">
        <v>0</v>
      </c>
      <c r="BO99" s="401">
        <v>0</v>
      </c>
      <c r="BP99" s="400">
        <v>0</v>
      </c>
      <c r="BQ99" s="401">
        <v>0</v>
      </c>
      <c r="BR99" s="400">
        <v>0</v>
      </c>
      <c r="BS99" s="401">
        <v>0</v>
      </c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3266</v>
      </c>
      <c r="B100" s="393" t="s">
        <v>3267</v>
      </c>
      <c r="C100" s="394" t="s">
        <v>3186</v>
      </c>
      <c r="D100" s="395" t="s">
        <v>3268</v>
      </c>
      <c r="E100" s="411" t="s">
        <v>3269</v>
      </c>
      <c r="F100" s="396" t="s">
        <v>3182</v>
      </c>
      <c r="G100" s="396" t="s">
        <v>3183</v>
      </c>
      <c r="H100" s="397" t="s">
        <v>1506</v>
      </c>
      <c r="I100" s="899" t="s">
        <v>1506</v>
      </c>
      <c r="J100" s="353" t="s">
        <v>3184</v>
      </c>
      <c r="K100" s="357" t="s">
        <v>60</v>
      </c>
      <c r="L100" s="402">
        <v>0</v>
      </c>
      <c r="M100" s="403">
        <v>0</v>
      </c>
      <c r="N100" s="402">
        <v>0</v>
      </c>
      <c r="O100" s="403">
        <v>0</v>
      </c>
      <c r="P100" s="402">
        <v>0</v>
      </c>
      <c r="Q100" s="403">
        <v>0</v>
      </c>
      <c r="R100" s="402"/>
      <c r="S100" s="403"/>
      <c r="T100" s="402"/>
      <c r="U100" s="403"/>
      <c r="V100" s="402">
        <v>0</v>
      </c>
      <c r="W100" s="403">
        <v>0</v>
      </c>
      <c r="X100" s="402">
        <v>0</v>
      </c>
      <c r="Y100" s="403">
        <v>0</v>
      </c>
      <c r="Z100" s="402">
        <v>0</v>
      </c>
      <c r="AA100" s="403">
        <v>0</v>
      </c>
      <c r="AB100" s="402">
        <v>0</v>
      </c>
      <c r="AC100" s="403">
        <v>0</v>
      </c>
      <c r="AD100" s="402">
        <v>0</v>
      </c>
      <c r="AE100" s="403">
        <v>0</v>
      </c>
      <c r="AF100" s="402"/>
      <c r="AG100" s="403"/>
      <c r="AH100" s="402"/>
      <c r="AI100" s="403"/>
      <c r="AJ100" s="402">
        <v>0</v>
      </c>
      <c r="AK100" s="403">
        <v>0</v>
      </c>
      <c r="AL100" s="402">
        <v>0</v>
      </c>
      <c r="AM100" s="403">
        <v>0</v>
      </c>
      <c r="AN100" s="402">
        <v>0</v>
      </c>
      <c r="AO100" s="403">
        <v>0</v>
      </c>
      <c r="AP100" s="402">
        <v>0</v>
      </c>
      <c r="AQ100" s="403">
        <v>0</v>
      </c>
      <c r="AR100" s="402">
        <v>0</v>
      </c>
      <c r="AS100" s="403">
        <v>0</v>
      </c>
      <c r="AT100" s="402"/>
      <c r="AU100" s="403"/>
      <c r="AV100" s="402"/>
      <c r="AW100" s="403"/>
      <c r="AX100" s="402">
        <v>0</v>
      </c>
      <c r="AY100" s="403">
        <v>0</v>
      </c>
      <c r="AZ100" s="402">
        <v>0</v>
      </c>
      <c r="BA100" s="403">
        <v>0</v>
      </c>
      <c r="BB100" s="402">
        <v>0</v>
      </c>
      <c r="BC100" s="403">
        <v>0</v>
      </c>
      <c r="BD100" s="402">
        <v>0</v>
      </c>
      <c r="BE100" s="403">
        <v>0</v>
      </c>
      <c r="BF100" s="402">
        <v>0</v>
      </c>
      <c r="BG100" s="403">
        <v>0</v>
      </c>
      <c r="BH100" s="402"/>
      <c r="BI100" s="403"/>
      <c r="BJ100" s="402"/>
      <c r="BK100" s="403"/>
      <c r="BL100" s="402">
        <v>0</v>
      </c>
      <c r="BM100" s="403">
        <v>0</v>
      </c>
      <c r="BN100" s="402">
        <v>0</v>
      </c>
      <c r="BO100" s="403">
        <v>0</v>
      </c>
      <c r="BP100" s="402">
        <v>0</v>
      </c>
      <c r="BQ100" s="403">
        <v>0</v>
      </c>
      <c r="BR100" s="402">
        <v>0</v>
      </c>
      <c r="BS100" s="403">
        <v>0</v>
      </c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3270</v>
      </c>
      <c r="B101" s="526" t="s">
        <v>3271</v>
      </c>
      <c r="C101" s="527">
        <v>1</v>
      </c>
      <c r="D101" s="528" t="s">
        <v>3272</v>
      </c>
      <c r="E101" s="426" t="s">
        <v>3273</v>
      </c>
      <c r="F101" s="529" t="s">
        <v>3182</v>
      </c>
      <c r="G101" s="529" t="s">
        <v>3183</v>
      </c>
      <c r="H101" s="530" t="s">
        <v>1509</v>
      </c>
      <c r="I101" s="384" t="s">
        <v>1509</v>
      </c>
      <c r="J101" s="353" t="s">
        <v>3184</v>
      </c>
      <c r="K101" s="354" t="s">
        <v>3185</v>
      </c>
      <c r="L101" s="402">
        <v>0</v>
      </c>
      <c r="M101" s="403">
        <v>0</v>
      </c>
      <c r="N101" s="402">
        <v>0</v>
      </c>
      <c r="O101" s="403">
        <v>0</v>
      </c>
      <c r="P101" s="402">
        <v>0</v>
      </c>
      <c r="Q101" s="403">
        <v>0</v>
      </c>
      <c r="R101" s="402"/>
      <c r="S101" s="403"/>
      <c r="T101" s="402"/>
      <c r="U101" s="403"/>
      <c r="V101" s="402">
        <v>0</v>
      </c>
      <c r="W101" s="403">
        <v>0</v>
      </c>
      <c r="X101" s="402">
        <v>0</v>
      </c>
      <c r="Y101" s="403">
        <v>0</v>
      </c>
      <c r="Z101" s="402">
        <v>0</v>
      </c>
      <c r="AA101" s="403">
        <v>0</v>
      </c>
      <c r="AB101" s="402">
        <v>0</v>
      </c>
      <c r="AC101" s="403">
        <v>0</v>
      </c>
      <c r="AD101" s="402">
        <v>0</v>
      </c>
      <c r="AE101" s="403">
        <v>0</v>
      </c>
      <c r="AF101" s="402"/>
      <c r="AG101" s="403"/>
      <c r="AH101" s="402"/>
      <c r="AI101" s="403"/>
      <c r="AJ101" s="402">
        <v>0</v>
      </c>
      <c r="AK101" s="403">
        <v>0</v>
      </c>
      <c r="AL101" s="402">
        <v>0</v>
      </c>
      <c r="AM101" s="403">
        <v>0</v>
      </c>
      <c r="AN101" s="402">
        <v>0</v>
      </c>
      <c r="AO101" s="403">
        <v>0</v>
      </c>
      <c r="AP101" s="402">
        <v>0</v>
      </c>
      <c r="AQ101" s="403">
        <v>0</v>
      </c>
      <c r="AR101" s="402">
        <v>0</v>
      </c>
      <c r="AS101" s="403">
        <v>0</v>
      </c>
      <c r="AT101" s="402"/>
      <c r="AU101" s="403"/>
      <c r="AV101" s="402"/>
      <c r="AW101" s="403"/>
      <c r="AX101" s="402">
        <v>0</v>
      </c>
      <c r="AY101" s="403">
        <v>0</v>
      </c>
      <c r="AZ101" s="402">
        <v>0</v>
      </c>
      <c r="BA101" s="403">
        <v>0</v>
      </c>
      <c r="BB101" s="402">
        <v>0</v>
      </c>
      <c r="BC101" s="403">
        <v>0</v>
      </c>
      <c r="BD101" s="402">
        <v>0</v>
      </c>
      <c r="BE101" s="403">
        <v>0</v>
      </c>
      <c r="BF101" s="402">
        <v>0</v>
      </c>
      <c r="BG101" s="403">
        <v>0</v>
      </c>
      <c r="BH101" s="402"/>
      <c r="BI101" s="403"/>
      <c r="BJ101" s="402"/>
      <c r="BK101" s="403"/>
      <c r="BL101" s="402">
        <v>0</v>
      </c>
      <c r="BM101" s="403">
        <v>0</v>
      </c>
      <c r="BN101" s="402">
        <v>0</v>
      </c>
      <c r="BO101" s="403">
        <v>0</v>
      </c>
      <c r="BP101" s="402">
        <v>0</v>
      </c>
      <c r="BQ101" s="403">
        <v>0</v>
      </c>
      <c r="BR101" s="402">
        <v>0</v>
      </c>
      <c r="BS101" s="403">
        <v>0</v>
      </c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3270</v>
      </c>
      <c r="B102" s="386" t="s">
        <v>3271</v>
      </c>
      <c r="C102" s="352" t="s">
        <v>3186</v>
      </c>
      <c r="D102" s="387" t="s">
        <v>3272</v>
      </c>
      <c r="E102" s="388" t="s">
        <v>3273</v>
      </c>
      <c r="F102" s="389" t="s">
        <v>3182</v>
      </c>
      <c r="G102" s="389" t="s">
        <v>3183</v>
      </c>
      <c r="H102" s="390" t="s">
        <v>1509</v>
      </c>
      <c r="I102" s="391" t="s">
        <v>1509</v>
      </c>
      <c r="J102" s="353" t="s">
        <v>3184</v>
      </c>
      <c r="K102" s="353" t="s">
        <v>3187</v>
      </c>
      <c r="L102" s="400">
        <v>0</v>
      </c>
      <c r="M102" s="401">
        <v>0</v>
      </c>
      <c r="N102" s="400">
        <v>0</v>
      </c>
      <c r="O102" s="401">
        <v>0</v>
      </c>
      <c r="P102" s="400">
        <v>0</v>
      </c>
      <c r="Q102" s="401">
        <v>0</v>
      </c>
      <c r="R102" s="400"/>
      <c r="S102" s="401"/>
      <c r="T102" s="400"/>
      <c r="U102" s="401"/>
      <c r="V102" s="400">
        <v>2</v>
      </c>
      <c r="W102" s="401">
        <v>0</v>
      </c>
      <c r="X102" s="400">
        <v>0</v>
      </c>
      <c r="Y102" s="401">
        <v>0</v>
      </c>
      <c r="Z102" s="400">
        <v>0</v>
      </c>
      <c r="AA102" s="401">
        <v>0</v>
      </c>
      <c r="AB102" s="400">
        <v>0</v>
      </c>
      <c r="AC102" s="401">
        <v>0</v>
      </c>
      <c r="AD102" s="400">
        <v>0</v>
      </c>
      <c r="AE102" s="401">
        <v>0</v>
      </c>
      <c r="AF102" s="400"/>
      <c r="AG102" s="401"/>
      <c r="AH102" s="400"/>
      <c r="AI102" s="401"/>
      <c r="AJ102" s="400">
        <v>2</v>
      </c>
      <c r="AK102" s="401">
        <v>0</v>
      </c>
      <c r="AL102" s="400">
        <v>0</v>
      </c>
      <c r="AM102" s="401">
        <v>0</v>
      </c>
      <c r="AN102" s="400">
        <v>0</v>
      </c>
      <c r="AO102" s="401">
        <v>0</v>
      </c>
      <c r="AP102" s="400">
        <v>0</v>
      </c>
      <c r="AQ102" s="401">
        <v>0</v>
      </c>
      <c r="AR102" s="400">
        <v>0</v>
      </c>
      <c r="AS102" s="401">
        <v>0</v>
      </c>
      <c r="AT102" s="400"/>
      <c r="AU102" s="401"/>
      <c r="AV102" s="400"/>
      <c r="AW102" s="401"/>
      <c r="AX102" s="400">
        <v>2</v>
      </c>
      <c r="AY102" s="401">
        <v>0</v>
      </c>
      <c r="AZ102" s="400">
        <v>0</v>
      </c>
      <c r="BA102" s="401">
        <v>0</v>
      </c>
      <c r="BB102" s="400">
        <v>0</v>
      </c>
      <c r="BC102" s="401">
        <v>0</v>
      </c>
      <c r="BD102" s="400">
        <v>0</v>
      </c>
      <c r="BE102" s="401">
        <v>0</v>
      </c>
      <c r="BF102" s="400">
        <v>0</v>
      </c>
      <c r="BG102" s="401">
        <v>0</v>
      </c>
      <c r="BH102" s="400"/>
      <c r="BI102" s="401"/>
      <c r="BJ102" s="400"/>
      <c r="BK102" s="401"/>
      <c r="BL102" s="400">
        <v>2</v>
      </c>
      <c r="BM102" s="401">
        <v>0</v>
      </c>
      <c r="BN102" s="400">
        <v>0</v>
      </c>
      <c r="BO102" s="401">
        <v>0</v>
      </c>
      <c r="BP102" s="400">
        <v>0</v>
      </c>
      <c r="BQ102" s="401">
        <v>0</v>
      </c>
      <c r="BR102" s="400">
        <v>0</v>
      </c>
      <c r="BS102" s="401">
        <v>0</v>
      </c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8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3270</v>
      </c>
      <c r="B103" s="386" t="s">
        <v>3271</v>
      </c>
      <c r="C103" s="392" t="s">
        <v>3186</v>
      </c>
      <c r="D103" s="387" t="s">
        <v>3272</v>
      </c>
      <c r="E103" s="388" t="s">
        <v>3273</v>
      </c>
      <c r="F103" s="389" t="s">
        <v>3182</v>
      </c>
      <c r="G103" s="389" t="s">
        <v>3183</v>
      </c>
      <c r="H103" s="390" t="s">
        <v>1509</v>
      </c>
      <c r="I103" s="391" t="s">
        <v>1509</v>
      </c>
      <c r="J103" s="353" t="s">
        <v>3184</v>
      </c>
      <c r="K103" s="355" t="s">
        <v>3188</v>
      </c>
      <c r="L103" s="400">
        <v>0</v>
      </c>
      <c r="M103" s="401">
        <v>0</v>
      </c>
      <c r="N103" s="400">
        <v>0</v>
      </c>
      <c r="O103" s="401">
        <v>0</v>
      </c>
      <c r="P103" s="400">
        <v>0</v>
      </c>
      <c r="Q103" s="401">
        <v>0</v>
      </c>
      <c r="R103" s="400"/>
      <c r="S103" s="401"/>
      <c r="T103" s="400"/>
      <c r="U103" s="401"/>
      <c r="V103" s="400">
        <v>0</v>
      </c>
      <c r="W103" s="401">
        <v>0</v>
      </c>
      <c r="X103" s="400">
        <v>0</v>
      </c>
      <c r="Y103" s="401">
        <v>0</v>
      </c>
      <c r="Z103" s="400">
        <v>0</v>
      </c>
      <c r="AA103" s="401">
        <v>0</v>
      </c>
      <c r="AB103" s="400">
        <v>0</v>
      </c>
      <c r="AC103" s="401">
        <v>0</v>
      </c>
      <c r="AD103" s="400">
        <v>0</v>
      </c>
      <c r="AE103" s="401">
        <v>0</v>
      </c>
      <c r="AF103" s="400"/>
      <c r="AG103" s="401"/>
      <c r="AH103" s="400"/>
      <c r="AI103" s="401"/>
      <c r="AJ103" s="400">
        <v>0</v>
      </c>
      <c r="AK103" s="401">
        <v>0</v>
      </c>
      <c r="AL103" s="400">
        <v>0</v>
      </c>
      <c r="AM103" s="401">
        <v>0</v>
      </c>
      <c r="AN103" s="400">
        <v>0</v>
      </c>
      <c r="AO103" s="401">
        <v>0</v>
      </c>
      <c r="AP103" s="400">
        <v>0</v>
      </c>
      <c r="AQ103" s="401">
        <v>0</v>
      </c>
      <c r="AR103" s="400">
        <v>0</v>
      </c>
      <c r="AS103" s="401">
        <v>0</v>
      </c>
      <c r="AT103" s="400"/>
      <c r="AU103" s="401"/>
      <c r="AV103" s="400"/>
      <c r="AW103" s="401"/>
      <c r="AX103" s="400">
        <v>0</v>
      </c>
      <c r="AY103" s="401">
        <v>0</v>
      </c>
      <c r="AZ103" s="400">
        <v>0</v>
      </c>
      <c r="BA103" s="401">
        <v>0</v>
      </c>
      <c r="BB103" s="400">
        <v>0</v>
      </c>
      <c r="BC103" s="401">
        <v>0</v>
      </c>
      <c r="BD103" s="400">
        <v>0</v>
      </c>
      <c r="BE103" s="401">
        <v>0</v>
      </c>
      <c r="BF103" s="400">
        <v>0</v>
      </c>
      <c r="BG103" s="401">
        <v>0</v>
      </c>
      <c r="BH103" s="400"/>
      <c r="BI103" s="401"/>
      <c r="BJ103" s="400"/>
      <c r="BK103" s="401"/>
      <c r="BL103" s="400">
        <v>0</v>
      </c>
      <c r="BM103" s="401">
        <v>0</v>
      </c>
      <c r="BN103" s="400">
        <v>0</v>
      </c>
      <c r="BO103" s="401">
        <v>0</v>
      </c>
      <c r="BP103" s="400">
        <v>0</v>
      </c>
      <c r="BQ103" s="401">
        <v>0</v>
      </c>
      <c r="BR103" s="400">
        <v>0</v>
      </c>
      <c r="BS103" s="401">
        <v>0</v>
      </c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3270</v>
      </c>
      <c r="B104" s="386" t="s">
        <v>3271</v>
      </c>
      <c r="C104" s="392" t="s">
        <v>3186</v>
      </c>
      <c r="D104" s="387" t="s">
        <v>3272</v>
      </c>
      <c r="E104" s="388" t="s">
        <v>3273</v>
      </c>
      <c r="F104" s="389" t="s">
        <v>3182</v>
      </c>
      <c r="G104" s="389" t="s">
        <v>3183</v>
      </c>
      <c r="H104" s="390" t="s">
        <v>1509</v>
      </c>
      <c r="I104" s="391" t="s">
        <v>1509</v>
      </c>
      <c r="J104" s="353" t="s">
        <v>3184</v>
      </c>
      <c r="K104" s="356" t="s">
        <v>3189</v>
      </c>
      <c r="L104" s="400">
        <v>0</v>
      </c>
      <c r="M104" s="401">
        <v>0</v>
      </c>
      <c r="N104" s="400">
        <v>0</v>
      </c>
      <c r="O104" s="401">
        <v>0</v>
      </c>
      <c r="P104" s="400">
        <v>0</v>
      </c>
      <c r="Q104" s="401">
        <v>0</v>
      </c>
      <c r="R104" s="400"/>
      <c r="S104" s="401"/>
      <c r="T104" s="400"/>
      <c r="U104" s="401"/>
      <c r="V104" s="400">
        <v>0</v>
      </c>
      <c r="W104" s="401">
        <v>0</v>
      </c>
      <c r="X104" s="400">
        <v>0</v>
      </c>
      <c r="Y104" s="401">
        <v>0</v>
      </c>
      <c r="Z104" s="400">
        <v>0</v>
      </c>
      <c r="AA104" s="401">
        <v>0</v>
      </c>
      <c r="AB104" s="400">
        <v>0</v>
      </c>
      <c r="AC104" s="401">
        <v>0</v>
      </c>
      <c r="AD104" s="400">
        <v>0</v>
      </c>
      <c r="AE104" s="401">
        <v>0</v>
      </c>
      <c r="AF104" s="400"/>
      <c r="AG104" s="401"/>
      <c r="AH104" s="400"/>
      <c r="AI104" s="401"/>
      <c r="AJ104" s="400">
        <v>0</v>
      </c>
      <c r="AK104" s="401">
        <v>0</v>
      </c>
      <c r="AL104" s="400">
        <v>0</v>
      </c>
      <c r="AM104" s="401">
        <v>0</v>
      </c>
      <c r="AN104" s="400">
        <v>0</v>
      </c>
      <c r="AO104" s="401">
        <v>0</v>
      </c>
      <c r="AP104" s="400">
        <v>0</v>
      </c>
      <c r="AQ104" s="401">
        <v>0</v>
      </c>
      <c r="AR104" s="400">
        <v>0</v>
      </c>
      <c r="AS104" s="401">
        <v>0</v>
      </c>
      <c r="AT104" s="400"/>
      <c r="AU104" s="401"/>
      <c r="AV104" s="400"/>
      <c r="AW104" s="401"/>
      <c r="AX104" s="400">
        <v>0</v>
      </c>
      <c r="AY104" s="401">
        <v>0</v>
      </c>
      <c r="AZ104" s="400">
        <v>0</v>
      </c>
      <c r="BA104" s="401">
        <v>0</v>
      </c>
      <c r="BB104" s="400">
        <v>0</v>
      </c>
      <c r="BC104" s="401">
        <v>0</v>
      </c>
      <c r="BD104" s="400">
        <v>0</v>
      </c>
      <c r="BE104" s="401">
        <v>0</v>
      </c>
      <c r="BF104" s="400">
        <v>0</v>
      </c>
      <c r="BG104" s="401">
        <v>0</v>
      </c>
      <c r="BH104" s="400"/>
      <c r="BI104" s="401"/>
      <c r="BJ104" s="400"/>
      <c r="BK104" s="401"/>
      <c r="BL104" s="400">
        <v>0</v>
      </c>
      <c r="BM104" s="401">
        <v>0</v>
      </c>
      <c r="BN104" s="400">
        <v>0</v>
      </c>
      <c r="BO104" s="401">
        <v>0</v>
      </c>
      <c r="BP104" s="400">
        <v>0</v>
      </c>
      <c r="BQ104" s="401">
        <v>0</v>
      </c>
      <c r="BR104" s="400">
        <v>0</v>
      </c>
      <c r="BS104" s="401">
        <v>0</v>
      </c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3270</v>
      </c>
      <c r="B105" s="393" t="s">
        <v>3271</v>
      </c>
      <c r="C105" s="394" t="s">
        <v>3186</v>
      </c>
      <c r="D105" s="395" t="s">
        <v>3272</v>
      </c>
      <c r="E105" s="411" t="s">
        <v>3273</v>
      </c>
      <c r="F105" s="396" t="s">
        <v>3182</v>
      </c>
      <c r="G105" s="396" t="s">
        <v>3183</v>
      </c>
      <c r="H105" s="397" t="s">
        <v>1509</v>
      </c>
      <c r="I105" s="899" t="s">
        <v>1509</v>
      </c>
      <c r="J105" s="353" t="s">
        <v>3184</v>
      </c>
      <c r="K105" s="357" t="s">
        <v>60</v>
      </c>
      <c r="L105" s="402">
        <v>0</v>
      </c>
      <c r="M105" s="403">
        <v>0</v>
      </c>
      <c r="N105" s="402">
        <v>0</v>
      </c>
      <c r="O105" s="403">
        <v>0</v>
      </c>
      <c r="P105" s="402">
        <v>0</v>
      </c>
      <c r="Q105" s="403">
        <v>0</v>
      </c>
      <c r="R105" s="402"/>
      <c r="S105" s="403"/>
      <c r="T105" s="402"/>
      <c r="U105" s="403"/>
      <c r="V105" s="402">
        <v>0</v>
      </c>
      <c r="W105" s="403">
        <v>0</v>
      </c>
      <c r="X105" s="402">
        <v>0</v>
      </c>
      <c r="Y105" s="403">
        <v>0</v>
      </c>
      <c r="Z105" s="402">
        <v>0</v>
      </c>
      <c r="AA105" s="403">
        <v>0</v>
      </c>
      <c r="AB105" s="402">
        <v>0</v>
      </c>
      <c r="AC105" s="403">
        <v>0</v>
      </c>
      <c r="AD105" s="402">
        <v>0</v>
      </c>
      <c r="AE105" s="403">
        <v>0</v>
      </c>
      <c r="AF105" s="402"/>
      <c r="AG105" s="403"/>
      <c r="AH105" s="402"/>
      <c r="AI105" s="403"/>
      <c r="AJ105" s="402">
        <v>0</v>
      </c>
      <c r="AK105" s="403">
        <v>0</v>
      </c>
      <c r="AL105" s="402">
        <v>0</v>
      </c>
      <c r="AM105" s="403">
        <v>0</v>
      </c>
      <c r="AN105" s="402">
        <v>0</v>
      </c>
      <c r="AO105" s="403">
        <v>0</v>
      </c>
      <c r="AP105" s="402">
        <v>0</v>
      </c>
      <c r="AQ105" s="403">
        <v>0</v>
      </c>
      <c r="AR105" s="402">
        <v>0</v>
      </c>
      <c r="AS105" s="403">
        <v>0</v>
      </c>
      <c r="AT105" s="402"/>
      <c r="AU105" s="403"/>
      <c r="AV105" s="402"/>
      <c r="AW105" s="403"/>
      <c r="AX105" s="402">
        <v>0</v>
      </c>
      <c r="AY105" s="403">
        <v>0</v>
      </c>
      <c r="AZ105" s="402">
        <v>0</v>
      </c>
      <c r="BA105" s="403">
        <v>0</v>
      </c>
      <c r="BB105" s="402">
        <v>0</v>
      </c>
      <c r="BC105" s="403">
        <v>0</v>
      </c>
      <c r="BD105" s="402">
        <v>0</v>
      </c>
      <c r="BE105" s="403">
        <v>0</v>
      </c>
      <c r="BF105" s="402">
        <v>0</v>
      </c>
      <c r="BG105" s="403">
        <v>0</v>
      </c>
      <c r="BH105" s="402"/>
      <c r="BI105" s="403"/>
      <c r="BJ105" s="402"/>
      <c r="BK105" s="403"/>
      <c r="BL105" s="402">
        <v>0</v>
      </c>
      <c r="BM105" s="403">
        <v>0</v>
      </c>
      <c r="BN105" s="402">
        <v>0</v>
      </c>
      <c r="BO105" s="403">
        <v>0</v>
      </c>
      <c r="BP105" s="402">
        <v>0</v>
      </c>
      <c r="BQ105" s="403">
        <v>0</v>
      </c>
      <c r="BR105" s="402">
        <v>0</v>
      </c>
      <c r="BS105" s="403">
        <v>0</v>
      </c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3274</v>
      </c>
      <c r="B106" s="526" t="s">
        <v>3275</v>
      </c>
      <c r="C106" s="527">
        <v>1</v>
      </c>
      <c r="D106" s="528" t="s">
        <v>3276</v>
      </c>
      <c r="E106" s="426" t="s">
        <v>3192</v>
      </c>
      <c r="F106" s="529" t="s">
        <v>3182</v>
      </c>
      <c r="G106" s="529">
        <v>46141</v>
      </c>
      <c r="H106" s="530" t="s">
        <v>1510</v>
      </c>
      <c r="I106" s="384" t="s">
        <v>1510</v>
      </c>
      <c r="J106" s="353" t="s">
        <v>3184</v>
      </c>
      <c r="K106" s="354" t="s">
        <v>3185</v>
      </c>
      <c r="L106" s="402">
        <v>0</v>
      </c>
      <c r="M106" s="403">
        <v>0</v>
      </c>
      <c r="N106" s="402">
        <v>0</v>
      </c>
      <c r="O106" s="403">
        <v>0</v>
      </c>
      <c r="P106" s="402">
        <v>0</v>
      </c>
      <c r="Q106" s="403">
        <v>0</v>
      </c>
      <c r="R106" s="402"/>
      <c r="S106" s="403"/>
      <c r="T106" s="402"/>
      <c r="U106" s="403"/>
      <c r="V106" s="402">
        <v>0</v>
      </c>
      <c r="W106" s="403">
        <v>0</v>
      </c>
      <c r="X106" s="402">
        <v>0</v>
      </c>
      <c r="Y106" s="403">
        <v>0</v>
      </c>
      <c r="Z106" s="402">
        <v>0</v>
      </c>
      <c r="AA106" s="403">
        <v>0</v>
      </c>
      <c r="AB106" s="402">
        <v>0</v>
      </c>
      <c r="AC106" s="403">
        <v>0</v>
      </c>
      <c r="AD106" s="402">
        <v>0</v>
      </c>
      <c r="AE106" s="403">
        <v>0</v>
      </c>
      <c r="AF106" s="402"/>
      <c r="AG106" s="403"/>
      <c r="AH106" s="402"/>
      <c r="AI106" s="403"/>
      <c r="AJ106" s="402">
        <v>0</v>
      </c>
      <c r="AK106" s="403">
        <v>0</v>
      </c>
      <c r="AL106" s="402">
        <v>0</v>
      </c>
      <c r="AM106" s="403">
        <v>0</v>
      </c>
      <c r="AN106" s="402">
        <v>0</v>
      </c>
      <c r="AO106" s="403">
        <v>0</v>
      </c>
      <c r="AP106" s="402">
        <v>0</v>
      </c>
      <c r="AQ106" s="403">
        <v>0</v>
      </c>
      <c r="AR106" s="402">
        <v>0</v>
      </c>
      <c r="AS106" s="403">
        <v>0</v>
      </c>
      <c r="AT106" s="402"/>
      <c r="AU106" s="403"/>
      <c r="AV106" s="402"/>
      <c r="AW106" s="403"/>
      <c r="AX106" s="402">
        <v>0</v>
      </c>
      <c r="AY106" s="403">
        <v>0</v>
      </c>
      <c r="AZ106" s="402">
        <v>0</v>
      </c>
      <c r="BA106" s="403">
        <v>0</v>
      </c>
      <c r="BB106" s="402">
        <v>0</v>
      </c>
      <c r="BC106" s="403">
        <v>0</v>
      </c>
      <c r="BD106" s="402">
        <v>0</v>
      </c>
      <c r="BE106" s="403">
        <v>0</v>
      </c>
      <c r="BF106" s="402">
        <v>0</v>
      </c>
      <c r="BG106" s="403">
        <v>0</v>
      </c>
      <c r="BH106" s="402"/>
      <c r="BI106" s="403"/>
      <c r="BJ106" s="402"/>
      <c r="BK106" s="403"/>
      <c r="BL106" s="402">
        <v>0</v>
      </c>
      <c r="BM106" s="403">
        <v>0</v>
      </c>
      <c r="BN106" s="402">
        <v>0</v>
      </c>
      <c r="BO106" s="403">
        <v>0</v>
      </c>
      <c r="BP106" s="402">
        <v>0</v>
      </c>
      <c r="BQ106" s="403">
        <v>0</v>
      </c>
      <c r="BR106" s="402">
        <v>0</v>
      </c>
      <c r="BS106" s="403">
        <v>0</v>
      </c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3274</v>
      </c>
      <c r="B107" s="386" t="s">
        <v>3275</v>
      </c>
      <c r="C107" s="352" t="s">
        <v>3186</v>
      </c>
      <c r="D107" s="387" t="s">
        <v>3276</v>
      </c>
      <c r="E107" s="388" t="s">
        <v>3192</v>
      </c>
      <c r="F107" s="389" t="s">
        <v>3182</v>
      </c>
      <c r="G107" s="389" t="s">
        <v>3183</v>
      </c>
      <c r="H107" s="390" t="s">
        <v>1510</v>
      </c>
      <c r="I107" s="391" t="s">
        <v>1510</v>
      </c>
      <c r="J107" s="353" t="s">
        <v>3184</v>
      </c>
      <c r="K107" s="353" t="s">
        <v>3187</v>
      </c>
      <c r="L107" s="400">
        <v>0</v>
      </c>
      <c r="M107" s="401">
        <v>0</v>
      </c>
      <c r="N107" s="400">
        <v>0</v>
      </c>
      <c r="O107" s="401">
        <v>0</v>
      </c>
      <c r="P107" s="400">
        <v>0</v>
      </c>
      <c r="Q107" s="401">
        <v>0</v>
      </c>
      <c r="R107" s="400"/>
      <c r="S107" s="401"/>
      <c r="T107" s="400"/>
      <c r="U107" s="401"/>
      <c r="V107" s="400">
        <v>0</v>
      </c>
      <c r="W107" s="401">
        <v>0</v>
      </c>
      <c r="X107" s="400">
        <v>0</v>
      </c>
      <c r="Y107" s="401">
        <v>0</v>
      </c>
      <c r="Z107" s="400">
        <v>0</v>
      </c>
      <c r="AA107" s="401">
        <v>0</v>
      </c>
      <c r="AB107" s="400">
        <v>0</v>
      </c>
      <c r="AC107" s="401">
        <v>0</v>
      </c>
      <c r="AD107" s="400">
        <v>0</v>
      </c>
      <c r="AE107" s="401">
        <v>0</v>
      </c>
      <c r="AF107" s="400"/>
      <c r="AG107" s="401"/>
      <c r="AH107" s="400"/>
      <c r="AI107" s="401"/>
      <c r="AJ107" s="400">
        <v>0</v>
      </c>
      <c r="AK107" s="401">
        <v>0</v>
      </c>
      <c r="AL107" s="400">
        <v>0</v>
      </c>
      <c r="AM107" s="401">
        <v>0</v>
      </c>
      <c r="AN107" s="400">
        <v>0</v>
      </c>
      <c r="AO107" s="401">
        <v>0</v>
      </c>
      <c r="AP107" s="400">
        <v>0</v>
      </c>
      <c r="AQ107" s="401">
        <v>0</v>
      </c>
      <c r="AR107" s="400">
        <v>0</v>
      </c>
      <c r="AS107" s="401">
        <v>0</v>
      </c>
      <c r="AT107" s="400"/>
      <c r="AU107" s="401"/>
      <c r="AV107" s="400"/>
      <c r="AW107" s="401"/>
      <c r="AX107" s="400">
        <v>0</v>
      </c>
      <c r="AY107" s="401">
        <v>0</v>
      </c>
      <c r="AZ107" s="400">
        <v>0</v>
      </c>
      <c r="BA107" s="401">
        <v>0</v>
      </c>
      <c r="BB107" s="400">
        <v>0</v>
      </c>
      <c r="BC107" s="401">
        <v>0</v>
      </c>
      <c r="BD107" s="400">
        <v>0</v>
      </c>
      <c r="BE107" s="401">
        <v>0</v>
      </c>
      <c r="BF107" s="400">
        <v>0</v>
      </c>
      <c r="BG107" s="401">
        <v>0</v>
      </c>
      <c r="BH107" s="400"/>
      <c r="BI107" s="401"/>
      <c r="BJ107" s="400"/>
      <c r="BK107" s="401"/>
      <c r="BL107" s="400">
        <v>0</v>
      </c>
      <c r="BM107" s="401">
        <v>0</v>
      </c>
      <c r="BN107" s="400">
        <v>0</v>
      </c>
      <c r="BO107" s="401">
        <v>0</v>
      </c>
      <c r="BP107" s="400">
        <v>0</v>
      </c>
      <c r="BQ107" s="401">
        <v>0</v>
      </c>
      <c r="BR107" s="400">
        <v>0</v>
      </c>
      <c r="BS107" s="401">
        <v>0</v>
      </c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3274</v>
      </c>
      <c r="B108" s="386" t="s">
        <v>3275</v>
      </c>
      <c r="C108" s="392" t="s">
        <v>3186</v>
      </c>
      <c r="D108" s="387" t="s">
        <v>3276</v>
      </c>
      <c r="E108" s="388" t="s">
        <v>3192</v>
      </c>
      <c r="F108" s="389" t="s">
        <v>3182</v>
      </c>
      <c r="G108" s="389" t="s">
        <v>3183</v>
      </c>
      <c r="H108" s="390" t="s">
        <v>1510</v>
      </c>
      <c r="I108" s="391" t="s">
        <v>1510</v>
      </c>
      <c r="J108" s="353" t="s">
        <v>3184</v>
      </c>
      <c r="K108" s="355" t="s">
        <v>3188</v>
      </c>
      <c r="L108" s="400">
        <v>0</v>
      </c>
      <c r="M108" s="401">
        <v>0</v>
      </c>
      <c r="N108" s="400">
        <v>0</v>
      </c>
      <c r="O108" s="401">
        <v>0</v>
      </c>
      <c r="P108" s="400">
        <v>0</v>
      </c>
      <c r="Q108" s="401">
        <v>0</v>
      </c>
      <c r="R108" s="400"/>
      <c r="S108" s="401"/>
      <c r="T108" s="400"/>
      <c r="U108" s="401"/>
      <c r="V108" s="400">
        <v>0</v>
      </c>
      <c r="W108" s="401">
        <v>0</v>
      </c>
      <c r="X108" s="400">
        <v>0</v>
      </c>
      <c r="Y108" s="401">
        <v>0</v>
      </c>
      <c r="Z108" s="400">
        <v>0</v>
      </c>
      <c r="AA108" s="401">
        <v>0</v>
      </c>
      <c r="AB108" s="400">
        <v>0</v>
      </c>
      <c r="AC108" s="401">
        <v>0</v>
      </c>
      <c r="AD108" s="400">
        <v>0</v>
      </c>
      <c r="AE108" s="401">
        <v>0</v>
      </c>
      <c r="AF108" s="400"/>
      <c r="AG108" s="401"/>
      <c r="AH108" s="400"/>
      <c r="AI108" s="401"/>
      <c r="AJ108" s="400">
        <v>0</v>
      </c>
      <c r="AK108" s="401">
        <v>0</v>
      </c>
      <c r="AL108" s="400">
        <v>0</v>
      </c>
      <c r="AM108" s="401">
        <v>0</v>
      </c>
      <c r="AN108" s="400">
        <v>0</v>
      </c>
      <c r="AO108" s="401">
        <v>0</v>
      </c>
      <c r="AP108" s="400">
        <v>0</v>
      </c>
      <c r="AQ108" s="401">
        <v>0</v>
      </c>
      <c r="AR108" s="400">
        <v>0</v>
      </c>
      <c r="AS108" s="401">
        <v>0</v>
      </c>
      <c r="AT108" s="400"/>
      <c r="AU108" s="401"/>
      <c r="AV108" s="400"/>
      <c r="AW108" s="401"/>
      <c r="AX108" s="400">
        <v>0</v>
      </c>
      <c r="AY108" s="401">
        <v>0</v>
      </c>
      <c r="AZ108" s="400">
        <v>0</v>
      </c>
      <c r="BA108" s="401">
        <v>0</v>
      </c>
      <c r="BB108" s="400">
        <v>0</v>
      </c>
      <c r="BC108" s="401">
        <v>0</v>
      </c>
      <c r="BD108" s="400">
        <v>0</v>
      </c>
      <c r="BE108" s="401">
        <v>0</v>
      </c>
      <c r="BF108" s="400">
        <v>0</v>
      </c>
      <c r="BG108" s="401">
        <v>0</v>
      </c>
      <c r="BH108" s="400"/>
      <c r="BI108" s="401"/>
      <c r="BJ108" s="400"/>
      <c r="BK108" s="401"/>
      <c r="BL108" s="400">
        <v>0</v>
      </c>
      <c r="BM108" s="401">
        <v>0</v>
      </c>
      <c r="BN108" s="400">
        <v>0</v>
      </c>
      <c r="BO108" s="401">
        <v>0</v>
      </c>
      <c r="BP108" s="400">
        <v>0</v>
      </c>
      <c r="BQ108" s="401">
        <v>0</v>
      </c>
      <c r="BR108" s="400">
        <v>0</v>
      </c>
      <c r="BS108" s="401">
        <v>0</v>
      </c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3274</v>
      </c>
      <c r="B109" s="386" t="s">
        <v>3275</v>
      </c>
      <c r="C109" s="392" t="s">
        <v>3186</v>
      </c>
      <c r="D109" s="387" t="s">
        <v>3276</v>
      </c>
      <c r="E109" s="388" t="s">
        <v>3192</v>
      </c>
      <c r="F109" s="389" t="s">
        <v>3182</v>
      </c>
      <c r="G109" s="389" t="s">
        <v>3183</v>
      </c>
      <c r="H109" s="390" t="s">
        <v>1510</v>
      </c>
      <c r="I109" s="391" t="s">
        <v>1510</v>
      </c>
      <c r="J109" s="353" t="s">
        <v>3184</v>
      </c>
      <c r="K109" s="356" t="s">
        <v>3189</v>
      </c>
      <c r="L109" s="400">
        <v>0</v>
      </c>
      <c r="M109" s="401">
        <v>0</v>
      </c>
      <c r="N109" s="400">
        <v>0</v>
      </c>
      <c r="O109" s="401">
        <v>0</v>
      </c>
      <c r="P109" s="400">
        <v>0</v>
      </c>
      <c r="Q109" s="401">
        <v>0</v>
      </c>
      <c r="R109" s="400"/>
      <c r="S109" s="401"/>
      <c r="T109" s="400"/>
      <c r="U109" s="401"/>
      <c r="V109" s="400">
        <v>0</v>
      </c>
      <c r="W109" s="401">
        <v>0</v>
      </c>
      <c r="X109" s="400">
        <v>0</v>
      </c>
      <c r="Y109" s="401">
        <v>0</v>
      </c>
      <c r="Z109" s="400">
        <v>0</v>
      </c>
      <c r="AA109" s="401">
        <v>0</v>
      </c>
      <c r="AB109" s="400">
        <v>0</v>
      </c>
      <c r="AC109" s="401">
        <v>0</v>
      </c>
      <c r="AD109" s="400">
        <v>0</v>
      </c>
      <c r="AE109" s="401">
        <v>0</v>
      </c>
      <c r="AF109" s="400"/>
      <c r="AG109" s="401"/>
      <c r="AH109" s="400"/>
      <c r="AI109" s="401"/>
      <c r="AJ109" s="400">
        <v>0</v>
      </c>
      <c r="AK109" s="401">
        <v>0</v>
      </c>
      <c r="AL109" s="400">
        <v>0</v>
      </c>
      <c r="AM109" s="401">
        <v>0</v>
      </c>
      <c r="AN109" s="400">
        <v>0</v>
      </c>
      <c r="AO109" s="401">
        <v>0</v>
      </c>
      <c r="AP109" s="400">
        <v>0</v>
      </c>
      <c r="AQ109" s="401">
        <v>0</v>
      </c>
      <c r="AR109" s="400">
        <v>0</v>
      </c>
      <c r="AS109" s="401">
        <v>0</v>
      </c>
      <c r="AT109" s="400"/>
      <c r="AU109" s="401"/>
      <c r="AV109" s="400"/>
      <c r="AW109" s="401"/>
      <c r="AX109" s="400">
        <v>0</v>
      </c>
      <c r="AY109" s="401">
        <v>0</v>
      </c>
      <c r="AZ109" s="400">
        <v>0</v>
      </c>
      <c r="BA109" s="401">
        <v>0</v>
      </c>
      <c r="BB109" s="400">
        <v>0</v>
      </c>
      <c r="BC109" s="401">
        <v>0</v>
      </c>
      <c r="BD109" s="400">
        <v>0</v>
      </c>
      <c r="BE109" s="401">
        <v>0</v>
      </c>
      <c r="BF109" s="400">
        <v>0</v>
      </c>
      <c r="BG109" s="401">
        <v>0</v>
      </c>
      <c r="BH109" s="400"/>
      <c r="BI109" s="401"/>
      <c r="BJ109" s="400"/>
      <c r="BK109" s="401"/>
      <c r="BL109" s="400">
        <v>0</v>
      </c>
      <c r="BM109" s="401">
        <v>0</v>
      </c>
      <c r="BN109" s="400">
        <v>0</v>
      </c>
      <c r="BO109" s="401">
        <v>0</v>
      </c>
      <c r="BP109" s="400">
        <v>0</v>
      </c>
      <c r="BQ109" s="401">
        <v>0</v>
      </c>
      <c r="BR109" s="400">
        <v>0</v>
      </c>
      <c r="BS109" s="401">
        <v>0</v>
      </c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3274</v>
      </c>
      <c r="B110" s="393" t="s">
        <v>3275</v>
      </c>
      <c r="C110" s="394" t="s">
        <v>3186</v>
      </c>
      <c r="D110" s="395" t="s">
        <v>3276</v>
      </c>
      <c r="E110" s="411" t="s">
        <v>3192</v>
      </c>
      <c r="F110" s="396" t="s">
        <v>3182</v>
      </c>
      <c r="G110" s="396" t="s">
        <v>3183</v>
      </c>
      <c r="H110" s="397" t="s">
        <v>1510</v>
      </c>
      <c r="I110" s="899" t="s">
        <v>1510</v>
      </c>
      <c r="J110" s="353" t="s">
        <v>3184</v>
      </c>
      <c r="K110" s="357" t="s">
        <v>60</v>
      </c>
      <c r="L110" s="402">
        <v>0</v>
      </c>
      <c r="M110" s="403">
        <v>0</v>
      </c>
      <c r="N110" s="402">
        <v>0</v>
      </c>
      <c r="O110" s="403">
        <v>0</v>
      </c>
      <c r="P110" s="402">
        <v>0</v>
      </c>
      <c r="Q110" s="403">
        <v>0</v>
      </c>
      <c r="R110" s="402"/>
      <c r="S110" s="403"/>
      <c r="T110" s="402"/>
      <c r="U110" s="403"/>
      <c r="V110" s="402">
        <v>0</v>
      </c>
      <c r="W110" s="403">
        <v>0</v>
      </c>
      <c r="X110" s="402">
        <v>0</v>
      </c>
      <c r="Y110" s="403">
        <v>0</v>
      </c>
      <c r="Z110" s="402">
        <v>0</v>
      </c>
      <c r="AA110" s="403">
        <v>0</v>
      </c>
      <c r="AB110" s="402">
        <v>0</v>
      </c>
      <c r="AC110" s="403">
        <v>0</v>
      </c>
      <c r="AD110" s="402">
        <v>0</v>
      </c>
      <c r="AE110" s="403">
        <v>0</v>
      </c>
      <c r="AF110" s="402"/>
      <c r="AG110" s="403"/>
      <c r="AH110" s="402"/>
      <c r="AI110" s="403"/>
      <c r="AJ110" s="402">
        <v>0</v>
      </c>
      <c r="AK110" s="403">
        <v>0</v>
      </c>
      <c r="AL110" s="402">
        <v>0</v>
      </c>
      <c r="AM110" s="403">
        <v>0</v>
      </c>
      <c r="AN110" s="402">
        <v>0</v>
      </c>
      <c r="AO110" s="403">
        <v>0</v>
      </c>
      <c r="AP110" s="402">
        <v>0</v>
      </c>
      <c r="AQ110" s="403">
        <v>0</v>
      </c>
      <c r="AR110" s="402">
        <v>0</v>
      </c>
      <c r="AS110" s="403">
        <v>0</v>
      </c>
      <c r="AT110" s="402"/>
      <c r="AU110" s="403"/>
      <c r="AV110" s="402"/>
      <c r="AW110" s="403"/>
      <c r="AX110" s="402">
        <v>0</v>
      </c>
      <c r="AY110" s="403">
        <v>0</v>
      </c>
      <c r="AZ110" s="402">
        <v>0</v>
      </c>
      <c r="BA110" s="403">
        <v>0</v>
      </c>
      <c r="BB110" s="402">
        <v>0</v>
      </c>
      <c r="BC110" s="403">
        <v>0</v>
      </c>
      <c r="BD110" s="402">
        <v>0</v>
      </c>
      <c r="BE110" s="403">
        <v>0</v>
      </c>
      <c r="BF110" s="402">
        <v>0</v>
      </c>
      <c r="BG110" s="403">
        <v>0</v>
      </c>
      <c r="BH110" s="402"/>
      <c r="BI110" s="403"/>
      <c r="BJ110" s="402"/>
      <c r="BK110" s="403"/>
      <c r="BL110" s="402">
        <v>0</v>
      </c>
      <c r="BM110" s="403">
        <v>0</v>
      </c>
      <c r="BN110" s="402">
        <v>0</v>
      </c>
      <c r="BO110" s="403">
        <v>0</v>
      </c>
      <c r="BP110" s="402">
        <v>0</v>
      </c>
      <c r="BQ110" s="403">
        <v>0</v>
      </c>
      <c r="BR110" s="402">
        <v>0</v>
      </c>
      <c r="BS110" s="403">
        <v>0</v>
      </c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3277</v>
      </c>
      <c r="B111" s="526" t="s">
        <v>3278</v>
      </c>
      <c r="C111" s="527">
        <v>1</v>
      </c>
      <c r="D111" s="528" t="s">
        <v>3279</v>
      </c>
      <c r="E111" s="426" t="s">
        <v>3280</v>
      </c>
      <c r="F111" s="529" t="s">
        <v>3182</v>
      </c>
      <c r="G111" s="529" t="s">
        <v>3183</v>
      </c>
      <c r="H111" s="530" t="s">
        <v>1512</v>
      </c>
      <c r="I111" s="384" t="s">
        <v>1512</v>
      </c>
      <c r="J111" s="353" t="s">
        <v>3184</v>
      </c>
      <c r="K111" s="354" t="s">
        <v>3185</v>
      </c>
      <c r="L111" s="402">
        <v>0</v>
      </c>
      <c r="M111" s="403">
        <v>0</v>
      </c>
      <c r="N111" s="402">
        <v>0</v>
      </c>
      <c r="O111" s="403">
        <v>0</v>
      </c>
      <c r="P111" s="402">
        <v>0</v>
      </c>
      <c r="Q111" s="403">
        <v>0</v>
      </c>
      <c r="R111" s="402"/>
      <c r="S111" s="403"/>
      <c r="T111" s="402"/>
      <c r="U111" s="403"/>
      <c r="V111" s="402">
        <v>0</v>
      </c>
      <c r="W111" s="403">
        <v>0</v>
      </c>
      <c r="X111" s="402">
        <v>0</v>
      </c>
      <c r="Y111" s="403">
        <v>0</v>
      </c>
      <c r="Z111" s="402">
        <v>0</v>
      </c>
      <c r="AA111" s="403">
        <v>0</v>
      </c>
      <c r="AB111" s="402">
        <v>0</v>
      </c>
      <c r="AC111" s="403">
        <v>0</v>
      </c>
      <c r="AD111" s="402">
        <v>0</v>
      </c>
      <c r="AE111" s="403">
        <v>0</v>
      </c>
      <c r="AF111" s="402"/>
      <c r="AG111" s="403"/>
      <c r="AH111" s="402"/>
      <c r="AI111" s="403"/>
      <c r="AJ111" s="402">
        <v>0</v>
      </c>
      <c r="AK111" s="403">
        <v>0</v>
      </c>
      <c r="AL111" s="402">
        <v>0</v>
      </c>
      <c r="AM111" s="403">
        <v>0</v>
      </c>
      <c r="AN111" s="402">
        <v>0</v>
      </c>
      <c r="AO111" s="403">
        <v>0</v>
      </c>
      <c r="AP111" s="402">
        <v>0</v>
      </c>
      <c r="AQ111" s="403">
        <v>0</v>
      </c>
      <c r="AR111" s="402">
        <v>0</v>
      </c>
      <c r="AS111" s="403">
        <v>0</v>
      </c>
      <c r="AT111" s="402"/>
      <c r="AU111" s="403"/>
      <c r="AV111" s="402"/>
      <c r="AW111" s="403"/>
      <c r="AX111" s="402">
        <v>0</v>
      </c>
      <c r="AY111" s="403">
        <v>0</v>
      </c>
      <c r="AZ111" s="402">
        <v>0</v>
      </c>
      <c r="BA111" s="403">
        <v>0</v>
      </c>
      <c r="BB111" s="402">
        <v>0</v>
      </c>
      <c r="BC111" s="403">
        <v>0</v>
      </c>
      <c r="BD111" s="402">
        <v>0</v>
      </c>
      <c r="BE111" s="403">
        <v>0</v>
      </c>
      <c r="BF111" s="402">
        <v>0</v>
      </c>
      <c r="BG111" s="403">
        <v>0</v>
      </c>
      <c r="BH111" s="402"/>
      <c r="BI111" s="403"/>
      <c r="BJ111" s="402"/>
      <c r="BK111" s="403"/>
      <c r="BL111" s="402">
        <v>0</v>
      </c>
      <c r="BM111" s="403">
        <v>0</v>
      </c>
      <c r="BN111" s="402">
        <v>0</v>
      </c>
      <c r="BO111" s="403">
        <v>0</v>
      </c>
      <c r="BP111" s="402">
        <v>0</v>
      </c>
      <c r="BQ111" s="403">
        <v>0</v>
      </c>
      <c r="BR111" s="402">
        <v>0</v>
      </c>
      <c r="BS111" s="403">
        <v>0</v>
      </c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3277</v>
      </c>
      <c r="B112" s="386" t="s">
        <v>3278</v>
      </c>
      <c r="C112" s="352" t="s">
        <v>3186</v>
      </c>
      <c r="D112" s="387" t="s">
        <v>3279</v>
      </c>
      <c r="E112" s="388" t="s">
        <v>3280</v>
      </c>
      <c r="F112" s="389" t="s">
        <v>3182</v>
      </c>
      <c r="G112" s="389" t="s">
        <v>3183</v>
      </c>
      <c r="H112" s="390" t="s">
        <v>1512</v>
      </c>
      <c r="I112" s="391" t="s">
        <v>1512</v>
      </c>
      <c r="J112" s="353" t="s">
        <v>3184</v>
      </c>
      <c r="K112" s="353" t="s">
        <v>3187</v>
      </c>
      <c r="L112" s="400">
        <v>0</v>
      </c>
      <c r="M112" s="401">
        <v>0</v>
      </c>
      <c r="N112" s="400">
        <v>0</v>
      </c>
      <c r="O112" s="401">
        <v>0</v>
      </c>
      <c r="P112" s="400">
        <v>0</v>
      </c>
      <c r="Q112" s="401">
        <v>0</v>
      </c>
      <c r="R112" s="400"/>
      <c r="S112" s="401"/>
      <c r="T112" s="400"/>
      <c r="U112" s="401"/>
      <c r="V112" s="400">
        <v>6</v>
      </c>
      <c r="W112" s="401">
        <v>0</v>
      </c>
      <c r="X112" s="400">
        <v>0</v>
      </c>
      <c r="Y112" s="401">
        <v>0</v>
      </c>
      <c r="Z112" s="400">
        <v>0</v>
      </c>
      <c r="AA112" s="401">
        <v>0</v>
      </c>
      <c r="AB112" s="400">
        <v>0</v>
      </c>
      <c r="AC112" s="401">
        <v>0</v>
      </c>
      <c r="AD112" s="400">
        <v>0</v>
      </c>
      <c r="AE112" s="401">
        <v>0</v>
      </c>
      <c r="AF112" s="400"/>
      <c r="AG112" s="401"/>
      <c r="AH112" s="400"/>
      <c r="AI112" s="401"/>
      <c r="AJ112" s="400">
        <v>6</v>
      </c>
      <c r="AK112" s="401">
        <v>0</v>
      </c>
      <c r="AL112" s="400">
        <v>0</v>
      </c>
      <c r="AM112" s="401">
        <v>0</v>
      </c>
      <c r="AN112" s="400">
        <v>0</v>
      </c>
      <c r="AO112" s="401">
        <v>0</v>
      </c>
      <c r="AP112" s="400">
        <v>0</v>
      </c>
      <c r="AQ112" s="401">
        <v>0</v>
      </c>
      <c r="AR112" s="400">
        <v>0</v>
      </c>
      <c r="AS112" s="401">
        <v>0</v>
      </c>
      <c r="AT112" s="400"/>
      <c r="AU112" s="401"/>
      <c r="AV112" s="400"/>
      <c r="AW112" s="401"/>
      <c r="AX112" s="400">
        <v>6</v>
      </c>
      <c r="AY112" s="401">
        <v>0</v>
      </c>
      <c r="AZ112" s="400">
        <v>0</v>
      </c>
      <c r="BA112" s="401">
        <v>0</v>
      </c>
      <c r="BB112" s="400">
        <v>0</v>
      </c>
      <c r="BC112" s="401">
        <v>0</v>
      </c>
      <c r="BD112" s="400">
        <v>0</v>
      </c>
      <c r="BE112" s="401">
        <v>0</v>
      </c>
      <c r="BF112" s="400">
        <v>0</v>
      </c>
      <c r="BG112" s="401">
        <v>0</v>
      </c>
      <c r="BH112" s="400"/>
      <c r="BI112" s="401"/>
      <c r="BJ112" s="400"/>
      <c r="BK112" s="401"/>
      <c r="BL112" s="400">
        <v>6</v>
      </c>
      <c r="BM112" s="401">
        <v>0</v>
      </c>
      <c r="BN112" s="400">
        <v>0</v>
      </c>
      <c r="BO112" s="401">
        <v>0</v>
      </c>
      <c r="BP112" s="400">
        <v>0</v>
      </c>
      <c r="BQ112" s="401">
        <v>0</v>
      </c>
      <c r="BR112" s="400">
        <v>0</v>
      </c>
      <c r="BS112" s="401">
        <v>0</v>
      </c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24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3277</v>
      </c>
      <c r="B113" s="386" t="s">
        <v>3278</v>
      </c>
      <c r="C113" s="392" t="s">
        <v>3186</v>
      </c>
      <c r="D113" s="387" t="s">
        <v>3279</v>
      </c>
      <c r="E113" s="388" t="s">
        <v>3280</v>
      </c>
      <c r="F113" s="389" t="s">
        <v>3182</v>
      </c>
      <c r="G113" s="389" t="s">
        <v>3183</v>
      </c>
      <c r="H113" s="390" t="s">
        <v>1512</v>
      </c>
      <c r="I113" s="391" t="s">
        <v>1512</v>
      </c>
      <c r="J113" s="353" t="s">
        <v>3184</v>
      </c>
      <c r="K113" s="355" t="s">
        <v>3188</v>
      </c>
      <c r="L113" s="400">
        <v>0</v>
      </c>
      <c r="M113" s="401">
        <v>0</v>
      </c>
      <c r="N113" s="400">
        <v>0</v>
      </c>
      <c r="O113" s="401">
        <v>0</v>
      </c>
      <c r="P113" s="400">
        <v>0</v>
      </c>
      <c r="Q113" s="401">
        <v>0</v>
      </c>
      <c r="R113" s="400"/>
      <c r="S113" s="401"/>
      <c r="T113" s="400"/>
      <c r="U113" s="401"/>
      <c r="V113" s="400">
        <v>0</v>
      </c>
      <c r="W113" s="401">
        <v>0</v>
      </c>
      <c r="X113" s="400">
        <v>0</v>
      </c>
      <c r="Y113" s="401">
        <v>0</v>
      </c>
      <c r="Z113" s="400">
        <v>0</v>
      </c>
      <c r="AA113" s="401">
        <v>0</v>
      </c>
      <c r="AB113" s="400">
        <v>0</v>
      </c>
      <c r="AC113" s="401">
        <v>0</v>
      </c>
      <c r="AD113" s="400">
        <v>0</v>
      </c>
      <c r="AE113" s="401">
        <v>0</v>
      </c>
      <c r="AF113" s="400"/>
      <c r="AG113" s="401"/>
      <c r="AH113" s="400"/>
      <c r="AI113" s="401"/>
      <c r="AJ113" s="400">
        <v>0</v>
      </c>
      <c r="AK113" s="401">
        <v>0</v>
      </c>
      <c r="AL113" s="400">
        <v>0</v>
      </c>
      <c r="AM113" s="401">
        <v>0</v>
      </c>
      <c r="AN113" s="400">
        <v>0</v>
      </c>
      <c r="AO113" s="401">
        <v>0</v>
      </c>
      <c r="AP113" s="400">
        <v>0</v>
      </c>
      <c r="AQ113" s="401">
        <v>0</v>
      </c>
      <c r="AR113" s="400">
        <v>0</v>
      </c>
      <c r="AS113" s="401">
        <v>0</v>
      </c>
      <c r="AT113" s="400"/>
      <c r="AU113" s="401"/>
      <c r="AV113" s="400"/>
      <c r="AW113" s="401"/>
      <c r="AX113" s="400">
        <v>0</v>
      </c>
      <c r="AY113" s="401">
        <v>0</v>
      </c>
      <c r="AZ113" s="400">
        <v>0</v>
      </c>
      <c r="BA113" s="401">
        <v>0</v>
      </c>
      <c r="BB113" s="400">
        <v>0</v>
      </c>
      <c r="BC113" s="401">
        <v>0</v>
      </c>
      <c r="BD113" s="400">
        <v>0</v>
      </c>
      <c r="BE113" s="401">
        <v>0</v>
      </c>
      <c r="BF113" s="400">
        <v>0</v>
      </c>
      <c r="BG113" s="401">
        <v>0</v>
      </c>
      <c r="BH113" s="400"/>
      <c r="BI113" s="401"/>
      <c r="BJ113" s="400"/>
      <c r="BK113" s="401"/>
      <c r="BL113" s="400">
        <v>0</v>
      </c>
      <c r="BM113" s="401">
        <v>0</v>
      </c>
      <c r="BN113" s="400">
        <v>0</v>
      </c>
      <c r="BO113" s="401">
        <v>0</v>
      </c>
      <c r="BP113" s="400">
        <v>0</v>
      </c>
      <c r="BQ113" s="401">
        <v>0</v>
      </c>
      <c r="BR113" s="400">
        <v>0</v>
      </c>
      <c r="BS113" s="401">
        <v>0</v>
      </c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3277</v>
      </c>
      <c r="B114" s="386" t="s">
        <v>3278</v>
      </c>
      <c r="C114" s="392" t="s">
        <v>3186</v>
      </c>
      <c r="D114" s="387" t="s">
        <v>3279</v>
      </c>
      <c r="E114" s="388" t="s">
        <v>3280</v>
      </c>
      <c r="F114" s="389" t="s">
        <v>3182</v>
      </c>
      <c r="G114" s="389" t="s">
        <v>3183</v>
      </c>
      <c r="H114" s="390" t="s">
        <v>1512</v>
      </c>
      <c r="I114" s="391" t="s">
        <v>1512</v>
      </c>
      <c r="J114" s="353" t="s">
        <v>3184</v>
      </c>
      <c r="K114" s="356" t="s">
        <v>3189</v>
      </c>
      <c r="L114" s="400">
        <v>0</v>
      </c>
      <c r="M114" s="401">
        <v>0</v>
      </c>
      <c r="N114" s="400">
        <v>0</v>
      </c>
      <c r="O114" s="401">
        <v>0</v>
      </c>
      <c r="P114" s="400">
        <v>0</v>
      </c>
      <c r="Q114" s="401">
        <v>0</v>
      </c>
      <c r="R114" s="400"/>
      <c r="S114" s="401"/>
      <c r="T114" s="400"/>
      <c r="U114" s="401"/>
      <c r="V114" s="400">
        <v>0</v>
      </c>
      <c r="W114" s="401">
        <v>0</v>
      </c>
      <c r="X114" s="400">
        <v>0</v>
      </c>
      <c r="Y114" s="401">
        <v>0</v>
      </c>
      <c r="Z114" s="400">
        <v>0</v>
      </c>
      <c r="AA114" s="401">
        <v>0</v>
      </c>
      <c r="AB114" s="400">
        <v>0</v>
      </c>
      <c r="AC114" s="401">
        <v>0</v>
      </c>
      <c r="AD114" s="400">
        <v>0</v>
      </c>
      <c r="AE114" s="401">
        <v>0</v>
      </c>
      <c r="AF114" s="400"/>
      <c r="AG114" s="401"/>
      <c r="AH114" s="400"/>
      <c r="AI114" s="401"/>
      <c r="AJ114" s="400">
        <v>0</v>
      </c>
      <c r="AK114" s="401">
        <v>0</v>
      </c>
      <c r="AL114" s="400">
        <v>0</v>
      </c>
      <c r="AM114" s="401">
        <v>0</v>
      </c>
      <c r="AN114" s="400">
        <v>0</v>
      </c>
      <c r="AO114" s="401">
        <v>0</v>
      </c>
      <c r="AP114" s="400">
        <v>0</v>
      </c>
      <c r="AQ114" s="401">
        <v>0</v>
      </c>
      <c r="AR114" s="400">
        <v>0</v>
      </c>
      <c r="AS114" s="401">
        <v>0</v>
      </c>
      <c r="AT114" s="400"/>
      <c r="AU114" s="401"/>
      <c r="AV114" s="400"/>
      <c r="AW114" s="401"/>
      <c r="AX114" s="400">
        <v>0</v>
      </c>
      <c r="AY114" s="401">
        <v>0</v>
      </c>
      <c r="AZ114" s="400">
        <v>0</v>
      </c>
      <c r="BA114" s="401">
        <v>0</v>
      </c>
      <c r="BB114" s="400">
        <v>0</v>
      </c>
      <c r="BC114" s="401">
        <v>0</v>
      </c>
      <c r="BD114" s="400">
        <v>0</v>
      </c>
      <c r="BE114" s="401">
        <v>0</v>
      </c>
      <c r="BF114" s="400">
        <v>0</v>
      </c>
      <c r="BG114" s="401">
        <v>0</v>
      </c>
      <c r="BH114" s="400"/>
      <c r="BI114" s="401"/>
      <c r="BJ114" s="400"/>
      <c r="BK114" s="401"/>
      <c r="BL114" s="400">
        <v>0</v>
      </c>
      <c r="BM114" s="401">
        <v>0</v>
      </c>
      <c r="BN114" s="400">
        <v>0</v>
      </c>
      <c r="BO114" s="401">
        <v>0</v>
      </c>
      <c r="BP114" s="400">
        <v>0</v>
      </c>
      <c r="BQ114" s="401">
        <v>0</v>
      </c>
      <c r="BR114" s="400">
        <v>0</v>
      </c>
      <c r="BS114" s="401">
        <v>0</v>
      </c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3277</v>
      </c>
      <c r="B115" s="393" t="s">
        <v>3278</v>
      </c>
      <c r="C115" s="394" t="s">
        <v>3186</v>
      </c>
      <c r="D115" s="395" t="s">
        <v>3279</v>
      </c>
      <c r="E115" s="411" t="s">
        <v>3280</v>
      </c>
      <c r="F115" s="396" t="s">
        <v>3182</v>
      </c>
      <c r="G115" s="396" t="s">
        <v>3183</v>
      </c>
      <c r="H115" s="397" t="s">
        <v>1512</v>
      </c>
      <c r="I115" s="899" t="s">
        <v>1512</v>
      </c>
      <c r="J115" s="353" t="s">
        <v>3184</v>
      </c>
      <c r="K115" s="357" t="s">
        <v>60</v>
      </c>
      <c r="L115" s="402">
        <v>0</v>
      </c>
      <c r="M115" s="403">
        <v>0</v>
      </c>
      <c r="N115" s="402">
        <v>0</v>
      </c>
      <c r="O115" s="403">
        <v>0</v>
      </c>
      <c r="P115" s="402">
        <v>0</v>
      </c>
      <c r="Q115" s="403">
        <v>0</v>
      </c>
      <c r="R115" s="402"/>
      <c r="S115" s="403"/>
      <c r="T115" s="402"/>
      <c r="U115" s="403"/>
      <c r="V115" s="402">
        <v>0</v>
      </c>
      <c r="W115" s="403">
        <v>0</v>
      </c>
      <c r="X115" s="402">
        <v>0</v>
      </c>
      <c r="Y115" s="403">
        <v>0</v>
      </c>
      <c r="Z115" s="402">
        <v>0</v>
      </c>
      <c r="AA115" s="403">
        <v>0</v>
      </c>
      <c r="AB115" s="402">
        <v>0</v>
      </c>
      <c r="AC115" s="403">
        <v>0</v>
      </c>
      <c r="AD115" s="402">
        <v>0</v>
      </c>
      <c r="AE115" s="403">
        <v>0</v>
      </c>
      <c r="AF115" s="402"/>
      <c r="AG115" s="403"/>
      <c r="AH115" s="402"/>
      <c r="AI115" s="403"/>
      <c r="AJ115" s="402">
        <v>0</v>
      </c>
      <c r="AK115" s="403">
        <v>0</v>
      </c>
      <c r="AL115" s="402">
        <v>0</v>
      </c>
      <c r="AM115" s="403">
        <v>0</v>
      </c>
      <c r="AN115" s="402">
        <v>0</v>
      </c>
      <c r="AO115" s="403">
        <v>0</v>
      </c>
      <c r="AP115" s="402">
        <v>0</v>
      </c>
      <c r="AQ115" s="403">
        <v>0</v>
      </c>
      <c r="AR115" s="402">
        <v>0</v>
      </c>
      <c r="AS115" s="403">
        <v>0</v>
      </c>
      <c r="AT115" s="402"/>
      <c r="AU115" s="403"/>
      <c r="AV115" s="402"/>
      <c r="AW115" s="403"/>
      <c r="AX115" s="402">
        <v>0</v>
      </c>
      <c r="AY115" s="403">
        <v>0</v>
      </c>
      <c r="AZ115" s="402">
        <v>0</v>
      </c>
      <c r="BA115" s="403">
        <v>0</v>
      </c>
      <c r="BB115" s="402">
        <v>0</v>
      </c>
      <c r="BC115" s="403">
        <v>0</v>
      </c>
      <c r="BD115" s="402">
        <v>0</v>
      </c>
      <c r="BE115" s="403">
        <v>0</v>
      </c>
      <c r="BF115" s="402">
        <v>0</v>
      </c>
      <c r="BG115" s="403">
        <v>0</v>
      </c>
      <c r="BH115" s="402"/>
      <c r="BI115" s="403"/>
      <c r="BJ115" s="402"/>
      <c r="BK115" s="403"/>
      <c r="BL115" s="402">
        <v>0</v>
      </c>
      <c r="BM115" s="403">
        <v>0</v>
      </c>
      <c r="BN115" s="402">
        <v>0</v>
      </c>
      <c r="BO115" s="403">
        <v>0</v>
      </c>
      <c r="BP115" s="402">
        <v>0</v>
      </c>
      <c r="BQ115" s="403">
        <v>0</v>
      </c>
      <c r="BR115" s="402">
        <v>0</v>
      </c>
      <c r="BS115" s="403">
        <v>0</v>
      </c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3281</v>
      </c>
      <c r="B116" s="526" t="s">
        <v>3282</v>
      </c>
      <c r="C116" s="527">
        <v>1</v>
      </c>
      <c r="D116" s="528" t="s">
        <v>3283</v>
      </c>
      <c r="E116" s="426" t="s">
        <v>3284</v>
      </c>
      <c r="F116" s="529" t="s">
        <v>3182</v>
      </c>
      <c r="G116" s="529" t="s">
        <v>3183</v>
      </c>
      <c r="H116" s="530" t="s">
        <v>1513</v>
      </c>
      <c r="I116" s="384" t="s">
        <v>1513</v>
      </c>
      <c r="J116" s="353" t="s">
        <v>3184</v>
      </c>
      <c r="K116" s="354" t="s">
        <v>3185</v>
      </c>
      <c r="L116" s="402">
        <v>0</v>
      </c>
      <c r="M116" s="403">
        <v>0</v>
      </c>
      <c r="N116" s="402">
        <v>0</v>
      </c>
      <c r="O116" s="403">
        <v>0</v>
      </c>
      <c r="P116" s="402">
        <v>0</v>
      </c>
      <c r="Q116" s="403">
        <v>0</v>
      </c>
      <c r="R116" s="402"/>
      <c r="S116" s="403"/>
      <c r="T116" s="402"/>
      <c r="U116" s="403"/>
      <c r="V116" s="402">
        <v>0</v>
      </c>
      <c r="W116" s="403">
        <v>0</v>
      </c>
      <c r="X116" s="402">
        <v>0</v>
      </c>
      <c r="Y116" s="403">
        <v>0</v>
      </c>
      <c r="Z116" s="402">
        <v>0</v>
      </c>
      <c r="AA116" s="403">
        <v>0</v>
      </c>
      <c r="AB116" s="402">
        <v>0</v>
      </c>
      <c r="AC116" s="403">
        <v>0</v>
      </c>
      <c r="AD116" s="402">
        <v>0</v>
      </c>
      <c r="AE116" s="403">
        <v>0</v>
      </c>
      <c r="AF116" s="402"/>
      <c r="AG116" s="403"/>
      <c r="AH116" s="402"/>
      <c r="AI116" s="403"/>
      <c r="AJ116" s="402">
        <v>0</v>
      </c>
      <c r="AK116" s="403">
        <v>0</v>
      </c>
      <c r="AL116" s="402">
        <v>0</v>
      </c>
      <c r="AM116" s="403">
        <v>0</v>
      </c>
      <c r="AN116" s="402">
        <v>0</v>
      </c>
      <c r="AO116" s="403">
        <v>0</v>
      </c>
      <c r="AP116" s="402">
        <v>0</v>
      </c>
      <c r="AQ116" s="403">
        <v>0</v>
      </c>
      <c r="AR116" s="402">
        <v>0</v>
      </c>
      <c r="AS116" s="403">
        <v>0</v>
      </c>
      <c r="AT116" s="402"/>
      <c r="AU116" s="403"/>
      <c r="AV116" s="402"/>
      <c r="AW116" s="403"/>
      <c r="AX116" s="402">
        <v>0</v>
      </c>
      <c r="AY116" s="403">
        <v>0</v>
      </c>
      <c r="AZ116" s="402">
        <v>0</v>
      </c>
      <c r="BA116" s="403">
        <v>0</v>
      </c>
      <c r="BB116" s="402">
        <v>0</v>
      </c>
      <c r="BC116" s="403">
        <v>0</v>
      </c>
      <c r="BD116" s="402">
        <v>0</v>
      </c>
      <c r="BE116" s="403">
        <v>0</v>
      </c>
      <c r="BF116" s="402">
        <v>0</v>
      </c>
      <c r="BG116" s="403">
        <v>0</v>
      </c>
      <c r="BH116" s="402"/>
      <c r="BI116" s="403"/>
      <c r="BJ116" s="402"/>
      <c r="BK116" s="403"/>
      <c r="BL116" s="402">
        <v>0</v>
      </c>
      <c r="BM116" s="403">
        <v>0</v>
      </c>
      <c r="BN116" s="402">
        <v>0</v>
      </c>
      <c r="BO116" s="403">
        <v>0</v>
      </c>
      <c r="BP116" s="402">
        <v>0</v>
      </c>
      <c r="BQ116" s="403">
        <v>0</v>
      </c>
      <c r="BR116" s="402">
        <v>0</v>
      </c>
      <c r="BS116" s="403">
        <v>0</v>
      </c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3281</v>
      </c>
      <c r="B117" s="386" t="s">
        <v>3282</v>
      </c>
      <c r="C117" s="352" t="s">
        <v>3186</v>
      </c>
      <c r="D117" s="387" t="s">
        <v>3283</v>
      </c>
      <c r="E117" s="388" t="s">
        <v>3284</v>
      </c>
      <c r="F117" s="389" t="s">
        <v>3182</v>
      </c>
      <c r="G117" s="389" t="s">
        <v>3183</v>
      </c>
      <c r="H117" s="390" t="s">
        <v>1513</v>
      </c>
      <c r="I117" s="391" t="s">
        <v>1513</v>
      </c>
      <c r="J117" s="353" t="s">
        <v>3184</v>
      </c>
      <c r="K117" s="353" t="s">
        <v>3187</v>
      </c>
      <c r="L117" s="400">
        <v>0</v>
      </c>
      <c r="M117" s="401">
        <v>0</v>
      </c>
      <c r="N117" s="400">
        <v>0</v>
      </c>
      <c r="O117" s="401">
        <v>0</v>
      </c>
      <c r="P117" s="400">
        <v>0</v>
      </c>
      <c r="Q117" s="401">
        <v>0</v>
      </c>
      <c r="R117" s="400"/>
      <c r="S117" s="401"/>
      <c r="T117" s="400"/>
      <c r="U117" s="401"/>
      <c r="V117" s="400">
        <v>0</v>
      </c>
      <c r="W117" s="401">
        <v>0</v>
      </c>
      <c r="X117" s="400">
        <v>0</v>
      </c>
      <c r="Y117" s="401">
        <v>0</v>
      </c>
      <c r="Z117" s="400">
        <v>0</v>
      </c>
      <c r="AA117" s="401">
        <v>0</v>
      </c>
      <c r="AB117" s="400">
        <v>0</v>
      </c>
      <c r="AC117" s="401">
        <v>0</v>
      </c>
      <c r="AD117" s="400">
        <v>0</v>
      </c>
      <c r="AE117" s="401">
        <v>0</v>
      </c>
      <c r="AF117" s="400"/>
      <c r="AG117" s="401"/>
      <c r="AH117" s="400"/>
      <c r="AI117" s="401"/>
      <c r="AJ117" s="400">
        <v>0</v>
      </c>
      <c r="AK117" s="401">
        <v>0</v>
      </c>
      <c r="AL117" s="400">
        <v>0</v>
      </c>
      <c r="AM117" s="401">
        <v>0</v>
      </c>
      <c r="AN117" s="400">
        <v>0</v>
      </c>
      <c r="AO117" s="401">
        <v>0</v>
      </c>
      <c r="AP117" s="400">
        <v>0</v>
      </c>
      <c r="AQ117" s="401">
        <v>0</v>
      </c>
      <c r="AR117" s="400">
        <v>0</v>
      </c>
      <c r="AS117" s="401">
        <v>0</v>
      </c>
      <c r="AT117" s="400"/>
      <c r="AU117" s="401"/>
      <c r="AV117" s="400"/>
      <c r="AW117" s="401"/>
      <c r="AX117" s="400">
        <v>0</v>
      </c>
      <c r="AY117" s="401">
        <v>0</v>
      </c>
      <c r="AZ117" s="400">
        <v>0</v>
      </c>
      <c r="BA117" s="401">
        <v>0</v>
      </c>
      <c r="BB117" s="400">
        <v>0</v>
      </c>
      <c r="BC117" s="401">
        <v>0</v>
      </c>
      <c r="BD117" s="400">
        <v>0</v>
      </c>
      <c r="BE117" s="401">
        <v>0</v>
      </c>
      <c r="BF117" s="400">
        <v>0</v>
      </c>
      <c r="BG117" s="401">
        <v>0</v>
      </c>
      <c r="BH117" s="400"/>
      <c r="BI117" s="401"/>
      <c r="BJ117" s="400"/>
      <c r="BK117" s="401"/>
      <c r="BL117" s="400">
        <v>0</v>
      </c>
      <c r="BM117" s="401">
        <v>0</v>
      </c>
      <c r="BN117" s="400">
        <v>0</v>
      </c>
      <c r="BO117" s="401">
        <v>0</v>
      </c>
      <c r="BP117" s="400">
        <v>0</v>
      </c>
      <c r="BQ117" s="401">
        <v>0</v>
      </c>
      <c r="BR117" s="400">
        <v>0</v>
      </c>
      <c r="BS117" s="401">
        <v>0</v>
      </c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3281</v>
      </c>
      <c r="B118" s="386" t="s">
        <v>3282</v>
      </c>
      <c r="C118" s="392" t="s">
        <v>3186</v>
      </c>
      <c r="D118" s="387" t="s">
        <v>3283</v>
      </c>
      <c r="E118" s="388" t="s">
        <v>3284</v>
      </c>
      <c r="F118" s="389" t="s">
        <v>3182</v>
      </c>
      <c r="G118" s="389" t="s">
        <v>3183</v>
      </c>
      <c r="H118" s="390" t="s">
        <v>1513</v>
      </c>
      <c r="I118" s="391" t="s">
        <v>1513</v>
      </c>
      <c r="J118" s="353" t="s">
        <v>3184</v>
      </c>
      <c r="K118" s="355" t="s">
        <v>3188</v>
      </c>
      <c r="L118" s="400">
        <v>0</v>
      </c>
      <c r="M118" s="401">
        <v>0</v>
      </c>
      <c r="N118" s="400">
        <v>0</v>
      </c>
      <c r="O118" s="401">
        <v>0</v>
      </c>
      <c r="P118" s="400">
        <v>0</v>
      </c>
      <c r="Q118" s="401">
        <v>0</v>
      </c>
      <c r="R118" s="400"/>
      <c r="S118" s="401"/>
      <c r="T118" s="400"/>
      <c r="U118" s="401"/>
      <c r="V118" s="400">
        <v>0</v>
      </c>
      <c r="W118" s="401">
        <v>0</v>
      </c>
      <c r="X118" s="400">
        <v>0</v>
      </c>
      <c r="Y118" s="401">
        <v>0</v>
      </c>
      <c r="Z118" s="400">
        <v>0</v>
      </c>
      <c r="AA118" s="401">
        <v>0</v>
      </c>
      <c r="AB118" s="400">
        <v>0</v>
      </c>
      <c r="AC118" s="401">
        <v>0</v>
      </c>
      <c r="AD118" s="400">
        <v>0</v>
      </c>
      <c r="AE118" s="401">
        <v>0</v>
      </c>
      <c r="AF118" s="400"/>
      <c r="AG118" s="401"/>
      <c r="AH118" s="400"/>
      <c r="AI118" s="401"/>
      <c r="AJ118" s="400">
        <v>0</v>
      </c>
      <c r="AK118" s="401">
        <v>0</v>
      </c>
      <c r="AL118" s="400">
        <v>0</v>
      </c>
      <c r="AM118" s="401">
        <v>0</v>
      </c>
      <c r="AN118" s="400">
        <v>0</v>
      </c>
      <c r="AO118" s="401">
        <v>0</v>
      </c>
      <c r="AP118" s="400">
        <v>0</v>
      </c>
      <c r="AQ118" s="401">
        <v>0</v>
      </c>
      <c r="AR118" s="400">
        <v>0</v>
      </c>
      <c r="AS118" s="401">
        <v>0</v>
      </c>
      <c r="AT118" s="400"/>
      <c r="AU118" s="401"/>
      <c r="AV118" s="400"/>
      <c r="AW118" s="401"/>
      <c r="AX118" s="400">
        <v>0</v>
      </c>
      <c r="AY118" s="401">
        <v>0</v>
      </c>
      <c r="AZ118" s="400">
        <v>0</v>
      </c>
      <c r="BA118" s="401">
        <v>0</v>
      </c>
      <c r="BB118" s="400">
        <v>0</v>
      </c>
      <c r="BC118" s="401">
        <v>0</v>
      </c>
      <c r="BD118" s="400">
        <v>0</v>
      </c>
      <c r="BE118" s="401">
        <v>0</v>
      </c>
      <c r="BF118" s="400">
        <v>0</v>
      </c>
      <c r="BG118" s="401">
        <v>0</v>
      </c>
      <c r="BH118" s="400"/>
      <c r="BI118" s="401"/>
      <c r="BJ118" s="400"/>
      <c r="BK118" s="401"/>
      <c r="BL118" s="400">
        <v>0</v>
      </c>
      <c r="BM118" s="401">
        <v>0</v>
      </c>
      <c r="BN118" s="400">
        <v>0</v>
      </c>
      <c r="BO118" s="401">
        <v>0</v>
      </c>
      <c r="BP118" s="400">
        <v>0</v>
      </c>
      <c r="BQ118" s="401">
        <v>0</v>
      </c>
      <c r="BR118" s="400">
        <v>0</v>
      </c>
      <c r="BS118" s="401">
        <v>0</v>
      </c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3281</v>
      </c>
      <c r="B119" s="386" t="s">
        <v>3282</v>
      </c>
      <c r="C119" s="392" t="s">
        <v>3186</v>
      </c>
      <c r="D119" s="387" t="s">
        <v>3283</v>
      </c>
      <c r="E119" s="388" t="s">
        <v>3284</v>
      </c>
      <c r="F119" s="389" t="s">
        <v>3182</v>
      </c>
      <c r="G119" s="389" t="s">
        <v>3183</v>
      </c>
      <c r="H119" s="390" t="s">
        <v>1513</v>
      </c>
      <c r="I119" s="391" t="s">
        <v>1513</v>
      </c>
      <c r="J119" s="353" t="s">
        <v>3184</v>
      </c>
      <c r="K119" s="356" t="s">
        <v>3189</v>
      </c>
      <c r="L119" s="400">
        <v>0</v>
      </c>
      <c r="M119" s="401">
        <v>0</v>
      </c>
      <c r="N119" s="400">
        <v>0</v>
      </c>
      <c r="O119" s="401">
        <v>0</v>
      </c>
      <c r="P119" s="400">
        <v>0</v>
      </c>
      <c r="Q119" s="401">
        <v>0</v>
      </c>
      <c r="R119" s="400"/>
      <c r="S119" s="401"/>
      <c r="T119" s="400"/>
      <c r="U119" s="401"/>
      <c r="V119" s="400">
        <v>0</v>
      </c>
      <c r="W119" s="401">
        <v>0</v>
      </c>
      <c r="X119" s="400">
        <v>0</v>
      </c>
      <c r="Y119" s="401">
        <v>0</v>
      </c>
      <c r="Z119" s="400">
        <v>0</v>
      </c>
      <c r="AA119" s="401">
        <v>0</v>
      </c>
      <c r="AB119" s="400">
        <v>0</v>
      </c>
      <c r="AC119" s="401">
        <v>0</v>
      </c>
      <c r="AD119" s="400">
        <v>0</v>
      </c>
      <c r="AE119" s="401">
        <v>0</v>
      </c>
      <c r="AF119" s="400"/>
      <c r="AG119" s="401"/>
      <c r="AH119" s="400"/>
      <c r="AI119" s="401"/>
      <c r="AJ119" s="400">
        <v>0</v>
      </c>
      <c r="AK119" s="401">
        <v>0</v>
      </c>
      <c r="AL119" s="400">
        <v>0</v>
      </c>
      <c r="AM119" s="401">
        <v>0</v>
      </c>
      <c r="AN119" s="400">
        <v>0</v>
      </c>
      <c r="AO119" s="401">
        <v>0</v>
      </c>
      <c r="AP119" s="400">
        <v>0</v>
      </c>
      <c r="AQ119" s="401">
        <v>0</v>
      </c>
      <c r="AR119" s="400">
        <v>0</v>
      </c>
      <c r="AS119" s="401">
        <v>0</v>
      </c>
      <c r="AT119" s="400"/>
      <c r="AU119" s="401"/>
      <c r="AV119" s="400"/>
      <c r="AW119" s="401"/>
      <c r="AX119" s="400">
        <v>0</v>
      </c>
      <c r="AY119" s="401">
        <v>0</v>
      </c>
      <c r="AZ119" s="400">
        <v>0</v>
      </c>
      <c r="BA119" s="401">
        <v>0</v>
      </c>
      <c r="BB119" s="400">
        <v>0</v>
      </c>
      <c r="BC119" s="401">
        <v>0</v>
      </c>
      <c r="BD119" s="400">
        <v>0</v>
      </c>
      <c r="BE119" s="401">
        <v>0</v>
      </c>
      <c r="BF119" s="400">
        <v>0</v>
      </c>
      <c r="BG119" s="401">
        <v>0</v>
      </c>
      <c r="BH119" s="400"/>
      <c r="BI119" s="401"/>
      <c r="BJ119" s="400"/>
      <c r="BK119" s="401"/>
      <c r="BL119" s="400">
        <v>0</v>
      </c>
      <c r="BM119" s="401">
        <v>0</v>
      </c>
      <c r="BN119" s="400">
        <v>0</v>
      </c>
      <c r="BO119" s="401">
        <v>0</v>
      </c>
      <c r="BP119" s="400">
        <v>0</v>
      </c>
      <c r="BQ119" s="401">
        <v>0</v>
      </c>
      <c r="BR119" s="400">
        <v>0</v>
      </c>
      <c r="BS119" s="401">
        <v>0</v>
      </c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3281</v>
      </c>
      <c r="B120" s="393" t="s">
        <v>3282</v>
      </c>
      <c r="C120" s="394" t="s">
        <v>3186</v>
      </c>
      <c r="D120" s="395" t="s">
        <v>3283</v>
      </c>
      <c r="E120" s="411" t="s">
        <v>3284</v>
      </c>
      <c r="F120" s="396" t="s">
        <v>3182</v>
      </c>
      <c r="G120" s="396" t="s">
        <v>3183</v>
      </c>
      <c r="H120" s="397" t="s">
        <v>1513</v>
      </c>
      <c r="I120" s="899" t="s">
        <v>1513</v>
      </c>
      <c r="J120" s="353" t="s">
        <v>3184</v>
      </c>
      <c r="K120" s="357" t="s">
        <v>60</v>
      </c>
      <c r="L120" s="402">
        <v>0</v>
      </c>
      <c r="M120" s="403">
        <v>0</v>
      </c>
      <c r="N120" s="402">
        <v>0</v>
      </c>
      <c r="O120" s="403">
        <v>0</v>
      </c>
      <c r="P120" s="402">
        <v>0</v>
      </c>
      <c r="Q120" s="403">
        <v>0</v>
      </c>
      <c r="R120" s="402"/>
      <c r="S120" s="403"/>
      <c r="T120" s="402"/>
      <c r="U120" s="403"/>
      <c r="V120" s="402">
        <v>0</v>
      </c>
      <c r="W120" s="403">
        <v>0</v>
      </c>
      <c r="X120" s="402">
        <v>0</v>
      </c>
      <c r="Y120" s="403">
        <v>0</v>
      </c>
      <c r="Z120" s="402">
        <v>0</v>
      </c>
      <c r="AA120" s="403">
        <v>0</v>
      </c>
      <c r="AB120" s="402">
        <v>0</v>
      </c>
      <c r="AC120" s="403">
        <v>0</v>
      </c>
      <c r="AD120" s="402">
        <v>0</v>
      </c>
      <c r="AE120" s="403">
        <v>0</v>
      </c>
      <c r="AF120" s="402"/>
      <c r="AG120" s="403"/>
      <c r="AH120" s="402"/>
      <c r="AI120" s="403"/>
      <c r="AJ120" s="402">
        <v>0</v>
      </c>
      <c r="AK120" s="403">
        <v>0</v>
      </c>
      <c r="AL120" s="402">
        <v>0</v>
      </c>
      <c r="AM120" s="403">
        <v>0</v>
      </c>
      <c r="AN120" s="402">
        <v>0</v>
      </c>
      <c r="AO120" s="403">
        <v>0</v>
      </c>
      <c r="AP120" s="402">
        <v>0</v>
      </c>
      <c r="AQ120" s="403">
        <v>0</v>
      </c>
      <c r="AR120" s="402">
        <v>0</v>
      </c>
      <c r="AS120" s="403">
        <v>0</v>
      </c>
      <c r="AT120" s="402"/>
      <c r="AU120" s="403"/>
      <c r="AV120" s="402"/>
      <c r="AW120" s="403"/>
      <c r="AX120" s="402">
        <v>0</v>
      </c>
      <c r="AY120" s="403">
        <v>0</v>
      </c>
      <c r="AZ120" s="402">
        <v>0</v>
      </c>
      <c r="BA120" s="403">
        <v>0</v>
      </c>
      <c r="BB120" s="402">
        <v>0</v>
      </c>
      <c r="BC120" s="403">
        <v>0</v>
      </c>
      <c r="BD120" s="402">
        <v>0</v>
      </c>
      <c r="BE120" s="403">
        <v>0</v>
      </c>
      <c r="BF120" s="402">
        <v>0</v>
      </c>
      <c r="BG120" s="403">
        <v>0</v>
      </c>
      <c r="BH120" s="402"/>
      <c r="BI120" s="403"/>
      <c r="BJ120" s="402"/>
      <c r="BK120" s="403"/>
      <c r="BL120" s="402">
        <v>0</v>
      </c>
      <c r="BM120" s="403">
        <v>0</v>
      </c>
      <c r="BN120" s="402">
        <v>0</v>
      </c>
      <c r="BO120" s="403">
        <v>0</v>
      </c>
      <c r="BP120" s="402">
        <v>0</v>
      </c>
      <c r="BQ120" s="403">
        <v>0</v>
      </c>
      <c r="BR120" s="402">
        <v>0</v>
      </c>
      <c r="BS120" s="403">
        <v>0</v>
      </c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3285</v>
      </c>
      <c r="B121" s="526" t="s">
        <v>3286</v>
      </c>
      <c r="C121" s="527">
        <v>1</v>
      </c>
      <c r="D121" s="528" t="s">
        <v>3287</v>
      </c>
      <c r="E121" s="426" t="s">
        <v>3288</v>
      </c>
      <c r="F121" s="529" t="s">
        <v>3182</v>
      </c>
      <c r="G121" s="529" t="s">
        <v>3183</v>
      </c>
      <c r="H121" s="530" t="s">
        <v>1514</v>
      </c>
      <c r="I121" s="384" t="s">
        <v>1514</v>
      </c>
      <c r="J121" s="353" t="s">
        <v>3184</v>
      </c>
      <c r="K121" s="354" t="s">
        <v>3185</v>
      </c>
      <c r="L121" s="402">
        <v>0</v>
      </c>
      <c r="M121" s="403">
        <v>0</v>
      </c>
      <c r="N121" s="402">
        <v>0</v>
      </c>
      <c r="O121" s="403">
        <v>0</v>
      </c>
      <c r="P121" s="402">
        <v>0</v>
      </c>
      <c r="Q121" s="403">
        <v>0</v>
      </c>
      <c r="R121" s="402"/>
      <c r="S121" s="403"/>
      <c r="T121" s="402"/>
      <c r="U121" s="403"/>
      <c r="V121" s="402">
        <v>0</v>
      </c>
      <c r="W121" s="403">
        <v>0</v>
      </c>
      <c r="X121" s="402">
        <v>0</v>
      </c>
      <c r="Y121" s="403">
        <v>0</v>
      </c>
      <c r="Z121" s="402">
        <v>0</v>
      </c>
      <c r="AA121" s="403">
        <v>0</v>
      </c>
      <c r="AB121" s="402">
        <v>0</v>
      </c>
      <c r="AC121" s="403">
        <v>0</v>
      </c>
      <c r="AD121" s="402">
        <v>0</v>
      </c>
      <c r="AE121" s="403">
        <v>0</v>
      </c>
      <c r="AF121" s="402"/>
      <c r="AG121" s="403"/>
      <c r="AH121" s="402"/>
      <c r="AI121" s="403"/>
      <c r="AJ121" s="402">
        <v>0</v>
      </c>
      <c r="AK121" s="403">
        <v>0</v>
      </c>
      <c r="AL121" s="402">
        <v>0</v>
      </c>
      <c r="AM121" s="403">
        <v>0</v>
      </c>
      <c r="AN121" s="402">
        <v>0</v>
      </c>
      <c r="AO121" s="403">
        <v>0</v>
      </c>
      <c r="AP121" s="402">
        <v>0</v>
      </c>
      <c r="AQ121" s="403">
        <v>0</v>
      </c>
      <c r="AR121" s="402">
        <v>0</v>
      </c>
      <c r="AS121" s="403">
        <v>0</v>
      </c>
      <c r="AT121" s="402"/>
      <c r="AU121" s="403"/>
      <c r="AV121" s="402"/>
      <c r="AW121" s="403"/>
      <c r="AX121" s="402">
        <v>0</v>
      </c>
      <c r="AY121" s="403">
        <v>0</v>
      </c>
      <c r="AZ121" s="402">
        <v>0</v>
      </c>
      <c r="BA121" s="403">
        <v>0</v>
      </c>
      <c r="BB121" s="402">
        <v>0</v>
      </c>
      <c r="BC121" s="403">
        <v>0</v>
      </c>
      <c r="BD121" s="402">
        <v>0</v>
      </c>
      <c r="BE121" s="403">
        <v>0</v>
      </c>
      <c r="BF121" s="402">
        <v>0</v>
      </c>
      <c r="BG121" s="403">
        <v>0</v>
      </c>
      <c r="BH121" s="402"/>
      <c r="BI121" s="403"/>
      <c r="BJ121" s="402"/>
      <c r="BK121" s="403"/>
      <c r="BL121" s="402">
        <v>0</v>
      </c>
      <c r="BM121" s="403">
        <v>0</v>
      </c>
      <c r="BN121" s="402">
        <v>0</v>
      </c>
      <c r="BO121" s="403">
        <v>0</v>
      </c>
      <c r="BP121" s="402">
        <v>0</v>
      </c>
      <c r="BQ121" s="403">
        <v>0</v>
      </c>
      <c r="BR121" s="402">
        <v>0</v>
      </c>
      <c r="BS121" s="403">
        <v>0</v>
      </c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3285</v>
      </c>
      <c r="B122" s="386" t="s">
        <v>3286</v>
      </c>
      <c r="C122" s="352" t="s">
        <v>3186</v>
      </c>
      <c r="D122" s="387" t="s">
        <v>3287</v>
      </c>
      <c r="E122" s="388" t="s">
        <v>3288</v>
      </c>
      <c r="F122" s="389" t="s">
        <v>3182</v>
      </c>
      <c r="G122" s="389" t="s">
        <v>3183</v>
      </c>
      <c r="H122" s="390" t="s">
        <v>1514</v>
      </c>
      <c r="I122" s="391" t="s">
        <v>1514</v>
      </c>
      <c r="J122" s="353" t="s">
        <v>3184</v>
      </c>
      <c r="K122" s="353" t="s">
        <v>3187</v>
      </c>
      <c r="L122" s="400">
        <v>0</v>
      </c>
      <c r="M122" s="401">
        <v>0</v>
      </c>
      <c r="N122" s="400">
        <v>0</v>
      </c>
      <c r="O122" s="401">
        <v>0</v>
      </c>
      <c r="P122" s="400">
        <v>0</v>
      </c>
      <c r="Q122" s="401">
        <v>0</v>
      </c>
      <c r="R122" s="400"/>
      <c r="S122" s="401"/>
      <c r="T122" s="400"/>
      <c r="U122" s="401"/>
      <c r="V122" s="400">
        <v>0</v>
      </c>
      <c r="W122" s="401">
        <v>0</v>
      </c>
      <c r="X122" s="400">
        <v>0</v>
      </c>
      <c r="Y122" s="401">
        <v>0</v>
      </c>
      <c r="Z122" s="400">
        <v>0</v>
      </c>
      <c r="AA122" s="401">
        <v>0</v>
      </c>
      <c r="AB122" s="400">
        <v>0</v>
      </c>
      <c r="AC122" s="401">
        <v>0</v>
      </c>
      <c r="AD122" s="400">
        <v>0</v>
      </c>
      <c r="AE122" s="401">
        <v>0</v>
      </c>
      <c r="AF122" s="400"/>
      <c r="AG122" s="401"/>
      <c r="AH122" s="400"/>
      <c r="AI122" s="401"/>
      <c r="AJ122" s="400">
        <v>0</v>
      </c>
      <c r="AK122" s="401">
        <v>0</v>
      </c>
      <c r="AL122" s="400">
        <v>0</v>
      </c>
      <c r="AM122" s="401">
        <v>0</v>
      </c>
      <c r="AN122" s="400">
        <v>0</v>
      </c>
      <c r="AO122" s="401">
        <v>0</v>
      </c>
      <c r="AP122" s="400">
        <v>0</v>
      </c>
      <c r="AQ122" s="401">
        <v>0</v>
      </c>
      <c r="AR122" s="400">
        <v>0</v>
      </c>
      <c r="AS122" s="401">
        <v>0</v>
      </c>
      <c r="AT122" s="400"/>
      <c r="AU122" s="401"/>
      <c r="AV122" s="400"/>
      <c r="AW122" s="401"/>
      <c r="AX122" s="400">
        <v>0</v>
      </c>
      <c r="AY122" s="401">
        <v>0</v>
      </c>
      <c r="AZ122" s="400">
        <v>0</v>
      </c>
      <c r="BA122" s="401">
        <v>0</v>
      </c>
      <c r="BB122" s="400">
        <v>0</v>
      </c>
      <c r="BC122" s="401">
        <v>0</v>
      </c>
      <c r="BD122" s="400">
        <v>0</v>
      </c>
      <c r="BE122" s="401">
        <v>0</v>
      </c>
      <c r="BF122" s="400">
        <v>0</v>
      </c>
      <c r="BG122" s="401">
        <v>0</v>
      </c>
      <c r="BH122" s="400"/>
      <c r="BI122" s="401"/>
      <c r="BJ122" s="400"/>
      <c r="BK122" s="401"/>
      <c r="BL122" s="400">
        <v>0</v>
      </c>
      <c r="BM122" s="401">
        <v>0</v>
      </c>
      <c r="BN122" s="400">
        <v>0</v>
      </c>
      <c r="BO122" s="401">
        <v>0</v>
      </c>
      <c r="BP122" s="400">
        <v>0</v>
      </c>
      <c r="BQ122" s="401">
        <v>0</v>
      </c>
      <c r="BR122" s="400">
        <v>0</v>
      </c>
      <c r="BS122" s="401">
        <v>0</v>
      </c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3285</v>
      </c>
      <c r="B123" s="386" t="s">
        <v>3286</v>
      </c>
      <c r="C123" s="392" t="s">
        <v>3186</v>
      </c>
      <c r="D123" s="387" t="s">
        <v>3287</v>
      </c>
      <c r="E123" s="388" t="s">
        <v>3288</v>
      </c>
      <c r="F123" s="389" t="s">
        <v>3182</v>
      </c>
      <c r="G123" s="389" t="s">
        <v>3183</v>
      </c>
      <c r="H123" s="390" t="s">
        <v>1514</v>
      </c>
      <c r="I123" s="391" t="s">
        <v>1514</v>
      </c>
      <c r="J123" s="353" t="s">
        <v>3184</v>
      </c>
      <c r="K123" s="355" t="s">
        <v>3188</v>
      </c>
      <c r="L123" s="400">
        <v>0</v>
      </c>
      <c r="M123" s="401">
        <v>0</v>
      </c>
      <c r="N123" s="400">
        <v>0</v>
      </c>
      <c r="O123" s="401">
        <v>0</v>
      </c>
      <c r="P123" s="400">
        <v>0</v>
      </c>
      <c r="Q123" s="401">
        <v>0</v>
      </c>
      <c r="R123" s="400"/>
      <c r="S123" s="401"/>
      <c r="T123" s="400"/>
      <c r="U123" s="401"/>
      <c r="V123" s="400">
        <v>0</v>
      </c>
      <c r="W123" s="401">
        <v>0</v>
      </c>
      <c r="X123" s="400">
        <v>0</v>
      </c>
      <c r="Y123" s="401">
        <v>0</v>
      </c>
      <c r="Z123" s="400">
        <v>0</v>
      </c>
      <c r="AA123" s="401">
        <v>0</v>
      </c>
      <c r="AB123" s="400">
        <v>0</v>
      </c>
      <c r="AC123" s="401">
        <v>0</v>
      </c>
      <c r="AD123" s="400">
        <v>0</v>
      </c>
      <c r="AE123" s="401">
        <v>0</v>
      </c>
      <c r="AF123" s="400"/>
      <c r="AG123" s="401"/>
      <c r="AH123" s="400"/>
      <c r="AI123" s="401"/>
      <c r="AJ123" s="400">
        <v>0</v>
      </c>
      <c r="AK123" s="401">
        <v>0</v>
      </c>
      <c r="AL123" s="400">
        <v>0</v>
      </c>
      <c r="AM123" s="401">
        <v>0</v>
      </c>
      <c r="AN123" s="400">
        <v>0</v>
      </c>
      <c r="AO123" s="401">
        <v>0</v>
      </c>
      <c r="AP123" s="400">
        <v>0</v>
      </c>
      <c r="AQ123" s="401">
        <v>0</v>
      </c>
      <c r="AR123" s="400">
        <v>0</v>
      </c>
      <c r="AS123" s="401">
        <v>0</v>
      </c>
      <c r="AT123" s="400"/>
      <c r="AU123" s="401"/>
      <c r="AV123" s="400"/>
      <c r="AW123" s="401"/>
      <c r="AX123" s="400">
        <v>0</v>
      </c>
      <c r="AY123" s="401">
        <v>0</v>
      </c>
      <c r="AZ123" s="400">
        <v>0</v>
      </c>
      <c r="BA123" s="401">
        <v>0</v>
      </c>
      <c r="BB123" s="400">
        <v>0</v>
      </c>
      <c r="BC123" s="401">
        <v>0</v>
      </c>
      <c r="BD123" s="400">
        <v>0</v>
      </c>
      <c r="BE123" s="401">
        <v>0</v>
      </c>
      <c r="BF123" s="400">
        <v>0</v>
      </c>
      <c r="BG123" s="401">
        <v>0</v>
      </c>
      <c r="BH123" s="400"/>
      <c r="BI123" s="401"/>
      <c r="BJ123" s="400"/>
      <c r="BK123" s="401"/>
      <c r="BL123" s="400">
        <v>0</v>
      </c>
      <c r="BM123" s="401">
        <v>0</v>
      </c>
      <c r="BN123" s="400">
        <v>0</v>
      </c>
      <c r="BO123" s="401">
        <v>0</v>
      </c>
      <c r="BP123" s="400">
        <v>0</v>
      </c>
      <c r="BQ123" s="401">
        <v>0</v>
      </c>
      <c r="BR123" s="400">
        <v>0</v>
      </c>
      <c r="BS123" s="401">
        <v>0</v>
      </c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3285</v>
      </c>
      <c r="B124" s="386" t="s">
        <v>3286</v>
      </c>
      <c r="C124" s="392" t="s">
        <v>3186</v>
      </c>
      <c r="D124" s="387" t="s">
        <v>3287</v>
      </c>
      <c r="E124" s="388" t="s">
        <v>3288</v>
      </c>
      <c r="F124" s="389" t="s">
        <v>3182</v>
      </c>
      <c r="G124" s="389" t="s">
        <v>3183</v>
      </c>
      <c r="H124" s="390" t="s">
        <v>1514</v>
      </c>
      <c r="I124" s="391" t="s">
        <v>1514</v>
      </c>
      <c r="J124" s="353" t="s">
        <v>3184</v>
      </c>
      <c r="K124" s="356" t="s">
        <v>3189</v>
      </c>
      <c r="L124" s="400">
        <v>0</v>
      </c>
      <c r="M124" s="401">
        <v>0</v>
      </c>
      <c r="N124" s="400">
        <v>0</v>
      </c>
      <c r="O124" s="401">
        <v>0</v>
      </c>
      <c r="P124" s="400">
        <v>0</v>
      </c>
      <c r="Q124" s="401">
        <v>0</v>
      </c>
      <c r="R124" s="400"/>
      <c r="S124" s="401"/>
      <c r="T124" s="400"/>
      <c r="U124" s="401"/>
      <c r="V124" s="400">
        <v>0</v>
      </c>
      <c r="W124" s="401">
        <v>0</v>
      </c>
      <c r="X124" s="400">
        <v>0</v>
      </c>
      <c r="Y124" s="401">
        <v>0</v>
      </c>
      <c r="Z124" s="400">
        <v>0</v>
      </c>
      <c r="AA124" s="401">
        <v>0</v>
      </c>
      <c r="AB124" s="400">
        <v>0</v>
      </c>
      <c r="AC124" s="401">
        <v>0</v>
      </c>
      <c r="AD124" s="400">
        <v>0</v>
      </c>
      <c r="AE124" s="401">
        <v>0</v>
      </c>
      <c r="AF124" s="400"/>
      <c r="AG124" s="401"/>
      <c r="AH124" s="400"/>
      <c r="AI124" s="401"/>
      <c r="AJ124" s="400">
        <v>0</v>
      </c>
      <c r="AK124" s="401">
        <v>0</v>
      </c>
      <c r="AL124" s="400">
        <v>0</v>
      </c>
      <c r="AM124" s="401">
        <v>0</v>
      </c>
      <c r="AN124" s="400">
        <v>0</v>
      </c>
      <c r="AO124" s="401">
        <v>0</v>
      </c>
      <c r="AP124" s="400">
        <v>0</v>
      </c>
      <c r="AQ124" s="401">
        <v>0</v>
      </c>
      <c r="AR124" s="400">
        <v>0</v>
      </c>
      <c r="AS124" s="401">
        <v>0</v>
      </c>
      <c r="AT124" s="400"/>
      <c r="AU124" s="401"/>
      <c r="AV124" s="400"/>
      <c r="AW124" s="401"/>
      <c r="AX124" s="400">
        <v>0</v>
      </c>
      <c r="AY124" s="401">
        <v>0</v>
      </c>
      <c r="AZ124" s="400">
        <v>0</v>
      </c>
      <c r="BA124" s="401">
        <v>0</v>
      </c>
      <c r="BB124" s="400">
        <v>0</v>
      </c>
      <c r="BC124" s="401">
        <v>0</v>
      </c>
      <c r="BD124" s="400">
        <v>0</v>
      </c>
      <c r="BE124" s="401">
        <v>0</v>
      </c>
      <c r="BF124" s="400">
        <v>0</v>
      </c>
      <c r="BG124" s="401">
        <v>0</v>
      </c>
      <c r="BH124" s="400"/>
      <c r="BI124" s="401"/>
      <c r="BJ124" s="400"/>
      <c r="BK124" s="401"/>
      <c r="BL124" s="400">
        <v>0</v>
      </c>
      <c r="BM124" s="401">
        <v>0</v>
      </c>
      <c r="BN124" s="400">
        <v>0</v>
      </c>
      <c r="BO124" s="401">
        <v>0</v>
      </c>
      <c r="BP124" s="400">
        <v>0</v>
      </c>
      <c r="BQ124" s="401">
        <v>0</v>
      </c>
      <c r="BR124" s="400">
        <v>0</v>
      </c>
      <c r="BS124" s="401">
        <v>0</v>
      </c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3285</v>
      </c>
      <c r="B125" s="393" t="s">
        <v>3286</v>
      </c>
      <c r="C125" s="394" t="s">
        <v>3186</v>
      </c>
      <c r="D125" s="395" t="s">
        <v>3287</v>
      </c>
      <c r="E125" s="411" t="s">
        <v>3288</v>
      </c>
      <c r="F125" s="396" t="s">
        <v>3182</v>
      </c>
      <c r="G125" s="396" t="s">
        <v>3183</v>
      </c>
      <c r="H125" s="397" t="s">
        <v>1514</v>
      </c>
      <c r="I125" s="899" t="s">
        <v>1514</v>
      </c>
      <c r="J125" s="353" t="s">
        <v>3184</v>
      </c>
      <c r="K125" s="357" t="s">
        <v>60</v>
      </c>
      <c r="L125" s="402">
        <v>0</v>
      </c>
      <c r="M125" s="403">
        <v>0</v>
      </c>
      <c r="N125" s="402">
        <v>0</v>
      </c>
      <c r="O125" s="403">
        <v>0</v>
      </c>
      <c r="P125" s="402">
        <v>0</v>
      </c>
      <c r="Q125" s="403">
        <v>0</v>
      </c>
      <c r="R125" s="402"/>
      <c r="S125" s="403"/>
      <c r="T125" s="402"/>
      <c r="U125" s="403"/>
      <c r="V125" s="402">
        <v>0</v>
      </c>
      <c r="W125" s="403">
        <v>0</v>
      </c>
      <c r="X125" s="402">
        <v>0</v>
      </c>
      <c r="Y125" s="403">
        <v>0</v>
      </c>
      <c r="Z125" s="402">
        <v>0</v>
      </c>
      <c r="AA125" s="403">
        <v>0</v>
      </c>
      <c r="AB125" s="402">
        <v>0</v>
      </c>
      <c r="AC125" s="403">
        <v>0</v>
      </c>
      <c r="AD125" s="402">
        <v>0</v>
      </c>
      <c r="AE125" s="403">
        <v>0</v>
      </c>
      <c r="AF125" s="402"/>
      <c r="AG125" s="403"/>
      <c r="AH125" s="402"/>
      <c r="AI125" s="403"/>
      <c r="AJ125" s="402">
        <v>0</v>
      </c>
      <c r="AK125" s="403">
        <v>0</v>
      </c>
      <c r="AL125" s="402">
        <v>0</v>
      </c>
      <c r="AM125" s="403">
        <v>0</v>
      </c>
      <c r="AN125" s="402">
        <v>0</v>
      </c>
      <c r="AO125" s="403">
        <v>0</v>
      </c>
      <c r="AP125" s="402">
        <v>0</v>
      </c>
      <c r="AQ125" s="403">
        <v>0</v>
      </c>
      <c r="AR125" s="402">
        <v>0</v>
      </c>
      <c r="AS125" s="403">
        <v>0</v>
      </c>
      <c r="AT125" s="402"/>
      <c r="AU125" s="403"/>
      <c r="AV125" s="402"/>
      <c r="AW125" s="403"/>
      <c r="AX125" s="402">
        <v>0</v>
      </c>
      <c r="AY125" s="403">
        <v>0</v>
      </c>
      <c r="AZ125" s="402">
        <v>0</v>
      </c>
      <c r="BA125" s="403">
        <v>0</v>
      </c>
      <c r="BB125" s="402">
        <v>0</v>
      </c>
      <c r="BC125" s="403">
        <v>0</v>
      </c>
      <c r="BD125" s="402">
        <v>0</v>
      </c>
      <c r="BE125" s="403">
        <v>0</v>
      </c>
      <c r="BF125" s="402">
        <v>0</v>
      </c>
      <c r="BG125" s="403">
        <v>0</v>
      </c>
      <c r="BH125" s="402"/>
      <c r="BI125" s="403"/>
      <c r="BJ125" s="402"/>
      <c r="BK125" s="403"/>
      <c r="BL125" s="402">
        <v>0</v>
      </c>
      <c r="BM125" s="403">
        <v>0</v>
      </c>
      <c r="BN125" s="402">
        <v>0</v>
      </c>
      <c r="BO125" s="403">
        <v>0</v>
      </c>
      <c r="BP125" s="402">
        <v>0</v>
      </c>
      <c r="BQ125" s="403">
        <v>0</v>
      </c>
      <c r="BR125" s="402">
        <v>0</v>
      </c>
      <c r="BS125" s="403">
        <v>0</v>
      </c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3289</v>
      </c>
      <c r="B126" s="526" t="s">
        <v>3290</v>
      </c>
      <c r="C126" s="527">
        <v>1</v>
      </c>
      <c r="D126" s="528" t="s">
        <v>3291</v>
      </c>
      <c r="E126" s="426" t="s">
        <v>3292</v>
      </c>
      <c r="F126" s="529" t="s">
        <v>3182</v>
      </c>
      <c r="G126" s="529" t="s">
        <v>3183</v>
      </c>
      <c r="H126" s="530" t="s">
        <v>1515</v>
      </c>
      <c r="I126" s="384" t="s">
        <v>1515</v>
      </c>
      <c r="J126" s="353" t="s">
        <v>3184</v>
      </c>
      <c r="K126" s="354" t="s">
        <v>3185</v>
      </c>
      <c r="L126" s="402">
        <v>0</v>
      </c>
      <c r="M126" s="403">
        <v>0</v>
      </c>
      <c r="N126" s="402">
        <v>0</v>
      </c>
      <c r="O126" s="403">
        <v>0</v>
      </c>
      <c r="P126" s="402">
        <v>0</v>
      </c>
      <c r="Q126" s="403">
        <v>0</v>
      </c>
      <c r="R126" s="402"/>
      <c r="S126" s="403"/>
      <c r="T126" s="402"/>
      <c r="U126" s="403"/>
      <c r="V126" s="402">
        <v>0</v>
      </c>
      <c r="W126" s="403">
        <v>0</v>
      </c>
      <c r="X126" s="402">
        <v>0</v>
      </c>
      <c r="Y126" s="403">
        <v>0</v>
      </c>
      <c r="Z126" s="402">
        <v>0</v>
      </c>
      <c r="AA126" s="403">
        <v>0</v>
      </c>
      <c r="AB126" s="402">
        <v>0</v>
      </c>
      <c r="AC126" s="403">
        <v>0</v>
      </c>
      <c r="AD126" s="402">
        <v>0</v>
      </c>
      <c r="AE126" s="403">
        <v>0</v>
      </c>
      <c r="AF126" s="402"/>
      <c r="AG126" s="403"/>
      <c r="AH126" s="402"/>
      <c r="AI126" s="403"/>
      <c r="AJ126" s="402">
        <v>0</v>
      </c>
      <c r="AK126" s="403">
        <v>0</v>
      </c>
      <c r="AL126" s="402">
        <v>0</v>
      </c>
      <c r="AM126" s="403">
        <v>0</v>
      </c>
      <c r="AN126" s="402">
        <v>0</v>
      </c>
      <c r="AO126" s="403">
        <v>0</v>
      </c>
      <c r="AP126" s="402">
        <v>0</v>
      </c>
      <c r="AQ126" s="403">
        <v>0</v>
      </c>
      <c r="AR126" s="402">
        <v>0</v>
      </c>
      <c r="AS126" s="403">
        <v>0</v>
      </c>
      <c r="AT126" s="402"/>
      <c r="AU126" s="403"/>
      <c r="AV126" s="402"/>
      <c r="AW126" s="403"/>
      <c r="AX126" s="402">
        <v>0</v>
      </c>
      <c r="AY126" s="403">
        <v>0</v>
      </c>
      <c r="AZ126" s="402">
        <v>0</v>
      </c>
      <c r="BA126" s="403">
        <v>0</v>
      </c>
      <c r="BB126" s="402">
        <v>0</v>
      </c>
      <c r="BC126" s="403">
        <v>0</v>
      </c>
      <c r="BD126" s="402">
        <v>0</v>
      </c>
      <c r="BE126" s="403">
        <v>0</v>
      </c>
      <c r="BF126" s="402">
        <v>0</v>
      </c>
      <c r="BG126" s="403">
        <v>0</v>
      </c>
      <c r="BH126" s="402"/>
      <c r="BI126" s="403"/>
      <c r="BJ126" s="402"/>
      <c r="BK126" s="403"/>
      <c r="BL126" s="402">
        <v>0</v>
      </c>
      <c r="BM126" s="403">
        <v>0</v>
      </c>
      <c r="BN126" s="402">
        <v>0</v>
      </c>
      <c r="BO126" s="403">
        <v>0</v>
      </c>
      <c r="BP126" s="402">
        <v>0</v>
      </c>
      <c r="BQ126" s="403">
        <v>0</v>
      </c>
      <c r="BR126" s="402">
        <v>0</v>
      </c>
      <c r="BS126" s="403">
        <v>0</v>
      </c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3289</v>
      </c>
      <c r="B127" s="386" t="s">
        <v>3290</v>
      </c>
      <c r="C127" s="352" t="s">
        <v>3186</v>
      </c>
      <c r="D127" s="387" t="s">
        <v>3291</v>
      </c>
      <c r="E127" s="388" t="s">
        <v>3292</v>
      </c>
      <c r="F127" s="389" t="s">
        <v>3182</v>
      </c>
      <c r="G127" s="389" t="s">
        <v>3183</v>
      </c>
      <c r="H127" s="390" t="s">
        <v>1515</v>
      </c>
      <c r="I127" s="391" t="s">
        <v>1515</v>
      </c>
      <c r="J127" s="353" t="s">
        <v>3184</v>
      </c>
      <c r="K127" s="353" t="s">
        <v>3187</v>
      </c>
      <c r="L127" s="400">
        <v>0</v>
      </c>
      <c r="M127" s="401">
        <v>0</v>
      </c>
      <c r="N127" s="400">
        <v>0</v>
      </c>
      <c r="O127" s="401">
        <v>0</v>
      </c>
      <c r="P127" s="400">
        <v>0</v>
      </c>
      <c r="Q127" s="401">
        <v>0</v>
      </c>
      <c r="R127" s="400"/>
      <c r="S127" s="401"/>
      <c r="T127" s="400"/>
      <c r="U127" s="401"/>
      <c r="V127" s="400">
        <v>0</v>
      </c>
      <c r="W127" s="401">
        <v>0</v>
      </c>
      <c r="X127" s="400">
        <v>0</v>
      </c>
      <c r="Y127" s="401">
        <v>0</v>
      </c>
      <c r="Z127" s="400">
        <v>0</v>
      </c>
      <c r="AA127" s="401">
        <v>0</v>
      </c>
      <c r="AB127" s="400">
        <v>0</v>
      </c>
      <c r="AC127" s="401">
        <v>0</v>
      </c>
      <c r="AD127" s="400">
        <v>0</v>
      </c>
      <c r="AE127" s="401">
        <v>0</v>
      </c>
      <c r="AF127" s="400"/>
      <c r="AG127" s="401"/>
      <c r="AH127" s="400"/>
      <c r="AI127" s="401"/>
      <c r="AJ127" s="400">
        <v>0</v>
      </c>
      <c r="AK127" s="401">
        <v>0</v>
      </c>
      <c r="AL127" s="400">
        <v>0</v>
      </c>
      <c r="AM127" s="401">
        <v>0</v>
      </c>
      <c r="AN127" s="400">
        <v>0</v>
      </c>
      <c r="AO127" s="401">
        <v>0</v>
      </c>
      <c r="AP127" s="400">
        <v>0</v>
      </c>
      <c r="AQ127" s="401">
        <v>0</v>
      </c>
      <c r="AR127" s="400">
        <v>0</v>
      </c>
      <c r="AS127" s="401">
        <v>0</v>
      </c>
      <c r="AT127" s="400"/>
      <c r="AU127" s="401"/>
      <c r="AV127" s="400"/>
      <c r="AW127" s="401"/>
      <c r="AX127" s="400">
        <v>0</v>
      </c>
      <c r="AY127" s="401">
        <v>0</v>
      </c>
      <c r="AZ127" s="400">
        <v>0</v>
      </c>
      <c r="BA127" s="401">
        <v>0</v>
      </c>
      <c r="BB127" s="400">
        <v>0</v>
      </c>
      <c r="BC127" s="401">
        <v>0</v>
      </c>
      <c r="BD127" s="400">
        <v>0</v>
      </c>
      <c r="BE127" s="401">
        <v>0</v>
      </c>
      <c r="BF127" s="400">
        <v>0</v>
      </c>
      <c r="BG127" s="401">
        <v>0</v>
      </c>
      <c r="BH127" s="400"/>
      <c r="BI127" s="401"/>
      <c r="BJ127" s="400"/>
      <c r="BK127" s="401"/>
      <c r="BL127" s="400">
        <v>0</v>
      </c>
      <c r="BM127" s="401">
        <v>0</v>
      </c>
      <c r="BN127" s="400">
        <v>0</v>
      </c>
      <c r="BO127" s="401">
        <v>0</v>
      </c>
      <c r="BP127" s="400">
        <v>0</v>
      </c>
      <c r="BQ127" s="401">
        <v>0</v>
      </c>
      <c r="BR127" s="400">
        <v>0</v>
      </c>
      <c r="BS127" s="401">
        <v>0</v>
      </c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3289</v>
      </c>
      <c r="B128" s="386" t="s">
        <v>3290</v>
      </c>
      <c r="C128" s="392" t="s">
        <v>3186</v>
      </c>
      <c r="D128" s="387" t="s">
        <v>3291</v>
      </c>
      <c r="E128" s="388" t="s">
        <v>3292</v>
      </c>
      <c r="F128" s="389" t="s">
        <v>3182</v>
      </c>
      <c r="G128" s="389" t="s">
        <v>3183</v>
      </c>
      <c r="H128" s="390" t="s">
        <v>1515</v>
      </c>
      <c r="I128" s="391" t="s">
        <v>1515</v>
      </c>
      <c r="J128" s="353" t="s">
        <v>3184</v>
      </c>
      <c r="K128" s="355" t="s">
        <v>3188</v>
      </c>
      <c r="L128" s="400">
        <v>0</v>
      </c>
      <c r="M128" s="401">
        <v>0</v>
      </c>
      <c r="N128" s="400">
        <v>0</v>
      </c>
      <c r="O128" s="401">
        <v>0</v>
      </c>
      <c r="P128" s="400">
        <v>0</v>
      </c>
      <c r="Q128" s="401">
        <v>0</v>
      </c>
      <c r="R128" s="400"/>
      <c r="S128" s="401"/>
      <c r="T128" s="400"/>
      <c r="U128" s="401"/>
      <c r="V128" s="400">
        <v>0</v>
      </c>
      <c r="W128" s="401">
        <v>0</v>
      </c>
      <c r="X128" s="400">
        <v>0</v>
      </c>
      <c r="Y128" s="401">
        <v>0</v>
      </c>
      <c r="Z128" s="400">
        <v>0</v>
      </c>
      <c r="AA128" s="401">
        <v>0</v>
      </c>
      <c r="AB128" s="400">
        <v>0</v>
      </c>
      <c r="AC128" s="401">
        <v>0</v>
      </c>
      <c r="AD128" s="400">
        <v>0</v>
      </c>
      <c r="AE128" s="401">
        <v>0</v>
      </c>
      <c r="AF128" s="400"/>
      <c r="AG128" s="401"/>
      <c r="AH128" s="400"/>
      <c r="AI128" s="401"/>
      <c r="AJ128" s="400">
        <v>0</v>
      </c>
      <c r="AK128" s="401">
        <v>0</v>
      </c>
      <c r="AL128" s="400">
        <v>0</v>
      </c>
      <c r="AM128" s="401">
        <v>0</v>
      </c>
      <c r="AN128" s="400">
        <v>0</v>
      </c>
      <c r="AO128" s="401">
        <v>0</v>
      </c>
      <c r="AP128" s="400">
        <v>0</v>
      </c>
      <c r="AQ128" s="401">
        <v>0</v>
      </c>
      <c r="AR128" s="400">
        <v>0</v>
      </c>
      <c r="AS128" s="401">
        <v>0</v>
      </c>
      <c r="AT128" s="400"/>
      <c r="AU128" s="401"/>
      <c r="AV128" s="400"/>
      <c r="AW128" s="401"/>
      <c r="AX128" s="400">
        <v>0</v>
      </c>
      <c r="AY128" s="401">
        <v>0</v>
      </c>
      <c r="AZ128" s="400">
        <v>0</v>
      </c>
      <c r="BA128" s="401">
        <v>0</v>
      </c>
      <c r="BB128" s="400">
        <v>0</v>
      </c>
      <c r="BC128" s="401">
        <v>0</v>
      </c>
      <c r="BD128" s="400">
        <v>0</v>
      </c>
      <c r="BE128" s="401">
        <v>0</v>
      </c>
      <c r="BF128" s="400">
        <v>0</v>
      </c>
      <c r="BG128" s="401">
        <v>0</v>
      </c>
      <c r="BH128" s="400"/>
      <c r="BI128" s="401"/>
      <c r="BJ128" s="400"/>
      <c r="BK128" s="401"/>
      <c r="BL128" s="400">
        <v>0</v>
      </c>
      <c r="BM128" s="401">
        <v>0</v>
      </c>
      <c r="BN128" s="400">
        <v>0</v>
      </c>
      <c r="BO128" s="401">
        <v>0</v>
      </c>
      <c r="BP128" s="400">
        <v>0</v>
      </c>
      <c r="BQ128" s="401">
        <v>0</v>
      </c>
      <c r="BR128" s="400">
        <v>0</v>
      </c>
      <c r="BS128" s="401">
        <v>0</v>
      </c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3289</v>
      </c>
      <c r="B129" s="386" t="s">
        <v>3290</v>
      </c>
      <c r="C129" s="392" t="s">
        <v>3186</v>
      </c>
      <c r="D129" s="387" t="s">
        <v>3291</v>
      </c>
      <c r="E129" s="388" t="s">
        <v>3292</v>
      </c>
      <c r="F129" s="389" t="s">
        <v>3182</v>
      </c>
      <c r="G129" s="389" t="s">
        <v>3183</v>
      </c>
      <c r="H129" s="390" t="s">
        <v>1515</v>
      </c>
      <c r="I129" s="391" t="s">
        <v>1515</v>
      </c>
      <c r="J129" s="353" t="s">
        <v>3184</v>
      </c>
      <c r="K129" s="356" t="s">
        <v>3189</v>
      </c>
      <c r="L129" s="400">
        <v>0</v>
      </c>
      <c r="M129" s="401">
        <v>0</v>
      </c>
      <c r="N129" s="400">
        <v>0</v>
      </c>
      <c r="O129" s="401">
        <v>0</v>
      </c>
      <c r="P129" s="400">
        <v>0</v>
      </c>
      <c r="Q129" s="401">
        <v>0</v>
      </c>
      <c r="R129" s="400"/>
      <c r="S129" s="401"/>
      <c r="T129" s="400"/>
      <c r="U129" s="401"/>
      <c r="V129" s="400">
        <v>0</v>
      </c>
      <c r="W129" s="401">
        <v>0</v>
      </c>
      <c r="X129" s="400">
        <v>0</v>
      </c>
      <c r="Y129" s="401">
        <v>0</v>
      </c>
      <c r="Z129" s="400">
        <v>0</v>
      </c>
      <c r="AA129" s="401">
        <v>0</v>
      </c>
      <c r="AB129" s="400">
        <v>0</v>
      </c>
      <c r="AC129" s="401">
        <v>0</v>
      </c>
      <c r="AD129" s="400">
        <v>0</v>
      </c>
      <c r="AE129" s="401">
        <v>0</v>
      </c>
      <c r="AF129" s="400"/>
      <c r="AG129" s="401"/>
      <c r="AH129" s="400"/>
      <c r="AI129" s="401"/>
      <c r="AJ129" s="400">
        <v>0</v>
      </c>
      <c r="AK129" s="401">
        <v>0</v>
      </c>
      <c r="AL129" s="400">
        <v>0</v>
      </c>
      <c r="AM129" s="401">
        <v>0</v>
      </c>
      <c r="AN129" s="400">
        <v>0</v>
      </c>
      <c r="AO129" s="401">
        <v>0</v>
      </c>
      <c r="AP129" s="400">
        <v>0</v>
      </c>
      <c r="AQ129" s="401">
        <v>0</v>
      </c>
      <c r="AR129" s="400">
        <v>0</v>
      </c>
      <c r="AS129" s="401">
        <v>0</v>
      </c>
      <c r="AT129" s="400"/>
      <c r="AU129" s="401"/>
      <c r="AV129" s="400"/>
      <c r="AW129" s="401"/>
      <c r="AX129" s="400">
        <v>0</v>
      </c>
      <c r="AY129" s="401">
        <v>0</v>
      </c>
      <c r="AZ129" s="400">
        <v>0</v>
      </c>
      <c r="BA129" s="401">
        <v>0</v>
      </c>
      <c r="BB129" s="400">
        <v>0</v>
      </c>
      <c r="BC129" s="401">
        <v>0</v>
      </c>
      <c r="BD129" s="400">
        <v>0</v>
      </c>
      <c r="BE129" s="401">
        <v>0</v>
      </c>
      <c r="BF129" s="400">
        <v>0</v>
      </c>
      <c r="BG129" s="401">
        <v>0</v>
      </c>
      <c r="BH129" s="400"/>
      <c r="BI129" s="401"/>
      <c r="BJ129" s="400"/>
      <c r="BK129" s="401"/>
      <c r="BL129" s="400">
        <v>0</v>
      </c>
      <c r="BM129" s="401">
        <v>0</v>
      </c>
      <c r="BN129" s="400">
        <v>0</v>
      </c>
      <c r="BO129" s="401">
        <v>0</v>
      </c>
      <c r="BP129" s="400">
        <v>0</v>
      </c>
      <c r="BQ129" s="401">
        <v>0</v>
      </c>
      <c r="BR129" s="400">
        <v>0</v>
      </c>
      <c r="BS129" s="401">
        <v>0</v>
      </c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3289</v>
      </c>
      <c r="B130" s="393" t="s">
        <v>3290</v>
      </c>
      <c r="C130" s="394" t="s">
        <v>3186</v>
      </c>
      <c r="D130" s="395" t="s">
        <v>3291</v>
      </c>
      <c r="E130" s="411" t="s">
        <v>3292</v>
      </c>
      <c r="F130" s="396" t="s">
        <v>3182</v>
      </c>
      <c r="G130" s="396" t="s">
        <v>3183</v>
      </c>
      <c r="H130" s="397" t="s">
        <v>1515</v>
      </c>
      <c r="I130" s="899" t="s">
        <v>1515</v>
      </c>
      <c r="J130" s="353" t="s">
        <v>3184</v>
      </c>
      <c r="K130" s="357" t="s">
        <v>60</v>
      </c>
      <c r="L130" s="402">
        <v>0</v>
      </c>
      <c r="M130" s="403">
        <v>0</v>
      </c>
      <c r="N130" s="402">
        <v>0</v>
      </c>
      <c r="O130" s="403">
        <v>0</v>
      </c>
      <c r="P130" s="402">
        <v>0</v>
      </c>
      <c r="Q130" s="403">
        <v>0</v>
      </c>
      <c r="R130" s="402"/>
      <c r="S130" s="403"/>
      <c r="T130" s="402"/>
      <c r="U130" s="403"/>
      <c r="V130" s="402">
        <v>0</v>
      </c>
      <c r="W130" s="403">
        <v>0</v>
      </c>
      <c r="X130" s="402">
        <v>0</v>
      </c>
      <c r="Y130" s="403">
        <v>0</v>
      </c>
      <c r="Z130" s="402">
        <v>0</v>
      </c>
      <c r="AA130" s="403">
        <v>0</v>
      </c>
      <c r="AB130" s="402">
        <v>0</v>
      </c>
      <c r="AC130" s="403">
        <v>0</v>
      </c>
      <c r="AD130" s="402">
        <v>0</v>
      </c>
      <c r="AE130" s="403">
        <v>0</v>
      </c>
      <c r="AF130" s="402"/>
      <c r="AG130" s="403"/>
      <c r="AH130" s="402"/>
      <c r="AI130" s="403"/>
      <c r="AJ130" s="402">
        <v>0</v>
      </c>
      <c r="AK130" s="403">
        <v>0</v>
      </c>
      <c r="AL130" s="402">
        <v>0</v>
      </c>
      <c r="AM130" s="403">
        <v>0</v>
      </c>
      <c r="AN130" s="402">
        <v>0</v>
      </c>
      <c r="AO130" s="403">
        <v>0</v>
      </c>
      <c r="AP130" s="402">
        <v>0</v>
      </c>
      <c r="AQ130" s="403">
        <v>0</v>
      </c>
      <c r="AR130" s="402">
        <v>0</v>
      </c>
      <c r="AS130" s="403">
        <v>0</v>
      </c>
      <c r="AT130" s="402"/>
      <c r="AU130" s="403"/>
      <c r="AV130" s="402"/>
      <c r="AW130" s="403"/>
      <c r="AX130" s="402">
        <v>0</v>
      </c>
      <c r="AY130" s="403">
        <v>0</v>
      </c>
      <c r="AZ130" s="402">
        <v>0</v>
      </c>
      <c r="BA130" s="403">
        <v>0</v>
      </c>
      <c r="BB130" s="402">
        <v>0</v>
      </c>
      <c r="BC130" s="403">
        <v>0</v>
      </c>
      <c r="BD130" s="402">
        <v>0</v>
      </c>
      <c r="BE130" s="403">
        <v>0</v>
      </c>
      <c r="BF130" s="402">
        <v>0</v>
      </c>
      <c r="BG130" s="403">
        <v>0</v>
      </c>
      <c r="BH130" s="402"/>
      <c r="BI130" s="403"/>
      <c r="BJ130" s="402"/>
      <c r="BK130" s="403"/>
      <c r="BL130" s="402">
        <v>0</v>
      </c>
      <c r="BM130" s="403">
        <v>0</v>
      </c>
      <c r="BN130" s="402">
        <v>0</v>
      </c>
      <c r="BO130" s="403">
        <v>0</v>
      </c>
      <c r="BP130" s="402">
        <v>0</v>
      </c>
      <c r="BQ130" s="403">
        <v>0</v>
      </c>
      <c r="BR130" s="402">
        <v>0</v>
      </c>
      <c r="BS130" s="403">
        <v>0</v>
      </c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3293</v>
      </c>
      <c r="B131" s="526" t="s">
        <v>3294</v>
      </c>
      <c r="C131" s="527">
        <v>1</v>
      </c>
      <c r="D131" s="528" t="s">
        <v>3295</v>
      </c>
      <c r="E131" s="426" t="s">
        <v>3296</v>
      </c>
      <c r="F131" s="529" t="s">
        <v>3182</v>
      </c>
      <c r="G131" s="529" t="s">
        <v>3183</v>
      </c>
      <c r="H131" s="530" t="s">
        <v>1516</v>
      </c>
      <c r="I131" s="384" t="s">
        <v>1516</v>
      </c>
      <c r="J131" s="353" t="s">
        <v>3184</v>
      </c>
      <c r="K131" s="354" t="s">
        <v>3185</v>
      </c>
      <c r="L131" s="402">
        <v>0</v>
      </c>
      <c r="M131" s="403">
        <v>0</v>
      </c>
      <c r="N131" s="402">
        <v>0</v>
      </c>
      <c r="O131" s="403">
        <v>0</v>
      </c>
      <c r="P131" s="402">
        <v>0</v>
      </c>
      <c r="Q131" s="403">
        <v>0</v>
      </c>
      <c r="R131" s="402"/>
      <c r="S131" s="403"/>
      <c r="T131" s="402"/>
      <c r="U131" s="403"/>
      <c r="V131" s="402">
        <v>0</v>
      </c>
      <c r="W131" s="403">
        <v>0</v>
      </c>
      <c r="X131" s="402">
        <v>0</v>
      </c>
      <c r="Y131" s="403">
        <v>0</v>
      </c>
      <c r="Z131" s="402">
        <v>0</v>
      </c>
      <c r="AA131" s="403">
        <v>0</v>
      </c>
      <c r="AB131" s="402">
        <v>0</v>
      </c>
      <c r="AC131" s="403">
        <v>0</v>
      </c>
      <c r="AD131" s="402">
        <v>0</v>
      </c>
      <c r="AE131" s="403">
        <v>0</v>
      </c>
      <c r="AF131" s="402"/>
      <c r="AG131" s="403"/>
      <c r="AH131" s="402"/>
      <c r="AI131" s="403"/>
      <c r="AJ131" s="402">
        <v>0</v>
      </c>
      <c r="AK131" s="403">
        <v>0</v>
      </c>
      <c r="AL131" s="402">
        <v>0</v>
      </c>
      <c r="AM131" s="403">
        <v>0</v>
      </c>
      <c r="AN131" s="402">
        <v>0</v>
      </c>
      <c r="AO131" s="403">
        <v>0</v>
      </c>
      <c r="AP131" s="402">
        <v>0</v>
      </c>
      <c r="AQ131" s="403">
        <v>0</v>
      </c>
      <c r="AR131" s="402">
        <v>0</v>
      </c>
      <c r="AS131" s="403">
        <v>0</v>
      </c>
      <c r="AT131" s="402"/>
      <c r="AU131" s="403"/>
      <c r="AV131" s="402"/>
      <c r="AW131" s="403"/>
      <c r="AX131" s="402">
        <v>0</v>
      </c>
      <c r="AY131" s="403">
        <v>0</v>
      </c>
      <c r="AZ131" s="402">
        <v>0</v>
      </c>
      <c r="BA131" s="403">
        <v>0</v>
      </c>
      <c r="BB131" s="402">
        <v>0</v>
      </c>
      <c r="BC131" s="403">
        <v>0</v>
      </c>
      <c r="BD131" s="402">
        <v>0</v>
      </c>
      <c r="BE131" s="403">
        <v>0</v>
      </c>
      <c r="BF131" s="402">
        <v>0</v>
      </c>
      <c r="BG131" s="403">
        <v>0</v>
      </c>
      <c r="BH131" s="402"/>
      <c r="BI131" s="403"/>
      <c r="BJ131" s="402"/>
      <c r="BK131" s="403"/>
      <c r="BL131" s="402">
        <v>0</v>
      </c>
      <c r="BM131" s="403">
        <v>0</v>
      </c>
      <c r="BN131" s="402">
        <v>0</v>
      </c>
      <c r="BO131" s="403">
        <v>0</v>
      </c>
      <c r="BP131" s="402">
        <v>0</v>
      </c>
      <c r="BQ131" s="403">
        <v>0</v>
      </c>
      <c r="BR131" s="402">
        <v>0</v>
      </c>
      <c r="BS131" s="403">
        <v>0</v>
      </c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3293</v>
      </c>
      <c r="B132" s="386" t="s">
        <v>3294</v>
      </c>
      <c r="C132" s="352" t="s">
        <v>3186</v>
      </c>
      <c r="D132" s="387" t="s">
        <v>3295</v>
      </c>
      <c r="E132" s="388" t="s">
        <v>3296</v>
      </c>
      <c r="F132" s="389" t="s">
        <v>3182</v>
      </c>
      <c r="G132" s="389" t="s">
        <v>3183</v>
      </c>
      <c r="H132" s="390" t="s">
        <v>1516</v>
      </c>
      <c r="I132" s="391" t="s">
        <v>1516</v>
      </c>
      <c r="J132" s="353" t="s">
        <v>3184</v>
      </c>
      <c r="K132" s="353" t="s">
        <v>3187</v>
      </c>
      <c r="L132" s="400">
        <v>0</v>
      </c>
      <c r="M132" s="401">
        <v>0</v>
      </c>
      <c r="N132" s="400">
        <v>0</v>
      </c>
      <c r="O132" s="401">
        <v>0</v>
      </c>
      <c r="P132" s="400">
        <v>0</v>
      </c>
      <c r="Q132" s="401">
        <v>0</v>
      </c>
      <c r="R132" s="400"/>
      <c r="S132" s="401"/>
      <c r="T132" s="400"/>
      <c r="U132" s="401"/>
      <c r="V132" s="400">
        <v>5</v>
      </c>
      <c r="W132" s="401">
        <v>0</v>
      </c>
      <c r="X132" s="400">
        <v>0</v>
      </c>
      <c r="Y132" s="401">
        <v>0</v>
      </c>
      <c r="Z132" s="400">
        <v>0</v>
      </c>
      <c r="AA132" s="401">
        <v>0</v>
      </c>
      <c r="AB132" s="400">
        <v>0</v>
      </c>
      <c r="AC132" s="401">
        <v>0</v>
      </c>
      <c r="AD132" s="400">
        <v>0</v>
      </c>
      <c r="AE132" s="401">
        <v>0</v>
      </c>
      <c r="AF132" s="400"/>
      <c r="AG132" s="401"/>
      <c r="AH132" s="400"/>
      <c r="AI132" s="401"/>
      <c r="AJ132" s="400">
        <v>5</v>
      </c>
      <c r="AK132" s="401">
        <v>0</v>
      </c>
      <c r="AL132" s="400">
        <v>0</v>
      </c>
      <c r="AM132" s="401">
        <v>0</v>
      </c>
      <c r="AN132" s="400">
        <v>0</v>
      </c>
      <c r="AO132" s="401">
        <v>0</v>
      </c>
      <c r="AP132" s="400">
        <v>0</v>
      </c>
      <c r="AQ132" s="401">
        <v>0</v>
      </c>
      <c r="AR132" s="400">
        <v>0</v>
      </c>
      <c r="AS132" s="401">
        <v>0</v>
      </c>
      <c r="AT132" s="400"/>
      <c r="AU132" s="401"/>
      <c r="AV132" s="400"/>
      <c r="AW132" s="401"/>
      <c r="AX132" s="400">
        <v>5</v>
      </c>
      <c r="AY132" s="401">
        <v>0</v>
      </c>
      <c r="AZ132" s="400">
        <v>0</v>
      </c>
      <c r="BA132" s="401">
        <v>0</v>
      </c>
      <c r="BB132" s="400">
        <v>0</v>
      </c>
      <c r="BC132" s="401">
        <v>0</v>
      </c>
      <c r="BD132" s="400">
        <v>0</v>
      </c>
      <c r="BE132" s="401">
        <v>0</v>
      </c>
      <c r="BF132" s="400">
        <v>0</v>
      </c>
      <c r="BG132" s="401">
        <v>0</v>
      </c>
      <c r="BH132" s="400"/>
      <c r="BI132" s="401"/>
      <c r="BJ132" s="400"/>
      <c r="BK132" s="401"/>
      <c r="BL132" s="400">
        <v>5</v>
      </c>
      <c r="BM132" s="401">
        <v>0</v>
      </c>
      <c r="BN132" s="400">
        <v>0</v>
      </c>
      <c r="BO132" s="401">
        <v>0</v>
      </c>
      <c r="BP132" s="400">
        <v>0</v>
      </c>
      <c r="BQ132" s="401">
        <v>0</v>
      </c>
      <c r="BR132" s="400">
        <v>0</v>
      </c>
      <c r="BS132" s="401">
        <v>0</v>
      </c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20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3293</v>
      </c>
      <c r="B133" s="386" t="s">
        <v>3294</v>
      </c>
      <c r="C133" s="392" t="s">
        <v>3186</v>
      </c>
      <c r="D133" s="387" t="s">
        <v>3295</v>
      </c>
      <c r="E133" s="388" t="s">
        <v>3296</v>
      </c>
      <c r="F133" s="389" t="s">
        <v>3182</v>
      </c>
      <c r="G133" s="389" t="s">
        <v>3183</v>
      </c>
      <c r="H133" s="390" t="s">
        <v>1516</v>
      </c>
      <c r="I133" s="391" t="s">
        <v>1516</v>
      </c>
      <c r="J133" s="353" t="s">
        <v>3184</v>
      </c>
      <c r="K133" s="355" t="s">
        <v>3188</v>
      </c>
      <c r="L133" s="400">
        <v>0</v>
      </c>
      <c r="M133" s="401">
        <v>0</v>
      </c>
      <c r="N133" s="400">
        <v>0</v>
      </c>
      <c r="O133" s="401">
        <v>0</v>
      </c>
      <c r="P133" s="400">
        <v>0</v>
      </c>
      <c r="Q133" s="401">
        <v>0</v>
      </c>
      <c r="R133" s="400"/>
      <c r="S133" s="401"/>
      <c r="T133" s="400"/>
      <c r="U133" s="401"/>
      <c r="V133" s="400">
        <v>0</v>
      </c>
      <c r="W133" s="401">
        <v>0</v>
      </c>
      <c r="X133" s="400">
        <v>0</v>
      </c>
      <c r="Y133" s="401">
        <v>0</v>
      </c>
      <c r="Z133" s="400">
        <v>0</v>
      </c>
      <c r="AA133" s="401">
        <v>0</v>
      </c>
      <c r="AB133" s="400">
        <v>0</v>
      </c>
      <c r="AC133" s="401">
        <v>0</v>
      </c>
      <c r="AD133" s="400">
        <v>0</v>
      </c>
      <c r="AE133" s="401">
        <v>0</v>
      </c>
      <c r="AF133" s="400"/>
      <c r="AG133" s="401"/>
      <c r="AH133" s="400"/>
      <c r="AI133" s="401"/>
      <c r="AJ133" s="400">
        <v>0</v>
      </c>
      <c r="AK133" s="401">
        <v>0</v>
      </c>
      <c r="AL133" s="400">
        <v>0</v>
      </c>
      <c r="AM133" s="401">
        <v>0</v>
      </c>
      <c r="AN133" s="400">
        <v>0</v>
      </c>
      <c r="AO133" s="401">
        <v>0</v>
      </c>
      <c r="AP133" s="400">
        <v>0</v>
      </c>
      <c r="AQ133" s="401">
        <v>0</v>
      </c>
      <c r="AR133" s="400">
        <v>0</v>
      </c>
      <c r="AS133" s="401">
        <v>0</v>
      </c>
      <c r="AT133" s="400"/>
      <c r="AU133" s="401"/>
      <c r="AV133" s="400"/>
      <c r="AW133" s="401"/>
      <c r="AX133" s="400">
        <v>0</v>
      </c>
      <c r="AY133" s="401">
        <v>0</v>
      </c>
      <c r="AZ133" s="400">
        <v>0</v>
      </c>
      <c r="BA133" s="401">
        <v>0</v>
      </c>
      <c r="BB133" s="400">
        <v>0</v>
      </c>
      <c r="BC133" s="401">
        <v>0</v>
      </c>
      <c r="BD133" s="400">
        <v>0</v>
      </c>
      <c r="BE133" s="401">
        <v>0</v>
      </c>
      <c r="BF133" s="400">
        <v>0</v>
      </c>
      <c r="BG133" s="401">
        <v>0</v>
      </c>
      <c r="BH133" s="400"/>
      <c r="BI133" s="401"/>
      <c r="BJ133" s="400"/>
      <c r="BK133" s="401"/>
      <c r="BL133" s="400">
        <v>0</v>
      </c>
      <c r="BM133" s="401">
        <v>0</v>
      </c>
      <c r="BN133" s="400">
        <v>0</v>
      </c>
      <c r="BO133" s="401">
        <v>0</v>
      </c>
      <c r="BP133" s="400">
        <v>0</v>
      </c>
      <c r="BQ133" s="401">
        <v>0</v>
      </c>
      <c r="BR133" s="400">
        <v>0</v>
      </c>
      <c r="BS133" s="401">
        <v>0</v>
      </c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3293</v>
      </c>
      <c r="B134" s="386" t="s">
        <v>3294</v>
      </c>
      <c r="C134" s="392" t="s">
        <v>3186</v>
      </c>
      <c r="D134" s="387" t="s">
        <v>3295</v>
      </c>
      <c r="E134" s="388" t="s">
        <v>3296</v>
      </c>
      <c r="F134" s="389" t="s">
        <v>3182</v>
      </c>
      <c r="G134" s="389" t="s">
        <v>3183</v>
      </c>
      <c r="H134" s="390" t="s">
        <v>1516</v>
      </c>
      <c r="I134" s="391" t="s">
        <v>1516</v>
      </c>
      <c r="J134" s="353" t="s">
        <v>3184</v>
      </c>
      <c r="K134" s="356" t="s">
        <v>3189</v>
      </c>
      <c r="L134" s="400">
        <v>0</v>
      </c>
      <c r="M134" s="401">
        <v>0</v>
      </c>
      <c r="N134" s="400">
        <v>0</v>
      </c>
      <c r="O134" s="401">
        <v>0</v>
      </c>
      <c r="P134" s="400">
        <v>0</v>
      </c>
      <c r="Q134" s="401">
        <v>0</v>
      </c>
      <c r="R134" s="400"/>
      <c r="S134" s="401"/>
      <c r="T134" s="400"/>
      <c r="U134" s="401"/>
      <c r="V134" s="400">
        <v>0</v>
      </c>
      <c r="W134" s="401">
        <v>0</v>
      </c>
      <c r="X134" s="400">
        <v>0</v>
      </c>
      <c r="Y134" s="401">
        <v>0</v>
      </c>
      <c r="Z134" s="400">
        <v>0</v>
      </c>
      <c r="AA134" s="401">
        <v>0</v>
      </c>
      <c r="AB134" s="400">
        <v>0</v>
      </c>
      <c r="AC134" s="401">
        <v>0</v>
      </c>
      <c r="AD134" s="400">
        <v>0</v>
      </c>
      <c r="AE134" s="401">
        <v>0</v>
      </c>
      <c r="AF134" s="400"/>
      <c r="AG134" s="401"/>
      <c r="AH134" s="400"/>
      <c r="AI134" s="401"/>
      <c r="AJ134" s="400">
        <v>0</v>
      </c>
      <c r="AK134" s="401">
        <v>0</v>
      </c>
      <c r="AL134" s="400">
        <v>0</v>
      </c>
      <c r="AM134" s="401">
        <v>0</v>
      </c>
      <c r="AN134" s="400">
        <v>0</v>
      </c>
      <c r="AO134" s="401">
        <v>0</v>
      </c>
      <c r="AP134" s="400">
        <v>0</v>
      </c>
      <c r="AQ134" s="401">
        <v>0</v>
      </c>
      <c r="AR134" s="400">
        <v>0</v>
      </c>
      <c r="AS134" s="401">
        <v>0</v>
      </c>
      <c r="AT134" s="400"/>
      <c r="AU134" s="401"/>
      <c r="AV134" s="400"/>
      <c r="AW134" s="401"/>
      <c r="AX134" s="400">
        <v>0</v>
      </c>
      <c r="AY134" s="401">
        <v>0</v>
      </c>
      <c r="AZ134" s="400">
        <v>0</v>
      </c>
      <c r="BA134" s="401">
        <v>0</v>
      </c>
      <c r="BB134" s="400">
        <v>0</v>
      </c>
      <c r="BC134" s="401">
        <v>0</v>
      </c>
      <c r="BD134" s="400">
        <v>0</v>
      </c>
      <c r="BE134" s="401">
        <v>0</v>
      </c>
      <c r="BF134" s="400">
        <v>0</v>
      </c>
      <c r="BG134" s="401">
        <v>0</v>
      </c>
      <c r="BH134" s="400"/>
      <c r="BI134" s="401"/>
      <c r="BJ134" s="400"/>
      <c r="BK134" s="401"/>
      <c r="BL134" s="400">
        <v>0</v>
      </c>
      <c r="BM134" s="401">
        <v>0</v>
      </c>
      <c r="BN134" s="400">
        <v>0</v>
      </c>
      <c r="BO134" s="401">
        <v>0</v>
      </c>
      <c r="BP134" s="400">
        <v>0</v>
      </c>
      <c r="BQ134" s="401">
        <v>0</v>
      </c>
      <c r="BR134" s="400">
        <v>0</v>
      </c>
      <c r="BS134" s="401">
        <v>0</v>
      </c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3293</v>
      </c>
      <c r="B135" s="393" t="s">
        <v>3294</v>
      </c>
      <c r="C135" s="394" t="s">
        <v>3186</v>
      </c>
      <c r="D135" s="395" t="s">
        <v>3295</v>
      </c>
      <c r="E135" s="411" t="s">
        <v>3296</v>
      </c>
      <c r="F135" s="396" t="s">
        <v>3182</v>
      </c>
      <c r="G135" s="396" t="s">
        <v>3183</v>
      </c>
      <c r="H135" s="397" t="s">
        <v>1516</v>
      </c>
      <c r="I135" s="899" t="s">
        <v>1516</v>
      </c>
      <c r="J135" s="353" t="s">
        <v>3184</v>
      </c>
      <c r="K135" s="357" t="s">
        <v>60</v>
      </c>
      <c r="L135" s="402">
        <v>0</v>
      </c>
      <c r="M135" s="403">
        <v>0</v>
      </c>
      <c r="N135" s="402">
        <v>0</v>
      </c>
      <c r="O135" s="403">
        <v>0</v>
      </c>
      <c r="P135" s="402">
        <v>0</v>
      </c>
      <c r="Q135" s="403">
        <v>0</v>
      </c>
      <c r="R135" s="402"/>
      <c r="S135" s="403"/>
      <c r="T135" s="402"/>
      <c r="U135" s="403"/>
      <c r="V135" s="402">
        <v>0</v>
      </c>
      <c r="W135" s="403">
        <v>0</v>
      </c>
      <c r="X135" s="402">
        <v>0</v>
      </c>
      <c r="Y135" s="403">
        <v>0</v>
      </c>
      <c r="Z135" s="402">
        <v>0</v>
      </c>
      <c r="AA135" s="403">
        <v>0</v>
      </c>
      <c r="AB135" s="402">
        <v>0</v>
      </c>
      <c r="AC135" s="403">
        <v>0</v>
      </c>
      <c r="AD135" s="402">
        <v>0</v>
      </c>
      <c r="AE135" s="403">
        <v>0</v>
      </c>
      <c r="AF135" s="402"/>
      <c r="AG135" s="403"/>
      <c r="AH135" s="402"/>
      <c r="AI135" s="403"/>
      <c r="AJ135" s="402">
        <v>0</v>
      </c>
      <c r="AK135" s="403">
        <v>0</v>
      </c>
      <c r="AL135" s="402">
        <v>0</v>
      </c>
      <c r="AM135" s="403">
        <v>0</v>
      </c>
      <c r="AN135" s="402">
        <v>0</v>
      </c>
      <c r="AO135" s="403">
        <v>0</v>
      </c>
      <c r="AP135" s="402">
        <v>0</v>
      </c>
      <c r="AQ135" s="403">
        <v>0</v>
      </c>
      <c r="AR135" s="402">
        <v>0</v>
      </c>
      <c r="AS135" s="403">
        <v>0</v>
      </c>
      <c r="AT135" s="402"/>
      <c r="AU135" s="403"/>
      <c r="AV135" s="402"/>
      <c r="AW135" s="403"/>
      <c r="AX135" s="402">
        <v>0</v>
      </c>
      <c r="AY135" s="403">
        <v>0</v>
      </c>
      <c r="AZ135" s="402">
        <v>0</v>
      </c>
      <c r="BA135" s="403">
        <v>0</v>
      </c>
      <c r="BB135" s="402">
        <v>0</v>
      </c>
      <c r="BC135" s="403">
        <v>0</v>
      </c>
      <c r="BD135" s="402">
        <v>0</v>
      </c>
      <c r="BE135" s="403">
        <v>0</v>
      </c>
      <c r="BF135" s="402">
        <v>0</v>
      </c>
      <c r="BG135" s="403">
        <v>0</v>
      </c>
      <c r="BH135" s="402"/>
      <c r="BI135" s="403"/>
      <c r="BJ135" s="402"/>
      <c r="BK135" s="403"/>
      <c r="BL135" s="402">
        <v>0</v>
      </c>
      <c r="BM135" s="403">
        <v>0</v>
      </c>
      <c r="BN135" s="402">
        <v>0</v>
      </c>
      <c r="BO135" s="403">
        <v>0</v>
      </c>
      <c r="BP135" s="402">
        <v>0</v>
      </c>
      <c r="BQ135" s="403">
        <v>0</v>
      </c>
      <c r="BR135" s="402">
        <v>0</v>
      </c>
      <c r="BS135" s="403">
        <v>0</v>
      </c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3297</v>
      </c>
      <c r="B136" s="526" t="s">
        <v>3298</v>
      </c>
      <c r="C136" s="527">
        <v>1</v>
      </c>
      <c r="D136" s="528" t="s">
        <v>3299</v>
      </c>
      <c r="E136" s="426" t="s">
        <v>3300</v>
      </c>
      <c r="F136" s="529" t="s">
        <v>3182</v>
      </c>
      <c r="G136" s="529" t="s">
        <v>3183</v>
      </c>
      <c r="H136" s="530" t="s">
        <v>1517</v>
      </c>
      <c r="I136" s="384" t="s">
        <v>1517</v>
      </c>
      <c r="J136" s="353" t="s">
        <v>3184</v>
      </c>
      <c r="K136" s="354" t="s">
        <v>3185</v>
      </c>
      <c r="L136" s="402">
        <v>0</v>
      </c>
      <c r="M136" s="403">
        <v>0</v>
      </c>
      <c r="N136" s="402">
        <v>0</v>
      </c>
      <c r="O136" s="403">
        <v>0</v>
      </c>
      <c r="P136" s="402">
        <v>0</v>
      </c>
      <c r="Q136" s="403">
        <v>0</v>
      </c>
      <c r="R136" s="402"/>
      <c r="S136" s="403"/>
      <c r="T136" s="402"/>
      <c r="U136" s="403"/>
      <c r="V136" s="402">
        <v>0</v>
      </c>
      <c r="W136" s="403">
        <v>0</v>
      </c>
      <c r="X136" s="402">
        <v>0</v>
      </c>
      <c r="Y136" s="403">
        <v>0</v>
      </c>
      <c r="Z136" s="402">
        <v>0</v>
      </c>
      <c r="AA136" s="403">
        <v>0</v>
      </c>
      <c r="AB136" s="402">
        <v>0</v>
      </c>
      <c r="AC136" s="403">
        <v>0</v>
      </c>
      <c r="AD136" s="402">
        <v>0</v>
      </c>
      <c r="AE136" s="403">
        <v>0</v>
      </c>
      <c r="AF136" s="402"/>
      <c r="AG136" s="403"/>
      <c r="AH136" s="402"/>
      <c r="AI136" s="403"/>
      <c r="AJ136" s="402">
        <v>0</v>
      </c>
      <c r="AK136" s="403">
        <v>0</v>
      </c>
      <c r="AL136" s="402">
        <v>0</v>
      </c>
      <c r="AM136" s="403">
        <v>0</v>
      </c>
      <c r="AN136" s="402">
        <v>0</v>
      </c>
      <c r="AO136" s="403">
        <v>0</v>
      </c>
      <c r="AP136" s="402">
        <v>0</v>
      </c>
      <c r="AQ136" s="403">
        <v>0</v>
      </c>
      <c r="AR136" s="402">
        <v>0</v>
      </c>
      <c r="AS136" s="403">
        <v>0</v>
      </c>
      <c r="AT136" s="402"/>
      <c r="AU136" s="403"/>
      <c r="AV136" s="402"/>
      <c r="AW136" s="403"/>
      <c r="AX136" s="402">
        <v>0</v>
      </c>
      <c r="AY136" s="403">
        <v>0</v>
      </c>
      <c r="AZ136" s="402">
        <v>0</v>
      </c>
      <c r="BA136" s="403">
        <v>0</v>
      </c>
      <c r="BB136" s="402">
        <v>0</v>
      </c>
      <c r="BC136" s="403">
        <v>0</v>
      </c>
      <c r="BD136" s="402">
        <v>0</v>
      </c>
      <c r="BE136" s="403">
        <v>0</v>
      </c>
      <c r="BF136" s="402">
        <v>0</v>
      </c>
      <c r="BG136" s="403">
        <v>0</v>
      </c>
      <c r="BH136" s="402"/>
      <c r="BI136" s="403"/>
      <c r="BJ136" s="402"/>
      <c r="BK136" s="403"/>
      <c r="BL136" s="402">
        <v>0</v>
      </c>
      <c r="BM136" s="403">
        <v>0</v>
      </c>
      <c r="BN136" s="402">
        <v>0</v>
      </c>
      <c r="BO136" s="403">
        <v>0</v>
      </c>
      <c r="BP136" s="402">
        <v>0</v>
      </c>
      <c r="BQ136" s="403">
        <v>0</v>
      </c>
      <c r="BR136" s="402">
        <v>0</v>
      </c>
      <c r="BS136" s="403">
        <v>0</v>
      </c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3297</v>
      </c>
      <c r="B137" s="386" t="s">
        <v>3298</v>
      </c>
      <c r="C137" s="352" t="s">
        <v>3186</v>
      </c>
      <c r="D137" s="387" t="s">
        <v>3299</v>
      </c>
      <c r="E137" s="388" t="s">
        <v>3300</v>
      </c>
      <c r="F137" s="389" t="s">
        <v>3182</v>
      </c>
      <c r="G137" s="389" t="s">
        <v>3183</v>
      </c>
      <c r="H137" s="390" t="s">
        <v>1517</v>
      </c>
      <c r="I137" s="391" t="s">
        <v>1517</v>
      </c>
      <c r="J137" s="353" t="s">
        <v>3184</v>
      </c>
      <c r="K137" s="353" t="s">
        <v>3187</v>
      </c>
      <c r="L137" s="400">
        <v>0</v>
      </c>
      <c r="M137" s="401">
        <v>0</v>
      </c>
      <c r="N137" s="400">
        <v>0</v>
      </c>
      <c r="O137" s="401">
        <v>0</v>
      </c>
      <c r="P137" s="400">
        <v>0</v>
      </c>
      <c r="Q137" s="401">
        <v>0</v>
      </c>
      <c r="R137" s="400"/>
      <c r="S137" s="401"/>
      <c r="T137" s="400"/>
      <c r="U137" s="401"/>
      <c r="V137" s="400">
        <v>0</v>
      </c>
      <c r="W137" s="401">
        <v>0</v>
      </c>
      <c r="X137" s="400">
        <v>0</v>
      </c>
      <c r="Y137" s="401">
        <v>0</v>
      </c>
      <c r="Z137" s="400">
        <v>0</v>
      </c>
      <c r="AA137" s="401">
        <v>0</v>
      </c>
      <c r="AB137" s="400">
        <v>0</v>
      </c>
      <c r="AC137" s="401">
        <v>0</v>
      </c>
      <c r="AD137" s="400">
        <v>0</v>
      </c>
      <c r="AE137" s="401">
        <v>0</v>
      </c>
      <c r="AF137" s="400"/>
      <c r="AG137" s="401"/>
      <c r="AH137" s="400"/>
      <c r="AI137" s="401"/>
      <c r="AJ137" s="400">
        <v>0</v>
      </c>
      <c r="AK137" s="401">
        <v>0</v>
      </c>
      <c r="AL137" s="400">
        <v>0</v>
      </c>
      <c r="AM137" s="401">
        <v>0</v>
      </c>
      <c r="AN137" s="400">
        <v>0</v>
      </c>
      <c r="AO137" s="401">
        <v>0</v>
      </c>
      <c r="AP137" s="400">
        <v>0</v>
      </c>
      <c r="AQ137" s="401">
        <v>0</v>
      </c>
      <c r="AR137" s="400">
        <v>0</v>
      </c>
      <c r="AS137" s="401">
        <v>0</v>
      </c>
      <c r="AT137" s="400"/>
      <c r="AU137" s="401"/>
      <c r="AV137" s="400"/>
      <c r="AW137" s="401"/>
      <c r="AX137" s="400">
        <v>0</v>
      </c>
      <c r="AY137" s="401">
        <v>0</v>
      </c>
      <c r="AZ137" s="400">
        <v>0</v>
      </c>
      <c r="BA137" s="401">
        <v>0</v>
      </c>
      <c r="BB137" s="400">
        <v>0</v>
      </c>
      <c r="BC137" s="401">
        <v>0</v>
      </c>
      <c r="BD137" s="400">
        <v>0</v>
      </c>
      <c r="BE137" s="401">
        <v>0</v>
      </c>
      <c r="BF137" s="400">
        <v>0</v>
      </c>
      <c r="BG137" s="401">
        <v>0</v>
      </c>
      <c r="BH137" s="400"/>
      <c r="BI137" s="401"/>
      <c r="BJ137" s="400"/>
      <c r="BK137" s="401"/>
      <c r="BL137" s="400">
        <v>0</v>
      </c>
      <c r="BM137" s="401">
        <v>0</v>
      </c>
      <c r="BN137" s="400">
        <v>0</v>
      </c>
      <c r="BO137" s="401">
        <v>0</v>
      </c>
      <c r="BP137" s="400">
        <v>0</v>
      </c>
      <c r="BQ137" s="401">
        <v>0</v>
      </c>
      <c r="BR137" s="400">
        <v>0</v>
      </c>
      <c r="BS137" s="401">
        <v>0</v>
      </c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3297</v>
      </c>
      <c r="B138" s="386" t="s">
        <v>3298</v>
      </c>
      <c r="C138" s="392" t="s">
        <v>3186</v>
      </c>
      <c r="D138" s="387" t="s">
        <v>3299</v>
      </c>
      <c r="E138" s="388" t="s">
        <v>3300</v>
      </c>
      <c r="F138" s="389" t="s">
        <v>3182</v>
      </c>
      <c r="G138" s="389" t="s">
        <v>3183</v>
      </c>
      <c r="H138" s="390" t="s">
        <v>1517</v>
      </c>
      <c r="I138" s="391" t="s">
        <v>1517</v>
      </c>
      <c r="J138" s="353" t="s">
        <v>3184</v>
      </c>
      <c r="K138" s="355" t="s">
        <v>3188</v>
      </c>
      <c r="L138" s="400">
        <v>0</v>
      </c>
      <c r="M138" s="401">
        <v>0</v>
      </c>
      <c r="N138" s="400">
        <v>0</v>
      </c>
      <c r="O138" s="401">
        <v>0</v>
      </c>
      <c r="P138" s="400">
        <v>0</v>
      </c>
      <c r="Q138" s="401">
        <v>0</v>
      </c>
      <c r="R138" s="400"/>
      <c r="S138" s="401"/>
      <c r="T138" s="400"/>
      <c r="U138" s="401"/>
      <c r="V138" s="400">
        <v>0</v>
      </c>
      <c r="W138" s="401">
        <v>0</v>
      </c>
      <c r="X138" s="400">
        <v>0</v>
      </c>
      <c r="Y138" s="401">
        <v>0</v>
      </c>
      <c r="Z138" s="400">
        <v>0</v>
      </c>
      <c r="AA138" s="401">
        <v>0</v>
      </c>
      <c r="AB138" s="400">
        <v>0</v>
      </c>
      <c r="AC138" s="401">
        <v>0</v>
      </c>
      <c r="AD138" s="400">
        <v>0</v>
      </c>
      <c r="AE138" s="401">
        <v>0</v>
      </c>
      <c r="AF138" s="400"/>
      <c r="AG138" s="401"/>
      <c r="AH138" s="400"/>
      <c r="AI138" s="401"/>
      <c r="AJ138" s="400">
        <v>0</v>
      </c>
      <c r="AK138" s="401">
        <v>0</v>
      </c>
      <c r="AL138" s="400">
        <v>0</v>
      </c>
      <c r="AM138" s="401">
        <v>0</v>
      </c>
      <c r="AN138" s="400">
        <v>0</v>
      </c>
      <c r="AO138" s="401">
        <v>0</v>
      </c>
      <c r="AP138" s="400">
        <v>0</v>
      </c>
      <c r="AQ138" s="401">
        <v>0</v>
      </c>
      <c r="AR138" s="400">
        <v>0</v>
      </c>
      <c r="AS138" s="401">
        <v>0</v>
      </c>
      <c r="AT138" s="400"/>
      <c r="AU138" s="401"/>
      <c r="AV138" s="400"/>
      <c r="AW138" s="401"/>
      <c r="AX138" s="400">
        <v>0</v>
      </c>
      <c r="AY138" s="401">
        <v>0</v>
      </c>
      <c r="AZ138" s="400">
        <v>0</v>
      </c>
      <c r="BA138" s="401">
        <v>0</v>
      </c>
      <c r="BB138" s="400">
        <v>0</v>
      </c>
      <c r="BC138" s="401">
        <v>0</v>
      </c>
      <c r="BD138" s="400">
        <v>0</v>
      </c>
      <c r="BE138" s="401">
        <v>0</v>
      </c>
      <c r="BF138" s="400">
        <v>0</v>
      </c>
      <c r="BG138" s="401">
        <v>0</v>
      </c>
      <c r="BH138" s="400"/>
      <c r="BI138" s="401"/>
      <c r="BJ138" s="400"/>
      <c r="BK138" s="401"/>
      <c r="BL138" s="400">
        <v>0</v>
      </c>
      <c r="BM138" s="401">
        <v>0</v>
      </c>
      <c r="BN138" s="400">
        <v>0</v>
      </c>
      <c r="BO138" s="401">
        <v>0</v>
      </c>
      <c r="BP138" s="400">
        <v>0</v>
      </c>
      <c r="BQ138" s="401">
        <v>0</v>
      </c>
      <c r="BR138" s="400">
        <v>0</v>
      </c>
      <c r="BS138" s="401">
        <v>0</v>
      </c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3297</v>
      </c>
      <c r="B139" s="386" t="s">
        <v>3298</v>
      </c>
      <c r="C139" s="392" t="s">
        <v>3186</v>
      </c>
      <c r="D139" s="387" t="s">
        <v>3299</v>
      </c>
      <c r="E139" s="388" t="s">
        <v>3300</v>
      </c>
      <c r="F139" s="389" t="s">
        <v>3182</v>
      </c>
      <c r="G139" s="389" t="s">
        <v>3183</v>
      </c>
      <c r="H139" s="390" t="s">
        <v>1517</v>
      </c>
      <c r="I139" s="391" t="s">
        <v>1517</v>
      </c>
      <c r="J139" s="353" t="s">
        <v>3184</v>
      </c>
      <c r="K139" s="356" t="s">
        <v>3189</v>
      </c>
      <c r="L139" s="400">
        <v>0</v>
      </c>
      <c r="M139" s="401">
        <v>0</v>
      </c>
      <c r="N139" s="400">
        <v>0</v>
      </c>
      <c r="O139" s="401">
        <v>0</v>
      </c>
      <c r="P139" s="400">
        <v>0</v>
      </c>
      <c r="Q139" s="401">
        <v>0</v>
      </c>
      <c r="R139" s="400"/>
      <c r="S139" s="401"/>
      <c r="T139" s="400"/>
      <c r="U139" s="401"/>
      <c r="V139" s="400">
        <v>0</v>
      </c>
      <c r="W139" s="401">
        <v>0</v>
      </c>
      <c r="X139" s="400">
        <v>0</v>
      </c>
      <c r="Y139" s="401">
        <v>0</v>
      </c>
      <c r="Z139" s="400">
        <v>0</v>
      </c>
      <c r="AA139" s="401">
        <v>0</v>
      </c>
      <c r="AB139" s="400">
        <v>0</v>
      </c>
      <c r="AC139" s="401">
        <v>0</v>
      </c>
      <c r="AD139" s="400">
        <v>0</v>
      </c>
      <c r="AE139" s="401">
        <v>0</v>
      </c>
      <c r="AF139" s="400"/>
      <c r="AG139" s="401"/>
      <c r="AH139" s="400"/>
      <c r="AI139" s="401"/>
      <c r="AJ139" s="400">
        <v>0</v>
      </c>
      <c r="AK139" s="401">
        <v>0</v>
      </c>
      <c r="AL139" s="400">
        <v>0</v>
      </c>
      <c r="AM139" s="401">
        <v>0</v>
      </c>
      <c r="AN139" s="400">
        <v>0</v>
      </c>
      <c r="AO139" s="401">
        <v>0</v>
      </c>
      <c r="AP139" s="400">
        <v>0</v>
      </c>
      <c r="AQ139" s="401">
        <v>0</v>
      </c>
      <c r="AR139" s="400">
        <v>0</v>
      </c>
      <c r="AS139" s="401">
        <v>0</v>
      </c>
      <c r="AT139" s="400"/>
      <c r="AU139" s="401"/>
      <c r="AV139" s="400"/>
      <c r="AW139" s="401"/>
      <c r="AX139" s="400">
        <v>0</v>
      </c>
      <c r="AY139" s="401">
        <v>0</v>
      </c>
      <c r="AZ139" s="400">
        <v>0</v>
      </c>
      <c r="BA139" s="401">
        <v>0</v>
      </c>
      <c r="BB139" s="400">
        <v>0</v>
      </c>
      <c r="BC139" s="401">
        <v>0</v>
      </c>
      <c r="BD139" s="400">
        <v>0</v>
      </c>
      <c r="BE139" s="401">
        <v>0</v>
      </c>
      <c r="BF139" s="400">
        <v>0</v>
      </c>
      <c r="BG139" s="401">
        <v>0</v>
      </c>
      <c r="BH139" s="400"/>
      <c r="BI139" s="401"/>
      <c r="BJ139" s="400"/>
      <c r="BK139" s="401"/>
      <c r="BL139" s="400">
        <v>0</v>
      </c>
      <c r="BM139" s="401">
        <v>0</v>
      </c>
      <c r="BN139" s="400">
        <v>0</v>
      </c>
      <c r="BO139" s="401">
        <v>0</v>
      </c>
      <c r="BP139" s="400">
        <v>0</v>
      </c>
      <c r="BQ139" s="401">
        <v>0</v>
      </c>
      <c r="BR139" s="400">
        <v>0</v>
      </c>
      <c r="BS139" s="401">
        <v>0</v>
      </c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3297</v>
      </c>
      <c r="B140" s="393" t="s">
        <v>3298</v>
      </c>
      <c r="C140" s="394" t="s">
        <v>3186</v>
      </c>
      <c r="D140" s="395" t="s">
        <v>3299</v>
      </c>
      <c r="E140" s="411" t="s">
        <v>3300</v>
      </c>
      <c r="F140" s="396" t="s">
        <v>3182</v>
      </c>
      <c r="G140" s="396" t="s">
        <v>3183</v>
      </c>
      <c r="H140" s="397" t="s">
        <v>1517</v>
      </c>
      <c r="I140" s="899" t="s">
        <v>1517</v>
      </c>
      <c r="J140" s="353" t="s">
        <v>3184</v>
      </c>
      <c r="K140" s="357" t="s">
        <v>60</v>
      </c>
      <c r="L140" s="402">
        <v>0</v>
      </c>
      <c r="M140" s="403">
        <v>0</v>
      </c>
      <c r="N140" s="402">
        <v>0</v>
      </c>
      <c r="O140" s="403">
        <v>0</v>
      </c>
      <c r="P140" s="402">
        <v>0</v>
      </c>
      <c r="Q140" s="403">
        <v>0</v>
      </c>
      <c r="R140" s="402"/>
      <c r="S140" s="403"/>
      <c r="T140" s="402"/>
      <c r="U140" s="403"/>
      <c r="V140" s="402">
        <v>0</v>
      </c>
      <c r="W140" s="403">
        <v>0</v>
      </c>
      <c r="X140" s="402">
        <v>0</v>
      </c>
      <c r="Y140" s="403">
        <v>0</v>
      </c>
      <c r="Z140" s="402">
        <v>0</v>
      </c>
      <c r="AA140" s="403">
        <v>0</v>
      </c>
      <c r="AB140" s="402">
        <v>0</v>
      </c>
      <c r="AC140" s="403">
        <v>0</v>
      </c>
      <c r="AD140" s="402">
        <v>0</v>
      </c>
      <c r="AE140" s="403">
        <v>0</v>
      </c>
      <c r="AF140" s="402"/>
      <c r="AG140" s="403"/>
      <c r="AH140" s="402"/>
      <c r="AI140" s="403"/>
      <c r="AJ140" s="402">
        <v>0</v>
      </c>
      <c r="AK140" s="403">
        <v>0</v>
      </c>
      <c r="AL140" s="402">
        <v>0</v>
      </c>
      <c r="AM140" s="403">
        <v>0</v>
      </c>
      <c r="AN140" s="402">
        <v>0</v>
      </c>
      <c r="AO140" s="403">
        <v>0</v>
      </c>
      <c r="AP140" s="402">
        <v>0</v>
      </c>
      <c r="AQ140" s="403">
        <v>0</v>
      </c>
      <c r="AR140" s="402">
        <v>0</v>
      </c>
      <c r="AS140" s="403">
        <v>0</v>
      </c>
      <c r="AT140" s="402"/>
      <c r="AU140" s="403"/>
      <c r="AV140" s="402"/>
      <c r="AW140" s="403"/>
      <c r="AX140" s="402">
        <v>0</v>
      </c>
      <c r="AY140" s="403">
        <v>0</v>
      </c>
      <c r="AZ140" s="402">
        <v>0</v>
      </c>
      <c r="BA140" s="403">
        <v>0</v>
      </c>
      <c r="BB140" s="402">
        <v>0</v>
      </c>
      <c r="BC140" s="403">
        <v>0</v>
      </c>
      <c r="BD140" s="402">
        <v>0</v>
      </c>
      <c r="BE140" s="403">
        <v>0</v>
      </c>
      <c r="BF140" s="402">
        <v>0</v>
      </c>
      <c r="BG140" s="403">
        <v>0</v>
      </c>
      <c r="BH140" s="402"/>
      <c r="BI140" s="403"/>
      <c r="BJ140" s="402"/>
      <c r="BK140" s="403"/>
      <c r="BL140" s="402">
        <v>0</v>
      </c>
      <c r="BM140" s="403">
        <v>0</v>
      </c>
      <c r="BN140" s="402">
        <v>0</v>
      </c>
      <c r="BO140" s="403">
        <v>0</v>
      </c>
      <c r="BP140" s="402">
        <v>0</v>
      </c>
      <c r="BQ140" s="403">
        <v>0</v>
      </c>
      <c r="BR140" s="402">
        <v>0</v>
      </c>
      <c r="BS140" s="403">
        <v>0</v>
      </c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3301</v>
      </c>
      <c r="B141" s="526" t="s">
        <v>3302</v>
      </c>
      <c r="C141" s="527">
        <v>1</v>
      </c>
      <c r="D141" s="528" t="s">
        <v>3303</v>
      </c>
      <c r="E141" s="426" t="s">
        <v>3304</v>
      </c>
      <c r="F141" s="529" t="s">
        <v>3182</v>
      </c>
      <c r="G141" s="529" t="s">
        <v>3183</v>
      </c>
      <c r="H141" s="530" t="s">
        <v>1521</v>
      </c>
      <c r="I141" s="384" t="s">
        <v>1521</v>
      </c>
      <c r="J141" s="353" t="s">
        <v>3184</v>
      </c>
      <c r="K141" s="354" t="s">
        <v>3185</v>
      </c>
      <c r="L141" s="402">
        <v>0</v>
      </c>
      <c r="M141" s="403">
        <v>0</v>
      </c>
      <c r="N141" s="402">
        <v>0</v>
      </c>
      <c r="O141" s="403">
        <v>0</v>
      </c>
      <c r="P141" s="402">
        <v>0</v>
      </c>
      <c r="Q141" s="403">
        <v>0</v>
      </c>
      <c r="R141" s="402"/>
      <c r="S141" s="403"/>
      <c r="T141" s="402"/>
      <c r="U141" s="403"/>
      <c r="V141" s="402">
        <v>0</v>
      </c>
      <c r="W141" s="403">
        <v>0</v>
      </c>
      <c r="X141" s="402">
        <v>0</v>
      </c>
      <c r="Y141" s="403">
        <v>0</v>
      </c>
      <c r="Z141" s="402">
        <v>0</v>
      </c>
      <c r="AA141" s="403">
        <v>0</v>
      </c>
      <c r="AB141" s="402">
        <v>0</v>
      </c>
      <c r="AC141" s="403">
        <v>0</v>
      </c>
      <c r="AD141" s="402">
        <v>0</v>
      </c>
      <c r="AE141" s="403">
        <v>0</v>
      </c>
      <c r="AF141" s="402"/>
      <c r="AG141" s="403"/>
      <c r="AH141" s="402"/>
      <c r="AI141" s="403"/>
      <c r="AJ141" s="402">
        <v>0</v>
      </c>
      <c r="AK141" s="403">
        <v>0</v>
      </c>
      <c r="AL141" s="402">
        <v>0</v>
      </c>
      <c r="AM141" s="403">
        <v>0</v>
      </c>
      <c r="AN141" s="402">
        <v>0</v>
      </c>
      <c r="AO141" s="403">
        <v>0</v>
      </c>
      <c r="AP141" s="402">
        <v>0</v>
      </c>
      <c r="AQ141" s="403">
        <v>0</v>
      </c>
      <c r="AR141" s="402">
        <v>0</v>
      </c>
      <c r="AS141" s="403">
        <v>0</v>
      </c>
      <c r="AT141" s="402"/>
      <c r="AU141" s="403"/>
      <c r="AV141" s="402"/>
      <c r="AW141" s="403"/>
      <c r="AX141" s="402">
        <v>0</v>
      </c>
      <c r="AY141" s="403">
        <v>0</v>
      </c>
      <c r="AZ141" s="402">
        <v>0</v>
      </c>
      <c r="BA141" s="403">
        <v>0</v>
      </c>
      <c r="BB141" s="402">
        <v>0</v>
      </c>
      <c r="BC141" s="403">
        <v>0</v>
      </c>
      <c r="BD141" s="402">
        <v>0</v>
      </c>
      <c r="BE141" s="403">
        <v>0</v>
      </c>
      <c r="BF141" s="402">
        <v>0</v>
      </c>
      <c r="BG141" s="403">
        <v>0</v>
      </c>
      <c r="BH141" s="402"/>
      <c r="BI141" s="403"/>
      <c r="BJ141" s="402"/>
      <c r="BK141" s="403"/>
      <c r="BL141" s="402">
        <v>0</v>
      </c>
      <c r="BM141" s="403">
        <v>0</v>
      </c>
      <c r="BN141" s="402">
        <v>0</v>
      </c>
      <c r="BO141" s="403">
        <v>0</v>
      </c>
      <c r="BP141" s="402">
        <v>0</v>
      </c>
      <c r="BQ141" s="403">
        <v>0</v>
      </c>
      <c r="BR141" s="402">
        <v>0</v>
      </c>
      <c r="BS141" s="403">
        <v>0</v>
      </c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3301</v>
      </c>
      <c r="B142" s="386" t="s">
        <v>3302</v>
      </c>
      <c r="C142" s="352" t="s">
        <v>3186</v>
      </c>
      <c r="D142" s="387" t="s">
        <v>3303</v>
      </c>
      <c r="E142" s="388" t="s">
        <v>3304</v>
      </c>
      <c r="F142" s="389" t="s">
        <v>3182</v>
      </c>
      <c r="G142" s="389" t="s">
        <v>3183</v>
      </c>
      <c r="H142" s="390" t="s">
        <v>1521</v>
      </c>
      <c r="I142" s="391" t="s">
        <v>1521</v>
      </c>
      <c r="J142" s="353" t="s">
        <v>3184</v>
      </c>
      <c r="K142" s="353" t="s">
        <v>3187</v>
      </c>
      <c r="L142" s="400">
        <v>0</v>
      </c>
      <c r="M142" s="401">
        <v>0</v>
      </c>
      <c r="N142" s="400">
        <v>0</v>
      </c>
      <c r="O142" s="401">
        <v>0</v>
      </c>
      <c r="P142" s="400">
        <v>0</v>
      </c>
      <c r="Q142" s="401">
        <v>0</v>
      </c>
      <c r="R142" s="400"/>
      <c r="S142" s="401"/>
      <c r="T142" s="400"/>
      <c r="U142" s="401"/>
      <c r="V142" s="400">
        <v>3</v>
      </c>
      <c r="W142" s="401">
        <v>0</v>
      </c>
      <c r="X142" s="400">
        <v>0</v>
      </c>
      <c r="Y142" s="401">
        <v>0</v>
      </c>
      <c r="Z142" s="400">
        <v>0</v>
      </c>
      <c r="AA142" s="401">
        <v>0</v>
      </c>
      <c r="AB142" s="400">
        <v>0</v>
      </c>
      <c r="AC142" s="401">
        <v>0</v>
      </c>
      <c r="AD142" s="400">
        <v>0</v>
      </c>
      <c r="AE142" s="401">
        <v>0</v>
      </c>
      <c r="AF142" s="400"/>
      <c r="AG142" s="401"/>
      <c r="AH142" s="400"/>
      <c r="AI142" s="401"/>
      <c r="AJ142" s="400">
        <v>3</v>
      </c>
      <c r="AK142" s="401">
        <v>0</v>
      </c>
      <c r="AL142" s="400">
        <v>0</v>
      </c>
      <c r="AM142" s="401">
        <v>0</v>
      </c>
      <c r="AN142" s="400">
        <v>0</v>
      </c>
      <c r="AO142" s="401">
        <v>0</v>
      </c>
      <c r="AP142" s="400">
        <v>0</v>
      </c>
      <c r="AQ142" s="401">
        <v>0</v>
      </c>
      <c r="AR142" s="400">
        <v>0</v>
      </c>
      <c r="AS142" s="401">
        <v>0</v>
      </c>
      <c r="AT142" s="400"/>
      <c r="AU142" s="401"/>
      <c r="AV142" s="400"/>
      <c r="AW142" s="401"/>
      <c r="AX142" s="400">
        <v>3</v>
      </c>
      <c r="AY142" s="401">
        <v>0</v>
      </c>
      <c r="AZ142" s="400">
        <v>0</v>
      </c>
      <c r="BA142" s="401">
        <v>0</v>
      </c>
      <c r="BB142" s="400">
        <v>0</v>
      </c>
      <c r="BC142" s="401">
        <v>0</v>
      </c>
      <c r="BD142" s="400">
        <v>0</v>
      </c>
      <c r="BE142" s="401">
        <v>0</v>
      </c>
      <c r="BF142" s="400">
        <v>0</v>
      </c>
      <c r="BG142" s="401">
        <v>0</v>
      </c>
      <c r="BH142" s="400"/>
      <c r="BI142" s="401"/>
      <c r="BJ142" s="400"/>
      <c r="BK142" s="401"/>
      <c r="BL142" s="400">
        <v>3</v>
      </c>
      <c r="BM142" s="401">
        <v>0</v>
      </c>
      <c r="BN142" s="400">
        <v>0</v>
      </c>
      <c r="BO142" s="401">
        <v>0</v>
      </c>
      <c r="BP142" s="400">
        <v>0</v>
      </c>
      <c r="BQ142" s="401">
        <v>0</v>
      </c>
      <c r="BR142" s="400">
        <v>0</v>
      </c>
      <c r="BS142" s="401">
        <v>0</v>
      </c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12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3301</v>
      </c>
      <c r="B143" s="386" t="s">
        <v>3302</v>
      </c>
      <c r="C143" s="392" t="s">
        <v>3186</v>
      </c>
      <c r="D143" s="387" t="s">
        <v>3303</v>
      </c>
      <c r="E143" s="388" t="s">
        <v>3304</v>
      </c>
      <c r="F143" s="389" t="s">
        <v>3182</v>
      </c>
      <c r="G143" s="389" t="s">
        <v>3183</v>
      </c>
      <c r="H143" s="390" t="s">
        <v>1521</v>
      </c>
      <c r="I143" s="391" t="s">
        <v>1521</v>
      </c>
      <c r="J143" s="353" t="s">
        <v>3184</v>
      </c>
      <c r="K143" s="355" t="s">
        <v>3188</v>
      </c>
      <c r="L143" s="400">
        <v>0</v>
      </c>
      <c r="M143" s="401">
        <v>0</v>
      </c>
      <c r="N143" s="400">
        <v>0</v>
      </c>
      <c r="O143" s="401">
        <v>0</v>
      </c>
      <c r="P143" s="400">
        <v>0</v>
      </c>
      <c r="Q143" s="401">
        <v>0</v>
      </c>
      <c r="R143" s="400"/>
      <c r="S143" s="401"/>
      <c r="T143" s="400"/>
      <c r="U143" s="401"/>
      <c r="V143" s="400">
        <v>0</v>
      </c>
      <c r="W143" s="401">
        <v>0</v>
      </c>
      <c r="X143" s="400">
        <v>0</v>
      </c>
      <c r="Y143" s="401">
        <v>0</v>
      </c>
      <c r="Z143" s="400">
        <v>0</v>
      </c>
      <c r="AA143" s="401">
        <v>0</v>
      </c>
      <c r="AB143" s="400">
        <v>0</v>
      </c>
      <c r="AC143" s="401">
        <v>0</v>
      </c>
      <c r="AD143" s="400">
        <v>0</v>
      </c>
      <c r="AE143" s="401">
        <v>0</v>
      </c>
      <c r="AF143" s="400"/>
      <c r="AG143" s="401"/>
      <c r="AH143" s="400"/>
      <c r="AI143" s="401"/>
      <c r="AJ143" s="400">
        <v>0</v>
      </c>
      <c r="AK143" s="401">
        <v>0</v>
      </c>
      <c r="AL143" s="400">
        <v>0</v>
      </c>
      <c r="AM143" s="401">
        <v>0</v>
      </c>
      <c r="AN143" s="400">
        <v>0</v>
      </c>
      <c r="AO143" s="401">
        <v>0</v>
      </c>
      <c r="AP143" s="400">
        <v>0</v>
      </c>
      <c r="AQ143" s="401">
        <v>0</v>
      </c>
      <c r="AR143" s="400">
        <v>0</v>
      </c>
      <c r="AS143" s="401">
        <v>0</v>
      </c>
      <c r="AT143" s="400"/>
      <c r="AU143" s="401"/>
      <c r="AV143" s="400"/>
      <c r="AW143" s="401"/>
      <c r="AX143" s="400">
        <v>0</v>
      </c>
      <c r="AY143" s="401">
        <v>0</v>
      </c>
      <c r="AZ143" s="400">
        <v>0</v>
      </c>
      <c r="BA143" s="401">
        <v>0</v>
      </c>
      <c r="BB143" s="400">
        <v>0</v>
      </c>
      <c r="BC143" s="401">
        <v>0</v>
      </c>
      <c r="BD143" s="400">
        <v>0</v>
      </c>
      <c r="BE143" s="401">
        <v>0</v>
      </c>
      <c r="BF143" s="400">
        <v>0</v>
      </c>
      <c r="BG143" s="401">
        <v>0</v>
      </c>
      <c r="BH143" s="400"/>
      <c r="BI143" s="401"/>
      <c r="BJ143" s="400"/>
      <c r="BK143" s="401"/>
      <c r="BL143" s="400">
        <v>0</v>
      </c>
      <c r="BM143" s="401">
        <v>0</v>
      </c>
      <c r="BN143" s="400">
        <v>0</v>
      </c>
      <c r="BO143" s="401">
        <v>0</v>
      </c>
      <c r="BP143" s="400">
        <v>0</v>
      </c>
      <c r="BQ143" s="401">
        <v>0</v>
      </c>
      <c r="BR143" s="400">
        <v>0</v>
      </c>
      <c r="BS143" s="401">
        <v>0</v>
      </c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3301</v>
      </c>
      <c r="B144" s="386" t="s">
        <v>3302</v>
      </c>
      <c r="C144" s="392" t="s">
        <v>3186</v>
      </c>
      <c r="D144" s="387" t="s">
        <v>3303</v>
      </c>
      <c r="E144" s="388" t="s">
        <v>3304</v>
      </c>
      <c r="F144" s="389" t="s">
        <v>3182</v>
      </c>
      <c r="G144" s="389" t="s">
        <v>3183</v>
      </c>
      <c r="H144" s="390" t="s">
        <v>1521</v>
      </c>
      <c r="I144" s="391" t="s">
        <v>1521</v>
      </c>
      <c r="J144" s="353" t="s">
        <v>3184</v>
      </c>
      <c r="K144" s="356" t="s">
        <v>3189</v>
      </c>
      <c r="L144" s="400">
        <v>0</v>
      </c>
      <c r="M144" s="401">
        <v>0</v>
      </c>
      <c r="N144" s="400">
        <v>0</v>
      </c>
      <c r="O144" s="401">
        <v>0</v>
      </c>
      <c r="P144" s="400">
        <v>0</v>
      </c>
      <c r="Q144" s="401">
        <v>0</v>
      </c>
      <c r="R144" s="400"/>
      <c r="S144" s="401"/>
      <c r="T144" s="400"/>
      <c r="U144" s="401"/>
      <c r="V144" s="400">
        <v>0</v>
      </c>
      <c r="W144" s="401">
        <v>0</v>
      </c>
      <c r="X144" s="400">
        <v>0</v>
      </c>
      <c r="Y144" s="401">
        <v>0</v>
      </c>
      <c r="Z144" s="400">
        <v>0</v>
      </c>
      <c r="AA144" s="401">
        <v>0</v>
      </c>
      <c r="AB144" s="400">
        <v>0</v>
      </c>
      <c r="AC144" s="401">
        <v>0</v>
      </c>
      <c r="AD144" s="400">
        <v>0</v>
      </c>
      <c r="AE144" s="401">
        <v>0</v>
      </c>
      <c r="AF144" s="400"/>
      <c r="AG144" s="401"/>
      <c r="AH144" s="400"/>
      <c r="AI144" s="401"/>
      <c r="AJ144" s="400">
        <v>0</v>
      </c>
      <c r="AK144" s="401">
        <v>0</v>
      </c>
      <c r="AL144" s="400">
        <v>0</v>
      </c>
      <c r="AM144" s="401">
        <v>0</v>
      </c>
      <c r="AN144" s="400">
        <v>0</v>
      </c>
      <c r="AO144" s="401">
        <v>0</v>
      </c>
      <c r="AP144" s="400">
        <v>0</v>
      </c>
      <c r="AQ144" s="401">
        <v>0</v>
      </c>
      <c r="AR144" s="400">
        <v>0</v>
      </c>
      <c r="AS144" s="401">
        <v>0</v>
      </c>
      <c r="AT144" s="400"/>
      <c r="AU144" s="401"/>
      <c r="AV144" s="400"/>
      <c r="AW144" s="401"/>
      <c r="AX144" s="400">
        <v>0</v>
      </c>
      <c r="AY144" s="401">
        <v>0</v>
      </c>
      <c r="AZ144" s="400">
        <v>0</v>
      </c>
      <c r="BA144" s="401">
        <v>0</v>
      </c>
      <c r="BB144" s="400">
        <v>0</v>
      </c>
      <c r="BC144" s="401">
        <v>0</v>
      </c>
      <c r="BD144" s="400">
        <v>0</v>
      </c>
      <c r="BE144" s="401">
        <v>0</v>
      </c>
      <c r="BF144" s="400">
        <v>0</v>
      </c>
      <c r="BG144" s="401">
        <v>0</v>
      </c>
      <c r="BH144" s="400"/>
      <c r="BI144" s="401"/>
      <c r="BJ144" s="400"/>
      <c r="BK144" s="401"/>
      <c r="BL144" s="400">
        <v>0</v>
      </c>
      <c r="BM144" s="401">
        <v>0</v>
      </c>
      <c r="BN144" s="400">
        <v>0</v>
      </c>
      <c r="BO144" s="401">
        <v>0</v>
      </c>
      <c r="BP144" s="400">
        <v>0</v>
      </c>
      <c r="BQ144" s="401">
        <v>0</v>
      </c>
      <c r="BR144" s="400">
        <v>0</v>
      </c>
      <c r="BS144" s="401">
        <v>0</v>
      </c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3301</v>
      </c>
      <c r="B145" s="393" t="s">
        <v>3302</v>
      </c>
      <c r="C145" s="394" t="s">
        <v>3186</v>
      </c>
      <c r="D145" s="395" t="s">
        <v>3303</v>
      </c>
      <c r="E145" s="411" t="s">
        <v>3304</v>
      </c>
      <c r="F145" s="396" t="s">
        <v>3182</v>
      </c>
      <c r="G145" s="396" t="s">
        <v>3183</v>
      </c>
      <c r="H145" s="397" t="s">
        <v>1521</v>
      </c>
      <c r="I145" s="899" t="s">
        <v>1521</v>
      </c>
      <c r="J145" s="353" t="s">
        <v>3184</v>
      </c>
      <c r="K145" s="357" t="s">
        <v>60</v>
      </c>
      <c r="L145" s="402">
        <v>0</v>
      </c>
      <c r="M145" s="403">
        <v>0</v>
      </c>
      <c r="N145" s="402">
        <v>0</v>
      </c>
      <c r="O145" s="403">
        <v>0</v>
      </c>
      <c r="P145" s="402">
        <v>0</v>
      </c>
      <c r="Q145" s="403">
        <v>0</v>
      </c>
      <c r="R145" s="402"/>
      <c r="S145" s="403"/>
      <c r="T145" s="402"/>
      <c r="U145" s="403"/>
      <c r="V145" s="402">
        <v>0</v>
      </c>
      <c r="W145" s="403">
        <v>0</v>
      </c>
      <c r="X145" s="402">
        <v>0</v>
      </c>
      <c r="Y145" s="403">
        <v>0</v>
      </c>
      <c r="Z145" s="402">
        <v>0</v>
      </c>
      <c r="AA145" s="403">
        <v>0</v>
      </c>
      <c r="AB145" s="402">
        <v>0</v>
      </c>
      <c r="AC145" s="403">
        <v>0</v>
      </c>
      <c r="AD145" s="402">
        <v>0</v>
      </c>
      <c r="AE145" s="403">
        <v>0</v>
      </c>
      <c r="AF145" s="402"/>
      <c r="AG145" s="403"/>
      <c r="AH145" s="402"/>
      <c r="AI145" s="403"/>
      <c r="AJ145" s="402">
        <v>0</v>
      </c>
      <c r="AK145" s="403">
        <v>0</v>
      </c>
      <c r="AL145" s="402">
        <v>0</v>
      </c>
      <c r="AM145" s="403">
        <v>0</v>
      </c>
      <c r="AN145" s="402">
        <v>0</v>
      </c>
      <c r="AO145" s="403">
        <v>0</v>
      </c>
      <c r="AP145" s="402">
        <v>0</v>
      </c>
      <c r="AQ145" s="403">
        <v>0</v>
      </c>
      <c r="AR145" s="402">
        <v>0</v>
      </c>
      <c r="AS145" s="403">
        <v>0</v>
      </c>
      <c r="AT145" s="402"/>
      <c r="AU145" s="403"/>
      <c r="AV145" s="402"/>
      <c r="AW145" s="403"/>
      <c r="AX145" s="402">
        <v>0</v>
      </c>
      <c r="AY145" s="403">
        <v>0</v>
      </c>
      <c r="AZ145" s="402">
        <v>0</v>
      </c>
      <c r="BA145" s="403">
        <v>0</v>
      </c>
      <c r="BB145" s="402">
        <v>0</v>
      </c>
      <c r="BC145" s="403">
        <v>0</v>
      </c>
      <c r="BD145" s="402">
        <v>0</v>
      </c>
      <c r="BE145" s="403">
        <v>0</v>
      </c>
      <c r="BF145" s="402">
        <v>0</v>
      </c>
      <c r="BG145" s="403">
        <v>0</v>
      </c>
      <c r="BH145" s="402"/>
      <c r="BI145" s="403"/>
      <c r="BJ145" s="402"/>
      <c r="BK145" s="403"/>
      <c r="BL145" s="402">
        <v>0</v>
      </c>
      <c r="BM145" s="403">
        <v>0</v>
      </c>
      <c r="BN145" s="402">
        <v>0</v>
      </c>
      <c r="BO145" s="403">
        <v>0</v>
      </c>
      <c r="BP145" s="402">
        <v>0</v>
      </c>
      <c r="BQ145" s="403">
        <v>0</v>
      </c>
      <c r="BR145" s="402">
        <v>0</v>
      </c>
      <c r="BS145" s="403">
        <v>0</v>
      </c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3305</v>
      </c>
      <c r="B146" s="526" t="s">
        <v>3306</v>
      </c>
      <c r="C146" s="527">
        <v>1</v>
      </c>
      <c r="D146" s="528" t="s">
        <v>3307</v>
      </c>
      <c r="E146" s="426" t="s">
        <v>3308</v>
      </c>
      <c r="F146" s="529" t="s">
        <v>3182</v>
      </c>
      <c r="G146" s="529" t="s">
        <v>3183</v>
      </c>
      <c r="H146" s="530" t="s">
        <v>1522</v>
      </c>
      <c r="I146" s="384" t="s">
        <v>1522</v>
      </c>
      <c r="J146" s="353" t="s">
        <v>3184</v>
      </c>
      <c r="K146" s="354" t="s">
        <v>3185</v>
      </c>
      <c r="L146" s="402">
        <v>0</v>
      </c>
      <c r="M146" s="403">
        <v>0</v>
      </c>
      <c r="N146" s="402">
        <v>0</v>
      </c>
      <c r="O146" s="403">
        <v>0</v>
      </c>
      <c r="P146" s="402">
        <v>0</v>
      </c>
      <c r="Q146" s="403">
        <v>0</v>
      </c>
      <c r="R146" s="402"/>
      <c r="S146" s="403"/>
      <c r="T146" s="402"/>
      <c r="U146" s="403"/>
      <c r="V146" s="402">
        <v>0</v>
      </c>
      <c r="W146" s="403">
        <v>0</v>
      </c>
      <c r="X146" s="402">
        <v>0</v>
      </c>
      <c r="Y146" s="403">
        <v>0</v>
      </c>
      <c r="Z146" s="402">
        <v>0</v>
      </c>
      <c r="AA146" s="403">
        <v>0</v>
      </c>
      <c r="AB146" s="402">
        <v>0</v>
      </c>
      <c r="AC146" s="403">
        <v>0</v>
      </c>
      <c r="AD146" s="402">
        <v>0</v>
      </c>
      <c r="AE146" s="403">
        <v>0</v>
      </c>
      <c r="AF146" s="402"/>
      <c r="AG146" s="403"/>
      <c r="AH146" s="402"/>
      <c r="AI146" s="403"/>
      <c r="AJ146" s="402">
        <v>0</v>
      </c>
      <c r="AK146" s="403">
        <v>0</v>
      </c>
      <c r="AL146" s="402">
        <v>0</v>
      </c>
      <c r="AM146" s="403">
        <v>0</v>
      </c>
      <c r="AN146" s="402">
        <v>0</v>
      </c>
      <c r="AO146" s="403">
        <v>0</v>
      </c>
      <c r="AP146" s="402">
        <v>0</v>
      </c>
      <c r="AQ146" s="403">
        <v>0</v>
      </c>
      <c r="AR146" s="402">
        <v>0</v>
      </c>
      <c r="AS146" s="403">
        <v>0</v>
      </c>
      <c r="AT146" s="402"/>
      <c r="AU146" s="403"/>
      <c r="AV146" s="402"/>
      <c r="AW146" s="403"/>
      <c r="AX146" s="402">
        <v>0</v>
      </c>
      <c r="AY146" s="403">
        <v>0</v>
      </c>
      <c r="AZ146" s="402">
        <v>0</v>
      </c>
      <c r="BA146" s="403">
        <v>0</v>
      </c>
      <c r="BB146" s="402">
        <v>0</v>
      </c>
      <c r="BC146" s="403">
        <v>0</v>
      </c>
      <c r="BD146" s="402">
        <v>0</v>
      </c>
      <c r="BE146" s="403">
        <v>0</v>
      </c>
      <c r="BF146" s="402">
        <v>0</v>
      </c>
      <c r="BG146" s="403">
        <v>0</v>
      </c>
      <c r="BH146" s="402"/>
      <c r="BI146" s="403"/>
      <c r="BJ146" s="402"/>
      <c r="BK146" s="403"/>
      <c r="BL146" s="402">
        <v>0</v>
      </c>
      <c r="BM146" s="403">
        <v>0</v>
      </c>
      <c r="BN146" s="402">
        <v>0</v>
      </c>
      <c r="BO146" s="403">
        <v>0</v>
      </c>
      <c r="BP146" s="402">
        <v>0</v>
      </c>
      <c r="BQ146" s="403">
        <v>0</v>
      </c>
      <c r="BR146" s="402">
        <v>0</v>
      </c>
      <c r="BS146" s="403">
        <v>0</v>
      </c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3305</v>
      </c>
      <c r="B147" s="386" t="s">
        <v>3306</v>
      </c>
      <c r="C147" s="352" t="s">
        <v>3186</v>
      </c>
      <c r="D147" s="387" t="s">
        <v>3307</v>
      </c>
      <c r="E147" s="388" t="s">
        <v>3308</v>
      </c>
      <c r="F147" s="389" t="s">
        <v>3182</v>
      </c>
      <c r="G147" s="389" t="s">
        <v>3183</v>
      </c>
      <c r="H147" s="390" t="s">
        <v>1522</v>
      </c>
      <c r="I147" s="391" t="s">
        <v>1522</v>
      </c>
      <c r="J147" s="353" t="s">
        <v>3184</v>
      </c>
      <c r="K147" s="353" t="s">
        <v>3187</v>
      </c>
      <c r="L147" s="400">
        <v>0</v>
      </c>
      <c r="M147" s="401">
        <v>0</v>
      </c>
      <c r="N147" s="400">
        <v>0</v>
      </c>
      <c r="O147" s="401">
        <v>0</v>
      </c>
      <c r="P147" s="400">
        <v>0</v>
      </c>
      <c r="Q147" s="401">
        <v>0</v>
      </c>
      <c r="R147" s="400"/>
      <c r="S147" s="401"/>
      <c r="T147" s="400"/>
      <c r="U147" s="401"/>
      <c r="V147" s="400">
        <v>13</v>
      </c>
      <c r="W147" s="401">
        <v>0</v>
      </c>
      <c r="X147" s="400">
        <v>0</v>
      </c>
      <c r="Y147" s="401">
        <v>0</v>
      </c>
      <c r="Z147" s="400">
        <v>0</v>
      </c>
      <c r="AA147" s="401">
        <v>0</v>
      </c>
      <c r="AB147" s="400">
        <v>0</v>
      </c>
      <c r="AC147" s="401">
        <v>0</v>
      </c>
      <c r="AD147" s="400">
        <v>0</v>
      </c>
      <c r="AE147" s="401">
        <v>0</v>
      </c>
      <c r="AF147" s="400"/>
      <c r="AG147" s="401"/>
      <c r="AH147" s="400"/>
      <c r="AI147" s="401"/>
      <c r="AJ147" s="400">
        <v>13</v>
      </c>
      <c r="AK147" s="401">
        <v>0</v>
      </c>
      <c r="AL147" s="400">
        <v>0</v>
      </c>
      <c r="AM147" s="401">
        <v>0</v>
      </c>
      <c r="AN147" s="400">
        <v>0</v>
      </c>
      <c r="AO147" s="401">
        <v>0</v>
      </c>
      <c r="AP147" s="400">
        <v>0</v>
      </c>
      <c r="AQ147" s="401">
        <v>0</v>
      </c>
      <c r="AR147" s="400">
        <v>0</v>
      </c>
      <c r="AS147" s="401">
        <v>0</v>
      </c>
      <c r="AT147" s="400"/>
      <c r="AU147" s="401"/>
      <c r="AV147" s="400"/>
      <c r="AW147" s="401"/>
      <c r="AX147" s="400">
        <v>13</v>
      </c>
      <c r="AY147" s="401">
        <v>0</v>
      </c>
      <c r="AZ147" s="400">
        <v>0</v>
      </c>
      <c r="BA147" s="401">
        <v>0</v>
      </c>
      <c r="BB147" s="400">
        <v>0</v>
      </c>
      <c r="BC147" s="401">
        <v>0</v>
      </c>
      <c r="BD147" s="400">
        <v>0</v>
      </c>
      <c r="BE147" s="401">
        <v>0</v>
      </c>
      <c r="BF147" s="400">
        <v>0</v>
      </c>
      <c r="BG147" s="401">
        <v>0</v>
      </c>
      <c r="BH147" s="400"/>
      <c r="BI147" s="401"/>
      <c r="BJ147" s="400"/>
      <c r="BK147" s="401"/>
      <c r="BL147" s="400">
        <v>13</v>
      </c>
      <c r="BM147" s="401">
        <v>0</v>
      </c>
      <c r="BN147" s="400">
        <v>0</v>
      </c>
      <c r="BO147" s="401">
        <v>0</v>
      </c>
      <c r="BP147" s="400">
        <v>0</v>
      </c>
      <c r="BQ147" s="401">
        <v>0</v>
      </c>
      <c r="BR147" s="400">
        <v>0</v>
      </c>
      <c r="BS147" s="401">
        <v>0</v>
      </c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52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3305</v>
      </c>
      <c r="B148" s="386" t="s">
        <v>3306</v>
      </c>
      <c r="C148" s="392" t="s">
        <v>3186</v>
      </c>
      <c r="D148" s="387" t="s">
        <v>3307</v>
      </c>
      <c r="E148" s="388" t="s">
        <v>3308</v>
      </c>
      <c r="F148" s="389" t="s">
        <v>3182</v>
      </c>
      <c r="G148" s="389" t="s">
        <v>3183</v>
      </c>
      <c r="H148" s="390" t="s">
        <v>1522</v>
      </c>
      <c r="I148" s="391" t="s">
        <v>1522</v>
      </c>
      <c r="J148" s="353" t="s">
        <v>3184</v>
      </c>
      <c r="K148" s="355" t="s">
        <v>3188</v>
      </c>
      <c r="L148" s="400">
        <v>0</v>
      </c>
      <c r="M148" s="401">
        <v>0</v>
      </c>
      <c r="N148" s="400">
        <v>0</v>
      </c>
      <c r="O148" s="401">
        <v>0</v>
      </c>
      <c r="P148" s="400">
        <v>0</v>
      </c>
      <c r="Q148" s="401">
        <v>0</v>
      </c>
      <c r="R148" s="400"/>
      <c r="S148" s="401"/>
      <c r="T148" s="400"/>
      <c r="U148" s="401"/>
      <c r="V148" s="400">
        <v>0</v>
      </c>
      <c r="W148" s="401">
        <v>0</v>
      </c>
      <c r="X148" s="400">
        <v>0</v>
      </c>
      <c r="Y148" s="401">
        <v>0</v>
      </c>
      <c r="Z148" s="400">
        <v>0</v>
      </c>
      <c r="AA148" s="401">
        <v>0</v>
      </c>
      <c r="AB148" s="400">
        <v>0</v>
      </c>
      <c r="AC148" s="401">
        <v>0</v>
      </c>
      <c r="AD148" s="400">
        <v>0</v>
      </c>
      <c r="AE148" s="401">
        <v>0</v>
      </c>
      <c r="AF148" s="400"/>
      <c r="AG148" s="401"/>
      <c r="AH148" s="400"/>
      <c r="AI148" s="401"/>
      <c r="AJ148" s="400">
        <v>0</v>
      </c>
      <c r="AK148" s="401">
        <v>0</v>
      </c>
      <c r="AL148" s="400">
        <v>0</v>
      </c>
      <c r="AM148" s="401">
        <v>0</v>
      </c>
      <c r="AN148" s="400">
        <v>0</v>
      </c>
      <c r="AO148" s="401">
        <v>0</v>
      </c>
      <c r="AP148" s="400">
        <v>0</v>
      </c>
      <c r="AQ148" s="401">
        <v>0</v>
      </c>
      <c r="AR148" s="400">
        <v>0</v>
      </c>
      <c r="AS148" s="401">
        <v>0</v>
      </c>
      <c r="AT148" s="400"/>
      <c r="AU148" s="401"/>
      <c r="AV148" s="400"/>
      <c r="AW148" s="401"/>
      <c r="AX148" s="400">
        <v>0</v>
      </c>
      <c r="AY148" s="401">
        <v>0</v>
      </c>
      <c r="AZ148" s="400">
        <v>0</v>
      </c>
      <c r="BA148" s="401">
        <v>0</v>
      </c>
      <c r="BB148" s="400">
        <v>0</v>
      </c>
      <c r="BC148" s="401">
        <v>0</v>
      </c>
      <c r="BD148" s="400">
        <v>0</v>
      </c>
      <c r="BE148" s="401">
        <v>0</v>
      </c>
      <c r="BF148" s="400">
        <v>0</v>
      </c>
      <c r="BG148" s="401">
        <v>0</v>
      </c>
      <c r="BH148" s="400"/>
      <c r="BI148" s="401"/>
      <c r="BJ148" s="400"/>
      <c r="BK148" s="401"/>
      <c r="BL148" s="400">
        <v>0</v>
      </c>
      <c r="BM148" s="401">
        <v>0</v>
      </c>
      <c r="BN148" s="400">
        <v>0</v>
      </c>
      <c r="BO148" s="401">
        <v>0</v>
      </c>
      <c r="BP148" s="400">
        <v>0</v>
      </c>
      <c r="BQ148" s="401">
        <v>0</v>
      </c>
      <c r="BR148" s="400">
        <v>0</v>
      </c>
      <c r="BS148" s="401">
        <v>0</v>
      </c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3305</v>
      </c>
      <c r="B149" s="386" t="s">
        <v>3306</v>
      </c>
      <c r="C149" s="392" t="s">
        <v>3186</v>
      </c>
      <c r="D149" s="387" t="s">
        <v>3307</v>
      </c>
      <c r="E149" s="388" t="s">
        <v>3308</v>
      </c>
      <c r="F149" s="389" t="s">
        <v>3182</v>
      </c>
      <c r="G149" s="389" t="s">
        <v>3183</v>
      </c>
      <c r="H149" s="390" t="s">
        <v>1522</v>
      </c>
      <c r="I149" s="391" t="s">
        <v>1522</v>
      </c>
      <c r="J149" s="353" t="s">
        <v>3184</v>
      </c>
      <c r="K149" s="356" t="s">
        <v>3189</v>
      </c>
      <c r="L149" s="400">
        <v>0</v>
      </c>
      <c r="M149" s="401">
        <v>0</v>
      </c>
      <c r="N149" s="400">
        <v>0</v>
      </c>
      <c r="O149" s="401">
        <v>0</v>
      </c>
      <c r="P149" s="400">
        <v>0</v>
      </c>
      <c r="Q149" s="401">
        <v>0</v>
      </c>
      <c r="R149" s="400"/>
      <c r="S149" s="401"/>
      <c r="T149" s="400"/>
      <c r="U149" s="401"/>
      <c r="V149" s="400">
        <v>0</v>
      </c>
      <c r="W149" s="401">
        <v>0</v>
      </c>
      <c r="X149" s="400">
        <v>0</v>
      </c>
      <c r="Y149" s="401">
        <v>0</v>
      </c>
      <c r="Z149" s="400">
        <v>0</v>
      </c>
      <c r="AA149" s="401">
        <v>0</v>
      </c>
      <c r="AB149" s="400">
        <v>0</v>
      </c>
      <c r="AC149" s="401">
        <v>0</v>
      </c>
      <c r="AD149" s="400">
        <v>0</v>
      </c>
      <c r="AE149" s="401">
        <v>0</v>
      </c>
      <c r="AF149" s="400"/>
      <c r="AG149" s="401"/>
      <c r="AH149" s="400"/>
      <c r="AI149" s="401"/>
      <c r="AJ149" s="400">
        <v>0</v>
      </c>
      <c r="AK149" s="401">
        <v>0</v>
      </c>
      <c r="AL149" s="400">
        <v>0</v>
      </c>
      <c r="AM149" s="401">
        <v>0</v>
      </c>
      <c r="AN149" s="400">
        <v>0</v>
      </c>
      <c r="AO149" s="401">
        <v>0</v>
      </c>
      <c r="AP149" s="400">
        <v>0</v>
      </c>
      <c r="AQ149" s="401">
        <v>0</v>
      </c>
      <c r="AR149" s="400">
        <v>0</v>
      </c>
      <c r="AS149" s="401">
        <v>0</v>
      </c>
      <c r="AT149" s="400"/>
      <c r="AU149" s="401"/>
      <c r="AV149" s="400"/>
      <c r="AW149" s="401"/>
      <c r="AX149" s="400">
        <v>0</v>
      </c>
      <c r="AY149" s="401">
        <v>0</v>
      </c>
      <c r="AZ149" s="400">
        <v>0</v>
      </c>
      <c r="BA149" s="401">
        <v>0</v>
      </c>
      <c r="BB149" s="400">
        <v>0</v>
      </c>
      <c r="BC149" s="401">
        <v>0</v>
      </c>
      <c r="BD149" s="400">
        <v>0</v>
      </c>
      <c r="BE149" s="401">
        <v>0</v>
      </c>
      <c r="BF149" s="400">
        <v>0</v>
      </c>
      <c r="BG149" s="401">
        <v>0</v>
      </c>
      <c r="BH149" s="400"/>
      <c r="BI149" s="401"/>
      <c r="BJ149" s="400"/>
      <c r="BK149" s="401"/>
      <c r="BL149" s="400">
        <v>0</v>
      </c>
      <c r="BM149" s="401">
        <v>0</v>
      </c>
      <c r="BN149" s="400">
        <v>0</v>
      </c>
      <c r="BO149" s="401">
        <v>0</v>
      </c>
      <c r="BP149" s="400">
        <v>0</v>
      </c>
      <c r="BQ149" s="401">
        <v>0</v>
      </c>
      <c r="BR149" s="400">
        <v>0</v>
      </c>
      <c r="BS149" s="401">
        <v>0</v>
      </c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3305</v>
      </c>
      <c r="B150" s="393" t="s">
        <v>3306</v>
      </c>
      <c r="C150" s="394" t="s">
        <v>3186</v>
      </c>
      <c r="D150" s="395" t="s">
        <v>3307</v>
      </c>
      <c r="E150" s="411" t="s">
        <v>3308</v>
      </c>
      <c r="F150" s="396" t="s">
        <v>3182</v>
      </c>
      <c r="G150" s="396" t="s">
        <v>3183</v>
      </c>
      <c r="H150" s="397" t="s">
        <v>1522</v>
      </c>
      <c r="I150" s="899" t="s">
        <v>1522</v>
      </c>
      <c r="J150" s="353" t="s">
        <v>3184</v>
      </c>
      <c r="K150" s="357" t="s">
        <v>60</v>
      </c>
      <c r="L150" s="402">
        <v>0</v>
      </c>
      <c r="M150" s="403">
        <v>0</v>
      </c>
      <c r="N150" s="402">
        <v>0</v>
      </c>
      <c r="O150" s="403">
        <v>0</v>
      </c>
      <c r="P150" s="402">
        <v>0</v>
      </c>
      <c r="Q150" s="403">
        <v>0</v>
      </c>
      <c r="R150" s="402"/>
      <c r="S150" s="403"/>
      <c r="T150" s="402"/>
      <c r="U150" s="403"/>
      <c r="V150" s="402">
        <v>0</v>
      </c>
      <c r="W150" s="403">
        <v>0</v>
      </c>
      <c r="X150" s="402">
        <v>0</v>
      </c>
      <c r="Y150" s="403">
        <v>0</v>
      </c>
      <c r="Z150" s="402">
        <v>0</v>
      </c>
      <c r="AA150" s="403">
        <v>0</v>
      </c>
      <c r="AB150" s="402">
        <v>0</v>
      </c>
      <c r="AC150" s="403">
        <v>0</v>
      </c>
      <c r="AD150" s="402">
        <v>0</v>
      </c>
      <c r="AE150" s="403">
        <v>0</v>
      </c>
      <c r="AF150" s="402"/>
      <c r="AG150" s="403"/>
      <c r="AH150" s="402"/>
      <c r="AI150" s="403"/>
      <c r="AJ150" s="402">
        <v>0</v>
      </c>
      <c r="AK150" s="403">
        <v>0</v>
      </c>
      <c r="AL150" s="402">
        <v>0</v>
      </c>
      <c r="AM150" s="403">
        <v>0</v>
      </c>
      <c r="AN150" s="402">
        <v>0</v>
      </c>
      <c r="AO150" s="403">
        <v>0</v>
      </c>
      <c r="AP150" s="402">
        <v>0</v>
      </c>
      <c r="AQ150" s="403">
        <v>0</v>
      </c>
      <c r="AR150" s="402">
        <v>0</v>
      </c>
      <c r="AS150" s="403">
        <v>0</v>
      </c>
      <c r="AT150" s="402"/>
      <c r="AU150" s="403"/>
      <c r="AV150" s="402"/>
      <c r="AW150" s="403"/>
      <c r="AX150" s="402">
        <v>0</v>
      </c>
      <c r="AY150" s="403">
        <v>0</v>
      </c>
      <c r="AZ150" s="402">
        <v>0</v>
      </c>
      <c r="BA150" s="403">
        <v>0</v>
      </c>
      <c r="BB150" s="402">
        <v>0</v>
      </c>
      <c r="BC150" s="403">
        <v>0</v>
      </c>
      <c r="BD150" s="402">
        <v>0</v>
      </c>
      <c r="BE150" s="403">
        <v>0</v>
      </c>
      <c r="BF150" s="402">
        <v>0</v>
      </c>
      <c r="BG150" s="403">
        <v>0</v>
      </c>
      <c r="BH150" s="402"/>
      <c r="BI150" s="403"/>
      <c r="BJ150" s="402"/>
      <c r="BK150" s="403"/>
      <c r="BL150" s="402">
        <v>0</v>
      </c>
      <c r="BM150" s="403">
        <v>0</v>
      </c>
      <c r="BN150" s="402">
        <v>0</v>
      </c>
      <c r="BO150" s="403">
        <v>0</v>
      </c>
      <c r="BP150" s="402">
        <v>0</v>
      </c>
      <c r="BQ150" s="403">
        <v>0</v>
      </c>
      <c r="BR150" s="402">
        <v>0</v>
      </c>
      <c r="BS150" s="403">
        <v>0</v>
      </c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3309</v>
      </c>
      <c r="B151" s="526" t="s">
        <v>3310</v>
      </c>
      <c r="C151" s="527">
        <v>1</v>
      </c>
      <c r="D151" s="528" t="s">
        <v>3311</v>
      </c>
      <c r="E151" s="426" t="s">
        <v>3312</v>
      </c>
      <c r="F151" s="529" t="s">
        <v>3182</v>
      </c>
      <c r="G151" s="529" t="s">
        <v>3183</v>
      </c>
      <c r="H151" s="530" t="s">
        <v>1523</v>
      </c>
      <c r="I151" s="384" t="s">
        <v>1523</v>
      </c>
      <c r="J151" s="353" t="s">
        <v>3184</v>
      </c>
      <c r="K151" s="354" t="s">
        <v>3185</v>
      </c>
      <c r="L151" s="402">
        <v>0</v>
      </c>
      <c r="M151" s="403">
        <v>0</v>
      </c>
      <c r="N151" s="402">
        <v>0</v>
      </c>
      <c r="O151" s="403">
        <v>0</v>
      </c>
      <c r="P151" s="402">
        <v>0</v>
      </c>
      <c r="Q151" s="403">
        <v>0</v>
      </c>
      <c r="R151" s="402"/>
      <c r="S151" s="403"/>
      <c r="T151" s="402"/>
      <c r="U151" s="403"/>
      <c r="V151" s="402">
        <v>0</v>
      </c>
      <c r="W151" s="403">
        <v>0</v>
      </c>
      <c r="X151" s="402">
        <v>0</v>
      </c>
      <c r="Y151" s="403">
        <v>0</v>
      </c>
      <c r="Z151" s="402">
        <v>0</v>
      </c>
      <c r="AA151" s="403">
        <v>0</v>
      </c>
      <c r="AB151" s="402">
        <v>0</v>
      </c>
      <c r="AC151" s="403">
        <v>0</v>
      </c>
      <c r="AD151" s="402">
        <v>0</v>
      </c>
      <c r="AE151" s="403">
        <v>0</v>
      </c>
      <c r="AF151" s="402"/>
      <c r="AG151" s="403"/>
      <c r="AH151" s="402"/>
      <c r="AI151" s="403"/>
      <c r="AJ151" s="402">
        <v>0</v>
      </c>
      <c r="AK151" s="403">
        <v>0</v>
      </c>
      <c r="AL151" s="402">
        <v>0</v>
      </c>
      <c r="AM151" s="403">
        <v>0</v>
      </c>
      <c r="AN151" s="402">
        <v>0</v>
      </c>
      <c r="AO151" s="403">
        <v>0</v>
      </c>
      <c r="AP151" s="402">
        <v>0</v>
      </c>
      <c r="AQ151" s="403">
        <v>0</v>
      </c>
      <c r="AR151" s="402">
        <v>0</v>
      </c>
      <c r="AS151" s="403">
        <v>0</v>
      </c>
      <c r="AT151" s="402"/>
      <c r="AU151" s="403"/>
      <c r="AV151" s="402"/>
      <c r="AW151" s="403"/>
      <c r="AX151" s="402">
        <v>0</v>
      </c>
      <c r="AY151" s="403">
        <v>0</v>
      </c>
      <c r="AZ151" s="402">
        <v>0</v>
      </c>
      <c r="BA151" s="403">
        <v>0</v>
      </c>
      <c r="BB151" s="402">
        <v>0</v>
      </c>
      <c r="BC151" s="403">
        <v>0</v>
      </c>
      <c r="BD151" s="402">
        <v>0</v>
      </c>
      <c r="BE151" s="403">
        <v>0</v>
      </c>
      <c r="BF151" s="402">
        <v>0</v>
      </c>
      <c r="BG151" s="403">
        <v>0</v>
      </c>
      <c r="BH151" s="402"/>
      <c r="BI151" s="403"/>
      <c r="BJ151" s="402"/>
      <c r="BK151" s="403"/>
      <c r="BL151" s="402">
        <v>0</v>
      </c>
      <c r="BM151" s="403">
        <v>0</v>
      </c>
      <c r="BN151" s="402">
        <v>0</v>
      </c>
      <c r="BO151" s="403">
        <v>0</v>
      </c>
      <c r="BP151" s="402">
        <v>0</v>
      </c>
      <c r="BQ151" s="403">
        <v>0</v>
      </c>
      <c r="BR151" s="402">
        <v>0</v>
      </c>
      <c r="BS151" s="403">
        <v>0</v>
      </c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3309</v>
      </c>
      <c r="B152" s="386" t="s">
        <v>3310</v>
      </c>
      <c r="C152" s="352" t="s">
        <v>3186</v>
      </c>
      <c r="D152" s="387" t="s">
        <v>3311</v>
      </c>
      <c r="E152" s="388" t="s">
        <v>3312</v>
      </c>
      <c r="F152" s="389" t="s">
        <v>3182</v>
      </c>
      <c r="G152" s="389" t="s">
        <v>3183</v>
      </c>
      <c r="H152" s="390" t="s">
        <v>1523</v>
      </c>
      <c r="I152" s="391" t="s">
        <v>1523</v>
      </c>
      <c r="J152" s="353" t="s">
        <v>3184</v>
      </c>
      <c r="K152" s="353" t="s">
        <v>3187</v>
      </c>
      <c r="L152" s="400">
        <v>0</v>
      </c>
      <c r="M152" s="401">
        <v>0</v>
      </c>
      <c r="N152" s="400">
        <v>0</v>
      </c>
      <c r="O152" s="401">
        <v>0</v>
      </c>
      <c r="P152" s="400">
        <v>0</v>
      </c>
      <c r="Q152" s="401">
        <v>0</v>
      </c>
      <c r="R152" s="400"/>
      <c r="S152" s="401"/>
      <c r="T152" s="400"/>
      <c r="U152" s="401"/>
      <c r="V152" s="400">
        <v>8</v>
      </c>
      <c r="W152" s="401">
        <v>0</v>
      </c>
      <c r="X152" s="400">
        <v>0</v>
      </c>
      <c r="Y152" s="401">
        <v>0</v>
      </c>
      <c r="Z152" s="400">
        <v>0</v>
      </c>
      <c r="AA152" s="401">
        <v>0</v>
      </c>
      <c r="AB152" s="400">
        <v>0</v>
      </c>
      <c r="AC152" s="401">
        <v>0</v>
      </c>
      <c r="AD152" s="400">
        <v>0</v>
      </c>
      <c r="AE152" s="401">
        <v>0</v>
      </c>
      <c r="AF152" s="400"/>
      <c r="AG152" s="401"/>
      <c r="AH152" s="400"/>
      <c r="AI152" s="401"/>
      <c r="AJ152" s="400">
        <v>8</v>
      </c>
      <c r="AK152" s="401">
        <v>0</v>
      </c>
      <c r="AL152" s="400">
        <v>0</v>
      </c>
      <c r="AM152" s="401">
        <v>0</v>
      </c>
      <c r="AN152" s="400">
        <v>0</v>
      </c>
      <c r="AO152" s="401">
        <v>0</v>
      </c>
      <c r="AP152" s="400">
        <v>0</v>
      </c>
      <c r="AQ152" s="401">
        <v>0</v>
      </c>
      <c r="AR152" s="400">
        <v>0</v>
      </c>
      <c r="AS152" s="401">
        <v>0</v>
      </c>
      <c r="AT152" s="400"/>
      <c r="AU152" s="401"/>
      <c r="AV152" s="400"/>
      <c r="AW152" s="401"/>
      <c r="AX152" s="400">
        <v>8</v>
      </c>
      <c r="AY152" s="401">
        <v>0</v>
      </c>
      <c r="AZ152" s="400">
        <v>0</v>
      </c>
      <c r="BA152" s="401">
        <v>0</v>
      </c>
      <c r="BB152" s="400">
        <v>0</v>
      </c>
      <c r="BC152" s="401">
        <v>0</v>
      </c>
      <c r="BD152" s="400">
        <v>0</v>
      </c>
      <c r="BE152" s="401">
        <v>0</v>
      </c>
      <c r="BF152" s="400">
        <v>0</v>
      </c>
      <c r="BG152" s="401">
        <v>0</v>
      </c>
      <c r="BH152" s="400"/>
      <c r="BI152" s="401"/>
      <c r="BJ152" s="400"/>
      <c r="BK152" s="401"/>
      <c r="BL152" s="400">
        <v>8</v>
      </c>
      <c r="BM152" s="401">
        <v>0</v>
      </c>
      <c r="BN152" s="400">
        <v>0</v>
      </c>
      <c r="BO152" s="401">
        <v>0</v>
      </c>
      <c r="BP152" s="400">
        <v>0</v>
      </c>
      <c r="BQ152" s="401">
        <v>0</v>
      </c>
      <c r="BR152" s="400">
        <v>0</v>
      </c>
      <c r="BS152" s="401">
        <v>0</v>
      </c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32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3309</v>
      </c>
      <c r="B153" s="386" t="s">
        <v>3310</v>
      </c>
      <c r="C153" s="392" t="s">
        <v>3186</v>
      </c>
      <c r="D153" s="387" t="s">
        <v>3311</v>
      </c>
      <c r="E153" s="388" t="s">
        <v>3312</v>
      </c>
      <c r="F153" s="389" t="s">
        <v>3182</v>
      </c>
      <c r="G153" s="389" t="s">
        <v>3183</v>
      </c>
      <c r="H153" s="390" t="s">
        <v>1523</v>
      </c>
      <c r="I153" s="391" t="s">
        <v>1523</v>
      </c>
      <c r="J153" s="353" t="s">
        <v>3184</v>
      </c>
      <c r="K153" s="355" t="s">
        <v>3188</v>
      </c>
      <c r="L153" s="400">
        <v>0</v>
      </c>
      <c r="M153" s="401">
        <v>0</v>
      </c>
      <c r="N153" s="400">
        <v>0</v>
      </c>
      <c r="O153" s="401">
        <v>0</v>
      </c>
      <c r="P153" s="400">
        <v>0</v>
      </c>
      <c r="Q153" s="401">
        <v>0</v>
      </c>
      <c r="R153" s="400"/>
      <c r="S153" s="401"/>
      <c r="T153" s="400"/>
      <c r="U153" s="401"/>
      <c r="V153" s="400">
        <v>0</v>
      </c>
      <c r="W153" s="401">
        <v>0</v>
      </c>
      <c r="X153" s="400">
        <v>0</v>
      </c>
      <c r="Y153" s="401">
        <v>0</v>
      </c>
      <c r="Z153" s="400">
        <v>0</v>
      </c>
      <c r="AA153" s="401">
        <v>0</v>
      </c>
      <c r="AB153" s="400">
        <v>0</v>
      </c>
      <c r="AC153" s="401">
        <v>0</v>
      </c>
      <c r="AD153" s="400">
        <v>0</v>
      </c>
      <c r="AE153" s="401">
        <v>0</v>
      </c>
      <c r="AF153" s="400"/>
      <c r="AG153" s="401"/>
      <c r="AH153" s="400"/>
      <c r="AI153" s="401"/>
      <c r="AJ153" s="400">
        <v>0</v>
      </c>
      <c r="AK153" s="401">
        <v>0</v>
      </c>
      <c r="AL153" s="400">
        <v>0</v>
      </c>
      <c r="AM153" s="401">
        <v>0</v>
      </c>
      <c r="AN153" s="400">
        <v>0</v>
      </c>
      <c r="AO153" s="401">
        <v>0</v>
      </c>
      <c r="AP153" s="400">
        <v>0</v>
      </c>
      <c r="AQ153" s="401">
        <v>0</v>
      </c>
      <c r="AR153" s="400">
        <v>0</v>
      </c>
      <c r="AS153" s="401">
        <v>0</v>
      </c>
      <c r="AT153" s="400"/>
      <c r="AU153" s="401"/>
      <c r="AV153" s="400"/>
      <c r="AW153" s="401"/>
      <c r="AX153" s="400">
        <v>0</v>
      </c>
      <c r="AY153" s="401">
        <v>0</v>
      </c>
      <c r="AZ153" s="400">
        <v>0</v>
      </c>
      <c r="BA153" s="401">
        <v>0</v>
      </c>
      <c r="BB153" s="400">
        <v>0</v>
      </c>
      <c r="BC153" s="401">
        <v>0</v>
      </c>
      <c r="BD153" s="400">
        <v>0</v>
      </c>
      <c r="BE153" s="401">
        <v>0</v>
      </c>
      <c r="BF153" s="400">
        <v>0</v>
      </c>
      <c r="BG153" s="401">
        <v>0</v>
      </c>
      <c r="BH153" s="400"/>
      <c r="BI153" s="401"/>
      <c r="BJ153" s="400"/>
      <c r="BK153" s="401"/>
      <c r="BL153" s="400">
        <v>0</v>
      </c>
      <c r="BM153" s="401">
        <v>0</v>
      </c>
      <c r="BN153" s="400">
        <v>0</v>
      </c>
      <c r="BO153" s="401">
        <v>0</v>
      </c>
      <c r="BP153" s="400">
        <v>0</v>
      </c>
      <c r="BQ153" s="401">
        <v>0</v>
      </c>
      <c r="BR153" s="400">
        <v>0</v>
      </c>
      <c r="BS153" s="401">
        <v>0</v>
      </c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3309</v>
      </c>
      <c r="B154" s="386" t="s">
        <v>3310</v>
      </c>
      <c r="C154" s="392" t="s">
        <v>3186</v>
      </c>
      <c r="D154" s="387" t="s">
        <v>3311</v>
      </c>
      <c r="E154" s="388" t="s">
        <v>3312</v>
      </c>
      <c r="F154" s="389" t="s">
        <v>3182</v>
      </c>
      <c r="G154" s="389" t="s">
        <v>3183</v>
      </c>
      <c r="H154" s="390" t="s">
        <v>1523</v>
      </c>
      <c r="I154" s="391" t="s">
        <v>1523</v>
      </c>
      <c r="J154" s="353" t="s">
        <v>3184</v>
      </c>
      <c r="K154" s="356" t="s">
        <v>3189</v>
      </c>
      <c r="L154" s="400">
        <v>0</v>
      </c>
      <c r="M154" s="401">
        <v>0</v>
      </c>
      <c r="N154" s="400">
        <v>0</v>
      </c>
      <c r="O154" s="401">
        <v>0</v>
      </c>
      <c r="P154" s="400">
        <v>0</v>
      </c>
      <c r="Q154" s="401">
        <v>0</v>
      </c>
      <c r="R154" s="400"/>
      <c r="S154" s="401"/>
      <c r="T154" s="400"/>
      <c r="U154" s="401"/>
      <c r="V154" s="400">
        <v>0</v>
      </c>
      <c r="W154" s="401">
        <v>0</v>
      </c>
      <c r="X154" s="400">
        <v>0</v>
      </c>
      <c r="Y154" s="401">
        <v>0</v>
      </c>
      <c r="Z154" s="400">
        <v>0</v>
      </c>
      <c r="AA154" s="401">
        <v>0</v>
      </c>
      <c r="AB154" s="400">
        <v>0</v>
      </c>
      <c r="AC154" s="401">
        <v>0</v>
      </c>
      <c r="AD154" s="400">
        <v>0</v>
      </c>
      <c r="AE154" s="401">
        <v>0</v>
      </c>
      <c r="AF154" s="400"/>
      <c r="AG154" s="401"/>
      <c r="AH154" s="400"/>
      <c r="AI154" s="401"/>
      <c r="AJ154" s="400">
        <v>0</v>
      </c>
      <c r="AK154" s="401">
        <v>0</v>
      </c>
      <c r="AL154" s="400">
        <v>0</v>
      </c>
      <c r="AM154" s="401">
        <v>0</v>
      </c>
      <c r="AN154" s="400">
        <v>0</v>
      </c>
      <c r="AO154" s="401">
        <v>0</v>
      </c>
      <c r="AP154" s="400">
        <v>0</v>
      </c>
      <c r="AQ154" s="401">
        <v>0</v>
      </c>
      <c r="AR154" s="400">
        <v>0</v>
      </c>
      <c r="AS154" s="401">
        <v>0</v>
      </c>
      <c r="AT154" s="400"/>
      <c r="AU154" s="401"/>
      <c r="AV154" s="400"/>
      <c r="AW154" s="401"/>
      <c r="AX154" s="400">
        <v>0</v>
      </c>
      <c r="AY154" s="401">
        <v>0</v>
      </c>
      <c r="AZ154" s="400">
        <v>0</v>
      </c>
      <c r="BA154" s="401">
        <v>0</v>
      </c>
      <c r="BB154" s="400">
        <v>0</v>
      </c>
      <c r="BC154" s="401">
        <v>0</v>
      </c>
      <c r="BD154" s="400">
        <v>0</v>
      </c>
      <c r="BE154" s="401">
        <v>0</v>
      </c>
      <c r="BF154" s="400">
        <v>0</v>
      </c>
      <c r="BG154" s="401">
        <v>0</v>
      </c>
      <c r="BH154" s="400"/>
      <c r="BI154" s="401"/>
      <c r="BJ154" s="400"/>
      <c r="BK154" s="401"/>
      <c r="BL154" s="400">
        <v>0</v>
      </c>
      <c r="BM154" s="401">
        <v>0</v>
      </c>
      <c r="BN154" s="400">
        <v>0</v>
      </c>
      <c r="BO154" s="401">
        <v>0</v>
      </c>
      <c r="BP154" s="400">
        <v>0</v>
      </c>
      <c r="BQ154" s="401">
        <v>0</v>
      </c>
      <c r="BR154" s="400">
        <v>0</v>
      </c>
      <c r="BS154" s="401">
        <v>0</v>
      </c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3309</v>
      </c>
      <c r="B155" s="393" t="s">
        <v>3310</v>
      </c>
      <c r="C155" s="394" t="s">
        <v>3186</v>
      </c>
      <c r="D155" s="395" t="s">
        <v>3311</v>
      </c>
      <c r="E155" s="411" t="s">
        <v>3312</v>
      </c>
      <c r="F155" s="396" t="s">
        <v>3182</v>
      </c>
      <c r="G155" s="396" t="s">
        <v>3183</v>
      </c>
      <c r="H155" s="397" t="s">
        <v>1523</v>
      </c>
      <c r="I155" s="899" t="s">
        <v>1523</v>
      </c>
      <c r="J155" s="353" t="s">
        <v>3184</v>
      </c>
      <c r="K155" s="357" t="s">
        <v>60</v>
      </c>
      <c r="L155" s="402">
        <v>0</v>
      </c>
      <c r="M155" s="403">
        <v>0</v>
      </c>
      <c r="N155" s="402">
        <v>0</v>
      </c>
      <c r="O155" s="403">
        <v>0</v>
      </c>
      <c r="P155" s="402">
        <v>0</v>
      </c>
      <c r="Q155" s="403">
        <v>0</v>
      </c>
      <c r="R155" s="402"/>
      <c r="S155" s="403"/>
      <c r="T155" s="402"/>
      <c r="U155" s="403"/>
      <c r="V155" s="402">
        <v>0</v>
      </c>
      <c r="W155" s="403">
        <v>0</v>
      </c>
      <c r="X155" s="402">
        <v>0</v>
      </c>
      <c r="Y155" s="403">
        <v>0</v>
      </c>
      <c r="Z155" s="402">
        <v>0</v>
      </c>
      <c r="AA155" s="403">
        <v>0</v>
      </c>
      <c r="AB155" s="402">
        <v>0</v>
      </c>
      <c r="AC155" s="403">
        <v>0</v>
      </c>
      <c r="AD155" s="402">
        <v>0</v>
      </c>
      <c r="AE155" s="403">
        <v>0</v>
      </c>
      <c r="AF155" s="402"/>
      <c r="AG155" s="403"/>
      <c r="AH155" s="402"/>
      <c r="AI155" s="403"/>
      <c r="AJ155" s="402">
        <v>0</v>
      </c>
      <c r="AK155" s="403">
        <v>0</v>
      </c>
      <c r="AL155" s="402">
        <v>0</v>
      </c>
      <c r="AM155" s="403">
        <v>0</v>
      </c>
      <c r="AN155" s="402">
        <v>0</v>
      </c>
      <c r="AO155" s="403">
        <v>0</v>
      </c>
      <c r="AP155" s="402">
        <v>0</v>
      </c>
      <c r="AQ155" s="403">
        <v>0</v>
      </c>
      <c r="AR155" s="402">
        <v>0</v>
      </c>
      <c r="AS155" s="403">
        <v>0</v>
      </c>
      <c r="AT155" s="402"/>
      <c r="AU155" s="403"/>
      <c r="AV155" s="402"/>
      <c r="AW155" s="403"/>
      <c r="AX155" s="402">
        <v>0</v>
      </c>
      <c r="AY155" s="403">
        <v>0</v>
      </c>
      <c r="AZ155" s="402">
        <v>0</v>
      </c>
      <c r="BA155" s="403">
        <v>0</v>
      </c>
      <c r="BB155" s="402">
        <v>0</v>
      </c>
      <c r="BC155" s="403">
        <v>0</v>
      </c>
      <c r="BD155" s="402">
        <v>0</v>
      </c>
      <c r="BE155" s="403">
        <v>0</v>
      </c>
      <c r="BF155" s="402">
        <v>0</v>
      </c>
      <c r="BG155" s="403">
        <v>0</v>
      </c>
      <c r="BH155" s="402"/>
      <c r="BI155" s="403"/>
      <c r="BJ155" s="402"/>
      <c r="BK155" s="403"/>
      <c r="BL155" s="402">
        <v>0</v>
      </c>
      <c r="BM155" s="403">
        <v>0</v>
      </c>
      <c r="BN155" s="402">
        <v>0</v>
      </c>
      <c r="BO155" s="403">
        <v>0</v>
      </c>
      <c r="BP155" s="402">
        <v>0</v>
      </c>
      <c r="BQ155" s="403">
        <v>0</v>
      </c>
      <c r="BR155" s="402">
        <v>0</v>
      </c>
      <c r="BS155" s="403">
        <v>0</v>
      </c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3313</v>
      </c>
      <c r="B156" s="526" t="s">
        <v>3314</v>
      </c>
      <c r="C156" s="527">
        <v>1</v>
      </c>
      <c r="D156" s="528" t="s">
        <v>3315</v>
      </c>
      <c r="E156" s="426" t="s">
        <v>3316</v>
      </c>
      <c r="F156" s="529" t="s">
        <v>3182</v>
      </c>
      <c r="G156" s="529" t="s">
        <v>3183</v>
      </c>
      <c r="H156" s="530" t="s">
        <v>1524</v>
      </c>
      <c r="I156" s="384" t="s">
        <v>1524</v>
      </c>
      <c r="J156" s="353" t="s">
        <v>3184</v>
      </c>
      <c r="K156" s="354" t="s">
        <v>3185</v>
      </c>
      <c r="L156" s="402">
        <v>0</v>
      </c>
      <c r="M156" s="403">
        <v>0</v>
      </c>
      <c r="N156" s="402">
        <v>0</v>
      </c>
      <c r="O156" s="403">
        <v>0</v>
      </c>
      <c r="P156" s="402">
        <v>0</v>
      </c>
      <c r="Q156" s="403">
        <v>0</v>
      </c>
      <c r="R156" s="402"/>
      <c r="S156" s="403"/>
      <c r="T156" s="402"/>
      <c r="U156" s="403"/>
      <c r="V156" s="402">
        <v>0</v>
      </c>
      <c r="W156" s="403">
        <v>0</v>
      </c>
      <c r="X156" s="402">
        <v>0</v>
      </c>
      <c r="Y156" s="403">
        <v>0</v>
      </c>
      <c r="Z156" s="402">
        <v>0</v>
      </c>
      <c r="AA156" s="403">
        <v>0</v>
      </c>
      <c r="AB156" s="402">
        <v>0</v>
      </c>
      <c r="AC156" s="403">
        <v>0</v>
      </c>
      <c r="AD156" s="402">
        <v>0</v>
      </c>
      <c r="AE156" s="403">
        <v>0</v>
      </c>
      <c r="AF156" s="402"/>
      <c r="AG156" s="403"/>
      <c r="AH156" s="402"/>
      <c r="AI156" s="403"/>
      <c r="AJ156" s="402">
        <v>0</v>
      </c>
      <c r="AK156" s="403">
        <v>0</v>
      </c>
      <c r="AL156" s="402">
        <v>0</v>
      </c>
      <c r="AM156" s="403">
        <v>0</v>
      </c>
      <c r="AN156" s="402">
        <v>0</v>
      </c>
      <c r="AO156" s="403">
        <v>0</v>
      </c>
      <c r="AP156" s="402">
        <v>0</v>
      </c>
      <c r="AQ156" s="403">
        <v>0</v>
      </c>
      <c r="AR156" s="402">
        <v>0</v>
      </c>
      <c r="AS156" s="403">
        <v>0</v>
      </c>
      <c r="AT156" s="402"/>
      <c r="AU156" s="403"/>
      <c r="AV156" s="402"/>
      <c r="AW156" s="403"/>
      <c r="AX156" s="402">
        <v>0</v>
      </c>
      <c r="AY156" s="403">
        <v>0</v>
      </c>
      <c r="AZ156" s="402">
        <v>0</v>
      </c>
      <c r="BA156" s="403">
        <v>0</v>
      </c>
      <c r="BB156" s="402">
        <v>0</v>
      </c>
      <c r="BC156" s="403">
        <v>0</v>
      </c>
      <c r="BD156" s="402">
        <v>0</v>
      </c>
      <c r="BE156" s="403">
        <v>0</v>
      </c>
      <c r="BF156" s="402">
        <v>0</v>
      </c>
      <c r="BG156" s="403">
        <v>0</v>
      </c>
      <c r="BH156" s="402"/>
      <c r="BI156" s="403"/>
      <c r="BJ156" s="402"/>
      <c r="BK156" s="403"/>
      <c r="BL156" s="402">
        <v>0</v>
      </c>
      <c r="BM156" s="403">
        <v>0</v>
      </c>
      <c r="BN156" s="402">
        <v>0</v>
      </c>
      <c r="BO156" s="403">
        <v>0</v>
      </c>
      <c r="BP156" s="402">
        <v>0</v>
      </c>
      <c r="BQ156" s="403">
        <v>0</v>
      </c>
      <c r="BR156" s="402">
        <v>0</v>
      </c>
      <c r="BS156" s="403">
        <v>0</v>
      </c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3313</v>
      </c>
      <c r="B157" s="386" t="s">
        <v>3314</v>
      </c>
      <c r="C157" s="352" t="s">
        <v>3186</v>
      </c>
      <c r="D157" s="387" t="s">
        <v>3315</v>
      </c>
      <c r="E157" s="388" t="s">
        <v>3316</v>
      </c>
      <c r="F157" s="389" t="s">
        <v>3182</v>
      </c>
      <c r="G157" s="389" t="s">
        <v>3183</v>
      </c>
      <c r="H157" s="390" t="s">
        <v>1524</v>
      </c>
      <c r="I157" s="391" t="s">
        <v>1524</v>
      </c>
      <c r="J157" s="353" t="s">
        <v>3184</v>
      </c>
      <c r="K157" s="353" t="s">
        <v>3187</v>
      </c>
      <c r="L157" s="400">
        <v>0</v>
      </c>
      <c r="M157" s="401">
        <v>0</v>
      </c>
      <c r="N157" s="400">
        <v>0</v>
      </c>
      <c r="O157" s="401">
        <v>0</v>
      </c>
      <c r="P157" s="400">
        <v>0</v>
      </c>
      <c r="Q157" s="401">
        <v>0</v>
      </c>
      <c r="R157" s="400"/>
      <c r="S157" s="401"/>
      <c r="T157" s="400"/>
      <c r="U157" s="401"/>
      <c r="V157" s="400">
        <v>7</v>
      </c>
      <c r="W157" s="401">
        <v>0</v>
      </c>
      <c r="X157" s="400">
        <v>0</v>
      </c>
      <c r="Y157" s="401">
        <v>0</v>
      </c>
      <c r="Z157" s="400">
        <v>0</v>
      </c>
      <c r="AA157" s="401">
        <v>0</v>
      </c>
      <c r="AB157" s="400">
        <v>0</v>
      </c>
      <c r="AC157" s="401">
        <v>0</v>
      </c>
      <c r="AD157" s="400">
        <v>0</v>
      </c>
      <c r="AE157" s="401">
        <v>0</v>
      </c>
      <c r="AF157" s="400"/>
      <c r="AG157" s="401"/>
      <c r="AH157" s="400"/>
      <c r="AI157" s="401"/>
      <c r="AJ157" s="400">
        <v>7</v>
      </c>
      <c r="AK157" s="401">
        <v>0</v>
      </c>
      <c r="AL157" s="400">
        <v>0</v>
      </c>
      <c r="AM157" s="401">
        <v>0</v>
      </c>
      <c r="AN157" s="400">
        <v>0</v>
      </c>
      <c r="AO157" s="401">
        <v>0</v>
      </c>
      <c r="AP157" s="400">
        <v>0</v>
      </c>
      <c r="AQ157" s="401">
        <v>0</v>
      </c>
      <c r="AR157" s="400">
        <v>0</v>
      </c>
      <c r="AS157" s="401">
        <v>0</v>
      </c>
      <c r="AT157" s="400"/>
      <c r="AU157" s="401"/>
      <c r="AV157" s="400"/>
      <c r="AW157" s="401"/>
      <c r="AX157" s="400">
        <v>7</v>
      </c>
      <c r="AY157" s="401">
        <v>0</v>
      </c>
      <c r="AZ157" s="400">
        <v>0</v>
      </c>
      <c r="BA157" s="401">
        <v>0</v>
      </c>
      <c r="BB157" s="400">
        <v>0</v>
      </c>
      <c r="BC157" s="401">
        <v>0</v>
      </c>
      <c r="BD157" s="400">
        <v>0</v>
      </c>
      <c r="BE157" s="401">
        <v>0</v>
      </c>
      <c r="BF157" s="400">
        <v>0</v>
      </c>
      <c r="BG157" s="401">
        <v>0</v>
      </c>
      <c r="BH157" s="400"/>
      <c r="BI157" s="401"/>
      <c r="BJ157" s="400"/>
      <c r="BK157" s="401"/>
      <c r="BL157" s="400">
        <v>7</v>
      </c>
      <c r="BM157" s="401">
        <v>0</v>
      </c>
      <c r="BN157" s="400">
        <v>0</v>
      </c>
      <c r="BO157" s="401">
        <v>0</v>
      </c>
      <c r="BP157" s="400">
        <v>0</v>
      </c>
      <c r="BQ157" s="401">
        <v>0</v>
      </c>
      <c r="BR157" s="400">
        <v>0</v>
      </c>
      <c r="BS157" s="401">
        <v>0</v>
      </c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28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3313</v>
      </c>
      <c r="B158" s="386" t="s">
        <v>3314</v>
      </c>
      <c r="C158" s="392" t="s">
        <v>3186</v>
      </c>
      <c r="D158" s="387" t="s">
        <v>3315</v>
      </c>
      <c r="E158" s="388" t="s">
        <v>3316</v>
      </c>
      <c r="F158" s="389" t="s">
        <v>3182</v>
      </c>
      <c r="G158" s="389" t="s">
        <v>3183</v>
      </c>
      <c r="H158" s="390" t="s">
        <v>1524</v>
      </c>
      <c r="I158" s="391" t="s">
        <v>1524</v>
      </c>
      <c r="J158" s="353" t="s">
        <v>3184</v>
      </c>
      <c r="K158" s="355" t="s">
        <v>3188</v>
      </c>
      <c r="L158" s="400">
        <v>0</v>
      </c>
      <c r="M158" s="401">
        <v>0</v>
      </c>
      <c r="N158" s="400">
        <v>0</v>
      </c>
      <c r="O158" s="401">
        <v>0</v>
      </c>
      <c r="P158" s="400">
        <v>0</v>
      </c>
      <c r="Q158" s="401">
        <v>0</v>
      </c>
      <c r="R158" s="400"/>
      <c r="S158" s="401"/>
      <c r="T158" s="400"/>
      <c r="U158" s="401"/>
      <c r="V158" s="400">
        <v>0</v>
      </c>
      <c r="W158" s="401">
        <v>0</v>
      </c>
      <c r="X158" s="400">
        <v>0</v>
      </c>
      <c r="Y158" s="401">
        <v>0</v>
      </c>
      <c r="Z158" s="400">
        <v>0</v>
      </c>
      <c r="AA158" s="401">
        <v>0</v>
      </c>
      <c r="AB158" s="400">
        <v>0</v>
      </c>
      <c r="AC158" s="401">
        <v>0</v>
      </c>
      <c r="AD158" s="400">
        <v>0</v>
      </c>
      <c r="AE158" s="401">
        <v>0</v>
      </c>
      <c r="AF158" s="400"/>
      <c r="AG158" s="401"/>
      <c r="AH158" s="400"/>
      <c r="AI158" s="401"/>
      <c r="AJ158" s="400">
        <v>0</v>
      </c>
      <c r="AK158" s="401">
        <v>0</v>
      </c>
      <c r="AL158" s="400">
        <v>0</v>
      </c>
      <c r="AM158" s="401">
        <v>0</v>
      </c>
      <c r="AN158" s="400">
        <v>0</v>
      </c>
      <c r="AO158" s="401">
        <v>0</v>
      </c>
      <c r="AP158" s="400">
        <v>0</v>
      </c>
      <c r="AQ158" s="401">
        <v>0</v>
      </c>
      <c r="AR158" s="400">
        <v>0</v>
      </c>
      <c r="AS158" s="401">
        <v>0</v>
      </c>
      <c r="AT158" s="400"/>
      <c r="AU158" s="401"/>
      <c r="AV158" s="400"/>
      <c r="AW158" s="401"/>
      <c r="AX158" s="400">
        <v>0</v>
      </c>
      <c r="AY158" s="401">
        <v>0</v>
      </c>
      <c r="AZ158" s="400">
        <v>0</v>
      </c>
      <c r="BA158" s="401">
        <v>0</v>
      </c>
      <c r="BB158" s="400">
        <v>0</v>
      </c>
      <c r="BC158" s="401">
        <v>0</v>
      </c>
      <c r="BD158" s="400">
        <v>0</v>
      </c>
      <c r="BE158" s="401">
        <v>0</v>
      </c>
      <c r="BF158" s="400">
        <v>0</v>
      </c>
      <c r="BG158" s="401">
        <v>0</v>
      </c>
      <c r="BH158" s="400"/>
      <c r="BI158" s="401"/>
      <c r="BJ158" s="400"/>
      <c r="BK158" s="401"/>
      <c r="BL158" s="400">
        <v>0</v>
      </c>
      <c r="BM158" s="401">
        <v>0</v>
      </c>
      <c r="BN158" s="400">
        <v>0</v>
      </c>
      <c r="BO158" s="401">
        <v>0</v>
      </c>
      <c r="BP158" s="400">
        <v>0</v>
      </c>
      <c r="BQ158" s="401">
        <v>0</v>
      </c>
      <c r="BR158" s="400">
        <v>0</v>
      </c>
      <c r="BS158" s="401">
        <v>0</v>
      </c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3313</v>
      </c>
      <c r="B159" s="386" t="s">
        <v>3314</v>
      </c>
      <c r="C159" s="392" t="s">
        <v>3186</v>
      </c>
      <c r="D159" s="387" t="s">
        <v>3315</v>
      </c>
      <c r="E159" s="388" t="s">
        <v>3316</v>
      </c>
      <c r="F159" s="389" t="s">
        <v>3182</v>
      </c>
      <c r="G159" s="389" t="s">
        <v>3183</v>
      </c>
      <c r="H159" s="390" t="s">
        <v>1524</v>
      </c>
      <c r="I159" s="391" t="s">
        <v>1524</v>
      </c>
      <c r="J159" s="353" t="s">
        <v>3184</v>
      </c>
      <c r="K159" s="356" t="s">
        <v>3189</v>
      </c>
      <c r="L159" s="400">
        <v>0</v>
      </c>
      <c r="M159" s="401">
        <v>0</v>
      </c>
      <c r="N159" s="400">
        <v>0</v>
      </c>
      <c r="O159" s="401">
        <v>0</v>
      </c>
      <c r="P159" s="400">
        <v>0</v>
      </c>
      <c r="Q159" s="401">
        <v>0</v>
      </c>
      <c r="R159" s="400"/>
      <c r="S159" s="401"/>
      <c r="T159" s="400"/>
      <c r="U159" s="401"/>
      <c r="V159" s="400">
        <v>0</v>
      </c>
      <c r="W159" s="401">
        <v>0</v>
      </c>
      <c r="X159" s="400">
        <v>0</v>
      </c>
      <c r="Y159" s="401">
        <v>0</v>
      </c>
      <c r="Z159" s="400">
        <v>0</v>
      </c>
      <c r="AA159" s="401">
        <v>0</v>
      </c>
      <c r="AB159" s="400">
        <v>0</v>
      </c>
      <c r="AC159" s="401">
        <v>0</v>
      </c>
      <c r="AD159" s="400">
        <v>0</v>
      </c>
      <c r="AE159" s="401">
        <v>0</v>
      </c>
      <c r="AF159" s="400"/>
      <c r="AG159" s="401"/>
      <c r="AH159" s="400"/>
      <c r="AI159" s="401"/>
      <c r="AJ159" s="400">
        <v>0</v>
      </c>
      <c r="AK159" s="401">
        <v>0</v>
      </c>
      <c r="AL159" s="400">
        <v>0</v>
      </c>
      <c r="AM159" s="401">
        <v>0</v>
      </c>
      <c r="AN159" s="400">
        <v>0</v>
      </c>
      <c r="AO159" s="401">
        <v>0</v>
      </c>
      <c r="AP159" s="400">
        <v>0</v>
      </c>
      <c r="AQ159" s="401">
        <v>0</v>
      </c>
      <c r="AR159" s="400">
        <v>0</v>
      </c>
      <c r="AS159" s="401">
        <v>0</v>
      </c>
      <c r="AT159" s="400"/>
      <c r="AU159" s="401"/>
      <c r="AV159" s="400"/>
      <c r="AW159" s="401"/>
      <c r="AX159" s="400">
        <v>0</v>
      </c>
      <c r="AY159" s="401">
        <v>0</v>
      </c>
      <c r="AZ159" s="400">
        <v>0</v>
      </c>
      <c r="BA159" s="401">
        <v>0</v>
      </c>
      <c r="BB159" s="400">
        <v>0</v>
      </c>
      <c r="BC159" s="401">
        <v>0</v>
      </c>
      <c r="BD159" s="400">
        <v>0</v>
      </c>
      <c r="BE159" s="401">
        <v>0</v>
      </c>
      <c r="BF159" s="400">
        <v>0</v>
      </c>
      <c r="BG159" s="401">
        <v>0</v>
      </c>
      <c r="BH159" s="400"/>
      <c r="BI159" s="401"/>
      <c r="BJ159" s="400"/>
      <c r="BK159" s="401"/>
      <c r="BL159" s="400">
        <v>0</v>
      </c>
      <c r="BM159" s="401">
        <v>0</v>
      </c>
      <c r="BN159" s="400">
        <v>0</v>
      </c>
      <c r="BO159" s="401">
        <v>0</v>
      </c>
      <c r="BP159" s="400">
        <v>0</v>
      </c>
      <c r="BQ159" s="401">
        <v>0</v>
      </c>
      <c r="BR159" s="400">
        <v>0</v>
      </c>
      <c r="BS159" s="401">
        <v>0</v>
      </c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3313</v>
      </c>
      <c r="B160" s="393" t="s">
        <v>3314</v>
      </c>
      <c r="C160" s="394" t="s">
        <v>3186</v>
      </c>
      <c r="D160" s="395" t="s">
        <v>3315</v>
      </c>
      <c r="E160" s="411" t="s">
        <v>3316</v>
      </c>
      <c r="F160" s="396" t="s">
        <v>3182</v>
      </c>
      <c r="G160" s="396" t="s">
        <v>3183</v>
      </c>
      <c r="H160" s="397" t="s">
        <v>1524</v>
      </c>
      <c r="I160" s="899" t="s">
        <v>1524</v>
      </c>
      <c r="J160" s="353" t="s">
        <v>3184</v>
      </c>
      <c r="K160" s="357" t="s">
        <v>60</v>
      </c>
      <c r="L160" s="402">
        <v>0</v>
      </c>
      <c r="M160" s="403">
        <v>0</v>
      </c>
      <c r="N160" s="402">
        <v>0</v>
      </c>
      <c r="O160" s="403">
        <v>0</v>
      </c>
      <c r="P160" s="402">
        <v>0</v>
      </c>
      <c r="Q160" s="403">
        <v>0</v>
      </c>
      <c r="R160" s="402"/>
      <c r="S160" s="403"/>
      <c r="T160" s="402"/>
      <c r="U160" s="403"/>
      <c r="V160" s="402">
        <v>0</v>
      </c>
      <c r="W160" s="403">
        <v>0</v>
      </c>
      <c r="X160" s="402">
        <v>0</v>
      </c>
      <c r="Y160" s="403">
        <v>0</v>
      </c>
      <c r="Z160" s="402">
        <v>0</v>
      </c>
      <c r="AA160" s="403">
        <v>0</v>
      </c>
      <c r="AB160" s="402">
        <v>0</v>
      </c>
      <c r="AC160" s="403">
        <v>0</v>
      </c>
      <c r="AD160" s="402">
        <v>0</v>
      </c>
      <c r="AE160" s="403">
        <v>0</v>
      </c>
      <c r="AF160" s="402"/>
      <c r="AG160" s="403"/>
      <c r="AH160" s="402"/>
      <c r="AI160" s="403"/>
      <c r="AJ160" s="402">
        <v>0</v>
      </c>
      <c r="AK160" s="403">
        <v>0</v>
      </c>
      <c r="AL160" s="402">
        <v>0</v>
      </c>
      <c r="AM160" s="403">
        <v>0</v>
      </c>
      <c r="AN160" s="402">
        <v>0</v>
      </c>
      <c r="AO160" s="403">
        <v>0</v>
      </c>
      <c r="AP160" s="402">
        <v>0</v>
      </c>
      <c r="AQ160" s="403">
        <v>0</v>
      </c>
      <c r="AR160" s="402">
        <v>0</v>
      </c>
      <c r="AS160" s="403">
        <v>0</v>
      </c>
      <c r="AT160" s="402"/>
      <c r="AU160" s="403"/>
      <c r="AV160" s="402"/>
      <c r="AW160" s="403"/>
      <c r="AX160" s="402">
        <v>0</v>
      </c>
      <c r="AY160" s="403">
        <v>0</v>
      </c>
      <c r="AZ160" s="402">
        <v>0</v>
      </c>
      <c r="BA160" s="403">
        <v>0</v>
      </c>
      <c r="BB160" s="402">
        <v>0</v>
      </c>
      <c r="BC160" s="403">
        <v>0</v>
      </c>
      <c r="BD160" s="402">
        <v>0</v>
      </c>
      <c r="BE160" s="403">
        <v>0</v>
      </c>
      <c r="BF160" s="402">
        <v>0</v>
      </c>
      <c r="BG160" s="403">
        <v>0</v>
      </c>
      <c r="BH160" s="402"/>
      <c r="BI160" s="403"/>
      <c r="BJ160" s="402"/>
      <c r="BK160" s="403"/>
      <c r="BL160" s="402">
        <v>0</v>
      </c>
      <c r="BM160" s="403">
        <v>0</v>
      </c>
      <c r="BN160" s="402">
        <v>0</v>
      </c>
      <c r="BO160" s="403">
        <v>0</v>
      </c>
      <c r="BP160" s="402">
        <v>0</v>
      </c>
      <c r="BQ160" s="403">
        <v>0</v>
      </c>
      <c r="BR160" s="402">
        <v>0</v>
      </c>
      <c r="BS160" s="403">
        <v>0</v>
      </c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3317</v>
      </c>
      <c r="B161" s="526" t="s">
        <v>3318</v>
      </c>
      <c r="C161" s="527">
        <v>1</v>
      </c>
      <c r="D161" s="528" t="s">
        <v>3319</v>
      </c>
      <c r="E161" s="426" t="s">
        <v>3320</v>
      </c>
      <c r="F161" s="529" t="s">
        <v>3182</v>
      </c>
      <c r="G161" s="529" t="s">
        <v>3183</v>
      </c>
      <c r="H161" s="530" t="s">
        <v>1525</v>
      </c>
      <c r="I161" s="384" t="s">
        <v>1525</v>
      </c>
      <c r="J161" s="353" t="s">
        <v>3184</v>
      </c>
      <c r="K161" s="354" t="s">
        <v>3185</v>
      </c>
      <c r="L161" s="402">
        <v>0</v>
      </c>
      <c r="M161" s="403">
        <v>0</v>
      </c>
      <c r="N161" s="402">
        <v>0</v>
      </c>
      <c r="O161" s="403">
        <v>0</v>
      </c>
      <c r="P161" s="402">
        <v>0</v>
      </c>
      <c r="Q161" s="403">
        <v>0</v>
      </c>
      <c r="R161" s="402"/>
      <c r="S161" s="403"/>
      <c r="T161" s="402"/>
      <c r="U161" s="403"/>
      <c r="V161" s="402">
        <v>0</v>
      </c>
      <c r="W161" s="403">
        <v>0</v>
      </c>
      <c r="X161" s="402">
        <v>0</v>
      </c>
      <c r="Y161" s="403">
        <v>0</v>
      </c>
      <c r="Z161" s="402">
        <v>0</v>
      </c>
      <c r="AA161" s="403">
        <v>0</v>
      </c>
      <c r="AB161" s="402">
        <v>0</v>
      </c>
      <c r="AC161" s="403">
        <v>0</v>
      </c>
      <c r="AD161" s="402">
        <v>0</v>
      </c>
      <c r="AE161" s="403">
        <v>0</v>
      </c>
      <c r="AF161" s="402"/>
      <c r="AG161" s="403"/>
      <c r="AH161" s="402"/>
      <c r="AI161" s="403"/>
      <c r="AJ161" s="402">
        <v>0</v>
      </c>
      <c r="AK161" s="403">
        <v>0</v>
      </c>
      <c r="AL161" s="402">
        <v>0</v>
      </c>
      <c r="AM161" s="403">
        <v>0</v>
      </c>
      <c r="AN161" s="402">
        <v>0</v>
      </c>
      <c r="AO161" s="403">
        <v>0</v>
      </c>
      <c r="AP161" s="402">
        <v>0</v>
      </c>
      <c r="AQ161" s="403">
        <v>0</v>
      </c>
      <c r="AR161" s="402">
        <v>0</v>
      </c>
      <c r="AS161" s="403">
        <v>0</v>
      </c>
      <c r="AT161" s="402"/>
      <c r="AU161" s="403"/>
      <c r="AV161" s="402"/>
      <c r="AW161" s="403"/>
      <c r="AX161" s="402">
        <v>0</v>
      </c>
      <c r="AY161" s="403">
        <v>0</v>
      </c>
      <c r="AZ161" s="402">
        <v>0</v>
      </c>
      <c r="BA161" s="403">
        <v>0</v>
      </c>
      <c r="BB161" s="402">
        <v>0</v>
      </c>
      <c r="BC161" s="403">
        <v>0</v>
      </c>
      <c r="BD161" s="402">
        <v>0</v>
      </c>
      <c r="BE161" s="403">
        <v>0</v>
      </c>
      <c r="BF161" s="402">
        <v>0</v>
      </c>
      <c r="BG161" s="403">
        <v>0</v>
      </c>
      <c r="BH161" s="402"/>
      <c r="BI161" s="403"/>
      <c r="BJ161" s="402"/>
      <c r="BK161" s="403"/>
      <c r="BL161" s="402">
        <v>0</v>
      </c>
      <c r="BM161" s="403">
        <v>0</v>
      </c>
      <c r="BN161" s="402">
        <v>0</v>
      </c>
      <c r="BO161" s="403">
        <v>0</v>
      </c>
      <c r="BP161" s="402">
        <v>0</v>
      </c>
      <c r="BQ161" s="403">
        <v>0</v>
      </c>
      <c r="BR161" s="402">
        <v>0</v>
      </c>
      <c r="BS161" s="403">
        <v>0</v>
      </c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3317</v>
      </c>
      <c r="B162" s="386" t="s">
        <v>3318</v>
      </c>
      <c r="C162" s="352" t="s">
        <v>3186</v>
      </c>
      <c r="D162" s="387" t="s">
        <v>3319</v>
      </c>
      <c r="E162" s="388" t="s">
        <v>3320</v>
      </c>
      <c r="F162" s="389" t="s">
        <v>3182</v>
      </c>
      <c r="G162" s="389" t="s">
        <v>3183</v>
      </c>
      <c r="H162" s="390" t="s">
        <v>1525</v>
      </c>
      <c r="I162" s="391" t="s">
        <v>1525</v>
      </c>
      <c r="J162" s="353" t="s">
        <v>3184</v>
      </c>
      <c r="K162" s="353" t="s">
        <v>3187</v>
      </c>
      <c r="L162" s="400">
        <v>0</v>
      </c>
      <c r="M162" s="401">
        <v>0</v>
      </c>
      <c r="N162" s="400">
        <v>0</v>
      </c>
      <c r="O162" s="401">
        <v>0</v>
      </c>
      <c r="P162" s="400">
        <v>0</v>
      </c>
      <c r="Q162" s="401">
        <v>0</v>
      </c>
      <c r="R162" s="400"/>
      <c r="S162" s="401"/>
      <c r="T162" s="400"/>
      <c r="U162" s="401"/>
      <c r="V162" s="400">
        <v>3</v>
      </c>
      <c r="W162" s="401">
        <v>0</v>
      </c>
      <c r="X162" s="400">
        <v>0</v>
      </c>
      <c r="Y162" s="401">
        <v>0</v>
      </c>
      <c r="Z162" s="400">
        <v>0</v>
      </c>
      <c r="AA162" s="401">
        <v>0</v>
      </c>
      <c r="AB162" s="400">
        <v>0</v>
      </c>
      <c r="AC162" s="401">
        <v>0</v>
      </c>
      <c r="AD162" s="400">
        <v>0</v>
      </c>
      <c r="AE162" s="401">
        <v>0</v>
      </c>
      <c r="AF162" s="400"/>
      <c r="AG162" s="401"/>
      <c r="AH162" s="400"/>
      <c r="AI162" s="401"/>
      <c r="AJ162" s="400">
        <v>3</v>
      </c>
      <c r="AK162" s="401">
        <v>0</v>
      </c>
      <c r="AL162" s="400">
        <v>0</v>
      </c>
      <c r="AM162" s="401">
        <v>0</v>
      </c>
      <c r="AN162" s="400">
        <v>0</v>
      </c>
      <c r="AO162" s="401">
        <v>0</v>
      </c>
      <c r="AP162" s="400">
        <v>0</v>
      </c>
      <c r="AQ162" s="401">
        <v>0</v>
      </c>
      <c r="AR162" s="400">
        <v>0</v>
      </c>
      <c r="AS162" s="401">
        <v>0</v>
      </c>
      <c r="AT162" s="400"/>
      <c r="AU162" s="401"/>
      <c r="AV162" s="400"/>
      <c r="AW162" s="401"/>
      <c r="AX162" s="400">
        <v>3</v>
      </c>
      <c r="AY162" s="401">
        <v>0</v>
      </c>
      <c r="AZ162" s="400">
        <v>0</v>
      </c>
      <c r="BA162" s="401">
        <v>0</v>
      </c>
      <c r="BB162" s="400">
        <v>0</v>
      </c>
      <c r="BC162" s="401">
        <v>0</v>
      </c>
      <c r="BD162" s="400">
        <v>0</v>
      </c>
      <c r="BE162" s="401">
        <v>0</v>
      </c>
      <c r="BF162" s="400">
        <v>0</v>
      </c>
      <c r="BG162" s="401">
        <v>0</v>
      </c>
      <c r="BH162" s="400"/>
      <c r="BI162" s="401"/>
      <c r="BJ162" s="400"/>
      <c r="BK162" s="401"/>
      <c r="BL162" s="400">
        <v>3</v>
      </c>
      <c r="BM162" s="401">
        <v>0</v>
      </c>
      <c r="BN162" s="400">
        <v>0</v>
      </c>
      <c r="BO162" s="401">
        <v>0</v>
      </c>
      <c r="BP162" s="400">
        <v>0</v>
      </c>
      <c r="BQ162" s="401">
        <v>0</v>
      </c>
      <c r="BR162" s="400">
        <v>0</v>
      </c>
      <c r="BS162" s="401">
        <v>0</v>
      </c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12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3317</v>
      </c>
      <c r="B163" s="386" t="s">
        <v>3318</v>
      </c>
      <c r="C163" s="392" t="s">
        <v>3186</v>
      </c>
      <c r="D163" s="387" t="s">
        <v>3319</v>
      </c>
      <c r="E163" s="388" t="s">
        <v>3320</v>
      </c>
      <c r="F163" s="389" t="s">
        <v>3182</v>
      </c>
      <c r="G163" s="389" t="s">
        <v>3183</v>
      </c>
      <c r="H163" s="390" t="s">
        <v>1525</v>
      </c>
      <c r="I163" s="391" t="s">
        <v>1525</v>
      </c>
      <c r="J163" s="353" t="s">
        <v>3184</v>
      </c>
      <c r="K163" s="355" t="s">
        <v>3188</v>
      </c>
      <c r="L163" s="400">
        <v>0</v>
      </c>
      <c r="M163" s="401">
        <v>0</v>
      </c>
      <c r="N163" s="400">
        <v>0</v>
      </c>
      <c r="O163" s="401">
        <v>0</v>
      </c>
      <c r="P163" s="400">
        <v>0</v>
      </c>
      <c r="Q163" s="401">
        <v>0</v>
      </c>
      <c r="R163" s="400"/>
      <c r="S163" s="401"/>
      <c r="T163" s="400"/>
      <c r="U163" s="401"/>
      <c r="V163" s="400">
        <v>0</v>
      </c>
      <c r="W163" s="401">
        <v>0</v>
      </c>
      <c r="X163" s="400">
        <v>0</v>
      </c>
      <c r="Y163" s="401">
        <v>0</v>
      </c>
      <c r="Z163" s="400">
        <v>0</v>
      </c>
      <c r="AA163" s="401">
        <v>0</v>
      </c>
      <c r="AB163" s="400">
        <v>0</v>
      </c>
      <c r="AC163" s="401">
        <v>0</v>
      </c>
      <c r="AD163" s="400">
        <v>0</v>
      </c>
      <c r="AE163" s="401">
        <v>0</v>
      </c>
      <c r="AF163" s="400"/>
      <c r="AG163" s="401"/>
      <c r="AH163" s="400"/>
      <c r="AI163" s="401"/>
      <c r="AJ163" s="400">
        <v>0</v>
      </c>
      <c r="AK163" s="401">
        <v>0</v>
      </c>
      <c r="AL163" s="400">
        <v>0</v>
      </c>
      <c r="AM163" s="401">
        <v>0</v>
      </c>
      <c r="AN163" s="400">
        <v>0</v>
      </c>
      <c r="AO163" s="401">
        <v>0</v>
      </c>
      <c r="AP163" s="400">
        <v>0</v>
      </c>
      <c r="AQ163" s="401">
        <v>0</v>
      </c>
      <c r="AR163" s="400">
        <v>0</v>
      </c>
      <c r="AS163" s="401">
        <v>0</v>
      </c>
      <c r="AT163" s="400"/>
      <c r="AU163" s="401"/>
      <c r="AV163" s="400"/>
      <c r="AW163" s="401"/>
      <c r="AX163" s="400">
        <v>0</v>
      </c>
      <c r="AY163" s="401">
        <v>0</v>
      </c>
      <c r="AZ163" s="400">
        <v>0</v>
      </c>
      <c r="BA163" s="401">
        <v>0</v>
      </c>
      <c r="BB163" s="400">
        <v>0</v>
      </c>
      <c r="BC163" s="401">
        <v>0</v>
      </c>
      <c r="BD163" s="400">
        <v>0</v>
      </c>
      <c r="BE163" s="401">
        <v>0</v>
      </c>
      <c r="BF163" s="400">
        <v>0</v>
      </c>
      <c r="BG163" s="401">
        <v>0</v>
      </c>
      <c r="BH163" s="400"/>
      <c r="BI163" s="401"/>
      <c r="BJ163" s="400"/>
      <c r="BK163" s="401"/>
      <c r="BL163" s="400">
        <v>0</v>
      </c>
      <c r="BM163" s="401">
        <v>0</v>
      </c>
      <c r="BN163" s="400">
        <v>0</v>
      </c>
      <c r="BO163" s="401">
        <v>0</v>
      </c>
      <c r="BP163" s="400">
        <v>0</v>
      </c>
      <c r="BQ163" s="401">
        <v>0</v>
      </c>
      <c r="BR163" s="400">
        <v>0</v>
      </c>
      <c r="BS163" s="401">
        <v>0</v>
      </c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3317</v>
      </c>
      <c r="B164" s="386" t="s">
        <v>3318</v>
      </c>
      <c r="C164" s="392" t="s">
        <v>3186</v>
      </c>
      <c r="D164" s="387" t="s">
        <v>3319</v>
      </c>
      <c r="E164" s="388" t="s">
        <v>3320</v>
      </c>
      <c r="F164" s="389" t="s">
        <v>3182</v>
      </c>
      <c r="G164" s="389" t="s">
        <v>3183</v>
      </c>
      <c r="H164" s="390" t="s">
        <v>1525</v>
      </c>
      <c r="I164" s="391" t="s">
        <v>1525</v>
      </c>
      <c r="J164" s="353" t="s">
        <v>3184</v>
      </c>
      <c r="K164" s="356" t="s">
        <v>3189</v>
      </c>
      <c r="L164" s="400">
        <v>0</v>
      </c>
      <c r="M164" s="401">
        <v>0</v>
      </c>
      <c r="N164" s="400">
        <v>0</v>
      </c>
      <c r="O164" s="401">
        <v>0</v>
      </c>
      <c r="P164" s="400">
        <v>0</v>
      </c>
      <c r="Q164" s="401">
        <v>0</v>
      </c>
      <c r="R164" s="400"/>
      <c r="S164" s="401"/>
      <c r="T164" s="400"/>
      <c r="U164" s="401"/>
      <c r="V164" s="400">
        <v>0</v>
      </c>
      <c r="W164" s="401">
        <v>0</v>
      </c>
      <c r="X164" s="400">
        <v>0</v>
      </c>
      <c r="Y164" s="401">
        <v>0</v>
      </c>
      <c r="Z164" s="400">
        <v>0</v>
      </c>
      <c r="AA164" s="401">
        <v>0</v>
      </c>
      <c r="AB164" s="400">
        <v>0</v>
      </c>
      <c r="AC164" s="401">
        <v>0</v>
      </c>
      <c r="AD164" s="400">
        <v>0</v>
      </c>
      <c r="AE164" s="401">
        <v>0</v>
      </c>
      <c r="AF164" s="400"/>
      <c r="AG164" s="401"/>
      <c r="AH164" s="400"/>
      <c r="AI164" s="401"/>
      <c r="AJ164" s="400">
        <v>0</v>
      </c>
      <c r="AK164" s="401">
        <v>0</v>
      </c>
      <c r="AL164" s="400">
        <v>0</v>
      </c>
      <c r="AM164" s="401">
        <v>0</v>
      </c>
      <c r="AN164" s="400">
        <v>0</v>
      </c>
      <c r="AO164" s="401">
        <v>0</v>
      </c>
      <c r="AP164" s="400">
        <v>0</v>
      </c>
      <c r="AQ164" s="401">
        <v>0</v>
      </c>
      <c r="AR164" s="400">
        <v>0</v>
      </c>
      <c r="AS164" s="401">
        <v>0</v>
      </c>
      <c r="AT164" s="400"/>
      <c r="AU164" s="401"/>
      <c r="AV164" s="400"/>
      <c r="AW164" s="401"/>
      <c r="AX164" s="400">
        <v>0</v>
      </c>
      <c r="AY164" s="401">
        <v>0</v>
      </c>
      <c r="AZ164" s="400">
        <v>0</v>
      </c>
      <c r="BA164" s="401">
        <v>0</v>
      </c>
      <c r="BB164" s="400">
        <v>0</v>
      </c>
      <c r="BC164" s="401">
        <v>0</v>
      </c>
      <c r="BD164" s="400">
        <v>0</v>
      </c>
      <c r="BE164" s="401">
        <v>0</v>
      </c>
      <c r="BF164" s="400">
        <v>0</v>
      </c>
      <c r="BG164" s="401">
        <v>0</v>
      </c>
      <c r="BH164" s="400"/>
      <c r="BI164" s="401"/>
      <c r="BJ164" s="400"/>
      <c r="BK164" s="401"/>
      <c r="BL164" s="400">
        <v>0</v>
      </c>
      <c r="BM164" s="401">
        <v>0</v>
      </c>
      <c r="BN164" s="400">
        <v>0</v>
      </c>
      <c r="BO164" s="401">
        <v>0</v>
      </c>
      <c r="BP164" s="400">
        <v>0</v>
      </c>
      <c r="BQ164" s="401">
        <v>0</v>
      </c>
      <c r="BR164" s="400">
        <v>0</v>
      </c>
      <c r="BS164" s="401">
        <v>0</v>
      </c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3317</v>
      </c>
      <c r="B165" s="393" t="s">
        <v>3318</v>
      </c>
      <c r="C165" s="394" t="s">
        <v>3186</v>
      </c>
      <c r="D165" s="395" t="s">
        <v>3319</v>
      </c>
      <c r="E165" s="411" t="s">
        <v>3320</v>
      </c>
      <c r="F165" s="396" t="s">
        <v>3182</v>
      </c>
      <c r="G165" s="396" t="s">
        <v>3183</v>
      </c>
      <c r="H165" s="397" t="s">
        <v>1525</v>
      </c>
      <c r="I165" s="899" t="s">
        <v>1525</v>
      </c>
      <c r="J165" s="353" t="s">
        <v>3184</v>
      </c>
      <c r="K165" s="357" t="s">
        <v>60</v>
      </c>
      <c r="L165" s="402">
        <v>0</v>
      </c>
      <c r="M165" s="403">
        <v>0</v>
      </c>
      <c r="N165" s="402">
        <v>0</v>
      </c>
      <c r="O165" s="403">
        <v>0</v>
      </c>
      <c r="P165" s="402">
        <v>0</v>
      </c>
      <c r="Q165" s="403">
        <v>0</v>
      </c>
      <c r="R165" s="402"/>
      <c r="S165" s="403"/>
      <c r="T165" s="402"/>
      <c r="U165" s="403"/>
      <c r="V165" s="402">
        <v>0</v>
      </c>
      <c r="W165" s="403">
        <v>0</v>
      </c>
      <c r="X165" s="402">
        <v>0</v>
      </c>
      <c r="Y165" s="403">
        <v>0</v>
      </c>
      <c r="Z165" s="402">
        <v>0</v>
      </c>
      <c r="AA165" s="403">
        <v>0</v>
      </c>
      <c r="AB165" s="402">
        <v>0</v>
      </c>
      <c r="AC165" s="403">
        <v>0</v>
      </c>
      <c r="AD165" s="402">
        <v>0</v>
      </c>
      <c r="AE165" s="403">
        <v>0</v>
      </c>
      <c r="AF165" s="402"/>
      <c r="AG165" s="403"/>
      <c r="AH165" s="402"/>
      <c r="AI165" s="403"/>
      <c r="AJ165" s="402">
        <v>0</v>
      </c>
      <c r="AK165" s="403">
        <v>0</v>
      </c>
      <c r="AL165" s="402">
        <v>0</v>
      </c>
      <c r="AM165" s="403">
        <v>0</v>
      </c>
      <c r="AN165" s="402">
        <v>0</v>
      </c>
      <c r="AO165" s="403">
        <v>0</v>
      </c>
      <c r="AP165" s="402">
        <v>0</v>
      </c>
      <c r="AQ165" s="403">
        <v>0</v>
      </c>
      <c r="AR165" s="402">
        <v>0</v>
      </c>
      <c r="AS165" s="403">
        <v>0</v>
      </c>
      <c r="AT165" s="402"/>
      <c r="AU165" s="403"/>
      <c r="AV165" s="402"/>
      <c r="AW165" s="403"/>
      <c r="AX165" s="402">
        <v>0</v>
      </c>
      <c r="AY165" s="403">
        <v>0</v>
      </c>
      <c r="AZ165" s="402">
        <v>0</v>
      </c>
      <c r="BA165" s="403">
        <v>0</v>
      </c>
      <c r="BB165" s="402">
        <v>0</v>
      </c>
      <c r="BC165" s="403">
        <v>0</v>
      </c>
      <c r="BD165" s="402">
        <v>0</v>
      </c>
      <c r="BE165" s="403">
        <v>0</v>
      </c>
      <c r="BF165" s="402">
        <v>0</v>
      </c>
      <c r="BG165" s="403">
        <v>0</v>
      </c>
      <c r="BH165" s="402"/>
      <c r="BI165" s="403"/>
      <c r="BJ165" s="402"/>
      <c r="BK165" s="403"/>
      <c r="BL165" s="402">
        <v>0</v>
      </c>
      <c r="BM165" s="403">
        <v>0</v>
      </c>
      <c r="BN165" s="402">
        <v>0</v>
      </c>
      <c r="BO165" s="403">
        <v>0</v>
      </c>
      <c r="BP165" s="402">
        <v>0</v>
      </c>
      <c r="BQ165" s="403">
        <v>0</v>
      </c>
      <c r="BR165" s="402">
        <v>0</v>
      </c>
      <c r="BS165" s="403">
        <v>0</v>
      </c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3321</v>
      </c>
      <c r="B166" s="526" t="s">
        <v>3322</v>
      </c>
      <c r="C166" s="527">
        <v>1</v>
      </c>
      <c r="D166" s="528" t="s">
        <v>3323</v>
      </c>
      <c r="E166" s="426" t="s">
        <v>3324</v>
      </c>
      <c r="F166" s="529" t="s">
        <v>3182</v>
      </c>
      <c r="G166" s="529" t="s">
        <v>3183</v>
      </c>
      <c r="H166" s="530" t="s">
        <v>1527</v>
      </c>
      <c r="I166" s="384" t="s">
        <v>1527</v>
      </c>
      <c r="J166" s="353" t="s">
        <v>3184</v>
      </c>
      <c r="K166" s="354" t="s">
        <v>3185</v>
      </c>
      <c r="L166" s="402">
        <v>0</v>
      </c>
      <c r="M166" s="403">
        <v>0</v>
      </c>
      <c r="N166" s="402">
        <v>0</v>
      </c>
      <c r="O166" s="403">
        <v>0</v>
      </c>
      <c r="P166" s="402">
        <v>0</v>
      </c>
      <c r="Q166" s="403">
        <v>0</v>
      </c>
      <c r="R166" s="402"/>
      <c r="S166" s="403"/>
      <c r="T166" s="402"/>
      <c r="U166" s="403"/>
      <c r="V166" s="402">
        <v>0</v>
      </c>
      <c r="W166" s="403">
        <v>0</v>
      </c>
      <c r="X166" s="402">
        <v>0</v>
      </c>
      <c r="Y166" s="403">
        <v>0</v>
      </c>
      <c r="Z166" s="402">
        <v>0</v>
      </c>
      <c r="AA166" s="403">
        <v>0</v>
      </c>
      <c r="AB166" s="402">
        <v>0</v>
      </c>
      <c r="AC166" s="403">
        <v>0</v>
      </c>
      <c r="AD166" s="402">
        <v>0</v>
      </c>
      <c r="AE166" s="403">
        <v>0</v>
      </c>
      <c r="AF166" s="402"/>
      <c r="AG166" s="403"/>
      <c r="AH166" s="402"/>
      <c r="AI166" s="403"/>
      <c r="AJ166" s="402">
        <v>0</v>
      </c>
      <c r="AK166" s="403">
        <v>0</v>
      </c>
      <c r="AL166" s="402">
        <v>0</v>
      </c>
      <c r="AM166" s="403">
        <v>0</v>
      </c>
      <c r="AN166" s="402">
        <v>0</v>
      </c>
      <c r="AO166" s="403">
        <v>0</v>
      </c>
      <c r="AP166" s="402">
        <v>0</v>
      </c>
      <c r="AQ166" s="403">
        <v>0</v>
      </c>
      <c r="AR166" s="402">
        <v>0</v>
      </c>
      <c r="AS166" s="403">
        <v>0</v>
      </c>
      <c r="AT166" s="402"/>
      <c r="AU166" s="403"/>
      <c r="AV166" s="402"/>
      <c r="AW166" s="403"/>
      <c r="AX166" s="402">
        <v>0</v>
      </c>
      <c r="AY166" s="403">
        <v>0</v>
      </c>
      <c r="AZ166" s="402">
        <v>0</v>
      </c>
      <c r="BA166" s="403">
        <v>0</v>
      </c>
      <c r="BB166" s="402">
        <v>0</v>
      </c>
      <c r="BC166" s="403">
        <v>0</v>
      </c>
      <c r="BD166" s="402">
        <v>0</v>
      </c>
      <c r="BE166" s="403">
        <v>0</v>
      </c>
      <c r="BF166" s="402">
        <v>0</v>
      </c>
      <c r="BG166" s="403">
        <v>0</v>
      </c>
      <c r="BH166" s="402"/>
      <c r="BI166" s="403"/>
      <c r="BJ166" s="402"/>
      <c r="BK166" s="403"/>
      <c r="BL166" s="402">
        <v>0</v>
      </c>
      <c r="BM166" s="403">
        <v>0</v>
      </c>
      <c r="BN166" s="402">
        <v>0</v>
      </c>
      <c r="BO166" s="403">
        <v>0</v>
      </c>
      <c r="BP166" s="402">
        <v>0</v>
      </c>
      <c r="BQ166" s="403">
        <v>0</v>
      </c>
      <c r="BR166" s="402">
        <v>0</v>
      </c>
      <c r="BS166" s="403">
        <v>0</v>
      </c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3321</v>
      </c>
      <c r="B167" s="386" t="s">
        <v>3322</v>
      </c>
      <c r="C167" s="352" t="s">
        <v>3186</v>
      </c>
      <c r="D167" s="387" t="s">
        <v>3323</v>
      </c>
      <c r="E167" s="388" t="s">
        <v>3324</v>
      </c>
      <c r="F167" s="389" t="s">
        <v>3182</v>
      </c>
      <c r="G167" s="389" t="s">
        <v>3183</v>
      </c>
      <c r="H167" s="390" t="s">
        <v>1527</v>
      </c>
      <c r="I167" s="391" t="s">
        <v>1527</v>
      </c>
      <c r="J167" s="353" t="s">
        <v>3184</v>
      </c>
      <c r="K167" s="353" t="s">
        <v>3187</v>
      </c>
      <c r="L167" s="400">
        <v>0</v>
      </c>
      <c r="M167" s="401">
        <v>0</v>
      </c>
      <c r="N167" s="400">
        <v>0</v>
      </c>
      <c r="O167" s="401">
        <v>0</v>
      </c>
      <c r="P167" s="400">
        <v>0</v>
      </c>
      <c r="Q167" s="401">
        <v>0</v>
      </c>
      <c r="R167" s="400"/>
      <c r="S167" s="401"/>
      <c r="T167" s="400"/>
      <c r="U167" s="401"/>
      <c r="V167" s="400">
        <v>0</v>
      </c>
      <c r="W167" s="401">
        <v>0</v>
      </c>
      <c r="X167" s="400">
        <v>0</v>
      </c>
      <c r="Y167" s="401">
        <v>0</v>
      </c>
      <c r="Z167" s="400">
        <v>0</v>
      </c>
      <c r="AA167" s="401">
        <v>0</v>
      </c>
      <c r="AB167" s="400">
        <v>0</v>
      </c>
      <c r="AC167" s="401">
        <v>0</v>
      </c>
      <c r="AD167" s="400">
        <v>0</v>
      </c>
      <c r="AE167" s="401">
        <v>0</v>
      </c>
      <c r="AF167" s="400"/>
      <c r="AG167" s="401"/>
      <c r="AH167" s="400"/>
      <c r="AI167" s="401"/>
      <c r="AJ167" s="400">
        <v>0</v>
      </c>
      <c r="AK167" s="401">
        <v>0</v>
      </c>
      <c r="AL167" s="400">
        <v>0</v>
      </c>
      <c r="AM167" s="401">
        <v>0</v>
      </c>
      <c r="AN167" s="400">
        <v>0</v>
      </c>
      <c r="AO167" s="401">
        <v>0</v>
      </c>
      <c r="AP167" s="400">
        <v>0</v>
      </c>
      <c r="AQ167" s="401">
        <v>0</v>
      </c>
      <c r="AR167" s="400">
        <v>0</v>
      </c>
      <c r="AS167" s="401">
        <v>0</v>
      </c>
      <c r="AT167" s="400"/>
      <c r="AU167" s="401"/>
      <c r="AV167" s="400"/>
      <c r="AW167" s="401"/>
      <c r="AX167" s="400">
        <v>0</v>
      </c>
      <c r="AY167" s="401">
        <v>0</v>
      </c>
      <c r="AZ167" s="400">
        <v>0</v>
      </c>
      <c r="BA167" s="401">
        <v>0</v>
      </c>
      <c r="BB167" s="400">
        <v>0</v>
      </c>
      <c r="BC167" s="401">
        <v>0</v>
      </c>
      <c r="BD167" s="400">
        <v>0</v>
      </c>
      <c r="BE167" s="401">
        <v>0</v>
      </c>
      <c r="BF167" s="400">
        <v>0</v>
      </c>
      <c r="BG167" s="401">
        <v>0</v>
      </c>
      <c r="BH167" s="400"/>
      <c r="BI167" s="401"/>
      <c r="BJ167" s="400"/>
      <c r="BK167" s="401"/>
      <c r="BL167" s="400">
        <v>0</v>
      </c>
      <c r="BM167" s="401">
        <v>0</v>
      </c>
      <c r="BN167" s="400">
        <v>0</v>
      </c>
      <c r="BO167" s="401">
        <v>0</v>
      </c>
      <c r="BP167" s="400">
        <v>0</v>
      </c>
      <c r="BQ167" s="401">
        <v>0</v>
      </c>
      <c r="BR167" s="400">
        <v>0</v>
      </c>
      <c r="BS167" s="401">
        <v>0</v>
      </c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3321</v>
      </c>
      <c r="B168" s="386" t="s">
        <v>3322</v>
      </c>
      <c r="C168" s="392" t="s">
        <v>3186</v>
      </c>
      <c r="D168" s="387" t="s">
        <v>3323</v>
      </c>
      <c r="E168" s="388" t="s">
        <v>3324</v>
      </c>
      <c r="F168" s="389" t="s">
        <v>3182</v>
      </c>
      <c r="G168" s="389" t="s">
        <v>3183</v>
      </c>
      <c r="H168" s="390" t="s">
        <v>1527</v>
      </c>
      <c r="I168" s="391" t="s">
        <v>1527</v>
      </c>
      <c r="J168" s="353" t="s">
        <v>3184</v>
      </c>
      <c r="K168" s="355" t="s">
        <v>3188</v>
      </c>
      <c r="L168" s="400">
        <v>0</v>
      </c>
      <c r="M168" s="401">
        <v>0</v>
      </c>
      <c r="N168" s="400">
        <v>0</v>
      </c>
      <c r="O168" s="401">
        <v>0</v>
      </c>
      <c r="P168" s="400">
        <v>0</v>
      </c>
      <c r="Q168" s="401">
        <v>0</v>
      </c>
      <c r="R168" s="400"/>
      <c r="S168" s="401"/>
      <c r="T168" s="400"/>
      <c r="U168" s="401"/>
      <c r="V168" s="400">
        <v>0</v>
      </c>
      <c r="W168" s="401">
        <v>0</v>
      </c>
      <c r="X168" s="400">
        <v>0</v>
      </c>
      <c r="Y168" s="401">
        <v>0</v>
      </c>
      <c r="Z168" s="400">
        <v>0</v>
      </c>
      <c r="AA168" s="401">
        <v>0</v>
      </c>
      <c r="AB168" s="400">
        <v>0</v>
      </c>
      <c r="AC168" s="401">
        <v>0</v>
      </c>
      <c r="AD168" s="400">
        <v>0</v>
      </c>
      <c r="AE168" s="401">
        <v>0</v>
      </c>
      <c r="AF168" s="400"/>
      <c r="AG168" s="401"/>
      <c r="AH168" s="400"/>
      <c r="AI168" s="401"/>
      <c r="AJ168" s="400">
        <v>0</v>
      </c>
      <c r="AK168" s="401">
        <v>0</v>
      </c>
      <c r="AL168" s="400">
        <v>0</v>
      </c>
      <c r="AM168" s="401">
        <v>0</v>
      </c>
      <c r="AN168" s="400">
        <v>0</v>
      </c>
      <c r="AO168" s="401">
        <v>0</v>
      </c>
      <c r="AP168" s="400">
        <v>0</v>
      </c>
      <c r="AQ168" s="401">
        <v>0</v>
      </c>
      <c r="AR168" s="400">
        <v>0</v>
      </c>
      <c r="AS168" s="401">
        <v>0</v>
      </c>
      <c r="AT168" s="400"/>
      <c r="AU168" s="401"/>
      <c r="AV168" s="400"/>
      <c r="AW168" s="401"/>
      <c r="AX168" s="400">
        <v>0</v>
      </c>
      <c r="AY168" s="401">
        <v>0</v>
      </c>
      <c r="AZ168" s="400">
        <v>0</v>
      </c>
      <c r="BA168" s="401">
        <v>0</v>
      </c>
      <c r="BB168" s="400">
        <v>0</v>
      </c>
      <c r="BC168" s="401">
        <v>0</v>
      </c>
      <c r="BD168" s="400">
        <v>0</v>
      </c>
      <c r="BE168" s="401">
        <v>0</v>
      </c>
      <c r="BF168" s="400">
        <v>0</v>
      </c>
      <c r="BG168" s="401">
        <v>0</v>
      </c>
      <c r="BH168" s="400"/>
      <c r="BI168" s="401"/>
      <c r="BJ168" s="400"/>
      <c r="BK168" s="401"/>
      <c r="BL168" s="400">
        <v>0</v>
      </c>
      <c r="BM168" s="401">
        <v>0</v>
      </c>
      <c r="BN168" s="400">
        <v>0</v>
      </c>
      <c r="BO168" s="401">
        <v>0</v>
      </c>
      <c r="BP168" s="400">
        <v>0</v>
      </c>
      <c r="BQ168" s="401">
        <v>0</v>
      </c>
      <c r="BR168" s="400">
        <v>0</v>
      </c>
      <c r="BS168" s="401">
        <v>0</v>
      </c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3321</v>
      </c>
      <c r="B169" s="386" t="s">
        <v>3322</v>
      </c>
      <c r="C169" s="392" t="s">
        <v>3186</v>
      </c>
      <c r="D169" s="387" t="s">
        <v>3323</v>
      </c>
      <c r="E169" s="388" t="s">
        <v>3324</v>
      </c>
      <c r="F169" s="389" t="s">
        <v>3182</v>
      </c>
      <c r="G169" s="389" t="s">
        <v>3183</v>
      </c>
      <c r="H169" s="390" t="s">
        <v>1527</v>
      </c>
      <c r="I169" s="391" t="s">
        <v>1527</v>
      </c>
      <c r="J169" s="353" t="s">
        <v>3184</v>
      </c>
      <c r="K169" s="356" t="s">
        <v>3189</v>
      </c>
      <c r="L169" s="400">
        <v>0</v>
      </c>
      <c r="M169" s="401">
        <v>0</v>
      </c>
      <c r="N169" s="400">
        <v>0</v>
      </c>
      <c r="O169" s="401">
        <v>0</v>
      </c>
      <c r="P169" s="400">
        <v>0</v>
      </c>
      <c r="Q169" s="401">
        <v>0</v>
      </c>
      <c r="R169" s="400"/>
      <c r="S169" s="401"/>
      <c r="T169" s="400"/>
      <c r="U169" s="401"/>
      <c r="V169" s="400">
        <v>0</v>
      </c>
      <c r="W169" s="401">
        <v>0</v>
      </c>
      <c r="X169" s="400">
        <v>0</v>
      </c>
      <c r="Y169" s="401">
        <v>0</v>
      </c>
      <c r="Z169" s="400">
        <v>0</v>
      </c>
      <c r="AA169" s="401">
        <v>0</v>
      </c>
      <c r="AB169" s="400">
        <v>0</v>
      </c>
      <c r="AC169" s="401">
        <v>0</v>
      </c>
      <c r="AD169" s="400">
        <v>0</v>
      </c>
      <c r="AE169" s="401">
        <v>0</v>
      </c>
      <c r="AF169" s="400"/>
      <c r="AG169" s="401"/>
      <c r="AH169" s="400"/>
      <c r="AI169" s="401"/>
      <c r="AJ169" s="400">
        <v>0</v>
      </c>
      <c r="AK169" s="401">
        <v>0</v>
      </c>
      <c r="AL169" s="400">
        <v>0</v>
      </c>
      <c r="AM169" s="401">
        <v>0</v>
      </c>
      <c r="AN169" s="400">
        <v>0</v>
      </c>
      <c r="AO169" s="401">
        <v>0</v>
      </c>
      <c r="AP169" s="400">
        <v>0</v>
      </c>
      <c r="AQ169" s="401">
        <v>0</v>
      </c>
      <c r="AR169" s="400">
        <v>0</v>
      </c>
      <c r="AS169" s="401">
        <v>0</v>
      </c>
      <c r="AT169" s="400"/>
      <c r="AU169" s="401"/>
      <c r="AV169" s="400"/>
      <c r="AW169" s="401"/>
      <c r="AX169" s="400">
        <v>0</v>
      </c>
      <c r="AY169" s="401">
        <v>0</v>
      </c>
      <c r="AZ169" s="400">
        <v>0</v>
      </c>
      <c r="BA169" s="401">
        <v>0</v>
      </c>
      <c r="BB169" s="400">
        <v>0</v>
      </c>
      <c r="BC169" s="401">
        <v>0</v>
      </c>
      <c r="BD169" s="400">
        <v>0</v>
      </c>
      <c r="BE169" s="401">
        <v>0</v>
      </c>
      <c r="BF169" s="400">
        <v>0</v>
      </c>
      <c r="BG169" s="401">
        <v>0</v>
      </c>
      <c r="BH169" s="400"/>
      <c r="BI169" s="401"/>
      <c r="BJ169" s="400"/>
      <c r="BK169" s="401"/>
      <c r="BL169" s="400">
        <v>0</v>
      </c>
      <c r="BM169" s="401">
        <v>0</v>
      </c>
      <c r="BN169" s="400">
        <v>0</v>
      </c>
      <c r="BO169" s="401">
        <v>0</v>
      </c>
      <c r="BP169" s="400">
        <v>0</v>
      </c>
      <c r="BQ169" s="401">
        <v>0</v>
      </c>
      <c r="BR169" s="400">
        <v>0</v>
      </c>
      <c r="BS169" s="401">
        <v>0</v>
      </c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3321</v>
      </c>
      <c r="B170" s="393" t="s">
        <v>3322</v>
      </c>
      <c r="C170" s="394" t="s">
        <v>3186</v>
      </c>
      <c r="D170" s="395" t="s">
        <v>3323</v>
      </c>
      <c r="E170" s="411" t="s">
        <v>3324</v>
      </c>
      <c r="F170" s="396" t="s">
        <v>3182</v>
      </c>
      <c r="G170" s="396" t="s">
        <v>3183</v>
      </c>
      <c r="H170" s="397" t="s">
        <v>1527</v>
      </c>
      <c r="I170" s="899" t="s">
        <v>1527</v>
      </c>
      <c r="J170" s="353" t="s">
        <v>3184</v>
      </c>
      <c r="K170" s="357" t="s">
        <v>60</v>
      </c>
      <c r="L170" s="402">
        <v>0</v>
      </c>
      <c r="M170" s="403">
        <v>0</v>
      </c>
      <c r="N170" s="402">
        <v>0</v>
      </c>
      <c r="O170" s="403">
        <v>0</v>
      </c>
      <c r="P170" s="402">
        <v>0</v>
      </c>
      <c r="Q170" s="403">
        <v>0</v>
      </c>
      <c r="R170" s="402"/>
      <c r="S170" s="403"/>
      <c r="T170" s="402"/>
      <c r="U170" s="403"/>
      <c r="V170" s="402">
        <v>0</v>
      </c>
      <c r="W170" s="403">
        <v>0</v>
      </c>
      <c r="X170" s="402">
        <v>0</v>
      </c>
      <c r="Y170" s="403">
        <v>0</v>
      </c>
      <c r="Z170" s="402">
        <v>0</v>
      </c>
      <c r="AA170" s="403">
        <v>0</v>
      </c>
      <c r="AB170" s="402">
        <v>0</v>
      </c>
      <c r="AC170" s="403">
        <v>0</v>
      </c>
      <c r="AD170" s="402">
        <v>0</v>
      </c>
      <c r="AE170" s="403">
        <v>0</v>
      </c>
      <c r="AF170" s="402"/>
      <c r="AG170" s="403"/>
      <c r="AH170" s="402"/>
      <c r="AI170" s="403"/>
      <c r="AJ170" s="402">
        <v>0</v>
      </c>
      <c r="AK170" s="403">
        <v>0</v>
      </c>
      <c r="AL170" s="402">
        <v>0</v>
      </c>
      <c r="AM170" s="403">
        <v>0</v>
      </c>
      <c r="AN170" s="402">
        <v>0</v>
      </c>
      <c r="AO170" s="403">
        <v>0</v>
      </c>
      <c r="AP170" s="402">
        <v>0</v>
      </c>
      <c r="AQ170" s="403">
        <v>0</v>
      </c>
      <c r="AR170" s="402">
        <v>0</v>
      </c>
      <c r="AS170" s="403">
        <v>0</v>
      </c>
      <c r="AT170" s="402"/>
      <c r="AU170" s="403"/>
      <c r="AV170" s="402"/>
      <c r="AW170" s="403"/>
      <c r="AX170" s="402">
        <v>0</v>
      </c>
      <c r="AY170" s="403">
        <v>0</v>
      </c>
      <c r="AZ170" s="402">
        <v>0</v>
      </c>
      <c r="BA170" s="403">
        <v>0</v>
      </c>
      <c r="BB170" s="402">
        <v>0</v>
      </c>
      <c r="BC170" s="403">
        <v>0</v>
      </c>
      <c r="BD170" s="402">
        <v>0</v>
      </c>
      <c r="BE170" s="403">
        <v>0</v>
      </c>
      <c r="BF170" s="402">
        <v>0</v>
      </c>
      <c r="BG170" s="403">
        <v>0</v>
      </c>
      <c r="BH170" s="402"/>
      <c r="BI170" s="403"/>
      <c r="BJ170" s="402"/>
      <c r="BK170" s="403"/>
      <c r="BL170" s="402">
        <v>0</v>
      </c>
      <c r="BM170" s="403">
        <v>0</v>
      </c>
      <c r="BN170" s="402">
        <v>0</v>
      </c>
      <c r="BO170" s="403">
        <v>0</v>
      </c>
      <c r="BP170" s="402">
        <v>0</v>
      </c>
      <c r="BQ170" s="403">
        <v>0</v>
      </c>
      <c r="BR170" s="402">
        <v>0</v>
      </c>
      <c r="BS170" s="403">
        <v>0</v>
      </c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3325</v>
      </c>
      <c r="B171" s="526" t="s">
        <v>3326</v>
      </c>
      <c r="C171" s="527">
        <v>1</v>
      </c>
      <c r="D171" s="528" t="s">
        <v>3327</v>
      </c>
      <c r="E171" s="426" t="s">
        <v>3328</v>
      </c>
      <c r="F171" s="529" t="s">
        <v>3182</v>
      </c>
      <c r="G171" s="529" t="s">
        <v>3183</v>
      </c>
      <c r="H171" s="530" t="s">
        <v>1528</v>
      </c>
      <c r="I171" s="384" t="s">
        <v>1528</v>
      </c>
      <c r="J171" s="353" t="s">
        <v>3184</v>
      </c>
      <c r="K171" s="354" t="s">
        <v>3185</v>
      </c>
      <c r="L171" s="402">
        <v>0</v>
      </c>
      <c r="M171" s="403">
        <v>0</v>
      </c>
      <c r="N171" s="402">
        <v>0</v>
      </c>
      <c r="O171" s="403">
        <v>0</v>
      </c>
      <c r="P171" s="402">
        <v>0</v>
      </c>
      <c r="Q171" s="403">
        <v>0</v>
      </c>
      <c r="R171" s="402"/>
      <c r="S171" s="403"/>
      <c r="T171" s="402"/>
      <c r="U171" s="403"/>
      <c r="V171" s="402">
        <v>0</v>
      </c>
      <c r="W171" s="403">
        <v>0</v>
      </c>
      <c r="X171" s="402">
        <v>0</v>
      </c>
      <c r="Y171" s="403">
        <v>0</v>
      </c>
      <c r="Z171" s="402">
        <v>0</v>
      </c>
      <c r="AA171" s="403">
        <v>0</v>
      </c>
      <c r="AB171" s="402">
        <v>0</v>
      </c>
      <c r="AC171" s="403">
        <v>0</v>
      </c>
      <c r="AD171" s="402">
        <v>0</v>
      </c>
      <c r="AE171" s="403">
        <v>0</v>
      </c>
      <c r="AF171" s="402"/>
      <c r="AG171" s="403"/>
      <c r="AH171" s="402"/>
      <c r="AI171" s="403"/>
      <c r="AJ171" s="402">
        <v>0</v>
      </c>
      <c r="AK171" s="403">
        <v>0</v>
      </c>
      <c r="AL171" s="402">
        <v>0</v>
      </c>
      <c r="AM171" s="403">
        <v>0</v>
      </c>
      <c r="AN171" s="402">
        <v>0</v>
      </c>
      <c r="AO171" s="403">
        <v>0</v>
      </c>
      <c r="AP171" s="402">
        <v>0</v>
      </c>
      <c r="AQ171" s="403">
        <v>0</v>
      </c>
      <c r="AR171" s="402">
        <v>0</v>
      </c>
      <c r="AS171" s="403">
        <v>0</v>
      </c>
      <c r="AT171" s="402"/>
      <c r="AU171" s="403"/>
      <c r="AV171" s="402"/>
      <c r="AW171" s="403"/>
      <c r="AX171" s="402">
        <v>0</v>
      </c>
      <c r="AY171" s="403">
        <v>0</v>
      </c>
      <c r="AZ171" s="402">
        <v>0</v>
      </c>
      <c r="BA171" s="403">
        <v>0</v>
      </c>
      <c r="BB171" s="402">
        <v>0</v>
      </c>
      <c r="BC171" s="403">
        <v>0</v>
      </c>
      <c r="BD171" s="402">
        <v>0</v>
      </c>
      <c r="BE171" s="403">
        <v>0</v>
      </c>
      <c r="BF171" s="402">
        <v>0</v>
      </c>
      <c r="BG171" s="403">
        <v>0</v>
      </c>
      <c r="BH171" s="402"/>
      <c r="BI171" s="403"/>
      <c r="BJ171" s="402"/>
      <c r="BK171" s="403"/>
      <c r="BL171" s="402">
        <v>0</v>
      </c>
      <c r="BM171" s="403">
        <v>0</v>
      </c>
      <c r="BN171" s="402">
        <v>0</v>
      </c>
      <c r="BO171" s="403">
        <v>0</v>
      </c>
      <c r="BP171" s="402">
        <v>0</v>
      </c>
      <c r="BQ171" s="403">
        <v>0</v>
      </c>
      <c r="BR171" s="402">
        <v>0</v>
      </c>
      <c r="BS171" s="403">
        <v>0</v>
      </c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3325</v>
      </c>
      <c r="B172" s="386" t="s">
        <v>3326</v>
      </c>
      <c r="C172" s="352" t="s">
        <v>3186</v>
      </c>
      <c r="D172" s="387" t="s">
        <v>3327</v>
      </c>
      <c r="E172" s="388" t="s">
        <v>3328</v>
      </c>
      <c r="F172" s="389" t="s">
        <v>3182</v>
      </c>
      <c r="G172" s="389" t="s">
        <v>3183</v>
      </c>
      <c r="H172" s="390" t="s">
        <v>1528</v>
      </c>
      <c r="I172" s="391" t="s">
        <v>1528</v>
      </c>
      <c r="J172" s="353" t="s">
        <v>3184</v>
      </c>
      <c r="K172" s="353" t="s">
        <v>3187</v>
      </c>
      <c r="L172" s="400">
        <v>0</v>
      </c>
      <c r="M172" s="401">
        <v>0</v>
      </c>
      <c r="N172" s="400">
        <v>0</v>
      </c>
      <c r="O172" s="401">
        <v>0</v>
      </c>
      <c r="P172" s="400">
        <v>0</v>
      </c>
      <c r="Q172" s="401">
        <v>0</v>
      </c>
      <c r="R172" s="400"/>
      <c r="S172" s="401"/>
      <c r="T172" s="400"/>
      <c r="U172" s="401"/>
      <c r="V172" s="400">
        <v>0</v>
      </c>
      <c r="W172" s="401">
        <v>0</v>
      </c>
      <c r="X172" s="400">
        <v>0</v>
      </c>
      <c r="Y172" s="401">
        <v>0</v>
      </c>
      <c r="Z172" s="400">
        <v>0</v>
      </c>
      <c r="AA172" s="401">
        <v>0</v>
      </c>
      <c r="AB172" s="400">
        <v>0</v>
      </c>
      <c r="AC172" s="401">
        <v>0</v>
      </c>
      <c r="AD172" s="400">
        <v>0</v>
      </c>
      <c r="AE172" s="401">
        <v>0</v>
      </c>
      <c r="AF172" s="400"/>
      <c r="AG172" s="401"/>
      <c r="AH172" s="400"/>
      <c r="AI172" s="401"/>
      <c r="AJ172" s="400">
        <v>0</v>
      </c>
      <c r="AK172" s="401">
        <v>0</v>
      </c>
      <c r="AL172" s="400">
        <v>0</v>
      </c>
      <c r="AM172" s="401">
        <v>0</v>
      </c>
      <c r="AN172" s="400">
        <v>0</v>
      </c>
      <c r="AO172" s="401">
        <v>0</v>
      </c>
      <c r="AP172" s="400">
        <v>0</v>
      </c>
      <c r="AQ172" s="401">
        <v>0</v>
      </c>
      <c r="AR172" s="400">
        <v>0</v>
      </c>
      <c r="AS172" s="401">
        <v>0</v>
      </c>
      <c r="AT172" s="400"/>
      <c r="AU172" s="401"/>
      <c r="AV172" s="400"/>
      <c r="AW172" s="401"/>
      <c r="AX172" s="400">
        <v>0</v>
      </c>
      <c r="AY172" s="401">
        <v>0</v>
      </c>
      <c r="AZ172" s="400">
        <v>0</v>
      </c>
      <c r="BA172" s="401">
        <v>0</v>
      </c>
      <c r="BB172" s="400">
        <v>0</v>
      </c>
      <c r="BC172" s="401">
        <v>0</v>
      </c>
      <c r="BD172" s="400">
        <v>0</v>
      </c>
      <c r="BE172" s="401">
        <v>0</v>
      </c>
      <c r="BF172" s="400">
        <v>0</v>
      </c>
      <c r="BG172" s="401">
        <v>0</v>
      </c>
      <c r="BH172" s="400"/>
      <c r="BI172" s="401"/>
      <c r="BJ172" s="400"/>
      <c r="BK172" s="401"/>
      <c r="BL172" s="400">
        <v>0</v>
      </c>
      <c r="BM172" s="401">
        <v>0</v>
      </c>
      <c r="BN172" s="400">
        <v>0</v>
      </c>
      <c r="BO172" s="401">
        <v>0</v>
      </c>
      <c r="BP172" s="400">
        <v>0</v>
      </c>
      <c r="BQ172" s="401">
        <v>0</v>
      </c>
      <c r="BR172" s="400">
        <v>0</v>
      </c>
      <c r="BS172" s="401">
        <v>0</v>
      </c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3325</v>
      </c>
      <c r="B173" s="386" t="s">
        <v>3326</v>
      </c>
      <c r="C173" s="392" t="s">
        <v>3186</v>
      </c>
      <c r="D173" s="387" t="s">
        <v>3327</v>
      </c>
      <c r="E173" s="388" t="s">
        <v>3328</v>
      </c>
      <c r="F173" s="389" t="s">
        <v>3182</v>
      </c>
      <c r="G173" s="389" t="s">
        <v>3183</v>
      </c>
      <c r="H173" s="390" t="s">
        <v>1528</v>
      </c>
      <c r="I173" s="391" t="s">
        <v>1528</v>
      </c>
      <c r="J173" s="353" t="s">
        <v>3184</v>
      </c>
      <c r="K173" s="355" t="s">
        <v>3188</v>
      </c>
      <c r="L173" s="400">
        <v>0</v>
      </c>
      <c r="M173" s="401">
        <v>0</v>
      </c>
      <c r="N173" s="400">
        <v>0</v>
      </c>
      <c r="O173" s="401">
        <v>0</v>
      </c>
      <c r="P173" s="400">
        <v>0</v>
      </c>
      <c r="Q173" s="401">
        <v>0</v>
      </c>
      <c r="R173" s="400"/>
      <c r="S173" s="401"/>
      <c r="T173" s="400"/>
      <c r="U173" s="401"/>
      <c r="V173" s="400">
        <v>0</v>
      </c>
      <c r="W173" s="401">
        <v>0</v>
      </c>
      <c r="X173" s="400">
        <v>0</v>
      </c>
      <c r="Y173" s="401">
        <v>0</v>
      </c>
      <c r="Z173" s="400">
        <v>0</v>
      </c>
      <c r="AA173" s="401">
        <v>0</v>
      </c>
      <c r="AB173" s="400">
        <v>0</v>
      </c>
      <c r="AC173" s="401">
        <v>0</v>
      </c>
      <c r="AD173" s="400">
        <v>0</v>
      </c>
      <c r="AE173" s="401">
        <v>0</v>
      </c>
      <c r="AF173" s="400"/>
      <c r="AG173" s="401"/>
      <c r="AH173" s="400"/>
      <c r="AI173" s="401"/>
      <c r="AJ173" s="400">
        <v>0</v>
      </c>
      <c r="AK173" s="401">
        <v>0</v>
      </c>
      <c r="AL173" s="400">
        <v>0</v>
      </c>
      <c r="AM173" s="401">
        <v>0</v>
      </c>
      <c r="AN173" s="400">
        <v>0</v>
      </c>
      <c r="AO173" s="401">
        <v>0</v>
      </c>
      <c r="AP173" s="400">
        <v>0</v>
      </c>
      <c r="AQ173" s="401">
        <v>0</v>
      </c>
      <c r="AR173" s="400">
        <v>0</v>
      </c>
      <c r="AS173" s="401">
        <v>0</v>
      </c>
      <c r="AT173" s="400"/>
      <c r="AU173" s="401"/>
      <c r="AV173" s="400"/>
      <c r="AW173" s="401"/>
      <c r="AX173" s="400">
        <v>0</v>
      </c>
      <c r="AY173" s="401">
        <v>0</v>
      </c>
      <c r="AZ173" s="400">
        <v>0</v>
      </c>
      <c r="BA173" s="401">
        <v>0</v>
      </c>
      <c r="BB173" s="400">
        <v>0</v>
      </c>
      <c r="BC173" s="401">
        <v>0</v>
      </c>
      <c r="BD173" s="400">
        <v>0</v>
      </c>
      <c r="BE173" s="401">
        <v>0</v>
      </c>
      <c r="BF173" s="400">
        <v>0</v>
      </c>
      <c r="BG173" s="401">
        <v>0</v>
      </c>
      <c r="BH173" s="400"/>
      <c r="BI173" s="401"/>
      <c r="BJ173" s="400"/>
      <c r="BK173" s="401"/>
      <c r="BL173" s="400">
        <v>0</v>
      </c>
      <c r="BM173" s="401">
        <v>0</v>
      </c>
      <c r="BN173" s="400">
        <v>0</v>
      </c>
      <c r="BO173" s="401">
        <v>0</v>
      </c>
      <c r="BP173" s="400">
        <v>0</v>
      </c>
      <c r="BQ173" s="401">
        <v>0</v>
      </c>
      <c r="BR173" s="400">
        <v>0</v>
      </c>
      <c r="BS173" s="401">
        <v>0</v>
      </c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3325</v>
      </c>
      <c r="B174" s="386" t="s">
        <v>3326</v>
      </c>
      <c r="C174" s="392" t="s">
        <v>3186</v>
      </c>
      <c r="D174" s="387" t="s">
        <v>3327</v>
      </c>
      <c r="E174" s="388" t="s">
        <v>3328</v>
      </c>
      <c r="F174" s="389" t="s">
        <v>3182</v>
      </c>
      <c r="G174" s="389" t="s">
        <v>3183</v>
      </c>
      <c r="H174" s="390" t="s">
        <v>1528</v>
      </c>
      <c r="I174" s="391" t="s">
        <v>1528</v>
      </c>
      <c r="J174" s="353" t="s">
        <v>3184</v>
      </c>
      <c r="K174" s="356" t="s">
        <v>3189</v>
      </c>
      <c r="L174" s="400">
        <v>0</v>
      </c>
      <c r="M174" s="401">
        <v>0</v>
      </c>
      <c r="N174" s="400">
        <v>0</v>
      </c>
      <c r="O174" s="401">
        <v>0</v>
      </c>
      <c r="P174" s="400">
        <v>0</v>
      </c>
      <c r="Q174" s="401">
        <v>0</v>
      </c>
      <c r="R174" s="400"/>
      <c r="S174" s="401"/>
      <c r="T174" s="400"/>
      <c r="U174" s="401"/>
      <c r="V174" s="400">
        <v>0</v>
      </c>
      <c r="W174" s="401">
        <v>0</v>
      </c>
      <c r="X174" s="400">
        <v>0</v>
      </c>
      <c r="Y174" s="401">
        <v>0</v>
      </c>
      <c r="Z174" s="400">
        <v>0</v>
      </c>
      <c r="AA174" s="401">
        <v>0</v>
      </c>
      <c r="AB174" s="400">
        <v>0</v>
      </c>
      <c r="AC174" s="401">
        <v>0</v>
      </c>
      <c r="AD174" s="400">
        <v>0</v>
      </c>
      <c r="AE174" s="401">
        <v>0</v>
      </c>
      <c r="AF174" s="400"/>
      <c r="AG174" s="401"/>
      <c r="AH174" s="400"/>
      <c r="AI174" s="401"/>
      <c r="AJ174" s="400">
        <v>0</v>
      </c>
      <c r="AK174" s="401">
        <v>0</v>
      </c>
      <c r="AL174" s="400">
        <v>0</v>
      </c>
      <c r="AM174" s="401">
        <v>0</v>
      </c>
      <c r="AN174" s="400">
        <v>0</v>
      </c>
      <c r="AO174" s="401">
        <v>0</v>
      </c>
      <c r="AP174" s="400">
        <v>0</v>
      </c>
      <c r="AQ174" s="401">
        <v>0</v>
      </c>
      <c r="AR174" s="400">
        <v>0</v>
      </c>
      <c r="AS174" s="401">
        <v>0</v>
      </c>
      <c r="AT174" s="400"/>
      <c r="AU174" s="401"/>
      <c r="AV174" s="400"/>
      <c r="AW174" s="401"/>
      <c r="AX174" s="400">
        <v>0</v>
      </c>
      <c r="AY174" s="401">
        <v>0</v>
      </c>
      <c r="AZ174" s="400">
        <v>0</v>
      </c>
      <c r="BA174" s="401">
        <v>0</v>
      </c>
      <c r="BB174" s="400">
        <v>0</v>
      </c>
      <c r="BC174" s="401">
        <v>0</v>
      </c>
      <c r="BD174" s="400">
        <v>0</v>
      </c>
      <c r="BE174" s="401">
        <v>0</v>
      </c>
      <c r="BF174" s="400">
        <v>0</v>
      </c>
      <c r="BG174" s="401">
        <v>0</v>
      </c>
      <c r="BH174" s="400"/>
      <c r="BI174" s="401"/>
      <c r="BJ174" s="400"/>
      <c r="BK174" s="401"/>
      <c r="BL174" s="400">
        <v>0</v>
      </c>
      <c r="BM174" s="401">
        <v>0</v>
      </c>
      <c r="BN174" s="400">
        <v>0</v>
      </c>
      <c r="BO174" s="401">
        <v>0</v>
      </c>
      <c r="BP174" s="400">
        <v>0</v>
      </c>
      <c r="BQ174" s="401">
        <v>0</v>
      </c>
      <c r="BR174" s="400">
        <v>0</v>
      </c>
      <c r="BS174" s="401">
        <v>0</v>
      </c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3325</v>
      </c>
      <c r="B175" s="393" t="s">
        <v>3326</v>
      </c>
      <c r="C175" s="394" t="s">
        <v>3186</v>
      </c>
      <c r="D175" s="395" t="s">
        <v>3327</v>
      </c>
      <c r="E175" s="411" t="s">
        <v>3328</v>
      </c>
      <c r="F175" s="396" t="s">
        <v>3182</v>
      </c>
      <c r="G175" s="396" t="s">
        <v>3183</v>
      </c>
      <c r="H175" s="397" t="s">
        <v>1528</v>
      </c>
      <c r="I175" s="899" t="s">
        <v>1528</v>
      </c>
      <c r="J175" s="353" t="s">
        <v>3184</v>
      </c>
      <c r="K175" s="357" t="s">
        <v>60</v>
      </c>
      <c r="L175" s="402">
        <v>0</v>
      </c>
      <c r="M175" s="403">
        <v>0</v>
      </c>
      <c r="N175" s="402">
        <v>0</v>
      </c>
      <c r="O175" s="403">
        <v>0</v>
      </c>
      <c r="P175" s="402">
        <v>0</v>
      </c>
      <c r="Q175" s="403">
        <v>0</v>
      </c>
      <c r="R175" s="402"/>
      <c r="S175" s="403"/>
      <c r="T175" s="402"/>
      <c r="U175" s="403"/>
      <c r="V175" s="402">
        <v>0</v>
      </c>
      <c r="W175" s="403">
        <v>0</v>
      </c>
      <c r="X175" s="402">
        <v>0</v>
      </c>
      <c r="Y175" s="403">
        <v>0</v>
      </c>
      <c r="Z175" s="402">
        <v>0</v>
      </c>
      <c r="AA175" s="403">
        <v>0</v>
      </c>
      <c r="AB175" s="402">
        <v>0</v>
      </c>
      <c r="AC175" s="403">
        <v>0</v>
      </c>
      <c r="AD175" s="402">
        <v>0</v>
      </c>
      <c r="AE175" s="403">
        <v>0</v>
      </c>
      <c r="AF175" s="402"/>
      <c r="AG175" s="403"/>
      <c r="AH175" s="402"/>
      <c r="AI175" s="403"/>
      <c r="AJ175" s="402">
        <v>0</v>
      </c>
      <c r="AK175" s="403">
        <v>0</v>
      </c>
      <c r="AL175" s="402">
        <v>0</v>
      </c>
      <c r="AM175" s="403">
        <v>0</v>
      </c>
      <c r="AN175" s="402">
        <v>0</v>
      </c>
      <c r="AO175" s="403">
        <v>0</v>
      </c>
      <c r="AP175" s="402">
        <v>0</v>
      </c>
      <c r="AQ175" s="403">
        <v>0</v>
      </c>
      <c r="AR175" s="402">
        <v>0</v>
      </c>
      <c r="AS175" s="403">
        <v>0</v>
      </c>
      <c r="AT175" s="402"/>
      <c r="AU175" s="403"/>
      <c r="AV175" s="402"/>
      <c r="AW175" s="403"/>
      <c r="AX175" s="402">
        <v>0</v>
      </c>
      <c r="AY175" s="403">
        <v>0</v>
      </c>
      <c r="AZ175" s="402">
        <v>0</v>
      </c>
      <c r="BA175" s="403">
        <v>0</v>
      </c>
      <c r="BB175" s="402">
        <v>0</v>
      </c>
      <c r="BC175" s="403">
        <v>0</v>
      </c>
      <c r="BD175" s="402">
        <v>0</v>
      </c>
      <c r="BE175" s="403">
        <v>0</v>
      </c>
      <c r="BF175" s="402">
        <v>0</v>
      </c>
      <c r="BG175" s="403">
        <v>0</v>
      </c>
      <c r="BH175" s="402"/>
      <c r="BI175" s="403"/>
      <c r="BJ175" s="402"/>
      <c r="BK175" s="403"/>
      <c r="BL175" s="402">
        <v>0</v>
      </c>
      <c r="BM175" s="403">
        <v>0</v>
      </c>
      <c r="BN175" s="402">
        <v>0</v>
      </c>
      <c r="BO175" s="403">
        <v>0</v>
      </c>
      <c r="BP175" s="402">
        <v>0</v>
      </c>
      <c r="BQ175" s="403">
        <v>0</v>
      </c>
      <c r="BR175" s="402">
        <v>0</v>
      </c>
      <c r="BS175" s="403">
        <v>0</v>
      </c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3329</v>
      </c>
      <c r="B176" s="526" t="s">
        <v>3330</v>
      </c>
      <c r="C176" s="527">
        <v>1</v>
      </c>
      <c r="D176" s="528" t="s">
        <v>3331</v>
      </c>
      <c r="E176" s="426" t="s">
        <v>3332</v>
      </c>
      <c r="F176" s="529" t="s">
        <v>3182</v>
      </c>
      <c r="G176" s="529" t="s">
        <v>3183</v>
      </c>
      <c r="H176" s="530" t="s">
        <v>1530</v>
      </c>
      <c r="I176" s="384" t="s">
        <v>1530</v>
      </c>
      <c r="J176" s="353" t="s">
        <v>3184</v>
      </c>
      <c r="K176" s="354" t="s">
        <v>3185</v>
      </c>
      <c r="L176" s="402">
        <v>0</v>
      </c>
      <c r="M176" s="403">
        <v>0</v>
      </c>
      <c r="N176" s="402">
        <v>0</v>
      </c>
      <c r="O176" s="403">
        <v>0</v>
      </c>
      <c r="P176" s="402">
        <v>0</v>
      </c>
      <c r="Q176" s="403">
        <v>0</v>
      </c>
      <c r="R176" s="402"/>
      <c r="S176" s="403"/>
      <c r="T176" s="402"/>
      <c r="U176" s="403"/>
      <c r="V176" s="402">
        <v>0</v>
      </c>
      <c r="W176" s="403">
        <v>0</v>
      </c>
      <c r="X176" s="402">
        <v>0</v>
      </c>
      <c r="Y176" s="403">
        <v>0</v>
      </c>
      <c r="Z176" s="402">
        <v>0</v>
      </c>
      <c r="AA176" s="403">
        <v>0</v>
      </c>
      <c r="AB176" s="402">
        <v>0</v>
      </c>
      <c r="AC176" s="403">
        <v>0</v>
      </c>
      <c r="AD176" s="402">
        <v>0</v>
      </c>
      <c r="AE176" s="403">
        <v>0</v>
      </c>
      <c r="AF176" s="402"/>
      <c r="AG176" s="403"/>
      <c r="AH176" s="402"/>
      <c r="AI176" s="403"/>
      <c r="AJ176" s="402">
        <v>0</v>
      </c>
      <c r="AK176" s="403">
        <v>0</v>
      </c>
      <c r="AL176" s="402">
        <v>0</v>
      </c>
      <c r="AM176" s="403">
        <v>0</v>
      </c>
      <c r="AN176" s="402">
        <v>0</v>
      </c>
      <c r="AO176" s="403">
        <v>0</v>
      </c>
      <c r="AP176" s="402">
        <v>0</v>
      </c>
      <c r="AQ176" s="403">
        <v>0</v>
      </c>
      <c r="AR176" s="402">
        <v>0</v>
      </c>
      <c r="AS176" s="403">
        <v>0</v>
      </c>
      <c r="AT176" s="402"/>
      <c r="AU176" s="403"/>
      <c r="AV176" s="402"/>
      <c r="AW176" s="403"/>
      <c r="AX176" s="402">
        <v>0</v>
      </c>
      <c r="AY176" s="403">
        <v>0</v>
      </c>
      <c r="AZ176" s="402">
        <v>0</v>
      </c>
      <c r="BA176" s="403">
        <v>0</v>
      </c>
      <c r="BB176" s="402">
        <v>0</v>
      </c>
      <c r="BC176" s="403">
        <v>0</v>
      </c>
      <c r="BD176" s="402">
        <v>0</v>
      </c>
      <c r="BE176" s="403">
        <v>0</v>
      </c>
      <c r="BF176" s="402">
        <v>0</v>
      </c>
      <c r="BG176" s="403">
        <v>0</v>
      </c>
      <c r="BH176" s="402"/>
      <c r="BI176" s="403"/>
      <c r="BJ176" s="402"/>
      <c r="BK176" s="403"/>
      <c r="BL176" s="402">
        <v>0</v>
      </c>
      <c r="BM176" s="403">
        <v>0</v>
      </c>
      <c r="BN176" s="402">
        <v>0</v>
      </c>
      <c r="BO176" s="403">
        <v>0</v>
      </c>
      <c r="BP176" s="402">
        <v>0</v>
      </c>
      <c r="BQ176" s="403">
        <v>0</v>
      </c>
      <c r="BR176" s="402">
        <v>0</v>
      </c>
      <c r="BS176" s="403">
        <v>0</v>
      </c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3329</v>
      </c>
      <c r="B177" s="386" t="s">
        <v>3330</v>
      </c>
      <c r="C177" s="352" t="s">
        <v>3186</v>
      </c>
      <c r="D177" s="387" t="s">
        <v>3331</v>
      </c>
      <c r="E177" s="388" t="s">
        <v>3332</v>
      </c>
      <c r="F177" s="389" t="s">
        <v>3182</v>
      </c>
      <c r="G177" s="389" t="s">
        <v>3183</v>
      </c>
      <c r="H177" s="390" t="s">
        <v>1530</v>
      </c>
      <c r="I177" s="391" t="s">
        <v>1530</v>
      </c>
      <c r="J177" s="353" t="s">
        <v>3184</v>
      </c>
      <c r="K177" s="353" t="s">
        <v>3187</v>
      </c>
      <c r="L177" s="400">
        <v>0</v>
      </c>
      <c r="M177" s="401">
        <v>0</v>
      </c>
      <c r="N177" s="400">
        <v>0</v>
      </c>
      <c r="O177" s="401">
        <v>0</v>
      </c>
      <c r="P177" s="400">
        <v>0</v>
      </c>
      <c r="Q177" s="401">
        <v>0</v>
      </c>
      <c r="R177" s="400"/>
      <c r="S177" s="401"/>
      <c r="T177" s="400"/>
      <c r="U177" s="401"/>
      <c r="V177" s="400">
        <v>5</v>
      </c>
      <c r="W177" s="401">
        <v>0</v>
      </c>
      <c r="X177" s="400">
        <v>0</v>
      </c>
      <c r="Y177" s="401">
        <v>0</v>
      </c>
      <c r="Z177" s="400">
        <v>0</v>
      </c>
      <c r="AA177" s="401">
        <v>0</v>
      </c>
      <c r="AB177" s="400">
        <v>0</v>
      </c>
      <c r="AC177" s="401">
        <v>0</v>
      </c>
      <c r="AD177" s="400">
        <v>0</v>
      </c>
      <c r="AE177" s="401">
        <v>0</v>
      </c>
      <c r="AF177" s="400"/>
      <c r="AG177" s="401"/>
      <c r="AH177" s="400"/>
      <c r="AI177" s="401"/>
      <c r="AJ177" s="400">
        <v>5</v>
      </c>
      <c r="AK177" s="401">
        <v>0</v>
      </c>
      <c r="AL177" s="400">
        <v>0</v>
      </c>
      <c r="AM177" s="401">
        <v>0</v>
      </c>
      <c r="AN177" s="400">
        <v>0</v>
      </c>
      <c r="AO177" s="401">
        <v>0</v>
      </c>
      <c r="AP177" s="400">
        <v>0</v>
      </c>
      <c r="AQ177" s="401">
        <v>0</v>
      </c>
      <c r="AR177" s="400">
        <v>0</v>
      </c>
      <c r="AS177" s="401">
        <v>0</v>
      </c>
      <c r="AT177" s="400"/>
      <c r="AU177" s="401"/>
      <c r="AV177" s="400"/>
      <c r="AW177" s="401"/>
      <c r="AX177" s="400">
        <v>5</v>
      </c>
      <c r="AY177" s="401">
        <v>0</v>
      </c>
      <c r="AZ177" s="400">
        <v>0</v>
      </c>
      <c r="BA177" s="401">
        <v>0</v>
      </c>
      <c r="BB177" s="400">
        <v>0</v>
      </c>
      <c r="BC177" s="401">
        <v>0</v>
      </c>
      <c r="BD177" s="400">
        <v>0</v>
      </c>
      <c r="BE177" s="401">
        <v>0</v>
      </c>
      <c r="BF177" s="400">
        <v>0</v>
      </c>
      <c r="BG177" s="401">
        <v>0</v>
      </c>
      <c r="BH177" s="400"/>
      <c r="BI177" s="401"/>
      <c r="BJ177" s="400"/>
      <c r="BK177" s="401"/>
      <c r="BL177" s="400">
        <v>5</v>
      </c>
      <c r="BM177" s="401">
        <v>0</v>
      </c>
      <c r="BN177" s="400">
        <v>0</v>
      </c>
      <c r="BO177" s="401">
        <v>0</v>
      </c>
      <c r="BP177" s="400">
        <v>0</v>
      </c>
      <c r="BQ177" s="401">
        <v>0</v>
      </c>
      <c r="BR177" s="400">
        <v>0</v>
      </c>
      <c r="BS177" s="401">
        <v>0</v>
      </c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20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3329</v>
      </c>
      <c r="B178" s="386" t="s">
        <v>3330</v>
      </c>
      <c r="C178" s="392" t="s">
        <v>3186</v>
      </c>
      <c r="D178" s="387" t="s">
        <v>3331</v>
      </c>
      <c r="E178" s="388" t="s">
        <v>3332</v>
      </c>
      <c r="F178" s="389" t="s">
        <v>3182</v>
      </c>
      <c r="G178" s="389" t="s">
        <v>3183</v>
      </c>
      <c r="H178" s="390" t="s">
        <v>1530</v>
      </c>
      <c r="I178" s="391" t="s">
        <v>1530</v>
      </c>
      <c r="J178" s="353" t="s">
        <v>3184</v>
      </c>
      <c r="K178" s="355" t="s">
        <v>3188</v>
      </c>
      <c r="L178" s="400">
        <v>0</v>
      </c>
      <c r="M178" s="401">
        <v>0</v>
      </c>
      <c r="N178" s="400">
        <v>0</v>
      </c>
      <c r="O178" s="401">
        <v>0</v>
      </c>
      <c r="P178" s="400">
        <v>0</v>
      </c>
      <c r="Q178" s="401">
        <v>0</v>
      </c>
      <c r="R178" s="400"/>
      <c r="S178" s="401"/>
      <c r="T178" s="400"/>
      <c r="U178" s="401"/>
      <c r="V178" s="400">
        <v>0</v>
      </c>
      <c r="W178" s="401">
        <v>0</v>
      </c>
      <c r="X178" s="400">
        <v>0</v>
      </c>
      <c r="Y178" s="401">
        <v>0</v>
      </c>
      <c r="Z178" s="400">
        <v>0</v>
      </c>
      <c r="AA178" s="401">
        <v>0</v>
      </c>
      <c r="AB178" s="400">
        <v>0</v>
      </c>
      <c r="AC178" s="401">
        <v>0</v>
      </c>
      <c r="AD178" s="400">
        <v>0</v>
      </c>
      <c r="AE178" s="401">
        <v>0</v>
      </c>
      <c r="AF178" s="400"/>
      <c r="AG178" s="401"/>
      <c r="AH178" s="400"/>
      <c r="AI178" s="401"/>
      <c r="AJ178" s="400">
        <v>0</v>
      </c>
      <c r="AK178" s="401">
        <v>0</v>
      </c>
      <c r="AL178" s="400">
        <v>0</v>
      </c>
      <c r="AM178" s="401">
        <v>0</v>
      </c>
      <c r="AN178" s="400">
        <v>0</v>
      </c>
      <c r="AO178" s="401">
        <v>0</v>
      </c>
      <c r="AP178" s="400">
        <v>0</v>
      </c>
      <c r="AQ178" s="401">
        <v>0</v>
      </c>
      <c r="AR178" s="400">
        <v>0</v>
      </c>
      <c r="AS178" s="401">
        <v>0</v>
      </c>
      <c r="AT178" s="400"/>
      <c r="AU178" s="401"/>
      <c r="AV178" s="400"/>
      <c r="AW178" s="401"/>
      <c r="AX178" s="400">
        <v>0</v>
      </c>
      <c r="AY178" s="401">
        <v>0</v>
      </c>
      <c r="AZ178" s="400">
        <v>0</v>
      </c>
      <c r="BA178" s="401">
        <v>0</v>
      </c>
      <c r="BB178" s="400">
        <v>0</v>
      </c>
      <c r="BC178" s="401">
        <v>0</v>
      </c>
      <c r="BD178" s="400">
        <v>0</v>
      </c>
      <c r="BE178" s="401">
        <v>0</v>
      </c>
      <c r="BF178" s="400">
        <v>0</v>
      </c>
      <c r="BG178" s="401">
        <v>0</v>
      </c>
      <c r="BH178" s="400"/>
      <c r="BI178" s="401"/>
      <c r="BJ178" s="400"/>
      <c r="BK178" s="401"/>
      <c r="BL178" s="400">
        <v>0</v>
      </c>
      <c r="BM178" s="401">
        <v>0</v>
      </c>
      <c r="BN178" s="400">
        <v>0</v>
      </c>
      <c r="BO178" s="401">
        <v>0</v>
      </c>
      <c r="BP178" s="400">
        <v>0</v>
      </c>
      <c r="BQ178" s="401">
        <v>0</v>
      </c>
      <c r="BR178" s="400">
        <v>0</v>
      </c>
      <c r="BS178" s="401">
        <v>0</v>
      </c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3329</v>
      </c>
      <c r="B179" s="386" t="s">
        <v>3330</v>
      </c>
      <c r="C179" s="392" t="s">
        <v>3186</v>
      </c>
      <c r="D179" s="387" t="s">
        <v>3331</v>
      </c>
      <c r="E179" s="388" t="s">
        <v>3332</v>
      </c>
      <c r="F179" s="389" t="s">
        <v>3182</v>
      </c>
      <c r="G179" s="389" t="s">
        <v>3183</v>
      </c>
      <c r="H179" s="390" t="s">
        <v>1530</v>
      </c>
      <c r="I179" s="391" t="s">
        <v>1530</v>
      </c>
      <c r="J179" s="353" t="s">
        <v>3184</v>
      </c>
      <c r="K179" s="356" t="s">
        <v>3189</v>
      </c>
      <c r="L179" s="400">
        <v>0</v>
      </c>
      <c r="M179" s="401">
        <v>0</v>
      </c>
      <c r="N179" s="400">
        <v>0</v>
      </c>
      <c r="O179" s="401">
        <v>0</v>
      </c>
      <c r="P179" s="400">
        <v>0</v>
      </c>
      <c r="Q179" s="401">
        <v>0</v>
      </c>
      <c r="R179" s="400"/>
      <c r="S179" s="401"/>
      <c r="T179" s="400"/>
      <c r="U179" s="401"/>
      <c r="V179" s="400">
        <v>0</v>
      </c>
      <c r="W179" s="401">
        <v>0</v>
      </c>
      <c r="X179" s="400">
        <v>0</v>
      </c>
      <c r="Y179" s="401">
        <v>0</v>
      </c>
      <c r="Z179" s="400">
        <v>0</v>
      </c>
      <c r="AA179" s="401">
        <v>0</v>
      </c>
      <c r="AB179" s="400">
        <v>0</v>
      </c>
      <c r="AC179" s="401">
        <v>0</v>
      </c>
      <c r="AD179" s="400">
        <v>0</v>
      </c>
      <c r="AE179" s="401">
        <v>0</v>
      </c>
      <c r="AF179" s="400"/>
      <c r="AG179" s="401"/>
      <c r="AH179" s="400"/>
      <c r="AI179" s="401"/>
      <c r="AJ179" s="400">
        <v>0</v>
      </c>
      <c r="AK179" s="401">
        <v>0</v>
      </c>
      <c r="AL179" s="400">
        <v>0</v>
      </c>
      <c r="AM179" s="401">
        <v>0</v>
      </c>
      <c r="AN179" s="400">
        <v>0</v>
      </c>
      <c r="AO179" s="401">
        <v>0</v>
      </c>
      <c r="AP179" s="400">
        <v>0</v>
      </c>
      <c r="AQ179" s="401">
        <v>0</v>
      </c>
      <c r="AR179" s="400">
        <v>0</v>
      </c>
      <c r="AS179" s="401">
        <v>0</v>
      </c>
      <c r="AT179" s="400"/>
      <c r="AU179" s="401"/>
      <c r="AV179" s="400"/>
      <c r="AW179" s="401"/>
      <c r="AX179" s="400">
        <v>0</v>
      </c>
      <c r="AY179" s="401">
        <v>0</v>
      </c>
      <c r="AZ179" s="400">
        <v>0</v>
      </c>
      <c r="BA179" s="401">
        <v>0</v>
      </c>
      <c r="BB179" s="400">
        <v>0</v>
      </c>
      <c r="BC179" s="401">
        <v>0</v>
      </c>
      <c r="BD179" s="400">
        <v>0</v>
      </c>
      <c r="BE179" s="401">
        <v>0</v>
      </c>
      <c r="BF179" s="400">
        <v>0</v>
      </c>
      <c r="BG179" s="401">
        <v>0</v>
      </c>
      <c r="BH179" s="400"/>
      <c r="BI179" s="401"/>
      <c r="BJ179" s="400"/>
      <c r="BK179" s="401"/>
      <c r="BL179" s="400">
        <v>0</v>
      </c>
      <c r="BM179" s="401">
        <v>0</v>
      </c>
      <c r="BN179" s="400">
        <v>0</v>
      </c>
      <c r="BO179" s="401">
        <v>0</v>
      </c>
      <c r="BP179" s="400">
        <v>0</v>
      </c>
      <c r="BQ179" s="401">
        <v>0</v>
      </c>
      <c r="BR179" s="400">
        <v>0</v>
      </c>
      <c r="BS179" s="401">
        <v>0</v>
      </c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3329</v>
      </c>
      <c r="B180" s="393" t="s">
        <v>3330</v>
      </c>
      <c r="C180" s="394" t="s">
        <v>3186</v>
      </c>
      <c r="D180" s="395" t="s">
        <v>3331</v>
      </c>
      <c r="E180" s="411" t="s">
        <v>3332</v>
      </c>
      <c r="F180" s="396" t="s">
        <v>3182</v>
      </c>
      <c r="G180" s="396" t="s">
        <v>3183</v>
      </c>
      <c r="H180" s="397" t="s">
        <v>1530</v>
      </c>
      <c r="I180" s="899" t="s">
        <v>1530</v>
      </c>
      <c r="J180" s="353" t="s">
        <v>3184</v>
      </c>
      <c r="K180" s="357" t="s">
        <v>60</v>
      </c>
      <c r="L180" s="402">
        <v>0</v>
      </c>
      <c r="M180" s="403">
        <v>0</v>
      </c>
      <c r="N180" s="402">
        <v>0</v>
      </c>
      <c r="O180" s="403">
        <v>0</v>
      </c>
      <c r="P180" s="402">
        <v>0</v>
      </c>
      <c r="Q180" s="403">
        <v>0</v>
      </c>
      <c r="R180" s="402"/>
      <c r="S180" s="403"/>
      <c r="T180" s="402"/>
      <c r="U180" s="403"/>
      <c r="V180" s="402">
        <v>0</v>
      </c>
      <c r="W180" s="403">
        <v>0</v>
      </c>
      <c r="X180" s="402">
        <v>0</v>
      </c>
      <c r="Y180" s="403">
        <v>0</v>
      </c>
      <c r="Z180" s="402">
        <v>0</v>
      </c>
      <c r="AA180" s="403">
        <v>0</v>
      </c>
      <c r="AB180" s="402">
        <v>0</v>
      </c>
      <c r="AC180" s="403">
        <v>0</v>
      </c>
      <c r="AD180" s="402">
        <v>0</v>
      </c>
      <c r="AE180" s="403">
        <v>0</v>
      </c>
      <c r="AF180" s="402"/>
      <c r="AG180" s="403"/>
      <c r="AH180" s="402"/>
      <c r="AI180" s="403"/>
      <c r="AJ180" s="402">
        <v>0</v>
      </c>
      <c r="AK180" s="403">
        <v>0</v>
      </c>
      <c r="AL180" s="402">
        <v>0</v>
      </c>
      <c r="AM180" s="403">
        <v>0</v>
      </c>
      <c r="AN180" s="402">
        <v>0</v>
      </c>
      <c r="AO180" s="403">
        <v>0</v>
      </c>
      <c r="AP180" s="402">
        <v>0</v>
      </c>
      <c r="AQ180" s="403">
        <v>0</v>
      </c>
      <c r="AR180" s="402">
        <v>0</v>
      </c>
      <c r="AS180" s="403">
        <v>0</v>
      </c>
      <c r="AT180" s="402"/>
      <c r="AU180" s="403"/>
      <c r="AV180" s="402"/>
      <c r="AW180" s="403"/>
      <c r="AX180" s="402">
        <v>0</v>
      </c>
      <c r="AY180" s="403">
        <v>0</v>
      </c>
      <c r="AZ180" s="402">
        <v>0</v>
      </c>
      <c r="BA180" s="403">
        <v>0</v>
      </c>
      <c r="BB180" s="402">
        <v>0</v>
      </c>
      <c r="BC180" s="403">
        <v>0</v>
      </c>
      <c r="BD180" s="402">
        <v>0</v>
      </c>
      <c r="BE180" s="403">
        <v>0</v>
      </c>
      <c r="BF180" s="402">
        <v>0</v>
      </c>
      <c r="BG180" s="403">
        <v>0</v>
      </c>
      <c r="BH180" s="402"/>
      <c r="BI180" s="403"/>
      <c r="BJ180" s="402"/>
      <c r="BK180" s="403"/>
      <c r="BL180" s="402">
        <v>0</v>
      </c>
      <c r="BM180" s="403">
        <v>0</v>
      </c>
      <c r="BN180" s="402">
        <v>0</v>
      </c>
      <c r="BO180" s="403">
        <v>0</v>
      </c>
      <c r="BP180" s="402">
        <v>0</v>
      </c>
      <c r="BQ180" s="403">
        <v>0</v>
      </c>
      <c r="BR180" s="402">
        <v>0</v>
      </c>
      <c r="BS180" s="403">
        <v>0</v>
      </c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3333</v>
      </c>
      <c r="B181" s="526" t="s">
        <v>3334</v>
      </c>
      <c r="C181" s="527">
        <v>1</v>
      </c>
      <c r="D181" s="528" t="s">
        <v>3335</v>
      </c>
      <c r="E181" s="426" t="s">
        <v>3336</v>
      </c>
      <c r="F181" s="529" t="s">
        <v>3182</v>
      </c>
      <c r="G181" s="529" t="s">
        <v>3183</v>
      </c>
      <c r="H181" s="530" t="s">
        <v>1532</v>
      </c>
      <c r="I181" s="384" t="s">
        <v>1532</v>
      </c>
      <c r="J181" s="353" t="s">
        <v>3184</v>
      </c>
      <c r="K181" s="354" t="s">
        <v>3185</v>
      </c>
      <c r="L181" s="402">
        <v>0</v>
      </c>
      <c r="M181" s="403">
        <v>0</v>
      </c>
      <c r="N181" s="402">
        <v>0</v>
      </c>
      <c r="O181" s="403">
        <v>0</v>
      </c>
      <c r="P181" s="402">
        <v>0</v>
      </c>
      <c r="Q181" s="403">
        <v>0</v>
      </c>
      <c r="R181" s="402"/>
      <c r="S181" s="403"/>
      <c r="T181" s="402"/>
      <c r="U181" s="403"/>
      <c r="V181" s="402">
        <v>0</v>
      </c>
      <c r="W181" s="403">
        <v>0</v>
      </c>
      <c r="X181" s="402">
        <v>0</v>
      </c>
      <c r="Y181" s="403">
        <v>0</v>
      </c>
      <c r="Z181" s="402">
        <v>0</v>
      </c>
      <c r="AA181" s="403">
        <v>0</v>
      </c>
      <c r="AB181" s="402">
        <v>0</v>
      </c>
      <c r="AC181" s="403">
        <v>0</v>
      </c>
      <c r="AD181" s="402">
        <v>0</v>
      </c>
      <c r="AE181" s="403">
        <v>0</v>
      </c>
      <c r="AF181" s="402"/>
      <c r="AG181" s="403"/>
      <c r="AH181" s="402"/>
      <c r="AI181" s="403"/>
      <c r="AJ181" s="402">
        <v>0</v>
      </c>
      <c r="AK181" s="403">
        <v>0</v>
      </c>
      <c r="AL181" s="402">
        <v>0</v>
      </c>
      <c r="AM181" s="403">
        <v>0</v>
      </c>
      <c r="AN181" s="402">
        <v>0</v>
      </c>
      <c r="AO181" s="403">
        <v>0</v>
      </c>
      <c r="AP181" s="402">
        <v>0</v>
      </c>
      <c r="AQ181" s="403">
        <v>0</v>
      </c>
      <c r="AR181" s="402">
        <v>0</v>
      </c>
      <c r="AS181" s="403">
        <v>0</v>
      </c>
      <c r="AT181" s="402"/>
      <c r="AU181" s="403"/>
      <c r="AV181" s="402"/>
      <c r="AW181" s="403"/>
      <c r="AX181" s="402">
        <v>0</v>
      </c>
      <c r="AY181" s="403">
        <v>0</v>
      </c>
      <c r="AZ181" s="402">
        <v>0</v>
      </c>
      <c r="BA181" s="403">
        <v>0</v>
      </c>
      <c r="BB181" s="402">
        <v>0</v>
      </c>
      <c r="BC181" s="403">
        <v>0</v>
      </c>
      <c r="BD181" s="402">
        <v>0</v>
      </c>
      <c r="BE181" s="403">
        <v>0</v>
      </c>
      <c r="BF181" s="402">
        <v>0</v>
      </c>
      <c r="BG181" s="403">
        <v>0</v>
      </c>
      <c r="BH181" s="402"/>
      <c r="BI181" s="403"/>
      <c r="BJ181" s="402"/>
      <c r="BK181" s="403"/>
      <c r="BL181" s="402">
        <v>0</v>
      </c>
      <c r="BM181" s="403">
        <v>0</v>
      </c>
      <c r="BN181" s="402">
        <v>0</v>
      </c>
      <c r="BO181" s="403">
        <v>0</v>
      </c>
      <c r="BP181" s="402">
        <v>0</v>
      </c>
      <c r="BQ181" s="403">
        <v>0</v>
      </c>
      <c r="BR181" s="402">
        <v>0</v>
      </c>
      <c r="BS181" s="403">
        <v>0</v>
      </c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3333</v>
      </c>
      <c r="B182" s="386" t="s">
        <v>3334</v>
      </c>
      <c r="C182" s="352" t="s">
        <v>3186</v>
      </c>
      <c r="D182" s="387" t="s">
        <v>3335</v>
      </c>
      <c r="E182" s="388" t="s">
        <v>3336</v>
      </c>
      <c r="F182" s="389" t="s">
        <v>3182</v>
      </c>
      <c r="G182" s="389" t="s">
        <v>3183</v>
      </c>
      <c r="H182" s="390" t="s">
        <v>1532</v>
      </c>
      <c r="I182" s="391" t="s">
        <v>1532</v>
      </c>
      <c r="J182" s="353" t="s">
        <v>3184</v>
      </c>
      <c r="K182" s="353" t="s">
        <v>3187</v>
      </c>
      <c r="L182" s="400">
        <v>0</v>
      </c>
      <c r="M182" s="401">
        <v>0</v>
      </c>
      <c r="N182" s="400">
        <v>0</v>
      </c>
      <c r="O182" s="401">
        <v>0</v>
      </c>
      <c r="P182" s="400">
        <v>0</v>
      </c>
      <c r="Q182" s="401">
        <v>0</v>
      </c>
      <c r="R182" s="400"/>
      <c r="S182" s="401"/>
      <c r="T182" s="400"/>
      <c r="U182" s="401"/>
      <c r="V182" s="400">
        <v>0</v>
      </c>
      <c r="W182" s="401">
        <v>0</v>
      </c>
      <c r="X182" s="400">
        <v>0</v>
      </c>
      <c r="Y182" s="401">
        <v>0</v>
      </c>
      <c r="Z182" s="400">
        <v>0</v>
      </c>
      <c r="AA182" s="401">
        <v>0</v>
      </c>
      <c r="AB182" s="400">
        <v>0</v>
      </c>
      <c r="AC182" s="401">
        <v>0</v>
      </c>
      <c r="AD182" s="400">
        <v>0</v>
      </c>
      <c r="AE182" s="401">
        <v>0</v>
      </c>
      <c r="AF182" s="400"/>
      <c r="AG182" s="401"/>
      <c r="AH182" s="400"/>
      <c r="AI182" s="401"/>
      <c r="AJ182" s="400">
        <v>0</v>
      </c>
      <c r="AK182" s="401">
        <v>0</v>
      </c>
      <c r="AL182" s="400">
        <v>0</v>
      </c>
      <c r="AM182" s="401">
        <v>0</v>
      </c>
      <c r="AN182" s="400">
        <v>0</v>
      </c>
      <c r="AO182" s="401">
        <v>0</v>
      </c>
      <c r="AP182" s="400">
        <v>0</v>
      </c>
      <c r="AQ182" s="401">
        <v>0</v>
      </c>
      <c r="AR182" s="400">
        <v>0</v>
      </c>
      <c r="AS182" s="401">
        <v>0</v>
      </c>
      <c r="AT182" s="400"/>
      <c r="AU182" s="401"/>
      <c r="AV182" s="400"/>
      <c r="AW182" s="401"/>
      <c r="AX182" s="400">
        <v>0</v>
      </c>
      <c r="AY182" s="401">
        <v>0</v>
      </c>
      <c r="AZ182" s="400">
        <v>0</v>
      </c>
      <c r="BA182" s="401">
        <v>0</v>
      </c>
      <c r="BB182" s="400">
        <v>0</v>
      </c>
      <c r="BC182" s="401">
        <v>0</v>
      </c>
      <c r="BD182" s="400">
        <v>0</v>
      </c>
      <c r="BE182" s="401">
        <v>0</v>
      </c>
      <c r="BF182" s="400">
        <v>0</v>
      </c>
      <c r="BG182" s="401">
        <v>0</v>
      </c>
      <c r="BH182" s="400"/>
      <c r="BI182" s="401"/>
      <c r="BJ182" s="400"/>
      <c r="BK182" s="401"/>
      <c r="BL182" s="400">
        <v>0</v>
      </c>
      <c r="BM182" s="401">
        <v>0</v>
      </c>
      <c r="BN182" s="400">
        <v>0</v>
      </c>
      <c r="BO182" s="401">
        <v>0</v>
      </c>
      <c r="BP182" s="400">
        <v>0</v>
      </c>
      <c r="BQ182" s="401">
        <v>0</v>
      </c>
      <c r="BR182" s="400">
        <v>0</v>
      </c>
      <c r="BS182" s="401">
        <v>0</v>
      </c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3333</v>
      </c>
      <c r="B183" s="386" t="s">
        <v>3334</v>
      </c>
      <c r="C183" s="392" t="s">
        <v>3186</v>
      </c>
      <c r="D183" s="387" t="s">
        <v>3335</v>
      </c>
      <c r="E183" s="388" t="s">
        <v>3336</v>
      </c>
      <c r="F183" s="389" t="s">
        <v>3182</v>
      </c>
      <c r="G183" s="389" t="s">
        <v>3183</v>
      </c>
      <c r="H183" s="390" t="s">
        <v>1532</v>
      </c>
      <c r="I183" s="391" t="s">
        <v>1532</v>
      </c>
      <c r="J183" s="353" t="s">
        <v>3184</v>
      </c>
      <c r="K183" s="355" t="s">
        <v>3188</v>
      </c>
      <c r="L183" s="400">
        <v>0</v>
      </c>
      <c r="M183" s="401">
        <v>0</v>
      </c>
      <c r="N183" s="400">
        <v>0</v>
      </c>
      <c r="O183" s="401">
        <v>0</v>
      </c>
      <c r="P183" s="400">
        <v>0</v>
      </c>
      <c r="Q183" s="401">
        <v>0</v>
      </c>
      <c r="R183" s="400"/>
      <c r="S183" s="401"/>
      <c r="T183" s="400"/>
      <c r="U183" s="401"/>
      <c r="V183" s="400">
        <v>0</v>
      </c>
      <c r="W183" s="401">
        <v>0</v>
      </c>
      <c r="X183" s="400">
        <v>0</v>
      </c>
      <c r="Y183" s="401">
        <v>0</v>
      </c>
      <c r="Z183" s="400">
        <v>0</v>
      </c>
      <c r="AA183" s="401">
        <v>0</v>
      </c>
      <c r="AB183" s="400">
        <v>0</v>
      </c>
      <c r="AC183" s="401">
        <v>0</v>
      </c>
      <c r="AD183" s="400">
        <v>0</v>
      </c>
      <c r="AE183" s="401">
        <v>0</v>
      </c>
      <c r="AF183" s="400"/>
      <c r="AG183" s="401"/>
      <c r="AH183" s="400"/>
      <c r="AI183" s="401"/>
      <c r="AJ183" s="400">
        <v>0</v>
      </c>
      <c r="AK183" s="401">
        <v>0</v>
      </c>
      <c r="AL183" s="400">
        <v>0</v>
      </c>
      <c r="AM183" s="401">
        <v>0</v>
      </c>
      <c r="AN183" s="400">
        <v>0</v>
      </c>
      <c r="AO183" s="401">
        <v>0</v>
      </c>
      <c r="AP183" s="400">
        <v>0</v>
      </c>
      <c r="AQ183" s="401">
        <v>0</v>
      </c>
      <c r="AR183" s="400">
        <v>0</v>
      </c>
      <c r="AS183" s="401">
        <v>0</v>
      </c>
      <c r="AT183" s="400"/>
      <c r="AU183" s="401"/>
      <c r="AV183" s="400"/>
      <c r="AW183" s="401"/>
      <c r="AX183" s="400">
        <v>0</v>
      </c>
      <c r="AY183" s="401">
        <v>0</v>
      </c>
      <c r="AZ183" s="400">
        <v>0</v>
      </c>
      <c r="BA183" s="401">
        <v>0</v>
      </c>
      <c r="BB183" s="400">
        <v>0</v>
      </c>
      <c r="BC183" s="401">
        <v>0</v>
      </c>
      <c r="BD183" s="400">
        <v>0</v>
      </c>
      <c r="BE183" s="401">
        <v>0</v>
      </c>
      <c r="BF183" s="400">
        <v>0</v>
      </c>
      <c r="BG183" s="401">
        <v>0</v>
      </c>
      <c r="BH183" s="400"/>
      <c r="BI183" s="401"/>
      <c r="BJ183" s="400"/>
      <c r="BK183" s="401"/>
      <c r="BL183" s="400">
        <v>0</v>
      </c>
      <c r="BM183" s="401">
        <v>0</v>
      </c>
      <c r="BN183" s="400">
        <v>0</v>
      </c>
      <c r="BO183" s="401">
        <v>0</v>
      </c>
      <c r="BP183" s="400">
        <v>0</v>
      </c>
      <c r="BQ183" s="401">
        <v>0</v>
      </c>
      <c r="BR183" s="400">
        <v>0</v>
      </c>
      <c r="BS183" s="401">
        <v>0</v>
      </c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3333</v>
      </c>
      <c r="B184" s="386" t="s">
        <v>3334</v>
      </c>
      <c r="C184" s="392" t="s">
        <v>3186</v>
      </c>
      <c r="D184" s="387" t="s">
        <v>3335</v>
      </c>
      <c r="E184" s="388" t="s">
        <v>3336</v>
      </c>
      <c r="F184" s="389" t="s">
        <v>3182</v>
      </c>
      <c r="G184" s="389" t="s">
        <v>3183</v>
      </c>
      <c r="H184" s="390" t="s">
        <v>1532</v>
      </c>
      <c r="I184" s="391" t="s">
        <v>1532</v>
      </c>
      <c r="J184" s="353" t="s">
        <v>3184</v>
      </c>
      <c r="K184" s="356" t="s">
        <v>3189</v>
      </c>
      <c r="L184" s="400">
        <v>0</v>
      </c>
      <c r="M184" s="401">
        <v>0</v>
      </c>
      <c r="N184" s="400">
        <v>0</v>
      </c>
      <c r="O184" s="401">
        <v>0</v>
      </c>
      <c r="P184" s="400">
        <v>0</v>
      </c>
      <c r="Q184" s="401">
        <v>0</v>
      </c>
      <c r="R184" s="400"/>
      <c r="S184" s="401"/>
      <c r="T184" s="400"/>
      <c r="U184" s="401"/>
      <c r="V184" s="400">
        <v>0</v>
      </c>
      <c r="W184" s="401">
        <v>0</v>
      </c>
      <c r="X184" s="400">
        <v>0</v>
      </c>
      <c r="Y184" s="401">
        <v>0</v>
      </c>
      <c r="Z184" s="400">
        <v>0</v>
      </c>
      <c r="AA184" s="401">
        <v>0</v>
      </c>
      <c r="AB184" s="400">
        <v>0</v>
      </c>
      <c r="AC184" s="401">
        <v>0</v>
      </c>
      <c r="AD184" s="400">
        <v>0</v>
      </c>
      <c r="AE184" s="401">
        <v>0</v>
      </c>
      <c r="AF184" s="400"/>
      <c r="AG184" s="401"/>
      <c r="AH184" s="400"/>
      <c r="AI184" s="401"/>
      <c r="AJ184" s="400">
        <v>0</v>
      </c>
      <c r="AK184" s="401">
        <v>0</v>
      </c>
      <c r="AL184" s="400">
        <v>0</v>
      </c>
      <c r="AM184" s="401">
        <v>0</v>
      </c>
      <c r="AN184" s="400">
        <v>0</v>
      </c>
      <c r="AO184" s="401">
        <v>0</v>
      </c>
      <c r="AP184" s="400">
        <v>0</v>
      </c>
      <c r="AQ184" s="401">
        <v>0</v>
      </c>
      <c r="AR184" s="400">
        <v>0</v>
      </c>
      <c r="AS184" s="401">
        <v>0</v>
      </c>
      <c r="AT184" s="400"/>
      <c r="AU184" s="401"/>
      <c r="AV184" s="400"/>
      <c r="AW184" s="401"/>
      <c r="AX184" s="400">
        <v>0</v>
      </c>
      <c r="AY184" s="401">
        <v>0</v>
      </c>
      <c r="AZ184" s="400">
        <v>0</v>
      </c>
      <c r="BA184" s="401">
        <v>0</v>
      </c>
      <c r="BB184" s="400">
        <v>0</v>
      </c>
      <c r="BC184" s="401">
        <v>0</v>
      </c>
      <c r="BD184" s="400">
        <v>0</v>
      </c>
      <c r="BE184" s="401">
        <v>0</v>
      </c>
      <c r="BF184" s="400">
        <v>0</v>
      </c>
      <c r="BG184" s="401">
        <v>0</v>
      </c>
      <c r="BH184" s="400"/>
      <c r="BI184" s="401"/>
      <c r="BJ184" s="400"/>
      <c r="BK184" s="401"/>
      <c r="BL184" s="400">
        <v>0</v>
      </c>
      <c r="BM184" s="401">
        <v>0</v>
      </c>
      <c r="BN184" s="400">
        <v>0</v>
      </c>
      <c r="BO184" s="401">
        <v>0</v>
      </c>
      <c r="BP184" s="400">
        <v>0</v>
      </c>
      <c r="BQ184" s="401">
        <v>0</v>
      </c>
      <c r="BR184" s="400">
        <v>0</v>
      </c>
      <c r="BS184" s="401">
        <v>0</v>
      </c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3333</v>
      </c>
      <c r="B185" s="393" t="s">
        <v>3334</v>
      </c>
      <c r="C185" s="394" t="s">
        <v>3186</v>
      </c>
      <c r="D185" s="395" t="s">
        <v>3335</v>
      </c>
      <c r="E185" s="411" t="s">
        <v>3336</v>
      </c>
      <c r="F185" s="396" t="s">
        <v>3182</v>
      </c>
      <c r="G185" s="396" t="s">
        <v>3183</v>
      </c>
      <c r="H185" s="397" t="s">
        <v>1532</v>
      </c>
      <c r="I185" s="899" t="s">
        <v>1532</v>
      </c>
      <c r="J185" s="353" t="s">
        <v>3184</v>
      </c>
      <c r="K185" s="357" t="s">
        <v>60</v>
      </c>
      <c r="L185" s="402">
        <v>0</v>
      </c>
      <c r="M185" s="403">
        <v>0</v>
      </c>
      <c r="N185" s="402">
        <v>0</v>
      </c>
      <c r="O185" s="403">
        <v>0</v>
      </c>
      <c r="P185" s="402">
        <v>0</v>
      </c>
      <c r="Q185" s="403">
        <v>0</v>
      </c>
      <c r="R185" s="402"/>
      <c r="S185" s="403"/>
      <c r="T185" s="402"/>
      <c r="U185" s="403"/>
      <c r="V185" s="402">
        <v>0</v>
      </c>
      <c r="W185" s="403">
        <v>0</v>
      </c>
      <c r="X185" s="402">
        <v>0</v>
      </c>
      <c r="Y185" s="403">
        <v>0</v>
      </c>
      <c r="Z185" s="402">
        <v>0</v>
      </c>
      <c r="AA185" s="403">
        <v>0</v>
      </c>
      <c r="AB185" s="402">
        <v>0</v>
      </c>
      <c r="AC185" s="403">
        <v>0</v>
      </c>
      <c r="AD185" s="402">
        <v>0</v>
      </c>
      <c r="AE185" s="403">
        <v>0</v>
      </c>
      <c r="AF185" s="402"/>
      <c r="AG185" s="403"/>
      <c r="AH185" s="402"/>
      <c r="AI185" s="403"/>
      <c r="AJ185" s="402">
        <v>0</v>
      </c>
      <c r="AK185" s="403">
        <v>0</v>
      </c>
      <c r="AL185" s="402">
        <v>0</v>
      </c>
      <c r="AM185" s="403">
        <v>0</v>
      </c>
      <c r="AN185" s="402">
        <v>0</v>
      </c>
      <c r="AO185" s="403">
        <v>0</v>
      </c>
      <c r="AP185" s="402">
        <v>0</v>
      </c>
      <c r="AQ185" s="403">
        <v>0</v>
      </c>
      <c r="AR185" s="402">
        <v>0</v>
      </c>
      <c r="AS185" s="403">
        <v>0</v>
      </c>
      <c r="AT185" s="402"/>
      <c r="AU185" s="403"/>
      <c r="AV185" s="402"/>
      <c r="AW185" s="403"/>
      <c r="AX185" s="402">
        <v>0</v>
      </c>
      <c r="AY185" s="403">
        <v>0</v>
      </c>
      <c r="AZ185" s="402">
        <v>0</v>
      </c>
      <c r="BA185" s="403">
        <v>0</v>
      </c>
      <c r="BB185" s="402">
        <v>0</v>
      </c>
      <c r="BC185" s="403">
        <v>0</v>
      </c>
      <c r="BD185" s="402">
        <v>0</v>
      </c>
      <c r="BE185" s="403">
        <v>0</v>
      </c>
      <c r="BF185" s="402">
        <v>0</v>
      </c>
      <c r="BG185" s="403">
        <v>0</v>
      </c>
      <c r="BH185" s="402"/>
      <c r="BI185" s="403"/>
      <c r="BJ185" s="402"/>
      <c r="BK185" s="403"/>
      <c r="BL185" s="402">
        <v>0</v>
      </c>
      <c r="BM185" s="403">
        <v>0</v>
      </c>
      <c r="BN185" s="402">
        <v>0</v>
      </c>
      <c r="BO185" s="403">
        <v>0</v>
      </c>
      <c r="BP185" s="402">
        <v>0</v>
      </c>
      <c r="BQ185" s="403">
        <v>0</v>
      </c>
      <c r="BR185" s="402">
        <v>0</v>
      </c>
      <c r="BS185" s="403">
        <v>0</v>
      </c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3337</v>
      </c>
      <c r="B186" s="526" t="s">
        <v>3338</v>
      </c>
      <c r="C186" s="527">
        <v>1</v>
      </c>
      <c r="D186" s="528" t="s">
        <v>3339</v>
      </c>
      <c r="E186" s="426" t="s">
        <v>3340</v>
      </c>
      <c r="F186" s="529" t="s">
        <v>3182</v>
      </c>
      <c r="G186" s="529" t="s">
        <v>3183</v>
      </c>
      <c r="H186" s="530" t="s">
        <v>1538</v>
      </c>
      <c r="I186" s="384" t="s">
        <v>1538</v>
      </c>
      <c r="J186" s="353" t="s">
        <v>3184</v>
      </c>
      <c r="K186" s="354" t="s">
        <v>3185</v>
      </c>
      <c r="L186" s="402">
        <v>0</v>
      </c>
      <c r="M186" s="403">
        <v>0</v>
      </c>
      <c r="N186" s="402">
        <v>0</v>
      </c>
      <c r="O186" s="403">
        <v>0</v>
      </c>
      <c r="P186" s="402">
        <v>0</v>
      </c>
      <c r="Q186" s="403">
        <v>0</v>
      </c>
      <c r="R186" s="402"/>
      <c r="S186" s="403"/>
      <c r="T186" s="402"/>
      <c r="U186" s="403"/>
      <c r="V186" s="402">
        <v>0</v>
      </c>
      <c r="W186" s="403">
        <v>0</v>
      </c>
      <c r="X186" s="402">
        <v>0</v>
      </c>
      <c r="Y186" s="403">
        <v>0</v>
      </c>
      <c r="Z186" s="402">
        <v>0</v>
      </c>
      <c r="AA186" s="403">
        <v>0</v>
      </c>
      <c r="AB186" s="402">
        <v>0</v>
      </c>
      <c r="AC186" s="403">
        <v>0</v>
      </c>
      <c r="AD186" s="402">
        <v>0</v>
      </c>
      <c r="AE186" s="403">
        <v>0</v>
      </c>
      <c r="AF186" s="402"/>
      <c r="AG186" s="403"/>
      <c r="AH186" s="402"/>
      <c r="AI186" s="403"/>
      <c r="AJ186" s="402">
        <v>0</v>
      </c>
      <c r="AK186" s="403">
        <v>0</v>
      </c>
      <c r="AL186" s="402">
        <v>0</v>
      </c>
      <c r="AM186" s="403">
        <v>0</v>
      </c>
      <c r="AN186" s="402">
        <v>0</v>
      </c>
      <c r="AO186" s="403">
        <v>0</v>
      </c>
      <c r="AP186" s="402">
        <v>0</v>
      </c>
      <c r="AQ186" s="403">
        <v>0</v>
      </c>
      <c r="AR186" s="402">
        <v>0</v>
      </c>
      <c r="AS186" s="403">
        <v>0</v>
      </c>
      <c r="AT186" s="402"/>
      <c r="AU186" s="403"/>
      <c r="AV186" s="402"/>
      <c r="AW186" s="403"/>
      <c r="AX186" s="402">
        <v>0</v>
      </c>
      <c r="AY186" s="403">
        <v>0</v>
      </c>
      <c r="AZ186" s="402">
        <v>0</v>
      </c>
      <c r="BA186" s="403">
        <v>0</v>
      </c>
      <c r="BB186" s="402">
        <v>0</v>
      </c>
      <c r="BC186" s="403">
        <v>0</v>
      </c>
      <c r="BD186" s="402">
        <v>0</v>
      </c>
      <c r="BE186" s="403">
        <v>0</v>
      </c>
      <c r="BF186" s="402">
        <v>0</v>
      </c>
      <c r="BG186" s="403">
        <v>0</v>
      </c>
      <c r="BH186" s="402"/>
      <c r="BI186" s="403"/>
      <c r="BJ186" s="402"/>
      <c r="BK186" s="403"/>
      <c r="BL186" s="402">
        <v>0</v>
      </c>
      <c r="BM186" s="403">
        <v>0</v>
      </c>
      <c r="BN186" s="402">
        <v>0</v>
      </c>
      <c r="BO186" s="403">
        <v>0</v>
      </c>
      <c r="BP186" s="402">
        <v>0</v>
      </c>
      <c r="BQ186" s="403">
        <v>0</v>
      </c>
      <c r="BR186" s="402">
        <v>0</v>
      </c>
      <c r="BS186" s="403">
        <v>0</v>
      </c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3337</v>
      </c>
      <c r="B187" s="386" t="s">
        <v>3338</v>
      </c>
      <c r="C187" s="352" t="s">
        <v>3186</v>
      </c>
      <c r="D187" s="387" t="s">
        <v>3339</v>
      </c>
      <c r="E187" s="388" t="s">
        <v>3340</v>
      </c>
      <c r="F187" s="389" t="s">
        <v>3182</v>
      </c>
      <c r="G187" s="389" t="s">
        <v>3183</v>
      </c>
      <c r="H187" s="390" t="s">
        <v>1538</v>
      </c>
      <c r="I187" s="391" t="s">
        <v>1538</v>
      </c>
      <c r="J187" s="353" t="s">
        <v>3184</v>
      </c>
      <c r="K187" s="353" t="s">
        <v>3187</v>
      </c>
      <c r="L187" s="400">
        <v>0</v>
      </c>
      <c r="M187" s="401">
        <v>0</v>
      </c>
      <c r="N187" s="400">
        <v>0</v>
      </c>
      <c r="O187" s="401">
        <v>0</v>
      </c>
      <c r="P187" s="400">
        <v>0</v>
      </c>
      <c r="Q187" s="401">
        <v>0</v>
      </c>
      <c r="R187" s="400"/>
      <c r="S187" s="401"/>
      <c r="T187" s="400"/>
      <c r="U187" s="401"/>
      <c r="V187" s="400">
        <v>0</v>
      </c>
      <c r="W187" s="401">
        <v>0</v>
      </c>
      <c r="X187" s="400">
        <v>0</v>
      </c>
      <c r="Y187" s="401">
        <v>0</v>
      </c>
      <c r="Z187" s="400">
        <v>0</v>
      </c>
      <c r="AA187" s="401">
        <v>0</v>
      </c>
      <c r="AB187" s="400">
        <v>0</v>
      </c>
      <c r="AC187" s="401">
        <v>0</v>
      </c>
      <c r="AD187" s="400">
        <v>0</v>
      </c>
      <c r="AE187" s="401">
        <v>0</v>
      </c>
      <c r="AF187" s="400"/>
      <c r="AG187" s="401"/>
      <c r="AH187" s="400"/>
      <c r="AI187" s="401"/>
      <c r="AJ187" s="400">
        <v>0</v>
      </c>
      <c r="AK187" s="401">
        <v>0</v>
      </c>
      <c r="AL187" s="400">
        <v>0</v>
      </c>
      <c r="AM187" s="401">
        <v>0</v>
      </c>
      <c r="AN187" s="400">
        <v>0</v>
      </c>
      <c r="AO187" s="401">
        <v>0</v>
      </c>
      <c r="AP187" s="400">
        <v>0</v>
      </c>
      <c r="AQ187" s="401">
        <v>0</v>
      </c>
      <c r="AR187" s="400">
        <v>0</v>
      </c>
      <c r="AS187" s="401">
        <v>0</v>
      </c>
      <c r="AT187" s="400"/>
      <c r="AU187" s="401"/>
      <c r="AV187" s="400"/>
      <c r="AW187" s="401"/>
      <c r="AX187" s="400">
        <v>0</v>
      </c>
      <c r="AY187" s="401">
        <v>0</v>
      </c>
      <c r="AZ187" s="400">
        <v>0</v>
      </c>
      <c r="BA187" s="401">
        <v>0</v>
      </c>
      <c r="BB187" s="400">
        <v>0</v>
      </c>
      <c r="BC187" s="401">
        <v>0</v>
      </c>
      <c r="BD187" s="400">
        <v>0</v>
      </c>
      <c r="BE187" s="401">
        <v>0</v>
      </c>
      <c r="BF187" s="400">
        <v>0</v>
      </c>
      <c r="BG187" s="401">
        <v>0</v>
      </c>
      <c r="BH187" s="400"/>
      <c r="BI187" s="401"/>
      <c r="BJ187" s="400"/>
      <c r="BK187" s="401"/>
      <c r="BL187" s="400">
        <v>0</v>
      </c>
      <c r="BM187" s="401">
        <v>0</v>
      </c>
      <c r="BN187" s="400">
        <v>0</v>
      </c>
      <c r="BO187" s="401">
        <v>0</v>
      </c>
      <c r="BP187" s="400">
        <v>0</v>
      </c>
      <c r="BQ187" s="401">
        <v>0</v>
      </c>
      <c r="BR187" s="400">
        <v>0</v>
      </c>
      <c r="BS187" s="401">
        <v>0</v>
      </c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3337</v>
      </c>
      <c r="B188" s="386" t="s">
        <v>3338</v>
      </c>
      <c r="C188" s="392" t="s">
        <v>3186</v>
      </c>
      <c r="D188" s="387" t="s">
        <v>3339</v>
      </c>
      <c r="E188" s="388" t="s">
        <v>3340</v>
      </c>
      <c r="F188" s="389" t="s">
        <v>3182</v>
      </c>
      <c r="G188" s="389" t="s">
        <v>3183</v>
      </c>
      <c r="H188" s="390" t="s">
        <v>1538</v>
      </c>
      <c r="I188" s="391" t="s">
        <v>1538</v>
      </c>
      <c r="J188" s="353" t="s">
        <v>3184</v>
      </c>
      <c r="K188" s="355" t="s">
        <v>3188</v>
      </c>
      <c r="L188" s="400">
        <v>0</v>
      </c>
      <c r="M188" s="401">
        <v>0</v>
      </c>
      <c r="N188" s="400">
        <v>0</v>
      </c>
      <c r="O188" s="401">
        <v>0</v>
      </c>
      <c r="P188" s="400">
        <v>0</v>
      </c>
      <c r="Q188" s="401">
        <v>0</v>
      </c>
      <c r="R188" s="400"/>
      <c r="S188" s="401"/>
      <c r="T188" s="400"/>
      <c r="U188" s="401"/>
      <c r="V188" s="400">
        <v>0</v>
      </c>
      <c r="W188" s="401">
        <v>0</v>
      </c>
      <c r="X188" s="400">
        <v>0</v>
      </c>
      <c r="Y188" s="401">
        <v>0</v>
      </c>
      <c r="Z188" s="400">
        <v>0</v>
      </c>
      <c r="AA188" s="401">
        <v>0</v>
      </c>
      <c r="AB188" s="400">
        <v>0</v>
      </c>
      <c r="AC188" s="401">
        <v>0</v>
      </c>
      <c r="AD188" s="400">
        <v>0</v>
      </c>
      <c r="AE188" s="401">
        <v>0</v>
      </c>
      <c r="AF188" s="400"/>
      <c r="AG188" s="401"/>
      <c r="AH188" s="400"/>
      <c r="AI188" s="401"/>
      <c r="AJ188" s="400">
        <v>0</v>
      </c>
      <c r="AK188" s="401">
        <v>0</v>
      </c>
      <c r="AL188" s="400">
        <v>0</v>
      </c>
      <c r="AM188" s="401">
        <v>0</v>
      </c>
      <c r="AN188" s="400">
        <v>0</v>
      </c>
      <c r="AO188" s="401">
        <v>0</v>
      </c>
      <c r="AP188" s="400">
        <v>0</v>
      </c>
      <c r="AQ188" s="401">
        <v>0</v>
      </c>
      <c r="AR188" s="400">
        <v>0</v>
      </c>
      <c r="AS188" s="401">
        <v>0</v>
      </c>
      <c r="AT188" s="400"/>
      <c r="AU188" s="401"/>
      <c r="AV188" s="400"/>
      <c r="AW188" s="401"/>
      <c r="AX188" s="400">
        <v>0</v>
      </c>
      <c r="AY188" s="401">
        <v>0</v>
      </c>
      <c r="AZ188" s="400">
        <v>0</v>
      </c>
      <c r="BA188" s="401">
        <v>0</v>
      </c>
      <c r="BB188" s="400">
        <v>0</v>
      </c>
      <c r="BC188" s="401">
        <v>0</v>
      </c>
      <c r="BD188" s="400">
        <v>0</v>
      </c>
      <c r="BE188" s="401">
        <v>0</v>
      </c>
      <c r="BF188" s="400">
        <v>0</v>
      </c>
      <c r="BG188" s="401">
        <v>0</v>
      </c>
      <c r="BH188" s="400"/>
      <c r="BI188" s="401"/>
      <c r="BJ188" s="400"/>
      <c r="BK188" s="401"/>
      <c r="BL188" s="400">
        <v>0</v>
      </c>
      <c r="BM188" s="401">
        <v>0</v>
      </c>
      <c r="BN188" s="400">
        <v>0</v>
      </c>
      <c r="BO188" s="401">
        <v>0</v>
      </c>
      <c r="BP188" s="400">
        <v>0</v>
      </c>
      <c r="BQ188" s="401">
        <v>0</v>
      </c>
      <c r="BR188" s="400">
        <v>0</v>
      </c>
      <c r="BS188" s="401">
        <v>0</v>
      </c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3337</v>
      </c>
      <c r="B189" s="386" t="s">
        <v>3338</v>
      </c>
      <c r="C189" s="392" t="s">
        <v>3186</v>
      </c>
      <c r="D189" s="387" t="s">
        <v>3339</v>
      </c>
      <c r="E189" s="388" t="s">
        <v>3340</v>
      </c>
      <c r="F189" s="389" t="s">
        <v>3182</v>
      </c>
      <c r="G189" s="389" t="s">
        <v>3183</v>
      </c>
      <c r="H189" s="390" t="s">
        <v>1538</v>
      </c>
      <c r="I189" s="391" t="s">
        <v>1538</v>
      </c>
      <c r="J189" s="353" t="s">
        <v>3184</v>
      </c>
      <c r="K189" s="356" t="s">
        <v>3189</v>
      </c>
      <c r="L189" s="400">
        <v>0</v>
      </c>
      <c r="M189" s="401">
        <v>0</v>
      </c>
      <c r="N189" s="400">
        <v>0</v>
      </c>
      <c r="O189" s="401">
        <v>0</v>
      </c>
      <c r="P189" s="400">
        <v>0</v>
      </c>
      <c r="Q189" s="401">
        <v>0</v>
      </c>
      <c r="R189" s="400"/>
      <c r="S189" s="401"/>
      <c r="T189" s="400"/>
      <c r="U189" s="401"/>
      <c r="V189" s="400">
        <v>0</v>
      </c>
      <c r="W189" s="401">
        <v>0</v>
      </c>
      <c r="X189" s="400">
        <v>0</v>
      </c>
      <c r="Y189" s="401">
        <v>0</v>
      </c>
      <c r="Z189" s="400">
        <v>0</v>
      </c>
      <c r="AA189" s="401">
        <v>0</v>
      </c>
      <c r="AB189" s="400">
        <v>0</v>
      </c>
      <c r="AC189" s="401">
        <v>0</v>
      </c>
      <c r="AD189" s="400">
        <v>0</v>
      </c>
      <c r="AE189" s="401">
        <v>0</v>
      </c>
      <c r="AF189" s="400"/>
      <c r="AG189" s="401"/>
      <c r="AH189" s="400"/>
      <c r="AI189" s="401"/>
      <c r="AJ189" s="400">
        <v>0</v>
      </c>
      <c r="AK189" s="401">
        <v>0</v>
      </c>
      <c r="AL189" s="400">
        <v>0</v>
      </c>
      <c r="AM189" s="401">
        <v>0</v>
      </c>
      <c r="AN189" s="400">
        <v>0</v>
      </c>
      <c r="AO189" s="401">
        <v>0</v>
      </c>
      <c r="AP189" s="400">
        <v>0</v>
      </c>
      <c r="AQ189" s="401">
        <v>0</v>
      </c>
      <c r="AR189" s="400">
        <v>0</v>
      </c>
      <c r="AS189" s="401">
        <v>0</v>
      </c>
      <c r="AT189" s="400"/>
      <c r="AU189" s="401"/>
      <c r="AV189" s="400"/>
      <c r="AW189" s="401"/>
      <c r="AX189" s="400">
        <v>0</v>
      </c>
      <c r="AY189" s="401">
        <v>0</v>
      </c>
      <c r="AZ189" s="400">
        <v>0</v>
      </c>
      <c r="BA189" s="401">
        <v>0</v>
      </c>
      <c r="BB189" s="400">
        <v>0</v>
      </c>
      <c r="BC189" s="401">
        <v>0</v>
      </c>
      <c r="BD189" s="400">
        <v>0</v>
      </c>
      <c r="BE189" s="401">
        <v>0</v>
      </c>
      <c r="BF189" s="400">
        <v>0</v>
      </c>
      <c r="BG189" s="401">
        <v>0</v>
      </c>
      <c r="BH189" s="400"/>
      <c r="BI189" s="401"/>
      <c r="BJ189" s="400"/>
      <c r="BK189" s="401"/>
      <c r="BL189" s="400">
        <v>0</v>
      </c>
      <c r="BM189" s="401">
        <v>0</v>
      </c>
      <c r="BN189" s="400">
        <v>0</v>
      </c>
      <c r="BO189" s="401">
        <v>0</v>
      </c>
      <c r="BP189" s="400">
        <v>0</v>
      </c>
      <c r="BQ189" s="401">
        <v>0</v>
      </c>
      <c r="BR189" s="400">
        <v>0</v>
      </c>
      <c r="BS189" s="401">
        <v>0</v>
      </c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3337</v>
      </c>
      <c r="B190" s="393" t="s">
        <v>3338</v>
      </c>
      <c r="C190" s="394" t="s">
        <v>3186</v>
      </c>
      <c r="D190" s="395" t="s">
        <v>3339</v>
      </c>
      <c r="E190" s="411" t="s">
        <v>3340</v>
      </c>
      <c r="F190" s="396" t="s">
        <v>3182</v>
      </c>
      <c r="G190" s="396" t="s">
        <v>3183</v>
      </c>
      <c r="H190" s="397" t="s">
        <v>1538</v>
      </c>
      <c r="I190" s="899" t="s">
        <v>1538</v>
      </c>
      <c r="J190" s="353" t="s">
        <v>3184</v>
      </c>
      <c r="K190" s="357" t="s">
        <v>60</v>
      </c>
      <c r="L190" s="402">
        <v>0</v>
      </c>
      <c r="M190" s="403">
        <v>0</v>
      </c>
      <c r="N190" s="402">
        <v>0</v>
      </c>
      <c r="O190" s="403">
        <v>0</v>
      </c>
      <c r="P190" s="402">
        <v>0</v>
      </c>
      <c r="Q190" s="403">
        <v>0</v>
      </c>
      <c r="R190" s="402"/>
      <c r="S190" s="403"/>
      <c r="T190" s="402"/>
      <c r="U190" s="403"/>
      <c r="V190" s="402">
        <v>0</v>
      </c>
      <c r="W190" s="403">
        <v>0</v>
      </c>
      <c r="X190" s="402">
        <v>0</v>
      </c>
      <c r="Y190" s="403">
        <v>0</v>
      </c>
      <c r="Z190" s="402">
        <v>0</v>
      </c>
      <c r="AA190" s="403">
        <v>0</v>
      </c>
      <c r="AB190" s="402">
        <v>0</v>
      </c>
      <c r="AC190" s="403">
        <v>0</v>
      </c>
      <c r="AD190" s="402">
        <v>0</v>
      </c>
      <c r="AE190" s="403">
        <v>0</v>
      </c>
      <c r="AF190" s="402"/>
      <c r="AG190" s="403"/>
      <c r="AH190" s="402"/>
      <c r="AI190" s="403"/>
      <c r="AJ190" s="402">
        <v>0</v>
      </c>
      <c r="AK190" s="403">
        <v>0</v>
      </c>
      <c r="AL190" s="402">
        <v>0</v>
      </c>
      <c r="AM190" s="403">
        <v>0</v>
      </c>
      <c r="AN190" s="402">
        <v>0</v>
      </c>
      <c r="AO190" s="403">
        <v>0</v>
      </c>
      <c r="AP190" s="402">
        <v>0</v>
      </c>
      <c r="AQ190" s="403">
        <v>0</v>
      </c>
      <c r="AR190" s="402">
        <v>0</v>
      </c>
      <c r="AS190" s="403">
        <v>0</v>
      </c>
      <c r="AT190" s="402"/>
      <c r="AU190" s="403"/>
      <c r="AV190" s="402"/>
      <c r="AW190" s="403"/>
      <c r="AX190" s="402">
        <v>0</v>
      </c>
      <c r="AY190" s="403">
        <v>0</v>
      </c>
      <c r="AZ190" s="402">
        <v>0</v>
      </c>
      <c r="BA190" s="403">
        <v>0</v>
      </c>
      <c r="BB190" s="402">
        <v>0</v>
      </c>
      <c r="BC190" s="403">
        <v>0</v>
      </c>
      <c r="BD190" s="402">
        <v>0</v>
      </c>
      <c r="BE190" s="403">
        <v>0</v>
      </c>
      <c r="BF190" s="402">
        <v>0</v>
      </c>
      <c r="BG190" s="403">
        <v>0</v>
      </c>
      <c r="BH190" s="402"/>
      <c r="BI190" s="403"/>
      <c r="BJ190" s="402"/>
      <c r="BK190" s="403"/>
      <c r="BL190" s="402">
        <v>0</v>
      </c>
      <c r="BM190" s="403">
        <v>0</v>
      </c>
      <c r="BN190" s="402">
        <v>0</v>
      </c>
      <c r="BO190" s="403">
        <v>0</v>
      </c>
      <c r="BP190" s="402">
        <v>0</v>
      </c>
      <c r="BQ190" s="403">
        <v>0</v>
      </c>
      <c r="BR190" s="402">
        <v>0</v>
      </c>
      <c r="BS190" s="403">
        <v>0</v>
      </c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3341</v>
      </c>
      <c r="B191" s="526" t="s">
        <v>3342</v>
      </c>
      <c r="C191" s="527">
        <v>1</v>
      </c>
      <c r="D191" s="528" t="s">
        <v>3343</v>
      </c>
      <c r="E191" s="426" t="s">
        <v>3344</v>
      </c>
      <c r="F191" s="529" t="s">
        <v>3182</v>
      </c>
      <c r="G191" s="529" t="s">
        <v>3183</v>
      </c>
      <c r="H191" s="530" t="s">
        <v>1539</v>
      </c>
      <c r="I191" s="384" t="s">
        <v>1539</v>
      </c>
      <c r="J191" s="353" t="s">
        <v>3184</v>
      </c>
      <c r="K191" s="354" t="s">
        <v>3185</v>
      </c>
      <c r="L191" s="402">
        <v>0</v>
      </c>
      <c r="M191" s="403">
        <v>0</v>
      </c>
      <c r="N191" s="402">
        <v>0</v>
      </c>
      <c r="O191" s="403">
        <v>0</v>
      </c>
      <c r="P191" s="402">
        <v>0</v>
      </c>
      <c r="Q191" s="403">
        <v>0</v>
      </c>
      <c r="R191" s="402"/>
      <c r="S191" s="403"/>
      <c r="T191" s="402"/>
      <c r="U191" s="403"/>
      <c r="V191" s="402">
        <v>0</v>
      </c>
      <c r="W191" s="403">
        <v>0</v>
      </c>
      <c r="X191" s="402">
        <v>0</v>
      </c>
      <c r="Y191" s="403">
        <v>0</v>
      </c>
      <c r="Z191" s="402">
        <v>0</v>
      </c>
      <c r="AA191" s="403">
        <v>0</v>
      </c>
      <c r="AB191" s="402">
        <v>0</v>
      </c>
      <c r="AC191" s="403">
        <v>0</v>
      </c>
      <c r="AD191" s="402">
        <v>0</v>
      </c>
      <c r="AE191" s="403">
        <v>0</v>
      </c>
      <c r="AF191" s="402"/>
      <c r="AG191" s="403"/>
      <c r="AH191" s="402"/>
      <c r="AI191" s="403"/>
      <c r="AJ191" s="402">
        <v>0</v>
      </c>
      <c r="AK191" s="403">
        <v>0</v>
      </c>
      <c r="AL191" s="402">
        <v>0</v>
      </c>
      <c r="AM191" s="403">
        <v>0</v>
      </c>
      <c r="AN191" s="402">
        <v>0</v>
      </c>
      <c r="AO191" s="403">
        <v>0</v>
      </c>
      <c r="AP191" s="402">
        <v>0</v>
      </c>
      <c r="AQ191" s="403">
        <v>0</v>
      </c>
      <c r="AR191" s="402">
        <v>0</v>
      </c>
      <c r="AS191" s="403">
        <v>0</v>
      </c>
      <c r="AT191" s="402"/>
      <c r="AU191" s="403"/>
      <c r="AV191" s="402"/>
      <c r="AW191" s="403"/>
      <c r="AX191" s="402">
        <v>0</v>
      </c>
      <c r="AY191" s="403">
        <v>0</v>
      </c>
      <c r="AZ191" s="402">
        <v>0</v>
      </c>
      <c r="BA191" s="403">
        <v>0</v>
      </c>
      <c r="BB191" s="402">
        <v>0</v>
      </c>
      <c r="BC191" s="403">
        <v>0</v>
      </c>
      <c r="BD191" s="402">
        <v>0</v>
      </c>
      <c r="BE191" s="403">
        <v>0</v>
      </c>
      <c r="BF191" s="402">
        <v>0</v>
      </c>
      <c r="BG191" s="403">
        <v>0</v>
      </c>
      <c r="BH191" s="402"/>
      <c r="BI191" s="403"/>
      <c r="BJ191" s="402"/>
      <c r="BK191" s="403"/>
      <c r="BL191" s="402">
        <v>0</v>
      </c>
      <c r="BM191" s="403">
        <v>0</v>
      </c>
      <c r="BN191" s="402">
        <v>0</v>
      </c>
      <c r="BO191" s="403">
        <v>0</v>
      </c>
      <c r="BP191" s="402">
        <v>0</v>
      </c>
      <c r="BQ191" s="403">
        <v>0</v>
      </c>
      <c r="BR191" s="402">
        <v>0</v>
      </c>
      <c r="BS191" s="403">
        <v>0</v>
      </c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3341</v>
      </c>
      <c r="B192" s="386" t="s">
        <v>3342</v>
      </c>
      <c r="C192" s="352" t="s">
        <v>3186</v>
      </c>
      <c r="D192" s="387" t="s">
        <v>3343</v>
      </c>
      <c r="E192" s="388" t="s">
        <v>3344</v>
      </c>
      <c r="F192" s="389" t="s">
        <v>3182</v>
      </c>
      <c r="G192" s="389" t="s">
        <v>3183</v>
      </c>
      <c r="H192" s="390" t="s">
        <v>1539</v>
      </c>
      <c r="I192" s="391" t="s">
        <v>1539</v>
      </c>
      <c r="J192" s="353" t="s">
        <v>3184</v>
      </c>
      <c r="K192" s="353" t="s">
        <v>3187</v>
      </c>
      <c r="L192" s="400">
        <v>0</v>
      </c>
      <c r="M192" s="401">
        <v>0</v>
      </c>
      <c r="N192" s="400">
        <v>0</v>
      </c>
      <c r="O192" s="401">
        <v>0</v>
      </c>
      <c r="P192" s="400">
        <v>0</v>
      </c>
      <c r="Q192" s="401">
        <v>0</v>
      </c>
      <c r="R192" s="400"/>
      <c r="S192" s="401"/>
      <c r="T192" s="400"/>
      <c r="U192" s="401"/>
      <c r="V192" s="400">
        <v>0</v>
      </c>
      <c r="W192" s="401">
        <v>0</v>
      </c>
      <c r="X192" s="400">
        <v>0</v>
      </c>
      <c r="Y192" s="401">
        <v>0</v>
      </c>
      <c r="Z192" s="400">
        <v>0</v>
      </c>
      <c r="AA192" s="401">
        <v>0</v>
      </c>
      <c r="AB192" s="400">
        <v>0</v>
      </c>
      <c r="AC192" s="401">
        <v>0</v>
      </c>
      <c r="AD192" s="400">
        <v>0</v>
      </c>
      <c r="AE192" s="401">
        <v>0</v>
      </c>
      <c r="AF192" s="400"/>
      <c r="AG192" s="401"/>
      <c r="AH192" s="400"/>
      <c r="AI192" s="401"/>
      <c r="AJ192" s="400">
        <v>0</v>
      </c>
      <c r="AK192" s="401">
        <v>0</v>
      </c>
      <c r="AL192" s="400">
        <v>0</v>
      </c>
      <c r="AM192" s="401">
        <v>0</v>
      </c>
      <c r="AN192" s="400">
        <v>0</v>
      </c>
      <c r="AO192" s="401">
        <v>0</v>
      </c>
      <c r="AP192" s="400">
        <v>0</v>
      </c>
      <c r="AQ192" s="401">
        <v>0</v>
      </c>
      <c r="AR192" s="400">
        <v>0</v>
      </c>
      <c r="AS192" s="401">
        <v>0</v>
      </c>
      <c r="AT192" s="400"/>
      <c r="AU192" s="401"/>
      <c r="AV192" s="400"/>
      <c r="AW192" s="401"/>
      <c r="AX192" s="400">
        <v>0</v>
      </c>
      <c r="AY192" s="401">
        <v>0</v>
      </c>
      <c r="AZ192" s="400">
        <v>0</v>
      </c>
      <c r="BA192" s="401">
        <v>0</v>
      </c>
      <c r="BB192" s="400">
        <v>0</v>
      </c>
      <c r="BC192" s="401">
        <v>0</v>
      </c>
      <c r="BD192" s="400">
        <v>0</v>
      </c>
      <c r="BE192" s="401">
        <v>0</v>
      </c>
      <c r="BF192" s="400">
        <v>0</v>
      </c>
      <c r="BG192" s="401">
        <v>0</v>
      </c>
      <c r="BH192" s="400"/>
      <c r="BI192" s="401"/>
      <c r="BJ192" s="400"/>
      <c r="BK192" s="401"/>
      <c r="BL192" s="400">
        <v>0</v>
      </c>
      <c r="BM192" s="401">
        <v>0</v>
      </c>
      <c r="BN192" s="400">
        <v>0</v>
      </c>
      <c r="BO192" s="401">
        <v>0</v>
      </c>
      <c r="BP192" s="400">
        <v>0</v>
      </c>
      <c r="BQ192" s="401">
        <v>0</v>
      </c>
      <c r="BR192" s="400">
        <v>0</v>
      </c>
      <c r="BS192" s="401">
        <v>0</v>
      </c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3341</v>
      </c>
      <c r="B193" s="386" t="s">
        <v>3342</v>
      </c>
      <c r="C193" s="392" t="s">
        <v>3186</v>
      </c>
      <c r="D193" s="387" t="s">
        <v>3343</v>
      </c>
      <c r="E193" s="388" t="s">
        <v>3344</v>
      </c>
      <c r="F193" s="389" t="s">
        <v>3182</v>
      </c>
      <c r="G193" s="389" t="s">
        <v>3183</v>
      </c>
      <c r="H193" s="390" t="s">
        <v>1539</v>
      </c>
      <c r="I193" s="391" t="s">
        <v>1539</v>
      </c>
      <c r="J193" s="353" t="s">
        <v>3184</v>
      </c>
      <c r="K193" s="355" t="s">
        <v>3188</v>
      </c>
      <c r="L193" s="400">
        <v>0</v>
      </c>
      <c r="M193" s="401">
        <v>0</v>
      </c>
      <c r="N193" s="400">
        <v>0</v>
      </c>
      <c r="O193" s="401">
        <v>0</v>
      </c>
      <c r="P193" s="400">
        <v>0</v>
      </c>
      <c r="Q193" s="401">
        <v>0</v>
      </c>
      <c r="R193" s="400"/>
      <c r="S193" s="401"/>
      <c r="T193" s="400"/>
      <c r="U193" s="401"/>
      <c r="V193" s="400">
        <v>0</v>
      </c>
      <c r="W193" s="401">
        <v>0</v>
      </c>
      <c r="X193" s="400">
        <v>0</v>
      </c>
      <c r="Y193" s="401">
        <v>0</v>
      </c>
      <c r="Z193" s="400">
        <v>0</v>
      </c>
      <c r="AA193" s="401">
        <v>0</v>
      </c>
      <c r="AB193" s="400">
        <v>0</v>
      </c>
      <c r="AC193" s="401">
        <v>0</v>
      </c>
      <c r="AD193" s="400">
        <v>0</v>
      </c>
      <c r="AE193" s="401">
        <v>0</v>
      </c>
      <c r="AF193" s="400"/>
      <c r="AG193" s="401"/>
      <c r="AH193" s="400"/>
      <c r="AI193" s="401"/>
      <c r="AJ193" s="400">
        <v>0</v>
      </c>
      <c r="AK193" s="401">
        <v>0</v>
      </c>
      <c r="AL193" s="400">
        <v>0</v>
      </c>
      <c r="AM193" s="401">
        <v>0</v>
      </c>
      <c r="AN193" s="400">
        <v>0</v>
      </c>
      <c r="AO193" s="401">
        <v>0</v>
      </c>
      <c r="AP193" s="400">
        <v>0</v>
      </c>
      <c r="AQ193" s="401">
        <v>0</v>
      </c>
      <c r="AR193" s="400">
        <v>0</v>
      </c>
      <c r="AS193" s="401">
        <v>0</v>
      </c>
      <c r="AT193" s="400"/>
      <c r="AU193" s="401"/>
      <c r="AV193" s="400"/>
      <c r="AW193" s="401"/>
      <c r="AX193" s="400">
        <v>0</v>
      </c>
      <c r="AY193" s="401">
        <v>0</v>
      </c>
      <c r="AZ193" s="400">
        <v>0</v>
      </c>
      <c r="BA193" s="401">
        <v>0</v>
      </c>
      <c r="BB193" s="400">
        <v>0</v>
      </c>
      <c r="BC193" s="401">
        <v>0</v>
      </c>
      <c r="BD193" s="400">
        <v>0</v>
      </c>
      <c r="BE193" s="401">
        <v>0</v>
      </c>
      <c r="BF193" s="400">
        <v>0</v>
      </c>
      <c r="BG193" s="401">
        <v>0</v>
      </c>
      <c r="BH193" s="400"/>
      <c r="BI193" s="401"/>
      <c r="BJ193" s="400"/>
      <c r="BK193" s="401"/>
      <c r="BL193" s="400">
        <v>0</v>
      </c>
      <c r="BM193" s="401">
        <v>0</v>
      </c>
      <c r="BN193" s="400">
        <v>0</v>
      </c>
      <c r="BO193" s="401">
        <v>0</v>
      </c>
      <c r="BP193" s="400">
        <v>0</v>
      </c>
      <c r="BQ193" s="401">
        <v>0</v>
      </c>
      <c r="BR193" s="400">
        <v>0</v>
      </c>
      <c r="BS193" s="401">
        <v>0</v>
      </c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3341</v>
      </c>
      <c r="B194" s="386" t="s">
        <v>3342</v>
      </c>
      <c r="C194" s="392" t="s">
        <v>3186</v>
      </c>
      <c r="D194" s="387" t="s">
        <v>3343</v>
      </c>
      <c r="E194" s="388" t="s">
        <v>3344</v>
      </c>
      <c r="F194" s="389" t="s">
        <v>3182</v>
      </c>
      <c r="G194" s="389" t="s">
        <v>3183</v>
      </c>
      <c r="H194" s="390" t="s">
        <v>1539</v>
      </c>
      <c r="I194" s="391" t="s">
        <v>1539</v>
      </c>
      <c r="J194" s="353" t="s">
        <v>3184</v>
      </c>
      <c r="K194" s="356" t="s">
        <v>3189</v>
      </c>
      <c r="L194" s="400">
        <v>0</v>
      </c>
      <c r="M194" s="401">
        <v>0</v>
      </c>
      <c r="N194" s="400">
        <v>0</v>
      </c>
      <c r="O194" s="401">
        <v>0</v>
      </c>
      <c r="P194" s="400">
        <v>0</v>
      </c>
      <c r="Q194" s="401">
        <v>0</v>
      </c>
      <c r="R194" s="400"/>
      <c r="S194" s="401"/>
      <c r="T194" s="400"/>
      <c r="U194" s="401"/>
      <c r="V194" s="400">
        <v>0</v>
      </c>
      <c r="W194" s="401">
        <v>0</v>
      </c>
      <c r="X194" s="400">
        <v>0</v>
      </c>
      <c r="Y194" s="401">
        <v>0</v>
      </c>
      <c r="Z194" s="400">
        <v>0</v>
      </c>
      <c r="AA194" s="401">
        <v>0</v>
      </c>
      <c r="AB194" s="400">
        <v>0</v>
      </c>
      <c r="AC194" s="401">
        <v>0</v>
      </c>
      <c r="AD194" s="400">
        <v>0</v>
      </c>
      <c r="AE194" s="401">
        <v>0</v>
      </c>
      <c r="AF194" s="400"/>
      <c r="AG194" s="401"/>
      <c r="AH194" s="400"/>
      <c r="AI194" s="401"/>
      <c r="AJ194" s="400">
        <v>0</v>
      </c>
      <c r="AK194" s="401">
        <v>0</v>
      </c>
      <c r="AL194" s="400">
        <v>0</v>
      </c>
      <c r="AM194" s="401">
        <v>0</v>
      </c>
      <c r="AN194" s="400">
        <v>0</v>
      </c>
      <c r="AO194" s="401">
        <v>0</v>
      </c>
      <c r="AP194" s="400">
        <v>0</v>
      </c>
      <c r="AQ194" s="401">
        <v>0</v>
      </c>
      <c r="AR194" s="400">
        <v>0</v>
      </c>
      <c r="AS194" s="401">
        <v>0</v>
      </c>
      <c r="AT194" s="400"/>
      <c r="AU194" s="401"/>
      <c r="AV194" s="400"/>
      <c r="AW194" s="401"/>
      <c r="AX194" s="400">
        <v>0</v>
      </c>
      <c r="AY194" s="401">
        <v>0</v>
      </c>
      <c r="AZ194" s="400">
        <v>0</v>
      </c>
      <c r="BA194" s="401">
        <v>0</v>
      </c>
      <c r="BB194" s="400">
        <v>0</v>
      </c>
      <c r="BC194" s="401">
        <v>0</v>
      </c>
      <c r="BD194" s="400">
        <v>0</v>
      </c>
      <c r="BE194" s="401">
        <v>0</v>
      </c>
      <c r="BF194" s="400">
        <v>0</v>
      </c>
      <c r="BG194" s="401">
        <v>0</v>
      </c>
      <c r="BH194" s="400"/>
      <c r="BI194" s="401"/>
      <c r="BJ194" s="400"/>
      <c r="BK194" s="401"/>
      <c r="BL194" s="400">
        <v>0</v>
      </c>
      <c r="BM194" s="401">
        <v>0</v>
      </c>
      <c r="BN194" s="400">
        <v>0</v>
      </c>
      <c r="BO194" s="401">
        <v>0</v>
      </c>
      <c r="BP194" s="400">
        <v>0</v>
      </c>
      <c r="BQ194" s="401">
        <v>0</v>
      </c>
      <c r="BR194" s="400">
        <v>0</v>
      </c>
      <c r="BS194" s="401">
        <v>0</v>
      </c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3341</v>
      </c>
      <c r="B195" s="393" t="s">
        <v>3342</v>
      </c>
      <c r="C195" s="394" t="s">
        <v>3186</v>
      </c>
      <c r="D195" s="395" t="s">
        <v>3343</v>
      </c>
      <c r="E195" s="411" t="s">
        <v>3344</v>
      </c>
      <c r="F195" s="396" t="s">
        <v>3182</v>
      </c>
      <c r="G195" s="396" t="s">
        <v>3183</v>
      </c>
      <c r="H195" s="397" t="s">
        <v>1539</v>
      </c>
      <c r="I195" s="899" t="s">
        <v>1539</v>
      </c>
      <c r="J195" s="353" t="s">
        <v>3184</v>
      </c>
      <c r="K195" s="357" t="s">
        <v>60</v>
      </c>
      <c r="L195" s="402">
        <v>0</v>
      </c>
      <c r="M195" s="403">
        <v>0</v>
      </c>
      <c r="N195" s="402">
        <v>0</v>
      </c>
      <c r="O195" s="403">
        <v>0</v>
      </c>
      <c r="P195" s="402">
        <v>0</v>
      </c>
      <c r="Q195" s="403">
        <v>0</v>
      </c>
      <c r="R195" s="402"/>
      <c r="S195" s="403"/>
      <c r="T195" s="402"/>
      <c r="U195" s="403"/>
      <c r="V195" s="402">
        <v>0</v>
      </c>
      <c r="W195" s="403">
        <v>0</v>
      </c>
      <c r="X195" s="402">
        <v>0</v>
      </c>
      <c r="Y195" s="403">
        <v>0</v>
      </c>
      <c r="Z195" s="402">
        <v>0</v>
      </c>
      <c r="AA195" s="403">
        <v>0</v>
      </c>
      <c r="AB195" s="402">
        <v>0</v>
      </c>
      <c r="AC195" s="403">
        <v>0</v>
      </c>
      <c r="AD195" s="402">
        <v>0</v>
      </c>
      <c r="AE195" s="403">
        <v>0</v>
      </c>
      <c r="AF195" s="402"/>
      <c r="AG195" s="403"/>
      <c r="AH195" s="402"/>
      <c r="AI195" s="403"/>
      <c r="AJ195" s="402">
        <v>0</v>
      </c>
      <c r="AK195" s="403">
        <v>0</v>
      </c>
      <c r="AL195" s="402">
        <v>0</v>
      </c>
      <c r="AM195" s="403">
        <v>0</v>
      </c>
      <c r="AN195" s="402">
        <v>0</v>
      </c>
      <c r="AO195" s="403">
        <v>0</v>
      </c>
      <c r="AP195" s="402">
        <v>0</v>
      </c>
      <c r="AQ195" s="403">
        <v>0</v>
      </c>
      <c r="AR195" s="402">
        <v>0</v>
      </c>
      <c r="AS195" s="403">
        <v>0</v>
      </c>
      <c r="AT195" s="402"/>
      <c r="AU195" s="403"/>
      <c r="AV195" s="402"/>
      <c r="AW195" s="403"/>
      <c r="AX195" s="402">
        <v>0</v>
      </c>
      <c r="AY195" s="403">
        <v>0</v>
      </c>
      <c r="AZ195" s="402">
        <v>0</v>
      </c>
      <c r="BA195" s="403">
        <v>0</v>
      </c>
      <c r="BB195" s="402">
        <v>0</v>
      </c>
      <c r="BC195" s="403">
        <v>0</v>
      </c>
      <c r="BD195" s="402">
        <v>0</v>
      </c>
      <c r="BE195" s="403">
        <v>0</v>
      </c>
      <c r="BF195" s="402">
        <v>0</v>
      </c>
      <c r="BG195" s="403">
        <v>0</v>
      </c>
      <c r="BH195" s="402"/>
      <c r="BI195" s="403"/>
      <c r="BJ195" s="402"/>
      <c r="BK195" s="403"/>
      <c r="BL195" s="402">
        <v>0</v>
      </c>
      <c r="BM195" s="403">
        <v>0</v>
      </c>
      <c r="BN195" s="402">
        <v>0</v>
      </c>
      <c r="BO195" s="403">
        <v>0</v>
      </c>
      <c r="BP195" s="402">
        <v>0</v>
      </c>
      <c r="BQ195" s="403">
        <v>0</v>
      </c>
      <c r="BR195" s="402">
        <v>0</v>
      </c>
      <c r="BS195" s="403">
        <v>0</v>
      </c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3345</v>
      </c>
      <c r="B196" s="526" t="s">
        <v>3346</v>
      </c>
      <c r="C196" s="527">
        <v>1</v>
      </c>
      <c r="D196" s="528" t="s">
        <v>3347</v>
      </c>
      <c r="E196" s="426" t="s">
        <v>3348</v>
      </c>
      <c r="F196" s="529" t="s">
        <v>3182</v>
      </c>
      <c r="G196" s="529" t="s">
        <v>3183</v>
      </c>
      <c r="H196" s="530" t="s">
        <v>1540</v>
      </c>
      <c r="I196" s="384" t="s">
        <v>1540</v>
      </c>
      <c r="J196" s="353" t="s">
        <v>3184</v>
      </c>
      <c r="K196" s="354" t="s">
        <v>3185</v>
      </c>
      <c r="L196" s="402">
        <v>0</v>
      </c>
      <c r="M196" s="403">
        <v>0</v>
      </c>
      <c r="N196" s="402">
        <v>0</v>
      </c>
      <c r="O196" s="403">
        <v>0</v>
      </c>
      <c r="P196" s="402">
        <v>0</v>
      </c>
      <c r="Q196" s="403">
        <v>0</v>
      </c>
      <c r="R196" s="402"/>
      <c r="S196" s="403"/>
      <c r="T196" s="402"/>
      <c r="U196" s="403"/>
      <c r="V196" s="402">
        <v>0</v>
      </c>
      <c r="W196" s="403">
        <v>0</v>
      </c>
      <c r="X196" s="402">
        <v>0</v>
      </c>
      <c r="Y196" s="403">
        <v>0</v>
      </c>
      <c r="Z196" s="402">
        <v>0</v>
      </c>
      <c r="AA196" s="403">
        <v>0</v>
      </c>
      <c r="AB196" s="402">
        <v>0</v>
      </c>
      <c r="AC196" s="403">
        <v>0</v>
      </c>
      <c r="AD196" s="402">
        <v>0</v>
      </c>
      <c r="AE196" s="403">
        <v>0</v>
      </c>
      <c r="AF196" s="402"/>
      <c r="AG196" s="403"/>
      <c r="AH196" s="402"/>
      <c r="AI196" s="403"/>
      <c r="AJ196" s="402">
        <v>0</v>
      </c>
      <c r="AK196" s="403">
        <v>0</v>
      </c>
      <c r="AL196" s="402">
        <v>0</v>
      </c>
      <c r="AM196" s="403">
        <v>0</v>
      </c>
      <c r="AN196" s="402">
        <v>0</v>
      </c>
      <c r="AO196" s="403">
        <v>0</v>
      </c>
      <c r="AP196" s="402">
        <v>0</v>
      </c>
      <c r="AQ196" s="403">
        <v>0</v>
      </c>
      <c r="AR196" s="402">
        <v>0</v>
      </c>
      <c r="AS196" s="403">
        <v>0</v>
      </c>
      <c r="AT196" s="402"/>
      <c r="AU196" s="403"/>
      <c r="AV196" s="402"/>
      <c r="AW196" s="403"/>
      <c r="AX196" s="402">
        <v>0</v>
      </c>
      <c r="AY196" s="403">
        <v>0</v>
      </c>
      <c r="AZ196" s="402">
        <v>0</v>
      </c>
      <c r="BA196" s="403">
        <v>0</v>
      </c>
      <c r="BB196" s="402">
        <v>0</v>
      </c>
      <c r="BC196" s="403">
        <v>0</v>
      </c>
      <c r="BD196" s="402">
        <v>0</v>
      </c>
      <c r="BE196" s="403">
        <v>0</v>
      </c>
      <c r="BF196" s="402">
        <v>0</v>
      </c>
      <c r="BG196" s="403">
        <v>0</v>
      </c>
      <c r="BH196" s="402"/>
      <c r="BI196" s="403"/>
      <c r="BJ196" s="402"/>
      <c r="BK196" s="403"/>
      <c r="BL196" s="402">
        <v>0</v>
      </c>
      <c r="BM196" s="403">
        <v>0</v>
      </c>
      <c r="BN196" s="402">
        <v>0</v>
      </c>
      <c r="BO196" s="403">
        <v>0</v>
      </c>
      <c r="BP196" s="402">
        <v>0</v>
      </c>
      <c r="BQ196" s="403">
        <v>0</v>
      </c>
      <c r="BR196" s="402">
        <v>0</v>
      </c>
      <c r="BS196" s="403">
        <v>0</v>
      </c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3345</v>
      </c>
      <c r="B197" s="386" t="s">
        <v>3346</v>
      </c>
      <c r="C197" s="352" t="s">
        <v>3186</v>
      </c>
      <c r="D197" s="387" t="s">
        <v>3347</v>
      </c>
      <c r="E197" s="388" t="s">
        <v>3348</v>
      </c>
      <c r="F197" s="389" t="s">
        <v>3182</v>
      </c>
      <c r="G197" s="389" t="s">
        <v>3183</v>
      </c>
      <c r="H197" s="390" t="s">
        <v>1540</v>
      </c>
      <c r="I197" s="391" t="s">
        <v>1540</v>
      </c>
      <c r="J197" s="353" t="s">
        <v>3184</v>
      </c>
      <c r="K197" s="353" t="s">
        <v>3187</v>
      </c>
      <c r="L197" s="400">
        <v>0</v>
      </c>
      <c r="M197" s="401">
        <v>0</v>
      </c>
      <c r="N197" s="400">
        <v>0</v>
      </c>
      <c r="O197" s="401">
        <v>0</v>
      </c>
      <c r="P197" s="400">
        <v>0</v>
      </c>
      <c r="Q197" s="401">
        <v>0</v>
      </c>
      <c r="R197" s="400"/>
      <c r="S197" s="401"/>
      <c r="T197" s="400"/>
      <c r="U197" s="401"/>
      <c r="V197" s="400">
        <v>5</v>
      </c>
      <c r="W197" s="401">
        <v>0</v>
      </c>
      <c r="X197" s="400">
        <v>0</v>
      </c>
      <c r="Y197" s="401">
        <v>0</v>
      </c>
      <c r="Z197" s="400">
        <v>0</v>
      </c>
      <c r="AA197" s="401">
        <v>0</v>
      </c>
      <c r="AB197" s="400">
        <v>0</v>
      </c>
      <c r="AC197" s="401">
        <v>0</v>
      </c>
      <c r="AD197" s="400">
        <v>0</v>
      </c>
      <c r="AE197" s="401">
        <v>0</v>
      </c>
      <c r="AF197" s="400"/>
      <c r="AG197" s="401"/>
      <c r="AH197" s="400"/>
      <c r="AI197" s="401"/>
      <c r="AJ197" s="400">
        <v>5</v>
      </c>
      <c r="AK197" s="401">
        <v>0</v>
      </c>
      <c r="AL197" s="400">
        <v>0</v>
      </c>
      <c r="AM197" s="401">
        <v>0</v>
      </c>
      <c r="AN197" s="400">
        <v>0</v>
      </c>
      <c r="AO197" s="401">
        <v>0</v>
      </c>
      <c r="AP197" s="400">
        <v>0</v>
      </c>
      <c r="AQ197" s="401">
        <v>0</v>
      </c>
      <c r="AR197" s="400">
        <v>0</v>
      </c>
      <c r="AS197" s="401">
        <v>0</v>
      </c>
      <c r="AT197" s="400"/>
      <c r="AU197" s="401"/>
      <c r="AV197" s="400"/>
      <c r="AW197" s="401"/>
      <c r="AX197" s="400">
        <v>5</v>
      </c>
      <c r="AY197" s="401">
        <v>0</v>
      </c>
      <c r="AZ197" s="400">
        <v>0</v>
      </c>
      <c r="BA197" s="401">
        <v>0</v>
      </c>
      <c r="BB197" s="400">
        <v>0</v>
      </c>
      <c r="BC197" s="401">
        <v>0</v>
      </c>
      <c r="BD197" s="400">
        <v>0</v>
      </c>
      <c r="BE197" s="401">
        <v>0</v>
      </c>
      <c r="BF197" s="400">
        <v>0</v>
      </c>
      <c r="BG197" s="401">
        <v>0</v>
      </c>
      <c r="BH197" s="400"/>
      <c r="BI197" s="401"/>
      <c r="BJ197" s="400"/>
      <c r="BK197" s="401"/>
      <c r="BL197" s="400">
        <v>5</v>
      </c>
      <c r="BM197" s="401">
        <v>0</v>
      </c>
      <c r="BN197" s="400">
        <v>0</v>
      </c>
      <c r="BO197" s="401">
        <v>0</v>
      </c>
      <c r="BP197" s="400">
        <v>0</v>
      </c>
      <c r="BQ197" s="401">
        <v>0</v>
      </c>
      <c r="BR197" s="400">
        <v>0</v>
      </c>
      <c r="BS197" s="401">
        <v>0</v>
      </c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20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3345</v>
      </c>
      <c r="B198" s="386" t="s">
        <v>3346</v>
      </c>
      <c r="C198" s="392" t="s">
        <v>3186</v>
      </c>
      <c r="D198" s="387" t="s">
        <v>3347</v>
      </c>
      <c r="E198" s="388" t="s">
        <v>3348</v>
      </c>
      <c r="F198" s="389" t="s">
        <v>3182</v>
      </c>
      <c r="G198" s="389" t="s">
        <v>3183</v>
      </c>
      <c r="H198" s="390" t="s">
        <v>1540</v>
      </c>
      <c r="I198" s="391" t="s">
        <v>1540</v>
      </c>
      <c r="J198" s="353" t="s">
        <v>3184</v>
      </c>
      <c r="K198" s="355" t="s">
        <v>3188</v>
      </c>
      <c r="L198" s="400">
        <v>0</v>
      </c>
      <c r="M198" s="401">
        <v>0</v>
      </c>
      <c r="N198" s="400">
        <v>0</v>
      </c>
      <c r="O198" s="401">
        <v>0</v>
      </c>
      <c r="P198" s="400">
        <v>0</v>
      </c>
      <c r="Q198" s="401">
        <v>0</v>
      </c>
      <c r="R198" s="400"/>
      <c r="S198" s="401"/>
      <c r="T198" s="400"/>
      <c r="U198" s="401"/>
      <c r="V198" s="400">
        <v>0</v>
      </c>
      <c r="W198" s="401">
        <v>0</v>
      </c>
      <c r="X198" s="400">
        <v>0</v>
      </c>
      <c r="Y198" s="401">
        <v>0</v>
      </c>
      <c r="Z198" s="400">
        <v>0</v>
      </c>
      <c r="AA198" s="401">
        <v>0</v>
      </c>
      <c r="AB198" s="400">
        <v>0</v>
      </c>
      <c r="AC198" s="401">
        <v>0</v>
      </c>
      <c r="AD198" s="400">
        <v>0</v>
      </c>
      <c r="AE198" s="401">
        <v>0</v>
      </c>
      <c r="AF198" s="400"/>
      <c r="AG198" s="401"/>
      <c r="AH198" s="400"/>
      <c r="AI198" s="401"/>
      <c r="AJ198" s="400">
        <v>0</v>
      </c>
      <c r="AK198" s="401">
        <v>0</v>
      </c>
      <c r="AL198" s="400">
        <v>0</v>
      </c>
      <c r="AM198" s="401">
        <v>0</v>
      </c>
      <c r="AN198" s="400">
        <v>0</v>
      </c>
      <c r="AO198" s="401">
        <v>0</v>
      </c>
      <c r="AP198" s="400">
        <v>0</v>
      </c>
      <c r="AQ198" s="401">
        <v>0</v>
      </c>
      <c r="AR198" s="400">
        <v>0</v>
      </c>
      <c r="AS198" s="401">
        <v>0</v>
      </c>
      <c r="AT198" s="400"/>
      <c r="AU198" s="401"/>
      <c r="AV198" s="400"/>
      <c r="AW198" s="401"/>
      <c r="AX198" s="400">
        <v>0</v>
      </c>
      <c r="AY198" s="401">
        <v>0</v>
      </c>
      <c r="AZ198" s="400">
        <v>0</v>
      </c>
      <c r="BA198" s="401">
        <v>0</v>
      </c>
      <c r="BB198" s="400">
        <v>0</v>
      </c>
      <c r="BC198" s="401">
        <v>0</v>
      </c>
      <c r="BD198" s="400">
        <v>0</v>
      </c>
      <c r="BE198" s="401">
        <v>0</v>
      </c>
      <c r="BF198" s="400">
        <v>0</v>
      </c>
      <c r="BG198" s="401">
        <v>0</v>
      </c>
      <c r="BH198" s="400"/>
      <c r="BI198" s="401"/>
      <c r="BJ198" s="400"/>
      <c r="BK198" s="401"/>
      <c r="BL198" s="400">
        <v>0</v>
      </c>
      <c r="BM198" s="401">
        <v>0</v>
      </c>
      <c r="BN198" s="400">
        <v>0</v>
      </c>
      <c r="BO198" s="401">
        <v>0</v>
      </c>
      <c r="BP198" s="400">
        <v>0</v>
      </c>
      <c r="BQ198" s="401">
        <v>0</v>
      </c>
      <c r="BR198" s="400">
        <v>0</v>
      </c>
      <c r="BS198" s="401">
        <v>0</v>
      </c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3345</v>
      </c>
      <c r="B199" s="386" t="s">
        <v>3346</v>
      </c>
      <c r="C199" s="392" t="s">
        <v>3186</v>
      </c>
      <c r="D199" s="387" t="s">
        <v>3347</v>
      </c>
      <c r="E199" s="388" t="s">
        <v>3348</v>
      </c>
      <c r="F199" s="389" t="s">
        <v>3182</v>
      </c>
      <c r="G199" s="389" t="s">
        <v>3183</v>
      </c>
      <c r="H199" s="390" t="s">
        <v>1540</v>
      </c>
      <c r="I199" s="391" t="s">
        <v>1540</v>
      </c>
      <c r="J199" s="353" t="s">
        <v>3184</v>
      </c>
      <c r="K199" s="356" t="s">
        <v>3189</v>
      </c>
      <c r="L199" s="400">
        <v>0</v>
      </c>
      <c r="M199" s="401">
        <v>0</v>
      </c>
      <c r="N199" s="400">
        <v>0</v>
      </c>
      <c r="O199" s="401">
        <v>0</v>
      </c>
      <c r="P199" s="400">
        <v>0</v>
      </c>
      <c r="Q199" s="401">
        <v>0</v>
      </c>
      <c r="R199" s="400"/>
      <c r="S199" s="401"/>
      <c r="T199" s="400"/>
      <c r="U199" s="401"/>
      <c r="V199" s="400">
        <v>0</v>
      </c>
      <c r="W199" s="401">
        <v>0</v>
      </c>
      <c r="X199" s="400">
        <v>0</v>
      </c>
      <c r="Y199" s="401">
        <v>0</v>
      </c>
      <c r="Z199" s="400">
        <v>0</v>
      </c>
      <c r="AA199" s="401">
        <v>0</v>
      </c>
      <c r="AB199" s="400">
        <v>0</v>
      </c>
      <c r="AC199" s="401">
        <v>0</v>
      </c>
      <c r="AD199" s="400">
        <v>0</v>
      </c>
      <c r="AE199" s="401">
        <v>0</v>
      </c>
      <c r="AF199" s="400"/>
      <c r="AG199" s="401"/>
      <c r="AH199" s="400"/>
      <c r="AI199" s="401"/>
      <c r="AJ199" s="400">
        <v>0</v>
      </c>
      <c r="AK199" s="401">
        <v>0</v>
      </c>
      <c r="AL199" s="400">
        <v>0</v>
      </c>
      <c r="AM199" s="401">
        <v>0</v>
      </c>
      <c r="AN199" s="400">
        <v>0</v>
      </c>
      <c r="AO199" s="401">
        <v>0</v>
      </c>
      <c r="AP199" s="400">
        <v>0</v>
      </c>
      <c r="AQ199" s="401">
        <v>0</v>
      </c>
      <c r="AR199" s="400">
        <v>0</v>
      </c>
      <c r="AS199" s="401">
        <v>0</v>
      </c>
      <c r="AT199" s="400"/>
      <c r="AU199" s="401"/>
      <c r="AV199" s="400"/>
      <c r="AW199" s="401"/>
      <c r="AX199" s="400">
        <v>0</v>
      </c>
      <c r="AY199" s="401">
        <v>0</v>
      </c>
      <c r="AZ199" s="400">
        <v>0</v>
      </c>
      <c r="BA199" s="401">
        <v>0</v>
      </c>
      <c r="BB199" s="400">
        <v>0</v>
      </c>
      <c r="BC199" s="401">
        <v>0</v>
      </c>
      <c r="BD199" s="400">
        <v>0</v>
      </c>
      <c r="BE199" s="401">
        <v>0</v>
      </c>
      <c r="BF199" s="400">
        <v>0</v>
      </c>
      <c r="BG199" s="401">
        <v>0</v>
      </c>
      <c r="BH199" s="400"/>
      <c r="BI199" s="401"/>
      <c r="BJ199" s="400"/>
      <c r="BK199" s="401"/>
      <c r="BL199" s="400">
        <v>0</v>
      </c>
      <c r="BM199" s="401">
        <v>0</v>
      </c>
      <c r="BN199" s="400">
        <v>0</v>
      </c>
      <c r="BO199" s="401">
        <v>0</v>
      </c>
      <c r="BP199" s="400">
        <v>0</v>
      </c>
      <c r="BQ199" s="401">
        <v>0</v>
      </c>
      <c r="BR199" s="400">
        <v>0</v>
      </c>
      <c r="BS199" s="401">
        <v>0</v>
      </c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x14ac:dyDescent="0.2">
      <c r="A200" s="898" t="s">
        <v>3345</v>
      </c>
      <c r="B200" s="393" t="s">
        <v>3346</v>
      </c>
      <c r="C200" s="394" t="s">
        <v>3186</v>
      </c>
      <c r="D200" s="395" t="s">
        <v>3347</v>
      </c>
      <c r="E200" s="411" t="s">
        <v>3348</v>
      </c>
      <c r="F200" s="396" t="s">
        <v>3182</v>
      </c>
      <c r="G200" s="396" t="s">
        <v>3183</v>
      </c>
      <c r="H200" s="397" t="s">
        <v>1540</v>
      </c>
      <c r="I200" s="899" t="s">
        <v>1540</v>
      </c>
      <c r="J200" s="353" t="s">
        <v>3184</v>
      </c>
      <c r="K200" s="357" t="s">
        <v>60</v>
      </c>
      <c r="L200" s="402">
        <v>0</v>
      </c>
      <c r="M200" s="403">
        <v>0</v>
      </c>
      <c r="N200" s="402">
        <v>0</v>
      </c>
      <c r="O200" s="403">
        <v>0</v>
      </c>
      <c r="P200" s="402">
        <v>0</v>
      </c>
      <c r="Q200" s="403">
        <v>0</v>
      </c>
      <c r="R200" s="402"/>
      <c r="S200" s="403"/>
      <c r="T200" s="402"/>
      <c r="U200" s="403"/>
      <c r="V200" s="402">
        <v>0</v>
      </c>
      <c r="W200" s="403">
        <v>0</v>
      </c>
      <c r="X200" s="402">
        <v>0</v>
      </c>
      <c r="Y200" s="403">
        <v>0</v>
      </c>
      <c r="Z200" s="402">
        <v>0</v>
      </c>
      <c r="AA200" s="403">
        <v>0</v>
      </c>
      <c r="AB200" s="402">
        <v>0</v>
      </c>
      <c r="AC200" s="403">
        <v>0</v>
      </c>
      <c r="AD200" s="402">
        <v>0</v>
      </c>
      <c r="AE200" s="403">
        <v>0</v>
      </c>
      <c r="AF200" s="402"/>
      <c r="AG200" s="403"/>
      <c r="AH200" s="402"/>
      <c r="AI200" s="403"/>
      <c r="AJ200" s="402">
        <v>0</v>
      </c>
      <c r="AK200" s="403">
        <v>0</v>
      </c>
      <c r="AL200" s="402">
        <v>0</v>
      </c>
      <c r="AM200" s="403">
        <v>0</v>
      </c>
      <c r="AN200" s="402">
        <v>0</v>
      </c>
      <c r="AO200" s="403">
        <v>0</v>
      </c>
      <c r="AP200" s="402">
        <v>0</v>
      </c>
      <c r="AQ200" s="403">
        <v>0</v>
      </c>
      <c r="AR200" s="402">
        <v>0</v>
      </c>
      <c r="AS200" s="403">
        <v>0</v>
      </c>
      <c r="AT200" s="402"/>
      <c r="AU200" s="403"/>
      <c r="AV200" s="402"/>
      <c r="AW200" s="403"/>
      <c r="AX200" s="402">
        <v>0</v>
      </c>
      <c r="AY200" s="403">
        <v>0</v>
      </c>
      <c r="AZ200" s="402">
        <v>0</v>
      </c>
      <c r="BA200" s="403">
        <v>0</v>
      </c>
      <c r="BB200" s="402">
        <v>0</v>
      </c>
      <c r="BC200" s="403">
        <v>0</v>
      </c>
      <c r="BD200" s="402">
        <v>0</v>
      </c>
      <c r="BE200" s="403">
        <v>0</v>
      </c>
      <c r="BF200" s="402">
        <v>0</v>
      </c>
      <c r="BG200" s="403">
        <v>0</v>
      </c>
      <c r="BH200" s="402"/>
      <c r="BI200" s="403"/>
      <c r="BJ200" s="402"/>
      <c r="BK200" s="403"/>
      <c r="BL200" s="402">
        <v>0</v>
      </c>
      <c r="BM200" s="403">
        <v>0</v>
      </c>
      <c r="BN200" s="402">
        <v>0</v>
      </c>
      <c r="BO200" s="403">
        <v>0</v>
      </c>
      <c r="BP200" s="402">
        <v>0</v>
      </c>
      <c r="BQ200" s="403">
        <v>0</v>
      </c>
      <c r="BR200" s="402">
        <v>0</v>
      </c>
      <c r="BS200" s="403">
        <v>0</v>
      </c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">
      <c r="A201" s="5"/>
      <c r="B201" s="5"/>
      <c r="C201" s="6"/>
      <c r="D201" s="7"/>
      <c r="E201" s="7"/>
      <c r="F201" s="7"/>
      <c r="G201" s="6"/>
      <c r="H201" s="5"/>
      <c r="I201" s="79"/>
      <c r="J201" s="5"/>
      <c r="K201" s="5"/>
      <c r="L201" s="335"/>
      <c r="M201" s="336"/>
      <c r="N201" s="335"/>
      <c r="O201" s="336"/>
      <c r="P201" s="335"/>
      <c r="Q201" s="336"/>
      <c r="R201" s="335"/>
      <c r="S201" s="336"/>
      <c r="T201" s="335"/>
      <c r="U201" s="336"/>
      <c r="V201" s="335"/>
      <c r="W201" s="336"/>
      <c r="X201" s="335"/>
      <c r="Y201" s="336"/>
      <c r="Z201" s="335"/>
      <c r="AA201" s="336"/>
      <c r="AB201" s="335"/>
      <c r="AC201" s="336"/>
      <c r="AD201" s="335"/>
      <c r="AE201" s="336"/>
      <c r="AF201" s="335"/>
      <c r="AG201" s="336"/>
      <c r="AH201" s="335"/>
      <c r="AI201" s="336"/>
      <c r="AJ201" s="335"/>
      <c r="AK201" s="336"/>
      <c r="AL201" s="335"/>
      <c r="AM201" s="336"/>
      <c r="AN201" s="335"/>
      <c r="AO201" s="336"/>
      <c r="AP201" s="335"/>
      <c r="AQ201" s="336"/>
      <c r="AR201" s="335"/>
      <c r="AS201" s="336"/>
      <c r="AT201" s="335"/>
      <c r="AU201" s="336"/>
      <c r="AV201" s="335"/>
      <c r="AW201" s="336"/>
      <c r="AX201" s="335"/>
      <c r="AY201" s="336"/>
      <c r="AZ201" s="335"/>
      <c r="BA201" s="336"/>
      <c r="BB201" s="335"/>
      <c r="BC201" s="336"/>
      <c r="BD201" s="335"/>
      <c r="BE201" s="336"/>
      <c r="BF201" s="335"/>
      <c r="BG201" s="336"/>
      <c r="BH201" s="335"/>
      <c r="BI201" s="336"/>
      <c r="BJ201" s="335"/>
      <c r="BK201" s="336"/>
      <c r="BL201" s="335"/>
      <c r="BM201" s="336"/>
      <c r="BN201" s="335"/>
      <c r="BO201" s="336"/>
      <c r="BP201" s="335"/>
      <c r="BQ201" s="336"/>
      <c r="BR201" s="335"/>
      <c r="BS201" s="336"/>
      <c r="BT201" s="335"/>
      <c r="BU201" s="336"/>
      <c r="BV201" s="337"/>
      <c r="BW201" s="337"/>
    </row>
    <row r="202" spans="1:75" s="64" customFormat="1" ht="21.95" customHeight="1" x14ac:dyDescent="0.2">
      <c r="A202" s="5"/>
      <c r="B202" s="5"/>
      <c r="C202" s="6"/>
      <c r="D202" s="7"/>
      <c r="E202" s="7"/>
      <c r="F202" s="7"/>
      <c r="G202" s="6"/>
      <c r="H202" s="5"/>
      <c r="I202" s="79"/>
      <c r="J202" s="5"/>
      <c r="K202" s="5"/>
      <c r="L202" s="335">
        <f t="shared" ref="L202:BU202" si="81">SUM(L6:L201)</f>
        <v>0</v>
      </c>
      <c r="M202" s="335">
        <f t="shared" si="81"/>
        <v>0</v>
      </c>
      <c r="N202" s="335">
        <f t="shared" si="81"/>
        <v>0</v>
      </c>
      <c r="O202" s="335">
        <f t="shared" si="81"/>
        <v>0</v>
      </c>
      <c r="P202" s="335">
        <f t="shared" si="81"/>
        <v>0</v>
      </c>
      <c r="Q202" s="335">
        <f t="shared" si="81"/>
        <v>0</v>
      </c>
      <c r="R202" s="335">
        <f t="shared" si="81"/>
        <v>0</v>
      </c>
      <c r="S202" s="335">
        <f t="shared" si="81"/>
        <v>0</v>
      </c>
      <c r="T202" s="335">
        <f t="shared" si="81"/>
        <v>0</v>
      </c>
      <c r="U202" s="335">
        <f t="shared" si="81"/>
        <v>0</v>
      </c>
      <c r="V202" s="335">
        <f t="shared" si="81"/>
        <v>98</v>
      </c>
      <c r="W202" s="335">
        <f t="shared" si="81"/>
        <v>1</v>
      </c>
      <c r="X202" s="335">
        <f t="shared" si="81"/>
        <v>0</v>
      </c>
      <c r="Y202" s="335">
        <f t="shared" si="81"/>
        <v>0</v>
      </c>
      <c r="Z202" s="335">
        <f t="shared" si="81"/>
        <v>0</v>
      </c>
      <c r="AA202" s="335">
        <f t="shared" si="81"/>
        <v>0</v>
      </c>
      <c r="AB202" s="335">
        <f t="shared" si="81"/>
        <v>0</v>
      </c>
      <c r="AC202" s="335">
        <f t="shared" si="81"/>
        <v>0</v>
      </c>
      <c r="AD202" s="335">
        <f t="shared" si="81"/>
        <v>0</v>
      </c>
      <c r="AE202" s="335">
        <f t="shared" si="81"/>
        <v>0</v>
      </c>
      <c r="AF202" s="335">
        <f t="shared" si="81"/>
        <v>0</v>
      </c>
      <c r="AG202" s="335">
        <f t="shared" si="81"/>
        <v>0</v>
      </c>
      <c r="AH202" s="335">
        <f t="shared" si="81"/>
        <v>0</v>
      </c>
      <c r="AI202" s="335">
        <f t="shared" si="81"/>
        <v>0</v>
      </c>
      <c r="AJ202" s="335">
        <f t="shared" si="81"/>
        <v>98</v>
      </c>
      <c r="AK202" s="335">
        <f t="shared" si="81"/>
        <v>1</v>
      </c>
      <c r="AL202" s="335">
        <f t="shared" si="81"/>
        <v>0</v>
      </c>
      <c r="AM202" s="335">
        <f t="shared" si="81"/>
        <v>0</v>
      </c>
      <c r="AN202" s="335">
        <f t="shared" si="81"/>
        <v>0</v>
      </c>
      <c r="AO202" s="335">
        <f t="shared" si="81"/>
        <v>0</v>
      </c>
      <c r="AP202" s="335">
        <f t="shared" si="81"/>
        <v>0</v>
      </c>
      <c r="AQ202" s="335">
        <f t="shared" si="81"/>
        <v>0</v>
      </c>
      <c r="AR202" s="335">
        <f t="shared" si="81"/>
        <v>0</v>
      </c>
      <c r="AS202" s="335">
        <f t="shared" si="81"/>
        <v>0</v>
      </c>
      <c r="AT202" s="335">
        <f t="shared" si="81"/>
        <v>0</v>
      </c>
      <c r="AU202" s="335">
        <f t="shared" si="81"/>
        <v>0</v>
      </c>
      <c r="AV202" s="335">
        <f t="shared" si="81"/>
        <v>0</v>
      </c>
      <c r="AW202" s="335">
        <f t="shared" si="81"/>
        <v>0</v>
      </c>
      <c r="AX202" s="335">
        <f t="shared" si="81"/>
        <v>98</v>
      </c>
      <c r="AY202" s="335">
        <f t="shared" si="81"/>
        <v>1</v>
      </c>
      <c r="AZ202" s="335">
        <f t="shared" si="81"/>
        <v>0</v>
      </c>
      <c r="BA202" s="335">
        <f t="shared" si="81"/>
        <v>0</v>
      </c>
      <c r="BB202" s="335">
        <f t="shared" si="81"/>
        <v>0</v>
      </c>
      <c r="BC202" s="335">
        <f t="shared" si="81"/>
        <v>0</v>
      </c>
      <c r="BD202" s="335">
        <f t="shared" si="81"/>
        <v>0</v>
      </c>
      <c r="BE202" s="335">
        <f t="shared" si="81"/>
        <v>0</v>
      </c>
      <c r="BF202" s="335">
        <f t="shared" si="81"/>
        <v>0</v>
      </c>
      <c r="BG202" s="335">
        <f t="shared" si="81"/>
        <v>0</v>
      </c>
      <c r="BH202" s="335">
        <f t="shared" si="81"/>
        <v>0</v>
      </c>
      <c r="BI202" s="335">
        <f t="shared" si="81"/>
        <v>0</v>
      </c>
      <c r="BJ202" s="335">
        <f t="shared" si="81"/>
        <v>0</v>
      </c>
      <c r="BK202" s="335">
        <f t="shared" si="81"/>
        <v>0</v>
      </c>
      <c r="BL202" s="335">
        <f t="shared" si="81"/>
        <v>98</v>
      </c>
      <c r="BM202" s="335">
        <f t="shared" si="81"/>
        <v>1</v>
      </c>
      <c r="BN202" s="335">
        <f t="shared" si="81"/>
        <v>0</v>
      </c>
      <c r="BO202" s="335">
        <f t="shared" si="81"/>
        <v>0</v>
      </c>
      <c r="BP202" s="335">
        <f t="shared" si="81"/>
        <v>0</v>
      </c>
      <c r="BQ202" s="335">
        <f t="shared" si="81"/>
        <v>0</v>
      </c>
      <c r="BR202" s="335">
        <f t="shared" si="81"/>
        <v>0</v>
      </c>
      <c r="BS202" s="335">
        <f t="shared" si="81"/>
        <v>0</v>
      </c>
      <c r="BT202" s="335">
        <f t="shared" si="81"/>
        <v>0</v>
      </c>
      <c r="BU202" s="335">
        <f t="shared" si="81"/>
        <v>0</v>
      </c>
      <c r="BV202" s="335">
        <f>SUM(BV6:BV201)</f>
        <v>392</v>
      </c>
      <c r="BW202" s="335">
        <f>SUM(BW6:BW201)</f>
        <v>4</v>
      </c>
    </row>
    <row r="203" spans="1:75" ht="21.95" customHeight="1" x14ac:dyDescent="0.25">
      <c r="A203" s="332"/>
      <c r="L203" s="335"/>
      <c r="M203" s="336"/>
      <c r="N203" s="335"/>
      <c r="O203" s="336"/>
      <c r="P203" s="335"/>
      <c r="Q203" s="336"/>
      <c r="R203" s="335"/>
      <c r="S203" s="336"/>
      <c r="T203" s="335"/>
      <c r="U203" s="336"/>
      <c r="V203" s="335"/>
      <c r="W203" s="336"/>
      <c r="X203" s="335"/>
      <c r="Y203" s="336"/>
      <c r="Z203" s="335"/>
      <c r="AA203" s="336"/>
      <c r="AB203" s="335"/>
      <c r="AC203" s="336"/>
      <c r="AD203" s="335"/>
      <c r="AE203" s="336"/>
      <c r="AF203" s="335"/>
      <c r="AG203" s="336"/>
      <c r="AH203" s="335"/>
      <c r="AI203" s="336"/>
      <c r="AJ203" s="335"/>
      <c r="AK203" s="336"/>
      <c r="AL203" s="335"/>
      <c r="AM203" s="336"/>
      <c r="AN203" s="335"/>
      <c r="AO203" s="336"/>
      <c r="AP203" s="335"/>
      <c r="AQ203" s="336"/>
      <c r="AR203" s="335"/>
      <c r="AS203" s="336"/>
      <c r="AT203" s="335"/>
      <c r="AU203" s="336"/>
      <c r="AV203" s="335"/>
      <c r="AW203" s="336"/>
      <c r="AX203" s="335"/>
      <c r="AY203" s="336"/>
      <c r="AZ203" s="335"/>
      <c r="BA203" s="336"/>
      <c r="BB203" s="335"/>
      <c r="BC203" s="336"/>
      <c r="BD203" s="335"/>
      <c r="BE203" s="336"/>
      <c r="BF203" s="335"/>
      <c r="BG203" s="336"/>
      <c r="BH203" s="335"/>
      <c r="BI203" s="336"/>
      <c r="BJ203" s="335"/>
      <c r="BK203" s="336"/>
      <c r="BL203" s="335"/>
      <c r="BM203" s="336"/>
      <c r="BN203" s="335"/>
      <c r="BO203" s="336"/>
      <c r="BP203" s="335"/>
      <c r="BQ203" s="336"/>
      <c r="BR203" s="335"/>
      <c r="BS203" s="336"/>
      <c r="BT203" s="335"/>
      <c r="BU203" s="336"/>
      <c r="BV203" s="337"/>
      <c r="BW203" s="337"/>
    </row>
    <row r="204" spans="1:75" ht="21.95" customHeight="1" x14ac:dyDescent="0.2">
      <c r="A204" s="79"/>
      <c r="B204" s="79"/>
      <c r="C204" s="331"/>
      <c r="D204" s="333"/>
      <c r="E204" s="333"/>
      <c r="F204" s="333"/>
      <c r="G204" s="331"/>
      <c r="H204" s="79"/>
      <c r="J204" s="334"/>
      <c r="K204" s="79"/>
      <c r="L204" s="335"/>
      <c r="M204" s="335"/>
      <c r="N204" s="335"/>
      <c r="O204" s="335"/>
      <c r="P204" s="335"/>
      <c r="Q204" s="335"/>
      <c r="R204" s="335"/>
      <c r="S204" s="335"/>
      <c r="T204" s="335"/>
      <c r="U204" s="335"/>
      <c r="V204" s="335"/>
      <c r="W204" s="335"/>
      <c r="X204" s="335"/>
      <c r="Y204" s="335"/>
      <c r="Z204" s="335"/>
      <c r="AA204" s="335"/>
      <c r="AB204" s="335"/>
      <c r="AC204" s="335"/>
      <c r="AD204" s="335"/>
      <c r="AE204" s="335"/>
      <c r="AF204" s="335"/>
      <c r="AG204" s="335"/>
      <c r="AH204" s="335"/>
      <c r="AI204" s="335"/>
      <c r="AJ204" s="335"/>
      <c r="AK204" s="335"/>
      <c r="AL204" s="335"/>
      <c r="AM204" s="335"/>
      <c r="AN204" s="335"/>
      <c r="AO204" s="335"/>
      <c r="AP204" s="335"/>
      <c r="AQ204" s="335"/>
      <c r="AR204" s="335"/>
      <c r="AS204" s="335"/>
      <c r="AT204" s="335"/>
      <c r="AU204" s="335"/>
      <c r="AV204" s="335"/>
      <c r="AW204" s="335"/>
      <c r="AX204" s="335"/>
      <c r="AY204" s="335"/>
      <c r="AZ204" s="335"/>
      <c r="BA204" s="335"/>
      <c r="BB204" s="335"/>
      <c r="BC204" s="335"/>
      <c r="BD204" s="335"/>
      <c r="BE204" s="335"/>
      <c r="BF204" s="335"/>
      <c r="BG204" s="335"/>
      <c r="BH204" s="335"/>
      <c r="BI204" s="335"/>
      <c r="BJ204" s="335"/>
      <c r="BK204" s="335"/>
      <c r="BL204" s="335"/>
      <c r="BM204" s="335"/>
      <c r="BN204" s="335"/>
      <c r="BO204" s="335"/>
      <c r="BP204" s="335"/>
      <c r="BQ204" s="335"/>
      <c r="BR204" s="335"/>
      <c r="BS204" s="335"/>
      <c r="BT204" s="335"/>
      <c r="BU20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201:I202">
    <cfRule type="expression" dxfId="473" priority="162527">
      <formula>C202="CSE"</formula>
    </cfRule>
    <cfRule type="expression" dxfId="472" priority="162528">
      <formula>C202="CSC"</formula>
    </cfRule>
    <cfRule type="expression" dxfId="471" priority="164323">
      <formula>C202="CSE"</formula>
    </cfRule>
    <cfRule type="expression" dxfId="470" priority="164324">
      <formula>C202="CSC"</formula>
    </cfRule>
  </conditionalFormatting>
  <conditionalFormatting sqref="I201:I202">
    <cfRule type="expression" dxfId="469" priority="162525">
      <formula>C201="CSE"</formula>
    </cfRule>
    <cfRule type="expression" dxfId="468" priority="162526">
      <formula>C201="CSC"</formula>
    </cfRule>
    <cfRule type="expression" dxfId="467" priority="164321">
      <formula>C201="CSE"</formula>
    </cfRule>
    <cfRule type="expression" dxfId="466" priority="164322">
      <formula>C201="CSC"</formula>
    </cfRule>
  </conditionalFormatting>
  <conditionalFormatting sqref="J201:J202">
    <cfRule type="cellIs" dxfId="465" priority="162487" operator="equal">
      <formula>"CRECHE"</formula>
    </cfRule>
    <cfRule type="cellIs" dxfId="464" priority="162488" operator="equal">
      <formula>"ADAPTADO"</formula>
    </cfRule>
    <cfRule type="cellIs" dxfId="463" priority="162515" operator="equal">
      <formula>"CRECHE"</formula>
    </cfRule>
    <cfRule type="cellIs" dxfId="462" priority="162516" operator="equal">
      <formula>"ADAPTADO"</formula>
    </cfRule>
  </conditionalFormatting>
  <conditionalFormatting sqref="J201:K202">
    <cfRule type="expression" dxfId="461" priority="162513" stopIfTrue="1">
      <formula>NOT(ISERROR(SEARCH("NORMAL",J201)))</formula>
    </cfRule>
    <cfRule type="expression" dxfId="460" priority="162514" stopIfTrue="1">
      <formula>NOT(ISERROR(SEARCH("ADAPTADO",J201)))</formula>
    </cfRule>
    <cfRule type="expression" dxfId="459" priority="164362" stopIfTrue="1">
      <formula>NOT(ISERROR(SEARCH("NORMAL",J201)))</formula>
    </cfRule>
    <cfRule type="expression" dxfId="458" priority="164363" stopIfTrue="1">
      <formula>NOT(ISERROR(SEARCH("ADAPTADO",J201)))</formula>
    </cfRule>
  </conditionalFormatting>
  <conditionalFormatting sqref="L201:BU201">
    <cfRule type="cellIs" dxfId="457" priority="162511" operator="lessThan">
      <formula>0</formula>
    </cfRule>
    <cfRule type="cellIs" dxfId="456" priority="162512" operator="greaterThan">
      <formula>0</formula>
    </cfRule>
  </conditionalFormatting>
  <conditionalFormatting sqref="I201:I202">
    <cfRule type="expression" dxfId="455" priority="162483">
      <formula>C202="CSE"</formula>
    </cfRule>
    <cfRule type="expression" dxfId="454" priority="162484">
      <formula>C202="CSC"</formula>
    </cfRule>
    <cfRule type="expression" dxfId="453" priority="162485">
      <formula>C202="CSE"</formula>
    </cfRule>
    <cfRule type="expression" dxfId="452" priority="162486">
      <formula>C202="CSC"</formula>
    </cfRule>
  </conditionalFormatting>
  <conditionalFormatting sqref="I201:I202">
    <cfRule type="expression" dxfId="451" priority="162479">
      <formula>C201="CSE"</formula>
    </cfRule>
    <cfRule type="expression" dxfId="450" priority="162480">
      <formula>C201="CSC"</formula>
    </cfRule>
    <cfRule type="expression" dxfId="449" priority="162481">
      <formula>C201="CSE"</formula>
    </cfRule>
    <cfRule type="expression" dxfId="448" priority="162482">
      <formula>C201="CSC"</formula>
    </cfRule>
  </conditionalFormatting>
  <conditionalFormatting sqref="J201:J202">
    <cfRule type="cellIs" dxfId="447" priority="162477" operator="equal">
      <formula>"CRECHE"</formula>
    </cfRule>
    <cfRule type="cellIs" dxfId="446" priority="162478" operator="equal">
      <formula>"ADAPTADO"</formula>
    </cfRule>
  </conditionalFormatting>
  <conditionalFormatting sqref="J201:J202">
    <cfRule type="cellIs" dxfId="445" priority="162473" operator="equal">
      <formula>"CRECHE"</formula>
    </cfRule>
    <cfRule type="cellIs" dxfId="444" priority="162474" operator="equal">
      <formula>"ADAPTADO"</formula>
    </cfRule>
    <cfRule type="cellIs" dxfId="443" priority="162475" operator="equal">
      <formula>"CRECHE"</formula>
    </cfRule>
    <cfRule type="cellIs" dxfId="442" priority="162476" operator="equal">
      <formula>"ADAPTADO"</formula>
    </cfRule>
  </conditionalFormatting>
  <conditionalFormatting sqref="J201:K202">
    <cfRule type="expression" dxfId="441" priority="162469">
      <formula>NOT(ISERROR(SEARCH("NORMAL",J201)))</formula>
    </cfRule>
    <cfRule type="expression" dxfId="440" priority="162470">
      <formula>NOT(ISERROR(SEARCH("ADAPTADO",J201)))</formula>
    </cfRule>
    <cfRule type="expression" dxfId="439" priority="162471">
      <formula>NOT(ISERROR(SEARCH("NORMAL",J201)))</formula>
    </cfRule>
    <cfRule type="expression" dxfId="438" priority="162472">
      <formula>NOT(ISERROR(SEARCH("ADAPTADO",J201)))</formula>
    </cfRule>
  </conditionalFormatting>
  <conditionalFormatting sqref="I201:I202">
    <cfRule type="expression" dxfId="437" priority="118624">
      <formula>C202="CSC"</formula>
    </cfRule>
  </conditionalFormatting>
  <conditionalFormatting sqref="I201:I202">
    <cfRule type="expression" dxfId="436" priority="118623">
      <formula>C202="CSE"</formula>
    </cfRule>
  </conditionalFormatting>
  <conditionalFormatting sqref="I201:I202">
    <cfRule type="expression" dxfId="435" priority="118622">
      <formula>C201="CSC"</formula>
    </cfRule>
  </conditionalFormatting>
  <conditionalFormatting sqref="I201:I202">
    <cfRule type="expression" dxfId="434" priority="118601">
      <formula>C201="CSE"</formula>
    </cfRule>
  </conditionalFormatting>
  <conditionalFormatting sqref="J201:J202">
    <cfRule type="cellIs" dxfId="433" priority="118599" operator="equal">
      <formula>"CRECHE"</formula>
    </cfRule>
    <cfRule type="cellIs" dxfId="432" priority="118600" operator="equal">
      <formula>"ADAPTADO"</formula>
    </cfRule>
  </conditionalFormatting>
  <conditionalFormatting sqref="J201:K202">
    <cfRule type="expression" dxfId="431" priority="118593" stopIfTrue="1">
      <formula>NOT(ISERROR(SEARCH("NORMAL",J201)))</formula>
    </cfRule>
    <cfRule type="expression" dxfId="430" priority="118594" stopIfTrue="1">
      <formula>NOT(ISERROR(SEARCH("ADAPTADO",J201)))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0">
    <cfRule type="cellIs" dxfId="429" priority="57185" operator="lessThan">
      <formula>0</formula>
    </cfRule>
    <cfRule type="cellIs" dxfId="428" priority="57186" operator="greaterThan">
      <formula>0</formula>
    </cfRule>
  </conditionalFormatting>
  <conditionalFormatting sqref="I6:I200">
    <cfRule type="expression" dxfId="427" priority="401">
      <formula>C7="CSE"</formula>
    </cfRule>
    <cfRule type="expression" dxfId="426" priority="402">
      <formula>C7="CSC"</formula>
    </cfRule>
    <cfRule type="expression" dxfId="425" priority="403">
      <formula>C7="CSE"</formula>
    </cfRule>
    <cfRule type="expression" dxfId="424" priority="404">
      <formula>C7="CSC"</formula>
    </cfRule>
  </conditionalFormatting>
  <conditionalFormatting sqref="I10">
    <cfRule type="expression" dxfId="423" priority="393">
      <formula>C10="CSE"</formula>
    </cfRule>
    <cfRule type="expression" dxfId="422" priority="394">
      <formula>C10="CSC"</formula>
    </cfRule>
    <cfRule type="expression" dxfId="421" priority="395">
      <formula>C10="CSE"</formula>
    </cfRule>
    <cfRule type="expression" dxfId="420" priority="396">
      <formula>C10="CSC"</formula>
    </cfRule>
    <cfRule type="expression" dxfId="419" priority="397">
      <formula>C10="CSE"</formula>
    </cfRule>
    <cfRule type="expression" dxfId="418" priority="398">
      <formula>C10="CSC"</formula>
    </cfRule>
    <cfRule type="expression" dxfId="417" priority="399">
      <formula>C10="CSE"</formula>
    </cfRule>
    <cfRule type="expression" dxfId="416" priority="400">
      <formula>C10="CSC"</formula>
    </cfRule>
  </conditionalFormatting>
  <conditionalFormatting sqref="I15">
    <cfRule type="expression" dxfId="415" priority="385">
      <formula>C15="CSE"</formula>
    </cfRule>
    <cfRule type="expression" dxfId="414" priority="386">
      <formula>C15="CSC"</formula>
    </cfRule>
    <cfRule type="expression" dxfId="413" priority="387">
      <formula>C15="CSE"</formula>
    </cfRule>
    <cfRule type="expression" dxfId="412" priority="388">
      <formula>C15="CSC"</formula>
    </cfRule>
    <cfRule type="expression" dxfId="411" priority="389">
      <formula>C15="CSE"</formula>
    </cfRule>
    <cfRule type="expression" dxfId="410" priority="390">
      <formula>C15="CSC"</formula>
    </cfRule>
    <cfRule type="expression" dxfId="409" priority="391">
      <formula>C15="CSE"</formula>
    </cfRule>
    <cfRule type="expression" dxfId="408" priority="392">
      <formula>C15="CSC"</formula>
    </cfRule>
  </conditionalFormatting>
  <conditionalFormatting sqref="I20">
    <cfRule type="expression" dxfId="407" priority="377">
      <formula>C20="CSE"</formula>
    </cfRule>
    <cfRule type="expression" dxfId="406" priority="378">
      <formula>C20="CSC"</formula>
    </cfRule>
    <cfRule type="expression" dxfId="405" priority="379">
      <formula>C20="CSE"</formula>
    </cfRule>
    <cfRule type="expression" dxfId="404" priority="380">
      <formula>C20="CSC"</formula>
    </cfRule>
    <cfRule type="expression" dxfId="403" priority="381">
      <formula>C20="CSE"</formula>
    </cfRule>
    <cfRule type="expression" dxfId="402" priority="382">
      <formula>C20="CSC"</formula>
    </cfRule>
    <cfRule type="expression" dxfId="401" priority="383">
      <formula>C20="CSE"</formula>
    </cfRule>
    <cfRule type="expression" dxfId="400" priority="384">
      <formula>C20="CSC"</formula>
    </cfRule>
  </conditionalFormatting>
  <conditionalFormatting sqref="I25">
    <cfRule type="expression" dxfId="399" priority="369">
      <formula>C25="CSE"</formula>
    </cfRule>
    <cfRule type="expression" dxfId="398" priority="370">
      <formula>C25="CSC"</formula>
    </cfRule>
    <cfRule type="expression" dxfId="397" priority="371">
      <formula>C25="CSE"</formula>
    </cfRule>
    <cfRule type="expression" dxfId="396" priority="372">
      <formula>C25="CSC"</formula>
    </cfRule>
    <cfRule type="expression" dxfId="395" priority="373">
      <formula>C25="CSE"</formula>
    </cfRule>
    <cfRule type="expression" dxfId="394" priority="374">
      <formula>C25="CSC"</formula>
    </cfRule>
    <cfRule type="expression" dxfId="393" priority="375">
      <formula>C25="CSE"</formula>
    </cfRule>
    <cfRule type="expression" dxfId="392" priority="376">
      <formula>C25="CSC"</formula>
    </cfRule>
  </conditionalFormatting>
  <conditionalFormatting sqref="I30">
    <cfRule type="expression" dxfId="391" priority="361">
      <formula>C30="CSE"</formula>
    </cfRule>
    <cfRule type="expression" dxfId="390" priority="362">
      <formula>C30="CSC"</formula>
    </cfRule>
    <cfRule type="expression" dxfId="389" priority="363">
      <formula>C30="CSE"</formula>
    </cfRule>
    <cfRule type="expression" dxfId="388" priority="364">
      <formula>C30="CSC"</formula>
    </cfRule>
    <cfRule type="expression" dxfId="387" priority="365">
      <formula>C30="CSE"</formula>
    </cfRule>
    <cfRule type="expression" dxfId="386" priority="366">
      <formula>C30="CSC"</formula>
    </cfRule>
    <cfRule type="expression" dxfId="385" priority="367">
      <formula>C30="CSE"</formula>
    </cfRule>
    <cfRule type="expression" dxfId="384" priority="368">
      <formula>C30="CSC"</formula>
    </cfRule>
  </conditionalFormatting>
  <conditionalFormatting sqref="I35">
    <cfRule type="expression" dxfId="383" priority="353">
      <formula>C35="CSE"</formula>
    </cfRule>
    <cfRule type="expression" dxfId="382" priority="354">
      <formula>C35="CSC"</formula>
    </cfRule>
    <cfRule type="expression" dxfId="381" priority="355">
      <formula>C35="CSE"</formula>
    </cfRule>
    <cfRule type="expression" dxfId="380" priority="356">
      <formula>C35="CSC"</formula>
    </cfRule>
    <cfRule type="expression" dxfId="379" priority="357">
      <formula>C35="CSE"</formula>
    </cfRule>
    <cfRule type="expression" dxfId="378" priority="358">
      <formula>C35="CSC"</formula>
    </cfRule>
    <cfRule type="expression" dxfId="377" priority="359">
      <formula>C35="CSE"</formula>
    </cfRule>
    <cfRule type="expression" dxfId="376" priority="360">
      <formula>C35="CSC"</formula>
    </cfRule>
  </conditionalFormatting>
  <conditionalFormatting sqref="I40">
    <cfRule type="expression" dxfId="375" priority="345">
      <formula>C40="CSE"</formula>
    </cfRule>
    <cfRule type="expression" dxfId="374" priority="346">
      <formula>C40="CSC"</formula>
    </cfRule>
    <cfRule type="expression" dxfId="373" priority="347">
      <formula>C40="CSE"</formula>
    </cfRule>
    <cfRule type="expression" dxfId="372" priority="348">
      <formula>C40="CSC"</formula>
    </cfRule>
    <cfRule type="expression" dxfId="371" priority="349">
      <formula>C40="CSE"</formula>
    </cfRule>
    <cfRule type="expression" dxfId="370" priority="350">
      <formula>C40="CSC"</formula>
    </cfRule>
    <cfRule type="expression" dxfId="369" priority="351">
      <formula>C40="CSE"</formula>
    </cfRule>
    <cfRule type="expression" dxfId="368" priority="352">
      <formula>C40="CSC"</formula>
    </cfRule>
  </conditionalFormatting>
  <conditionalFormatting sqref="I45">
    <cfRule type="expression" dxfId="367" priority="337">
      <formula>C45="CSE"</formula>
    </cfRule>
    <cfRule type="expression" dxfId="366" priority="338">
      <formula>C45="CSC"</formula>
    </cfRule>
    <cfRule type="expression" dxfId="365" priority="339">
      <formula>C45="CSE"</formula>
    </cfRule>
    <cfRule type="expression" dxfId="364" priority="340">
      <formula>C45="CSC"</formula>
    </cfRule>
    <cfRule type="expression" dxfId="363" priority="341">
      <formula>C45="CSE"</formula>
    </cfRule>
    <cfRule type="expression" dxfId="362" priority="342">
      <formula>C45="CSC"</formula>
    </cfRule>
    <cfRule type="expression" dxfId="361" priority="343">
      <formula>C45="CSE"</formula>
    </cfRule>
    <cfRule type="expression" dxfId="360" priority="344">
      <formula>C45="CSC"</formula>
    </cfRule>
  </conditionalFormatting>
  <conditionalFormatting sqref="I50">
    <cfRule type="expression" dxfId="359" priority="329">
      <formula>C50="CSE"</formula>
    </cfRule>
    <cfRule type="expression" dxfId="358" priority="330">
      <formula>C50="CSC"</formula>
    </cfRule>
    <cfRule type="expression" dxfId="357" priority="331">
      <formula>C50="CSE"</formula>
    </cfRule>
    <cfRule type="expression" dxfId="356" priority="332">
      <formula>C50="CSC"</formula>
    </cfRule>
    <cfRule type="expression" dxfId="355" priority="333">
      <formula>C50="CSE"</formula>
    </cfRule>
    <cfRule type="expression" dxfId="354" priority="334">
      <formula>C50="CSC"</formula>
    </cfRule>
    <cfRule type="expression" dxfId="353" priority="335">
      <formula>C50="CSE"</formula>
    </cfRule>
    <cfRule type="expression" dxfId="352" priority="336">
      <formula>C50="CSC"</formula>
    </cfRule>
  </conditionalFormatting>
  <conditionalFormatting sqref="I55">
    <cfRule type="expression" dxfId="351" priority="321">
      <formula>C55="CSE"</formula>
    </cfRule>
    <cfRule type="expression" dxfId="350" priority="322">
      <formula>C55="CSC"</formula>
    </cfRule>
    <cfRule type="expression" dxfId="349" priority="323">
      <formula>C55="CSE"</formula>
    </cfRule>
    <cfRule type="expression" dxfId="348" priority="324">
      <formula>C55="CSC"</formula>
    </cfRule>
    <cfRule type="expression" dxfId="347" priority="325">
      <formula>C55="CSE"</formula>
    </cfRule>
    <cfRule type="expression" dxfId="346" priority="326">
      <formula>C55="CSC"</formula>
    </cfRule>
    <cfRule type="expression" dxfId="345" priority="327">
      <formula>C55="CSE"</formula>
    </cfRule>
    <cfRule type="expression" dxfId="344" priority="328">
      <formula>C55="CSC"</formula>
    </cfRule>
  </conditionalFormatting>
  <conditionalFormatting sqref="I60">
    <cfRule type="expression" dxfId="343" priority="313">
      <formula>C60="CSE"</formula>
    </cfRule>
    <cfRule type="expression" dxfId="342" priority="314">
      <formula>C60="CSC"</formula>
    </cfRule>
    <cfRule type="expression" dxfId="341" priority="315">
      <formula>C60="CSE"</formula>
    </cfRule>
    <cfRule type="expression" dxfId="340" priority="316">
      <formula>C60="CSC"</formula>
    </cfRule>
    <cfRule type="expression" dxfId="339" priority="317">
      <formula>C60="CSE"</formula>
    </cfRule>
    <cfRule type="expression" dxfId="338" priority="318">
      <formula>C60="CSC"</formula>
    </cfRule>
    <cfRule type="expression" dxfId="337" priority="319">
      <formula>C60="CSE"</formula>
    </cfRule>
    <cfRule type="expression" dxfId="336" priority="320">
      <formula>C60="CSC"</formula>
    </cfRule>
  </conditionalFormatting>
  <conditionalFormatting sqref="I65">
    <cfRule type="expression" dxfId="335" priority="305">
      <formula>C65="CSE"</formula>
    </cfRule>
    <cfRule type="expression" dxfId="334" priority="306">
      <formula>C65="CSC"</formula>
    </cfRule>
    <cfRule type="expression" dxfId="333" priority="307">
      <formula>C65="CSE"</formula>
    </cfRule>
    <cfRule type="expression" dxfId="332" priority="308">
      <formula>C65="CSC"</formula>
    </cfRule>
    <cfRule type="expression" dxfId="331" priority="309">
      <formula>C65="CSE"</formula>
    </cfRule>
    <cfRule type="expression" dxfId="330" priority="310">
      <formula>C65="CSC"</formula>
    </cfRule>
    <cfRule type="expression" dxfId="329" priority="311">
      <formula>C65="CSE"</formula>
    </cfRule>
    <cfRule type="expression" dxfId="328" priority="312">
      <formula>C65="CSC"</formula>
    </cfRule>
  </conditionalFormatting>
  <conditionalFormatting sqref="I70">
    <cfRule type="expression" dxfId="327" priority="297">
      <formula>C70="CSE"</formula>
    </cfRule>
    <cfRule type="expression" dxfId="326" priority="298">
      <formula>C70="CSC"</formula>
    </cfRule>
    <cfRule type="expression" dxfId="325" priority="299">
      <formula>C70="CSE"</formula>
    </cfRule>
    <cfRule type="expression" dxfId="324" priority="300">
      <formula>C70="CSC"</formula>
    </cfRule>
    <cfRule type="expression" dxfId="323" priority="301">
      <formula>C70="CSE"</formula>
    </cfRule>
    <cfRule type="expression" dxfId="322" priority="302">
      <formula>C70="CSC"</formula>
    </cfRule>
    <cfRule type="expression" dxfId="321" priority="303">
      <formula>C70="CSE"</formula>
    </cfRule>
    <cfRule type="expression" dxfId="320" priority="304">
      <formula>C70="CSC"</formula>
    </cfRule>
  </conditionalFormatting>
  <conditionalFormatting sqref="I75">
    <cfRule type="expression" dxfId="319" priority="289">
      <formula>C75="CSE"</formula>
    </cfRule>
    <cfRule type="expression" dxfId="318" priority="290">
      <formula>C75="CSC"</formula>
    </cfRule>
    <cfRule type="expression" dxfId="317" priority="291">
      <formula>C75="CSE"</formula>
    </cfRule>
    <cfRule type="expression" dxfId="316" priority="292">
      <formula>C75="CSC"</formula>
    </cfRule>
    <cfRule type="expression" dxfId="315" priority="293">
      <formula>C75="CSE"</formula>
    </cfRule>
    <cfRule type="expression" dxfId="314" priority="294">
      <formula>C75="CSC"</formula>
    </cfRule>
    <cfRule type="expression" dxfId="313" priority="295">
      <formula>C75="CSE"</formula>
    </cfRule>
    <cfRule type="expression" dxfId="312" priority="296">
      <formula>C75="CSC"</formula>
    </cfRule>
  </conditionalFormatting>
  <conditionalFormatting sqref="I80">
    <cfRule type="expression" dxfId="311" priority="281">
      <formula>C80="CSE"</formula>
    </cfRule>
    <cfRule type="expression" dxfId="310" priority="282">
      <formula>C80="CSC"</formula>
    </cfRule>
    <cfRule type="expression" dxfId="309" priority="283">
      <formula>C80="CSE"</formula>
    </cfRule>
    <cfRule type="expression" dxfId="308" priority="284">
      <formula>C80="CSC"</formula>
    </cfRule>
    <cfRule type="expression" dxfId="307" priority="285">
      <formula>C80="CSE"</formula>
    </cfRule>
    <cfRule type="expression" dxfId="306" priority="286">
      <formula>C80="CSC"</formula>
    </cfRule>
    <cfRule type="expression" dxfId="305" priority="287">
      <formula>C80="CSE"</formula>
    </cfRule>
    <cfRule type="expression" dxfId="304" priority="288">
      <formula>C80="CSC"</formula>
    </cfRule>
  </conditionalFormatting>
  <conditionalFormatting sqref="I85">
    <cfRule type="expression" dxfId="303" priority="273">
      <formula>C85="CSE"</formula>
    </cfRule>
    <cfRule type="expression" dxfId="302" priority="274">
      <formula>C85="CSC"</formula>
    </cfRule>
    <cfRule type="expression" dxfId="301" priority="275">
      <formula>C85="CSE"</formula>
    </cfRule>
    <cfRule type="expression" dxfId="300" priority="276">
      <formula>C85="CSC"</formula>
    </cfRule>
    <cfRule type="expression" dxfId="299" priority="277">
      <formula>C85="CSE"</formula>
    </cfRule>
    <cfRule type="expression" dxfId="298" priority="278">
      <formula>C85="CSC"</formula>
    </cfRule>
    <cfRule type="expression" dxfId="297" priority="279">
      <formula>C85="CSE"</formula>
    </cfRule>
    <cfRule type="expression" dxfId="296" priority="280">
      <formula>C85="CSC"</formula>
    </cfRule>
  </conditionalFormatting>
  <conditionalFormatting sqref="I90">
    <cfRule type="expression" dxfId="295" priority="265">
      <formula>C90="CSE"</formula>
    </cfRule>
    <cfRule type="expression" dxfId="294" priority="266">
      <formula>C90="CSC"</formula>
    </cfRule>
    <cfRule type="expression" dxfId="293" priority="267">
      <formula>C90="CSE"</formula>
    </cfRule>
    <cfRule type="expression" dxfId="292" priority="268">
      <formula>C90="CSC"</formula>
    </cfRule>
    <cfRule type="expression" dxfId="291" priority="269">
      <formula>C90="CSE"</formula>
    </cfRule>
    <cfRule type="expression" dxfId="290" priority="270">
      <formula>C90="CSC"</formula>
    </cfRule>
    <cfRule type="expression" dxfId="289" priority="271">
      <formula>C90="CSE"</formula>
    </cfRule>
    <cfRule type="expression" dxfId="288" priority="272">
      <formula>C90="CSC"</formula>
    </cfRule>
  </conditionalFormatting>
  <conditionalFormatting sqref="I95">
    <cfRule type="expression" dxfId="287" priority="257">
      <formula>C95="CSE"</formula>
    </cfRule>
    <cfRule type="expression" dxfId="286" priority="258">
      <formula>C95="CSC"</formula>
    </cfRule>
    <cfRule type="expression" dxfId="285" priority="259">
      <formula>C95="CSE"</formula>
    </cfRule>
    <cfRule type="expression" dxfId="284" priority="260">
      <formula>C95="CSC"</formula>
    </cfRule>
    <cfRule type="expression" dxfId="283" priority="261">
      <formula>C95="CSE"</formula>
    </cfRule>
    <cfRule type="expression" dxfId="282" priority="262">
      <formula>C95="CSC"</formula>
    </cfRule>
    <cfRule type="expression" dxfId="281" priority="263">
      <formula>C95="CSE"</formula>
    </cfRule>
    <cfRule type="expression" dxfId="280" priority="264">
      <formula>C95="CSC"</formula>
    </cfRule>
  </conditionalFormatting>
  <conditionalFormatting sqref="I100">
    <cfRule type="expression" dxfId="279" priority="249">
      <formula>C100="CSE"</formula>
    </cfRule>
    <cfRule type="expression" dxfId="278" priority="250">
      <formula>C100="CSC"</formula>
    </cfRule>
    <cfRule type="expression" dxfId="277" priority="251">
      <formula>C100="CSE"</formula>
    </cfRule>
    <cfRule type="expression" dxfId="276" priority="252">
      <formula>C100="CSC"</formula>
    </cfRule>
    <cfRule type="expression" dxfId="275" priority="253">
      <formula>C100="CSE"</formula>
    </cfRule>
    <cfRule type="expression" dxfId="274" priority="254">
      <formula>C100="CSC"</formula>
    </cfRule>
    <cfRule type="expression" dxfId="273" priority="255">
      <formula>C100="CSE"</formula>
    </cfRule>
    <cfRule type="expression" dxfId="272" priority="256">
      <formula>C100="CSC"</formula>
    </cfRule>
  </conditionalFormatting>
  <conditionalFormatting sqref="I105">
    <cfRule type="expression" dxfId="271" priority="241">
      <formula>C105="CSE"</formula>
    </cfRule>
    <cfRule type="expression" dxfId="270" priority="242">
      <formula>C105="CSC"</formula>
    </cfRule>
    <cfRule type="expression" dxfId="269" priority="243">
      <formula>C105="CSE"</formula>
    </cfRule>
    <cfRule type="expression" dxfId="268" priority="244">
      <formula>C105="CSC"</formula>
    </cfRule>
    <cfRule type="expression" dxfId="267" priority="245">
      <formula>C105="CSE"</formula>
    </cfRule>
    <cfRule type="expression" dxfId="266" priority="246">
      <formula>C105="CSC"</formula>
    </cfRule>
    <cfRule type="expression" dxfId="265" priority="247">
      <formula>C105="CSE"</formula>
    </cfRule>
    <cfRule type="expression" dxfId="264" priority="248">
      <formula>C105="CSC"</formula>
    </cfRule>
  </conditionalFormatting>
  <conditionalFormatting sqref="I110">
    <cfRule type="expression" dxfId="263" priority="233">
      <formula>C110="CSE"</formula>
    </cfRule>
    <cfRule type="expression" dxfId="262" priority="234">
      <formula>C110="CSC"</formula>
    </cfRule>
    <cfRule type="expression" dxfId="261" priority="235">
      <formula>C110="CSE"</formula>
    </cfRule>
    <cfRule type="expression" dxfId="260" priority="236">
      <formula>C110="CSC"</formula>
    </cfRule>
    <cfRule type="expression" dxfId="259" priority="237">
      <formula>C110="CSE"</formula>
    </cfRule>
    <cfRule type="expression" dxfId="258" priority="238">
      <formula>C110="CSC"</formula>
    </cfRule>
    <cfRule type="expression" dxfId="257" priority="239">
      <formula>C110="CSE"</formula>
    </cfRule>
    <cfRule type="expression" dxfId="256" priority="240">
      <formula>C110="CSC"</formula>
    </cfRule>
  </conditionalFormatting>
  <conditionalFormatting sqref="I115">
    <cfRule type="expression" dxfId="255" priority="225">
      <formula>C115="CSE"</formula>
    </cfRule>
    <cfRule type="expression" dxfId="254" priority="226">
      <formula>C115="CSC"</formula>
    </cfRule>
    <cfRule type="expression" dxfId="253" priority="227">
      <formula>C115="CSE"</formula>
    </cfRule>
    <cfRule type="expression" dxfId="252" priority="228">
      <formula>C115="CSC"</formula>
    </cfRule>
    <cfRule type="expression" dxfId="251" priority="229">
      <formula>C115="CSE"</formula>
    </cfRule>
    <cfRule type="expression" dxfId="250" priority="230">
      <formula>C115="CSC"</formula>
    </cfRule>
    <cfRule type="expression" dxfId="249" priority="231">
      <formula>C115="CSE"</formula>
    </cfRule>
    <cfRule type="expression" dxfId="248" priority="232">
      <formula>C115="CSC"</formula>
    </cfRule>
  </conditionalFormatting>
  <conditionalFormatting sqref="I120">
    <cfRule type="expression" dxfId="247" priority="217">
      <formula>C120="CSE"</formula>
    </cfRule>
    <cfRule type="expression" dxfId="246" priority="218">
      <formula>C120="CSC"</formula>
    </cfRule>
    <cfRule type="expression" dxfId="245" priority="219">
      <formula>C120="CSE"</formula>
    </cfRule>
    <cfRule type="expression" dxfId="244" priority="220">
      <formula>C120="CSC"</formula>
    </cfRule>
    <cfRule type="expression" dxfId="243" priority="221">
      <formula>C120="CSE"</formula>
    </cfRule>
    <cfRule type="expression" dxfId="242" priority="222">
      <formula>C120="CSC"</formula>
    </cfRule>
    <cfRule type="expression" dxfId="241" priority="223">
      <formula>C120="CSE"</formula>
    </cfRule>
    <cfRule type="expression" dxfId="240" priority="224">
      <formula>C120="CSC"</formula>
    </cfRule>
  </conditionalFormatting>
  <conditionalFormatting sqref="I125">
    <cfRule type="expression" dxfId="239" priority="209">
      <formula>C125="CSE"</formula>
    </cfRule>
    <cfRule type="expression" dxfId="238" priority="210">
      <formula>C125="CSC"</formula>
    </cfRule>
    <cfRule type="expression" dxfId="237" priority="211">
      <formula>C125="CSE"</formula>
    </cfRule>
    <cfRule type="expression" dxfId="236" priority="212">
      <formula>C125="CSC"</formula>
    </cfRule>
    <cfRule type="expression" dxfId="235" priority="213">
      <formula>C125="CSE"</formula>
    </cfRule>
    <cfRule type="expression" dxfId="234" priority="214">
      <formula>C125="CSC"</formula>
    </cfRule>
    <cfRule type="expression" dxfId="233" priority="215">
      <formula>C125="CSE"</formula>
    </cfRule>
    <cfRule type="expression" dxfId="232" priority="216">
      <formula>C125="CSC"</formula>
    </cfRule>
  </conditionalFormatting>
  <conditionalFormatting sqref="I130">
    <cfRule type="expression" dxfId="231" priority="201">
      <formula>C130="CSE"</formula>
    </cfRule>
    <cfRule type="expression" dxfId="230" priority="202">
      <formula>C130="CSC"</formula>
    </cfRule>
    <cfRule type="expression" dxfId="229" priority="203">
      <formula>C130="CSE"</formula>
    </cfRule>
    <cfRule type="expression" dxfId="228" priority="204">
      <formula>C130="CSC"</formula>
    </cfRule>
    <cfRule type="expression" dxfId="227" priority="205">
      <formula>C130="CSE"</formula>
    </cfRule>
    <cfRule type="expression" dxfId="226" priority="206">
      <formula>C130="CSC"</formula>
    </cfRule>
    <cfRule type="expression" dxfId="225" priority="207">
      <formula>C130="CSE"</formula>
    </cfRule>
    <cfRule type="expression" dxfId="224" priority="208">
      <formula>C130="CSC"</formula>
    </cfRule>
  </conditionalFormatting>
  <conditionalFormatting sqref="I135">
    <cfRule type="expression" dxfId="223" priority="193">
      <formula>C135="CSE"</formula>
    </cfRule>
    <cfRule type="expression" dxfId="222" priority="194">
      <formula>C135="CSC"</formula>
    </cfRule>
    <cfRule type="expression" dxfId="221" priority="195">
      <formula>C135="CSE"</formula>
    </cfRule>
    <cfRule type="expression" dxfId="220" priority="196">
      <formula>C135="CSC"</formula>
    </cfRule>
    <cfRule type="expression" dxfId="219" priority="197">
      <formula>C135="CSE"</formula>
    </cfRule>
    <cfRule type="expression" dxfId="218" priority="198">
      <formula>C135="CSC"</formula>
    </cfRule>
    <cfRule type="expression" dxfId="217" priority="199">
      <formula>C135="CSE"</formula>
    </cfRule>
    <cfRule type="expression" dxfId="216" priority="200">
      <formula>C135="CSC"</formula>
    </cfRule>
  </conditionalFormatting>
  <conditionalFormatting sqref="I140">
    <cfRule type="expression" dxfId="215" priority="185">
      <formula>C140="CSE"</formula>
    </cfRule>
    <cfRule type="expression" dxfId="214" priority="186">
      <formula>C140="CSC"</formula>
    </cfRule>
    <cfRule type="expression" dxfId="213" priority="187">
      <formula>C140="CSE"</formula>
    </cfRule>
    <cfRule type="expression" dxfId="212" priority="188">
      <formula>C140="CSC"</formula>
    </cfRule>
    <cfRule type="expression" dxfId="211" priority="189">
      <formula>C140="CSE"</formula>
    </cfRule>
    <cfRule type="expression" dxfId="210" priority="190">
      <formula>C140="CSC"</formula>
    </cfRule>
    <cfRule type="expression" dxfId="209" priority="191">
      <formula>C140="CSE"</formula>
    </cfRule>
    <cfRule type="expression" dxfId="208" priority="192">
      <formula>C140="CSC"</formula>
    </cfRule>
  </conditionalFormatting>
  <conditionalFormatting sqref="I145">
    <cfRule type="expression" dxfId="207" priority="177">
      <formula>C145="CSE"</formula>
    </cfRule>
    <cfRule type="expression" dxfId="206" priority="178">
      <formula>C145="CSC"</formula>
    </cfRule>
    <cfRule type="expression" dxfId="205" priority="179">
      <formula>C145="CSE"</formula>
    </cfRule>
    <cfRule type="expression" dxfId="204" priority="180">
      <formula>C145="CSC"</formula>
    </cfRule>
    <cfRule type="expression" dxfId="203" priority="181">
      <formula>C145="CSE"</formula>
    </cfRule>
    <cfRule type="expression" dxfId="202" priority="182">
      <formula>C145="CSC"</formula>
    </cfRule>
    <cfRule type="expression" dxfId="201" priority="183">
      <formula>C145="CSE"</formula>
    </cfRule>
    <cfRule type="expression" dxfId="200" priority="184">
      <formula>C145="CSC"</formula>
    </cfRule>
  </conditionalFormatting>
  <conditionalFormatting sqref="I150">
    <cfRule type="expression" dxfId="199" priority="169">
      <formula>C150="CSE"</formula>
    </cfRule>
    <cfRule type="expression" dxfId="198" priority="170">
      <formula>C150="CSC"</formula>
    </cfRule>
    <cfRule type="expression" dxfId="197" priority="171">
      <formula>C150="CSE"</formula>
    </cfRule>
    <cfRule type="expression" dxfId="196" priority="172">
      <formula>C150="CSC"</formula>
    </cfRule>
    <cfRule type="expression" dxfId="195" priority="173">
      <formula>C150="CSE"</formula>
    </cfRule>
    <cfRule type="expression" dxfId="194" priority="174">
      <formula>C150="CSC"</formula>
    </cfRule>
    <cfRule type="expression" dxfId="193" priority="175">
      <formula>C150="CSE"</formula>
    </cfRule>
    <cfRule type="expression" dxfId="192" priority="176">
      <formula>C150="CSC"</formula>
    </cfRule>
  </conditionalFormatting>
  <conditionalFormatting sqref="I155">
    <cfRule type="expression" dxfId="191" priority="161">
      <formula>C155="CSE"</formula>
    </cfRule>
    <cfRule type="expression" dxfId="190" priority="162">
      <formula>C155="CSC"</formula>
    </cfRule>
    <cfRule type="expression" dxfId="189" priority="163">
      <formula>C155="CSE"</formula>
    </cfRule>
    <cfRule type="expression" dxfId="188" priority="164">
      <formula>C155="CSC"</formula>
    </cfRule>
    <cfRule type="expression" dxfId="187" priority="165">
      <formula>C155="CSE"</formula>
    </cfRule>
    <cfRule type="expression" dxfId="186" priority="166">
      <formula>C155="CSC"</formula>
    </cfRule>
    <cfRule type="expression" dxfId="185" priority="167">
      <formula>C155="CSE"</formula>
    </cfRule>
    <cfRule type="expression" dxfId="184" priority="168">
      <formula>C155="CSC"</formula>
    </cfRule>
  </conditionalFormatting>
  <conditionalFormatting sqref="I160">
    <cfRule type="expression" dxfId="183" priority="153">
      <formula>C160="CSE"</formula>
    </cfRule>
    <cfRule type="expression" dxfId="182" priority="154">
      <formula>C160="CSC"</formula>
    </cfRule>
    <cfRule type="expression" dxfId="181" priority="155">
      <formula>C160="CSE"</formula>
    </cfRule>
    <cfRule type="expression" dxfId="180" priority="156">
      <formula>C160="CSC"</formula>
    </cfRule>
    <cfRule type="expression" dxfId="179" priority="157">
      <formula>C160="CSE"</formula>
    </cfRule>
    <cfRule type="expression" dxfId="178" priority="158">
      <formula>C160="CSC"</formula>
    </cfRule>
    <cfRule type="expression" dxfId="177" priority="159">
      <formula>C160="CSE"</formula>
    </cfRule>
    <cfRule type="expression" dxfId="176" priority="160">
      <formula>C160="CSC"</formula>
    </cfRule>
  </conditionalFormatting>
  <conditionalFormatting sqref="I165">
    <cfRule type="expression" dxfId="175" priority="145">
      <formula>C165="CSE"</formula>
    </cfRule>
    <cfRule type="expression" dxfId="174" priority="146">
      <formula>C165="CSC"</formula>
    </cfRule>
    <cfRule type="expression" dxfId="173" priority="147">
      <formula>C165="CSE"</formula>
    </cfRule>
    <cfRule type="expression" dxfId="172" priority="148">
      <formula>C165="CSC"</formula>
    </cfRule>
    <cfRule type="expression" dxfId="171" priority="149">
      <formula>C165="CSE"</formula>
    </cfRule>
    <cfRule type="expression" dxfId="170" priority="150">
      <formula>C165="CSC"</formula>
    </cfRule>
    <cfRule type="expression" dxfId="169" priority="151">
      <formula>C165="CSE"</formula>
    </cfRule>
    <cfRule type="expression" dxfId="168" priority="152">
      <formula>C165="CSC"</formula>
    </cfRule>
  </conditionalFormatting>
  <conditionalFormatting sqref="I170">
    <cfRule type="expression" dxfId="167" priority="137">
      <formula>C170="CSE"</formula>
    </cfRule>
    <cfRule type="expression" dxfId="166" priority="138">
      <formula>C170="CSC"</formula>
    </cfRule>
    <cfRule type="expression" dxfId="165" priority="139">
      <formula>C170="CSE"</formula>
    </cfRule>
    <cfRule type="expression" dxfId="164" priority="140">
      <formula>C170="CSC"</formula>
    </cfRule>
    <cfRule type="expression" dxfId="163" priority="141">
      <formula>C170="CSE"</formula>
    </cfRule>
    <cfRule type="expression" dxfId="162" priority="142">
      <formula>C170="CSC"</formula>
    </cfRule>
    <cfRule type="expression" dxfId="161" priority="143">
      <formula>C170="CSE"</formula>
    </cfRule>
    <cfRule type="expression" dxfId="160" priority="144">
      <formula>C170="CSC"</formula>
    </cfRule>
  </conditionalFormatting>
  <conditionalFormatting sqref="I175">
    <cfRule type="expression" dxfId="159" priority="129">
      <formula>C175="CSE"</formula>
    </cfRule>
    <cfRule type="expression" dxfId="158" priority="130">
      <formula>C175="CSC"</formula>
    </cfRule>
    <cfRule type="expression" dxfId="157" priority="131">
      <formula>C175="CSE"</formula>
    </cfRule>
    <cfRule type="expression" dxfId="156" priority="132">
      <formula>C175="CSC"</formula>
    </cfRule>
    <cfRule type="expression" dxfId="155" priority="133">
      <formula>C175="CSE"</formula>
    </cfRule>
    <cfRule type="expression" dxfId="154" priority="134">
      <formula>C175="CSC"</formula>
    </cfRule>
    <cfRule type="expression" dxfId="153" priority="135">
      <formula>C175="CSE"</formula>
    </cfRule>
    <cfRule type="expression" dxfId="152" priority="136">
      <formula>C175="CSC"</formula>
    </cfRule>
  </conditionalFormatting>
  <conditionalFormatting sqref="I180">
    <cfRule type="expression" dxfId="151" priority="121">
      <formula>C180="CSE"</formula>
    </cfRule>
    <cfRule type="expression" dxfId="150" priority="122">
      <formula>C180="CSC"</formula>
    </cfRule>
    <cfRule type="expression" dxfId="149" priority="123">
      <formula>C180="CSE"</formula>
    </cfRule>
    <cfRule type="expression" dxfId="148" priority="124">
      <formula>C180="CSC"</formula>
    </cfRule>
    <cfRule type="expression" dxfId="147" priority="125">
      <formula>C180="CSE"</formula>
    </cfRule>
    <cfRule type="expression" dxfId="146" priority="126">
      <formula>C180="CSC"</formula>
    </cfRule>
    <cfRule type="expression" dxfId="145" priority="127">
      <formula>C180="CSE"</formula>
    </cfRule>
    <cfRule type="expression" dxfId="144" priority="128">
      <formula>C180="CSC"</formula>
    </cfRule>
  </conditionalFormatting>
  <conditionalFormatting sqref="I185">
    <cfRule type="expression" dxfId="143" priority="113">
      <formula>C185="CSE"</formula>
    </cfRule>
    <cfRule type="expression" dxfId="142" priority="114">
      <formula>C185="CSC"</formula>
    </cfRule>
    <cfRule type="expression" dxfId="141" priority="115">
      <formula>C185="CSE"</formula>
    </cfRule>
    <cfRule type="expression" dxfId="140" priority="116">
      <formula>C185="CSC"</formula>
    </cfRule>
    <cfRule type="expression" dxfId="139" priority="117">
      <formula>C185="CSE"</formula>
    </cfRule>
    <cfRule type="expression" dxfId="138" priority="118">
      <formula>C185="CSC"</formula>
    </cfRule>
    <cfRule type="expression" dxfId="137" priority="119">
      <formula>C185="CSE"</formula>
    </cfRule>
    <cfRule type="expression" dxfId="136" priority="120">
      <formula>C185="CSC"</formula>
    </cfRule>
  </conditionalFormatting>
  <conditionalFormatting sqref="I190">
    <cfRule type="expression" dxfId="135" priority="105">
      <formula>C190="CSE"</formula>
    </cfRule>
    <cfRule type="expression" dxfId="134" priority="106">
      <formula>C190="CSC"</formula>
    </cfRule>
    <cfRule type="expression" dxfId="133" priority="107">
      <formula>C190="CSE"</formula>
    </cfRule>
    <cfRule type="expression" dxfId="132" priority="108">
      <formula>C190="CSC"</formula>
    </cfRule>
    <cfRule type="expression" dxfId="131" priority="109">
      <formula>C190="CSE"</formula>
    </cfRule>
    <cfRule type="expression" dxfId="130" priority="110">
      <formula>C190="CSC"</formula>
    </cfRule>
    <cfRule type="expression" dxfId="129" priority="111">
      <formula>C190="CSE"</formula>
    </cfRule>
    <cfRule type="expression" dxfId="128" priority="112">
      <formula>C190="CSC"</formula>
    </cfRule>
  </conditionalFormatting>
  <conditionalFormatting sqref="I195">
    <cfRule type="expression" dxfId="127" priority="97">
      <formula>C195="CSE"</formula>
    </cfRule>
    <cfRule type="expression" dxfId="126" priority="98">
      <formula>C195="CSC"</formula>
    </cfRule>
    <cfRule type="expression" dxfId="125" priority="99">
      <formula>C195="CSE"</formula>
    </cfRule>
    <cfRule type="expression" dxfId="124" priority="100">
      <formula>C195="CSC"</formula>
    </cfRule>
    <cfRule type="expression" dxfId="123" priority="101">
      <formula>C195="CSE"</formula>
    </cfRule>
    <cfRule type="expression" dxfId="122" priority="102">
      <formula>C195="CSC"</formula>
    </cfRule>
    <cfRule type="expression" dxfId="121" priority="103">
      <formula>C195="CSE"</formula>
    </cfRule>
    <cfRule type="expression" dxfId="120" priority="104">
      <formula>C195="CSC"</formula>
    </cfRule>
  </conditionalFormatting>
  <conditionalFormatting sqref="I200">
    <cfRule type="expression" dxfId="119" priority="89">
      <formula>C200="CSE"</formula>
    </cfRule>
    <cfRule type="expression" dxfId="118" priority="90">
      <formula>C200="CSC"</formula>
    </cfRule>
    <cfRule type="expression" dxfId="117" priority="91">
      <formula>C200="CSE"</formula>
    </cfRule>
    <cfRule type="expression" dxfId="116" priority="92">
      <formula>C200="CSC"</formula>
    </cfRule>
    <cfRule type="expression" dxfId="115" priority="93">
      <formula>C200="CSE"</formula>
    </cfRule>
    <cfRule type="expression" dxfId="114" priority="94">
      <formula>C200="CSC"</formula>
    </cfRule>
    <cfRule type="expression" dxfId="113" priority="95">
      <formula>C200="CSE"</formula>
    </cfRule>
    <cfRule type="expression" dxfId="112" priority="96">
      <formula>C200="CSC"</formula>
    </cfRule>
  </conditionalFormatting>
  <conditionalFormatting sqref="J6:J200">
    <cfRule type="cellIs" dxfId="111" priority="83" operator="equal">
      <formula>"CRECHE"</formula>
    </cfRule>
    <cfRule type="cellIs" dxfId="110" priority="84" operator="equal">
      <formula>"ADAPTADO"</formula>
    </cfRule>
    <cfRule type="cellIs" dxfId="109" priority="85" operator="equal">
      <formula>"CRECHE"</formula>
    </cfRule>
    <cfRule type="cellIs" dxfId="108" priority="86" operator="equal">
      <formula>"ADAPTADO"</formula>
    </cfRule>
    <cfRule type="cellIs" dxfId="107" priority="87" operator="equal">
      <formula>"CRECHE"</formula>
    </cfRule>
    <cfRule type="cellIs" dxfId="106" priority="88" operator="equal">
      <formula>"ADAPTADO"</formula>
    </cfRule>
  </conditionalFormatting>
  <conditionalFormatting sqref="J6:K10">
    <cfRule type="expression" dxfId="105" priority="79">
      <formula>NOT(ISERROR(SEARCH("NORMAL",J6)))</formula>
    </cfRule>
    <cfRule type="expression" dxfId="104" priority="80">
      <formula>NOT(ISERROR(SEARCH("ADAPTADO",J6)))</formula>
    </cfRule>
    <cfRule type="expression" dxfId="103" priority="81">
      <formula>NOT(ISERROR(SEARCH("NORMAL",J6)))</formula>
    </cfRule>
    <cfRule type="expression" dxfId="102" priority="82">
      <formula>NOT(ISERROR(SEARCH("ADAPTADO",J6)))</formula>
    </cfRule>
  </conditionalFormatting>
  <conditionalFormatting sqref="J11:K15">
    <cfRule type="expression" dxfId="101" priority="77">
      <formula>NOT(ISERROR(SEARCH("NORMAL",J11)))</formula>
    </cfRule>
    <cfRule type="expression" dxfId="100" priority="78">
      <formula>NOT(ISERROR(SEARCH("ADAPTADO",J11)))</formula>
    </cfRule>
  </conditionalFormatting>
  <conditionalFormatting sqref="J11:K20">
    <cfRule type="expression" dxfId="99" priority="75">
      <formula>NOT(ISERROR(SEARCH("NORMAL",J11)))</formula>
    </cfRule>
    <cfRule type="expression" dxfId="98" priority="76">
      <formula>NOT(ISERROR(SEARCH("ADAPTADO",J11)))</formula>
    </cfRule>
  </conditionalFormatting>
  <conditionalFormatting sqref="J16:K25">
    <cfRule type="expression" dxfId="97" priority="73">
      <formula>NOT(ISERROR(SEARCH("NORMAL",J16)))</formula>
    </cfRule>
    <cfRule type="expression" dxfId="96" priority="74">
      <formula>NOT(ISERROR(SEARCH("ADAPTADO",J16)))</formula>
    </cfRule>
  </conditionalFormatting>
  <conditionalFormatting sqref="J21:K30">
    <cfRule type="expression" dxfId="95" priority="71">
      <formula>NOT(ISERROR(SEARCH("NORMAL",J21)))</formula>
    </cfRule>
    <cfRule type="expression" dxfId="94" priority="72">
      <formula>NOT(ISERROR(SEARCH("ADAPTADO",J21)))</formula>
    </cfRule>
  </conditionalFormatting>
  <conditionalFormatting sqref="J26:K35">
    <cfRule type="expression" dxfId="93" priority="69">
      <formula>NOT(ISERROR(SEARCH("NORMAL",J26)))</formula>
    </cfRule>
    <cfRule type="expression" dxfId="92" priority="70">
      <formula>NOT(ISERROR(SEARCH("ADAPTADO",J26)))</formula>
    </cfRule>
  </conditionalFormatting>
  <conditionalFormatting sqref="J31:K40">
    <cfRule type="expression" dxfId="91" priority="67">
      <formula>NOT(ISERROR(SEARCH("NORMAL",J31)))</formula>
    </cfRule>
    <cfRule type="expression" dxfId="90" priority="68">
      <formula>NOT(ISERROR(SEARCH("ADAPTADO",J31)))</formula>
    </cfRule>
  </conditionalFormatting>
  <conditionalFormatting sqref="J36:K45">
    <cfRule type="expression" dxfId="89" priority="65">
      <formula>NOT(ISERROR(SEARCH("NORMAL",J36)))</formula>
    </cfRule>
    <cfRule type="expression" dxfId="88" priority="66">
      <formula>NOT(ISERROR(SEARCH("ADAPTADO",J36)))</formula>
    </cfRule>
  </conditionalFormatting>
  <conditionalFormatting sqref="J41:K50">
    <cfRule type="expression" dxfId="87" priority="63">
      <formula>NOT(ISERROR(SEARCH("NORMAL",J41)))</formula>
    </cfRule>
    <cfRule type="expression" dxfId="86" priority="64">
      <formula>NOT(ISERROR(SEARCH("ADAPTADO",J41)))</formula>
    </cfRule>
  </conditionalFormatting>
  <conditionalFormatting sqref="J46:K55">
    <cfRule type="expression" dxfId="85" priority="61">
      <formula>NOT(ISERROR(SEARCH("NORMAL",J46)))</formula>
    </cfRule>
    <cfRule type="expression" dxfId="84" priority="62">
      <formula>NOT(ISERROR(SEARCH("ADAPTADO",J46)))</formula>
    </cfRule>
  </conditionalFormatting>
  <conditionalFormatting sqref="J51:K60">
    <cfRule type="expression" dxfId="83" priority="59">
      <formula>NOT(ISERROR(SEARCH("NORMAL",J51)))</formula>
    </cfRule>
    <cfRule type="expression" dxfId="82" priority="60">
      <formula>NOT(ISERROR(SEARCH("ADAPTADO",J51)))</formula>
    </cfRule>
  </conditionalFormatting>
  <conditionalFormatting sqref="J56:K65">
    <cfRule type="expression" dxfId="81" priority="57">
      <formula>NOT(ISERROR(SEARCH("NORMAL",J56)))</formula>
    </cfRule>
    <cfRule type="expression" dxfId="80" priority="58">
      <formula>NOT(ISERROR(SEARCH("ADAPTADO",J56)))</formula>
    </cfRule>
  </conditionalFormatting>
  <conditionalFormatting sqref="J61:K70">
    <cfRule type="expression" dxfId="79" priority="55">
      <formula>NOT(ISERROR(SEARCH("NORMAL",J61)))</formula>
    </cfRule>
    <cfRule type="expression" dxfId="78" priority="56">
      <formula>NOT(ISERROR(SEARCH("ADAPTADO",J61)))</formula>
    </cfRule>
  </conditionalFormatting>
  <conditionalFormatting sqref="J66:K75">
    <cfRule type="expression" dxfId="77" priority="53">
      <formula>NOT(ISERROR(SEARCH("NORMAL",J66)))</formula>
    </cfRule>
    <cfRule type="expression" dxfId="76" priority="54">
      <formula>NOT(ISERROR(SEARCH("ADAPTADO",J66)))</formula>
    </cfRule>
  </conditionalFormatting>
  <conditionalFormatting sqref="J71:K80">
    <cfRule type="expression" dxfId="75" priority="51">
      <formula>NOT(ISERROR(SEARCH("NORMAL",J71)))</formula>
    </cfRule>
    <cfRule type="expression" dxfId="74" priority="52">
      <formula>NOT(ISERROR(SEARCH("ADAPTADO",J71)))</formula>
    </cfRule>
  </conditionalFormatting>
  <conditionalFormatting sqref="J76:K85">
    <cfRule type="expression" dxfId="73" priority="49">
      <formula>NOT(ISERROR(SEARCH("NORMAL",J76)))</formula>
    </cfRule>
    <cfRule type="expression" dxfId="72" priority="50">
      <formula>NOT(ISERROR(SEARCH("ADAPTADO",J76)))</formula>
    </cfRule>
  </conditionalFormatting>
  <conditionalFormatting sqref="J81:K90">
    <cfRule type="expression" dxfId="71" priority="47">
      <formula>NOT(ISERROR(SEARCH("NORMAL",J81)))</formula>
    </cfRule>
    <cfRule type="expression" dxfId="70" priority="48">
      <formula>NOT(ISERROR(SEARCH("ADAPTADO",J81)))</formula>
    </cfRule>
  </conditionalFormatting>
  <conditionalFormatting sqref="J86:K95">
    <cfRule type="expression" dxfId="69" priority="45">
      <formula>NOT(ISERROR(SEARCH("NORMAL",J86)))</formula>
    </cfRule>
    <cfRule type="expression" dxfId="68" priority="46">
      <formula>NOT(ISERROR(SEARCH("ADAPTADO",J86)))</formula>
    </cfRule>
  </conditionalFormatting>
  <conditionalFormatting sqref="J91:K100">
    <cfRule type="expression" dxfId="67" priority="43">
      <formula>NOT(ISERROR(SEARCH("NORMAL",J91)))</formula>
    </cfRule>
    <cfRule type="expression" dxfId="66" priority="44">
      <formula>NOT(ISERROR(SEARCH("ADAPTADO",J91)))</formula>
    </cfRule>
  </conditionalFormatting>
  <conditionalFormatting sqref="J96:K105">
    <cfRule type="expression" dxfId="65" priority="41">
      <formula>NOT(ISERROR(SEARCH("NORMAL",J96)))</formula>
    </cfRule>
    <cfRule type="expression" dxfId="64" priority="42">
      <formula>NOT(ISERROR(SEARCH("ADAPTADO",J96)))</formula>
    </cfRule>
  </conditionalFormatting>
  <conditionalFormatting sqref="J101:K110">
    <cfRule type="expression" dxfId="63" priority="39">
      <formula>NOT(ISERROR(SEARCH("NORMAL",J101)))</formula>
    </cfRule>
    <cfRule type="expression" dxfId="62" priority="40">
      <formula>NOT(ISERROR(SEARCH("ADAPTADO",J101)))</formula>
    </cfRule>
  </conditionalFormatting>
  <conditionalFormatting sqref="J106:K115">
    <cfRule type="expression" dxfId="61" priority="37">
      <formula>NOT(ISERROR(SEARCH("NORMAL",J106)))</formula>
    </cfRule>
    <cfRule type="expression" dxfId="60" priority="38">
      <formula>NOT(ISERROR(SEARCH("ADAPTADO",J106)))</formula>
    </cfRule>
  </conditionalFormatting>
  <conditionalFormatting sqref="J111:K120">
    <cfRule type="expression" dxfId="59" priority="35">
      <formula>NOT(ISERROR(SEARCH("NORMAL",J111)))</formula>
    </cfRule>
    <cfRule type="expression" dxfId="58" priority="36">
      <formula>NOT(ISERROR(SEARCH("ADAPTADO",J111)))</formula>
    </cfRule>
  </conditionalFormatting>
  <conditionalFormatting sqref="J116:K125">
    <cfRule type="expression" dxfId="57" priority="33">
      <formula>NOT(ISERROR(SEARCH("NORMAL",J116)))</formula>
    </cfRule>
    <cfRule type="expression" dxfId="56" priority="34">
      <formula>NOT(ISERROR(SEARCH("ADAPTADO",J116)))</formula>
    </cfRule>
  </conditionalFormatting>
  <conditionalFormatting sqref="J121:K130">
    <cfRule type="expression" dxfId="55" priority="31">
      <formula>NOT(ISERROR(SEARCH("NORMAL",J121)))</formula>
    </cfRule>
    <cfRule type="expression" dxfId="54" priority="32">
      <formula>NOT(ISERROR(SEARCH("ADAPTADO",J121)))</formula>
    </cfRule>
  </conditionalFormatting>
  <conditionalFormatting sqref="J126:K135">
    <cfRule type="expression" dxfId="53" priority="29">
      <formula>NOT(ISERROR(SEARCH("NORMAL",J126)))</formula>
    </cfRule>
    <cfRule type="expression" dxfId="52" priority="30">
      <formula>NOT(ISERROR(SEARCH("ADAPTADO",J126)))</formula>
    </cfRule>
  </conditionalFormatting>
  <conditionalFormatting sqref="J131:K140">
    <cfRule type="expression" dxfId="51" priority="27">
      <formula>NOT(ISERROR(SEARCH("NORMAL",J131)))</formula>
    </cfRule>
    <cfRule type="expression" dxfId="50" priority="28">
      <formula>NOT(ISERROR(SEARCH("ADAPTADO",J131)))</formula>
    </cfRule>
  </conditionalFormatting>
  <conditionalFormatting sqref="J136:K145">
    <cfRule type="expression" dxfId="49" priority="25">
      <formula>NOT(ISERROR(SEARCH("NORMAL",J136)))</formula>
    </cfRule>
    <cfRule type="expression" dxfId="48" priority="26">
      <formula>NOT(ISERROR(SEARCH("ADAPTADO",J136)))</formula>
    </cfRule>
  </conditionalFormatting>
  <conditionalFormatting sqref="J141:K150">
    <cfRule type="expression" dxfId="47" priority="23">
      <formula>NOT(ISERROR(SEARCH("NORMAL",J141)))</formula>
    </cfRule>
    <cfRule type="expression" dxfId="46" priority="24">
      <formula>NOT(ISERROR(SEARCH("ADAPTADO",J141)))</formula>
    </cfRule>
  </conditionalFormatting>
  <conditionalFormatting sqref="J146:K155">
    <cfRule type="expression" dxfId="45" priority="21">
      <formula>NOT(ISERROR(SEARCH("NORMAL",J146)))</formula>
    </cfRule>
    <cfRule type="expression" dxfId="44" priority="22">
      <formula>NOT(ISERROR(SEARCH("ADAPTADO",J146)))</formula>
    </cfRule>
  </conditionalFormatting>
  <conditionalFormatting sqref="J151:K160">
    <cfRule type="expression" dxfId="43" priority="19">
      <formula>NOT(ISERROR(SEARCH("NORMAL",J151)))</formula>
    </cfRule>
    <cfRule type="expression" dxfId="42" priority="20">
      <formula>NOT(ISERROR(SEARCH("ADAPTADO",J151)))</formula>
    </cfRule>
  </conditionalFormatting>
  <conditionalFormatting sqref="J156:K165">
    <cfRule type="expression" dxfId="41" priority="17">
      <formula>NOT(ISERROR(SEARCH("NORMAL",J156)))</formula>
    </cfRule>
    <cfRule type="expression" dxfId="40" priority="18">
      <formula>NOT(ISERROR(SEARCH("ADAPTADO",J156)))</formula>
    </cfRule>
  </conditionalFormatting>
  <conditionalFormatting sqref="J161:K170">
    <cfRule type="expression" dxfId="39" priority="15">
      <formula>NOT(ISERROR(SEARCH("NORMAL",J161)))</formula>
    </cfRule>
    <cfRule type="expression" dxfId="38" priority="16">
      <formula>NOT(ISERROR(SEARCH("ADAPTADO",J161)))</formula>
    </cfRule>
  </conditionalFormatting>
  <conditionalFormatting sqref="J166:K175">
    <cfRule type="expression" dxfId="37" priority="13">
      <formula>NOT(ISERROR(SEARCH("NORMAL",J166)))</formula>
    </cfRule>
    <cfRule type="expression" dxfId="36" priority="14">
      <formula>NOT(ISERROR(SEARCH("ADAPTADO",J166)))</formula>
    </cfRule>
  </conditionalFormatting>
  <conditionalFormatting sqref="J171:K180">
    <cfRule type="expression" dxfId="35" priority="11">
      <formula>NOT(ISERROR(SEARCH("NORMAL",J171)))</formula>
    </cfRule>
    <cfRule type="expression" dxfId="34" priority="12">
      <formula>NOT(ISERROR(SEARCH("ADAPTADO",J171)))</formula>
    </cfRule>
  </conditionalFormatting>
  <conditionalFormatting sqref="J176:K185">
    <cfRule type="expression" dxfId="33" priority="9">
      <formula>NOT(ISERROR(SEARCH("NORMAL",J176)))</formula>
    </cfRule>
    <cfRule type="expression" dxfId="32" priority="10">
      <formula>NOT(ISERROR(SEARCH("ADAPTADO",J176)))</formula>
    </cfRule>
  </conditionalFormatting>
  <conditionalFormatting sqref="J181:K190">
    <cfRule type="expression" dxfId="31" priority="7">
      <formula>NOT(ISERROR(SEARCH("NORMAL",J181)))</formula>
    </cfRule>
    <cfRule type="expression" dxfId="30" priority="8">
      <formula>NOT(ISERROR(SEARCH("ADAPTADO",J181)))</formula>
    </cfRule>
  </conditionalFormatting>
  <conditionalFormatting sqref="J186:K195">
    <cfRule type="expression" dxfId="29" priority="5">
      <formula>NOT(ISERROR(SEARCH("NORMAL",J186)))</formula>
    </cfRule>
    <cfRule type="expression" dxfId="28" priority="6">
      <formula>NOT(ISERROR(SEARCH("ADAPTADO",J186)))</formula>
    </cfRule>
  </conditionalFormatting>
  <conditionalFormatting sqref="J191:K200">
    <cfRule type="expression" dxfId="27" priority="3">
      <formula>NOT(ISERROR(SEARCH("NORMAL",J191)))</formula>
    </cfRule>
    <cfRule type="expression" dxfId="26" priority="4">
      <formula>NOT(ISERROR(SEARCH("ADAPTADO",J191)))</formula>
    </cfRule>
  </conditionalFormatting>
  <conditionalFormatting sqref="J196:K200">
    <cfRule type="expression" dxfId="25" priority="1">
      <formula>NOT(ISERROR(SEARCH("NORMAL",J196)))</formula>
    </cfRule>
    <cfRule type="expression" dxfId="24" priority="2">
      <formula>NOT(ISERROR(SEARCH("ADAPTADO",J196)))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2" sqref="D12:N12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RENATO CROZARA DA SILVA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G</v>
      </c>
      <c r="D2" s="682" t="str">
        <f>UPPER('APONTAMENTO CREDENCIAMENTO'!A1)</f>
        <v>GUAIANASES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3335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RENATO CROZARA DA SILVA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3333</v>
      </c>
      <c r="D10" s="299" t="str">
        <f>VLOOKUP($C10,'APONTAMENTO CREDENCIAMENTO'!$A:$J,8,0)</f>
        <v>RENATO CROZARA DA SILVA</v>
      </c>
      <c r="E10" s="299" t="str">
        <f>VLOOKUP($C10,'APONTAMENTO CREDENCIAMENTO'!$A:$J,9,0)</f>
        <v>RENATO CROZARA DA SILVA</v>
      </c>
      <c r="F10" s="300" t="str">
        <f>VLOOKUP($C10,'APONTAMENTO CREDENCIAMENTO'!$A:$P,15,0)</f>
        <v>6020.2025/0012259-2</v>
      </c>
      <c r="G10" s="301" t="str">
        <f>VLOOKUP($C10,'APONTAMENTO CREDENCIAMENTO'!$A:$P,4,0)</f>
        <v>2025/0012259</v>
      </c>
      <c r="H10" s="301" t="str">
        <f>VLOOKUP($C10,'APONTAMENTO CREDENCIAMENTO'!$A:$P,5,0)</f>
        <v>FYB7439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REN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2025/0012259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26</v>
      </c>
      <c r="H11" s="185" t="str">
        <f>'BASE C'!E4</f>
        <v>ABRIL</v>
      </c>
      <c r="I11" s="186" t="str">
        <f>'BASE C'!D2</f>
        <v>GUAIANASES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RENATO CROZARA DA SILVA</v>
      </c>
      <c r="B13" s="748"/>
      <c r="C13" s="748"/>
      <c r="D13" s="748"/>
      <c r="E13" s="749"/>
      <c r="F13" s="756" t="str">
        <f>VLOOKUP(A11,ProcRel1!E2:G5000,3,FALSE)</f>
        <v>444.008.978-00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CREDENCIAMENTO'!D1:EL4082,12,FALSE)</f>
        <v>6020.2025/0012259-2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11344.82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11344.82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11344.82</v>
      </c>
      <c r="I34" s="729"/>
    </row>
    <row r="35" spans="1:12" s="12" customFormat="1" x14ac:dyDescent="0.2">
      <c r="A35" s="716" t="s">
        <v>106</v>
      </c>
      <c r="B35" s="717">
        <f>VLOOKUP(A11,'APONTAMENTO CREDENCIAMENTO'!D1:EL4082,138,FALSE)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CREDENCIAMENTO'!D1:EL4082,139,FALSE)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40"/>
  <sheetViews>
    <sheetView showGridLines="0" zoomScale="80" zoomScaleNormal="80" workbookViewId="0">
      <selection activeCell="C4" sqref="C4:C42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3196</v>
      </c>
      <c r="B4" s="413" t="s">
        <v>3349</v>
      </c>
      <c r="C4" s="432" t="s">
        <v>3388</v>
      </c>
      <c r="D4" s="430">
        <f>SUMIF('APONTAMENTO CREDENCIAMENTO'!$D$5:$D$4084,$A4,'APONTAMENTO CREDENCIAMENTO'!$FE$5:$FE$4084)</f>
        <v>21746.03</v>
      </c>
      <c r="E4" s="431">
        <f>IF(D4=0,0,IF(D4*0.2*0.11&gt;607.2,607.2,IF(D4&lt;42377.92,D4*0.2*0.11,IF(D4*0.2*0.11&gt;932.31,932.31))))</f>
        <v>478.41266000000002</v>
      </c>
      <c r="F4" s="431">
        <f>$D4*'VALORES TABELA'!$B$45*'VALORES TABELA'!$B$46</f>
        <v>108.73015000000001</v>
      </c>
      <c r="G4" s="431">
        <f t="shared" ref="G4" si="0">D4*60%</f>
        <v>13047.617999999999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2679.36</v>
      </c>
      <c r="I4" s="431">
        <f>IF($C4=$C3,($D4+$D3)*'VALORES TABELA'!$B$50-$E3,$D4*'VALORES TABELA'!$B$50)</f>
        <v>13047.617999999999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2547.8014684999998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2547.8014684999998</v>
      </c>
    </row>
    <row r="5" spans="1:16" ht="20.25" customHeight="1" x14ac:dyDescent="0.2">
      <c r="A5" t="s">
        <v>3200</v>
      </c>
      <c r="B5" t="s">
        <v>3350</v>
      </c>
      <c r="C5" t="s">
        <v>3389</v>
      </c>
      <c r="D5" s="430">
        <f>SUMIF('APONTAMENTO CREDENCIAMENTO'!$D$5:$D$4084,$A5,'APONTAMENTO CREDENCIAMENTO'!$FE$5:$FE$4084)</f>
        <v>10959.59</v>
      </c>
      <c r="E5" s="431">
        <f t="shared" ref="E5:E42" si="1">IF(D5=0,0,IF(D5*0.2*0.11&gt;607.2,607.2,IF(D5&lt;42377.92,D5*0.2*0.11,IF(D5*0.2*0.11&gt;932.31,932.31))))</f>
        <v>241.11098000000001</v>
      </c>
      <c r="F5" s="431">
        <f>$D5*'VALORES TABELA'!$B$45*'VALORES TABELA'!$B$46</f>
        <v>54.797950000000007</v>
      </c>
      <c r="G5" s="431">
        <f t="shared" ref="G5:G42" si="2">D5*60%</f>
        <v>6575.7539999999999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828.61</v>
      </c>
      <c r="I5" s="431">
        <f>IF($C5=$C4,($D5+$D4)*'VALORES TABELA'!$B$50-$E4,$D5*'VALORES TABELA'!$B$50)</f>
        <v>6575.7539999999999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833.29683049999994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-1714.5046379999999</v>
      </c>
    </row>
    <row r="6" spans="1:16" ht="20.25" customHeight="1" x14ac:dyDescent="0.2">
      <c r="A6" t="s">
        <v>3204</v>
      </c>
      <c r="B6" t="s">
        <v>3351</v>
      </c>
      <c r="C6" t="s">
        <v>3390</v>
      </c>
      <c r="D6" s="430">
        <f>SUMIF('APONTAMENTO CREDENCIAMENTO'!$D$5:$D$4084,$A6,'APONTAMENTO CREDENCIAMENTO'!$FE$5:$FE$4084)</f>
        <v>22118.641</v>
      </c>
      <c r="E6" s="431">
        <f t="shared" si="1"/>
        <v>486.61010200000004</v>
      </c>
      <c r="F6" s="431">
        <f>$D6*'VALORES TABELA'!$B$45*'VALORES TABELA'!$B$46</f>
        <v>110.59320500000001</v>
      </c>
      <c r="G6" s="431">
        <f t="shared" si="2"/>
        <v>13271.184599999999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2740.84</v>
      </c>
      <c r="I6" s="431">
        <f>IF($C6=$C5,($D6+$D5)*'VALORES TABELA'!$B$50-$E5,$D6*'VALORES TABELA'!$B$50)</f>
        <v>13271.184599999999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2607.0279869499996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1773.7311564499996</v>
      </c>
    </row>
    <row r="7" spans="1:16" ht="20.25" customHeight="1" x14ac:dyDescent="0.2">
      <c r="A7" t="s">
        <v>3208</v>
      </c>
      <c r="B7" t="s">
        <v>3352</v>
      </c>
      <c r="C7" t="s">
        <v>3391</v>
      </c>
      <c r="D7" s="430">
        <f>SUMIF('APONTAMENTO CREDENCIAMENTO'!$D$5:$D$4084,$A7,'APONTAMENTO CREDENCIAMENTO'!$FE$5:$FE$4084)</f>
        <v>18818.430000000004</v>
      </c>
      <c r="E7" s="431">
        <f t="shared" si="1"/>
        <v>414.00546000000014</v>
      </c>
      <c r="F7" s="431">
        <f>$D7*'VALORES TABELA'!$B$45*'VALORES TABELA'!$B$46</f>
        <v>94.092150000000032</v>
      </c>
      <c r="G7" s="431">
        <f t="shared" si="2"/>
        <v>11291.058000000003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2196.31</v>
      </c>
      <c r="I7" s="431">
        <f>IF($C7=$C6,($D7+$D6)*'VALORES TABELA'!$B$50-$E6,$D7*'VALORES TABELA'!$B$50)</f>
        <v>11291.058000000003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2082.4594485000007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-524.56853844999887</v>
      </c>
    </row>
    <row r="8" spans="1:16" ht="20.25" customHeight="1" x14ac:dyDescent="0.2">
      <c r="A8" t="s">
        <v>3212</v>
      </c>
      <c r="B8" t="s">
        <v>3353</v>
      </c>
      <c r="C8" t="s">
        <v>3392</v>
      </c>
      <c r="D8" s="430">
        <f>SUMIF('APONTAMENTO CREDENCIAMENTO'!$D$5:$D$4084,$A8,'APONTAMENTO CREDENCIAMENTO'!$FE$5:$FE$4084)</f>
        <v>20619.884000000002</v>
      </c>
      <c r="E8" s="431">
        <f t="shared" si="1"/>
        <v>453.63744800000006</v>
      </c>
      <c r="F8" s="431">
        <f>$D8*'VALORES TABELA'!$B$45*'VALORES TABELA'!$B$46</f>
        <v>103.09942000000001</v>
      </c>
      <c r="G8" s="431">
        <f t="shared" si="2"/>
        <v>12371.930400000001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2493.5500000000002</v>
      </c>
      <c r="I8" s="431">
        <f>IF($C8=$C7,($D8+$D7)*'VALORES TABELA'!$B$50-$E7,$D8*'VALORES TABELA'!$B$50)</f>
        <v>12371.930400000001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2368.8005618000007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286.34111329999996</v>
      </c>
    </row>
    <row r="9" spans="1:16" ht="20.25" customHeight="1" x14ac:dyDescent="0.2">
      <c r="A9" t="s">
        <v>3216</v>
      </c>
      <c r="B9" t="s">
        <v>3354</v>
      </c>
      <c r="C9" t="s">
        <v>3393</v>
      </c>
      <c r="D9" s="430">
        <f>SUMIF('APONTAMENTO CREDENCIAMENTO'!$D$5:$D$4084,$A9,'APONTAMENTO CREDENCIAMENTO'!$FE$5:$FE$4084)</f>
        <v>17816.251500000002</v>
      </c>
      <c r="E9" s="431">
        <f t="shared" si="1"/>
        <v>391.95753300000007</v>
      </c>
      <c r="F9" s="431">
        <f>$D9*'VALORES TABELA'!$B$45*'VALORES TABELA'!$B$46</f>
        <v>89.081257500000021</v>
      </c>
      <c r="G9" s="431">
        <f t="shared" si="2"/>
        <v>10689.750900000001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2030.95</v>
      </c>
      <c r="I9" s="431">
        <f>IF($C9=$C8,($D9+$D8)*'VALORES TABELA'!$B$50-$E8,$D9*'VALORES TABELA'!$B$50)</f>
        <v>10689.750900000001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1923.1631759250004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-445.63738587500029</v>
      </c>
    </row>
    <row r="10" spans="1:16" ht="20.25" customHeight="1" x14ac:dyDescent="0.2">
      <c r="A10" t="s">
        <v>3220</v>
      </c>
      <c r="B10" t="s">
        <v>3355</v>
      </c>
      <c r="C10" t="s">
        <v>3394</v>
      </c>
      <c r="D10" s="430">
        <f>SUMIF('APONTAMENTO CREDENCIAMENTO'!$D$5:$D$4084,$A10,'APONTAMENTO CREDENCIAMENTO'!$FE$5:$FE$4084)</f>
        <v>20494.288333333334</v>
      </c>
      <c r="E10" s="431">
        <f t="shared" si="1"/>
        <v>450.87434333333334</v>
      </c>
      <c r="F10" s="431">
        <f>$D10*'VALORES TABELA'!$B$45*'VALORES TABELA'!$B$46</f>
        <v>102.47144166666668</v>
      </c>
      <c r="G10" s="431">
        <f t="shared" si="2"/>
        <v>12296.573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2472.8200000000002</v>
      </c>
      <c r="I10" s="431">
        <f>IF($C10=$C9,($D10+$D9)*'VALORES TABELA'!$B$50-$E9,$D10*'VALORES TABELA'!$B$50)</f>
        <v>12296.573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2348.8371305833339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425.67395465833351</v>
      </c>
    </row>
    <row r="11" spans="1:16" ht="20.25" customHeight="1" x14ac:dyDescent="0.2">
      <c r="A11" t="s">
        <v>3224</v>
      </c>
      <c r="B11" t="s">
        <v>3356</v>
      </c>
      <c r="C11" t="s">
        <v>3395</v>
      </c>
      <c r="D11" s="430">
        <f>SUMIF('APONTAMENTO CREDENCIAMENTO'!$D$5:$D$4084,$A11,'APONTAMENTO CREDENCIAMENTO'!$FE$5:$FE$4084)</f>
        <v>19819.88</v>
      </c>
      <c r="E11" s="431">
        <f t="shared" si="1"/>
        <v>436.03736000000009</v>
      </c>
      <c r="F11" s="431">
        <f>$D11*'VALORES TABELA'!$B$45*'VALORES TABELA'!$B$46</f>
        <v>99.099400000000017</v>
      </c>
      <c r="G11" s="431">
        <f t="shared" si="2"/>
        <v>11891.928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2361.5500000000002</v>
      </c>
      <c r="I11" s="431">
        <f>IF($C11=$C10,($D11+$D10)*'VALORES TABELA'!$B$50-$E10,$D11*'VALORES TABELA'!$B$50)</f>
        <v>11891.928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2241.6399260000003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-107.19720458333359</v>
      </c>
    </row>
    <row r="12" spans="1:16" ht="20.25" customHeight="1" x14ac:dyDescent="0.2">
      <c r="A12" t="s">
        <v>3228</v>
      </c>
      <c r="B12" t="s">
        <v>3357</v>
      </c>
      <c r="C12" t="s">
        <v>3396</v>
      </c>
      <c r="D12" s="430">
        <f>SUMIF('APONTAMENTO CREDENCIAMENTO'!$D$5:$D$4084,$A12,'APONTAMENTO CREDENCIAMENTO'!$FE$5:$FE$4084)</f>
        <v>18702.713</v>
      </c>
      <c r="E12" s="431">
        <f t="shared" si="1"/>
        <v>411.45968600000003</v>
      </c>
      <c r="F12" s="431">
        <f>$D12*'VALORES TABELA'!$B$45*'VALORES TABELA'!$B$46</f>
        <v>93.513565000000014</v>
      </c>
      <c r="G12" s="431">
        <f t="shared" si="2"/>
        <v>11221.6278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2177.21</v>
      </c>
      <c r="I12" s="431">
        <f>IF($C12=$C11,($D12+$D11)*'VALORES TABELA'!$B$50-$E11,$D12*'VALORES TABELA'!$B$50)</f>
        <v>11221.6278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2064.0662313500002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-177.57369465000011</v>
      </c>
    </row>
    <row r="13" spans="1:16" ht="20.25" customHeight="1" x14ac:dyDescent="0.2">
      <c r="A13" t="s">
        <v>3232</v>
      </c>
      <c r="B13" t="s">
        <v>3358</v>
      </c>
      <c r="C13" t="s">
        <v>3397</v>
      </c>
      <c r="D13" s="430">
        <f>SUMIF('APONTAMENTO CREDENCIAMENTO'!$D$5:$D$4084,$A13,'APONTAMENTO CREDENCIAMENTO'!$FE$5:$FE$4084)</f>
        <v>18664.190000000002</v>
      </c>
      <c r="E13" s="431">
        <f t="shared" si="1"/>
        <v>410.61218000000008</v>
      </c>
      <c r="F13" s="431">
        <f>$D13*'VALORES TABELA'!$B$45*'VALORES TABELA'!$B$46</f>
        <v>93.320950000000025</v>
      </c>
      <c r="G13" s="431">
        <f t="shared" si="2"/>
        <v>11198.514000000001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2170.86</v>
      </c>
      <c r="I13" s="431">
        <f>IF($C13=$C12,($D13+$D12)*'VALORES TABELA'!$B$50-$E12,$D13*'VALORES TABELA'!$B$50)</f>
        <v>11198.514000000001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2057.9430005000004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-6.1232308499997998</v>
      </c>
    </row>
    <row r="14" spans="1:16" ht="20.25" customHeight="1" x14ac:dyDescent="0.2">
      <c r="A14" t="s">
        <v>3236</v>
      </c>
      <c r="B14" t="s">
        <v>3359</v>
      </c>
      <c r="C14" t="s">
        <v>3398</v>
      </c>
      <c r="D14" s="430">
        <f>SUMIF('APONTAMENTO CREDENCIAMENTO'!$D$5:$D$4084,$A14,'APONTAMENTO CREDENCIAMENTO'!$FE$5:$FE$4084)</f>
        <v>20770.521000000001</v>
      </c>
      <c r="E14" s="431">
        <f t="shared" si="1"/>
        <v>456.95146200000005</v>
      </c>
      <c r="F14" s="431">
        <f>$D14*'VALORES TABELA'!$B$45*'VALORES TABELA'!$B$46</f>
        <v>103.85260500000003</v>
      </c>
      <c r="G14" s="431">
        <f t="shared" si="2"/>
        <v>12462.312599999999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2518.4</v>
      </c>
      <c r="I14" s="431">
        <f>IF($C14=$C13,($D14+$D13)*'VALORES TABELA'!$B$50-$E13,$D14*'VALORES TABELA'!$B$50)</f>
        <v>12462.312599999999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2392.7443129499998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334.80131244999939</v>
      </c>
    </row>
    <row r="15" spans="1:16" ht="20.25" customHeight="1" x14ac:dyDescent="0.2">
      <c r="A15" t="s">
        <v>3240</v>
      </c>
      <c r="B15" t="s">
        <v>3360</v>
      </c>
      <c r="C15" t="s">
        <v>3399</v>
      </c>
      <c r="D15" s="430">
        <f>SUMIF('APONTAMENTO CREDENCIAMENTO'!$D$5:$D$4084,$A15,'APONTAMENTO CREDENCIAMENTO'!$FE$5:$FE$4084)</f>
        <v>17123.27</v>
      </c>
      <c r="E15" s="431">
        <f t="shared" si="1"/>
        <v>376.71194000000003</v>
      </c>
      <c r="F15" s="431">
        <f>$D15*'VALORES TABELA'!$B$45*'VALORES TABELA'!$B$46</f>
        <v>85.616350000000011</v>
      </c>
      <c r="G15" s="431">
        <f t="shared" si="2"/>
        <v>10273.962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1916.6</v>
      </c>
      <c r="I15" s="431">
        <f>IF($C15=$C14,($D15+$D14)*'VALORES TABELA'!$B$50-$E14,$D15*'VALORES TABELA'!$B$50)</f>
        <v>10273.962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1813.0137665000002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-579.73054644999957</v>
      </c>
    </row>
    <row r="16" spans="1:16" ht="20.25" customHeight="1" x14ac:dyDescent="0.2">
      <c r="A16" t="s">
        <v>3244</v>
      </c>
      <c r="B16" t="s">
        <v>3361</v>
      </c>
      <c r="C16" t="s">
        <v>3400</v>
      </c>
      <c r="D16" s="430">
        <f>SUMIF('APONTAMENTO CREDENCIAMENTO'!$D$5:$D$4084,$A16,'APONTAMENTO CREDENCIAMENTO'!$FE$5:$FE$4084)</f>
        <v>14426.66</v>
      </c>
      <c r="E16" s="431">
        <f t="shared" si="1"/>
        <v>317.38652000000002</v>
      </c>
      <c r="F16" s="431">
        <f>$D16*'VALORES TABELA'!$B$45*'VALORES TABELA'!$B$46</f>
        <v>72.133300000000006</v>
      </c>
      <c r="G16" s="431">
        <f t="shared" si="2"/>
        <v>8655.9959999999992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1471.66</v>
      </c>
      <c r="I16" s="431">
        <f>IF($C16=$C15,($D16+$D15)*'VALORES TABELA'!$B$50-$E15,$D16*'VALORES TABELA'!$B$50)</f>
        <v>8655.9959999999992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1384.3876070000001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-428.62615950000009</v>
      </c>
    </row>
    <row r="17" spans="1:11" ht="20.25" customHeight="1" x14ac:dyDescent="0.2">
      <c r="A17" t="s">
        <v>3248</v>
      </c>
      <c r="B17" t="s">
        <v>3362</v>
      </c>
      <c r="C17" t="s">
        <v>3401</v>
      </c>
      <c r="D17" s="430">
        <f>SUMIF('APONTAMENTO CREDENCIAMENTO'!$D$5:$D$4084,$A17,'APONTAMENTO CREDENCIAMENTO'!$FE$5:$FE$4084)</f>
        <v>15317.929999999998</v>
      </c>
      <c r="E17" s="431">
        <f t="shared" si="1"/>
        <v>336.99446</v>
      </c>
      <c r="F17" s="431">
        <f>$D17*'VALORES TABELA'!$B$45*'VALORES TABELA'!$B$46</f>
        <v>76.589649999999992</v>
      </c>
      <c r="G17" s="431">
        <f t="shared" si="2"/>
        <v>9190.757999999998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1618.72</v>
      </c>
      <c r="I17" s="431">
        <f>IF($C17=$C16,($D17+$D16)*'VALORES TABELA'!$B$50-$E16,$D17*'VALORES TABELA'!$B$50)</f>
        <v>9190.757999999998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1526.0549734999995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141.66736649999939</v>
      </c>
    </row>
    <row r="18" spans="1:11" ht="20.25" customHeight="1" x14ac:dyDescent="0.2">
      <c r="A18" t="s">
        <v>3252</v>
      </c>
      <c r="B18" t="s">
        <v>3363</v>
      </c>
      <c r="C18" t="s">
        <v>3402</v>
      </c>
      <c r="D18" s="430">
        <f>SUMIF('APONTAMENTO CREDENCIAMENTO'!$D$5:$D$4084,$A18,'APONTAMENTO CREDENCIAMENTO'!$FE$5:$FE$4084)</f>
        <v>25881.128000000004</v>
      </c>
      <c r="E18" s="431">
        <f t="shared" si="1"/>
        <v>569.38481600000023</v>
      </c>
      <c r="F18" s="431">
        <f>$D18*'VALORES TABELA'!$B$45*'VALORES TABELA'!$B$46</f>
        <v>129.40564000000003</v>
      </c>
      <c r="G18" s="431">
        <f t="shared" si="2"/>
        <v>15528.676800000001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3361.65</v>
      </c>
      <c r="I18" s="431">
        <f>IF($C18=$C17,($D18+$D17)*'VALORES TABELA'!$B$50-$E17,$D18*'VALORES TABELA'!$B$50)</f>
        <v>15528.676800000001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3205.075295600001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1679.0203221000015</v>
      </c>
    </row>
    <row r="19" spans="1:11" ht="20.25" customHeight="1" x14ac:dyDescent="0.2">
      <c r="A19" t="s">
        <v>3256</v>
      </c>
      <c r="B19" t="s">
        <v>3364</v>
      </c>
      <c r="C19" t="s">
        <v>3403</v>
      </c>
      <c r="D19" s="430">
        <f>SUMIF('APONTAMENTO CREDENCIAMENTO'!$D$5:$D$4084,$A19,'APONTAMENTO CREDENCIAMENTO'!$FE$5:$FE$4084)</f>
        <v>19049.420000000002</v>
      </c>
      <c r="E19" s="431">
        <f t="shared" si="1"/>
        <v>419.08724000000007</v>
      </c>
      <c r="F19" s="431">
        <f>$D19*'VALORES TABELA'!$B$45*'VALORES TABELA'!$B$46</f>
        <v>95.247100000000017</v>
      </c>
      <c r="G19" s="431">
        <f t="shared" si="2"/>
        <v>11429.652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2234.42</v>
      </c>
      <c r="I19" s="431">
        <f>IF($C19=$C18,($D19+$D18)*'VALORES TABELA'!$B$50-$E18,$D19*'VALORES TABELA'!$B$50)</f>
        <v>11429.652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2119.1753090000002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-1085.8999866000008</v>
      </c>
    </row>
    <row r="20" spans="1:11" ht="20.25" customHeight="1" x14ac:dyDescent="0.2">
      <c r="A20" t="s">
        <v>3260</v>
      </c>
      <c r="B20" t="s">
        <v>3365</v>
      </c>
      <c r="C20" t="s">
        <v>3404</v>
      </c>
      <c r="D20" s="430">
        <f>SUMIF('APONTAMENTO CREDENCIAMENTO'!$D$5:$D$4084,$A20,'APONTAMENTO CREDENCIAMENTO'!$FE$5:$FE$4084)</f>
        <v>19237.690333333328</v>
      </c>
      <c r="E20" s="431">
        <f t="shared" si="1"/>
        <v>423.22918733333324</v>
      </c>
      <c r="F20" s="431">
        <f>$D20*'VALORES TABELA'!$B$45*'VALORES TABELA'!$B$46</f>
        <v>96.188451666666651</v>
      </c>
      <c r="G20" s="431">
        <f t="shared" si="2"/>
        <v>11542.614199999996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2265.48</v>
      </c>
      <c r="I20" s="431">
        <f>IF($C20=$C19,($D20+$D19)*'VALORES TABELA'!$B$50-$E19,$D20*'VALORES TABELA'!$B$50)</f>
        <v>11542.614199999996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2149.100878483333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29.925569483332765</v>
      </c>
    </row>
    <row r="21" spans="1:11" ht="20.25" customHeight="1" x14ac:dyDescent="0.2">
      <c r="A21" t="s">
        <v>3264</v>
      </c>
      <c r="B21" t="s">
        <v>3366</v>
      </c>
      <c r="C21" t="s">
        <v>3405</v>
      </c>
      <c r="D21" s="430">
        <f>SUMIF('APONTAMENTO CREDENCIAMENTO'!$D$5:$D$4084,$A21,'APONTAMENTO CREDENCIAMENTO'!$FE$5:$FE$4084)</f>
        <v>18664.190000000002</v>
      </c>
      <c r="E21" s="431">
        <f t="shared" si="1"/>
        <v>410.61218000000008</v>
      </c>
      <c r="F21" s="431">
        <f>$D21*'VALORES TABELA'!$B$45*'VALORES TABELA'!$B$46</f>
        <v>93.320950000000025</v>
      </c>
      <c r="G21" s="431">
        <f t="shared" si="2"/>
        <v>11198.514000000001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2170.86</v>
      </c>
      <c r="I21" s="431">
        <f>IF($C21=$C20,($D21+$D20)*'VALORES TABELA'!$B$50-$E20,$D21*'VALORES TABELA'!$B$50)</f>
        <v>11198.514000000001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2057.9430005000004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-91.157877983332583</v>
      </c>
    </row>
    <row r="22" spans="1:11" ht="20.25" customHeight="1" x14ac:dyDescent="0.2">
      <c r="A22" t="s">
        <v>3268</v>
      </c>
      <c r="B22" t="s">
        <v>3367</v>
      </c>
      <c r="C22" t="s">
        <v>3406</v>
      </c>
      <c r="D22" s="430">
        <f>SUMIF('APONTAMENTO CREDENCIAMENTO'!$D$5:$D$4084,$A22,'APONTAMENTO CREDENCIAMENTO'!$FE$5:$FE$4084)</f>
        <v>15274.24</v>
      </c>
      <c r="E22" s="431">
        <f t="shared" si="1"/>
        <v>336.03327999999999</v>
      </c>
      <c r="F22" s="431">
        <f>$D22*'VALORES TABELA'!$B$45*'VALORES TABELA'!$B$46</f>
        <v>76.371200000000002</v>
      </c>
      <c r="G22" s="431">
        <f t="shared" si="2"/>
        <v>9164.5439999999999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1611.51</v>
      </c>
      <c r="I22" s="431">
        <f>IF($C22=$C21,($D22+$D21)*'VALORES TABELA'!$B$50-$E21,$D22*'VALORES TABELA'!$B$50)</f>
        <v>9164.5439999999999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1519.1104480000004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-538.83255250000002</v>
      </c>
    </row>
    <row r="23" spans="1:11" ht="20.25" customHeight="1" x14ac:dyDescent="0.2">
      <c r="A23" t="s">
        <v>3272</v>
      </c>
      <c r="B23" t="s">
        <v>3368</v>
      </c>
      <c r="C23" t="s">
        <v>3407</v>
      </c>
      <c r="D23" s="430">
        <f>SUMIF('APONTAMENTO CREDENCIAMENTO'!$D$5:$D$4084,$A23,'APONTAMENTO CREDENCIAMENTO'!$FE$5:$FE$4084)</f>
        <v>14889.010000000002</v>
      </c>
      <c r="E23" s="431">
        <f t="shared" si="1"/>
        <v>327.55822000000006</v>
      </c>
      <c r="F23" s="431">
        <f>$D23*'VALORES TABELA'!$B$45*'VALORES TABELA'!$B$46</f>
        <v>74.445050000000023</v>
      </c>
      <c r="G23" s="431">
        <f t="shared" si="2"/>
        <v>8933.4060000000009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1547.95</v>
      </c>
      <c r="I23" s="431">
        <f>IF($C23=$C22,($D23+$D22)*'VALORES TABELA'!$B$50-$E22,$D23*'VALORES TABELA'!$B$50)</f>
        <v>8933.4060000000009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1457.8781395000001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-61.232308500000272</v>
      </c>
    </row>
    <row r="24" spans="1:11" ht="20.25" customHeight="1" x14ac:dyDescent="0.2">
      <c r="A24" t="s">
        <v>3276</v>
      </c>
      <c r="B24" t="s">
        <v>3369</v>
      </c>
      <c r="C24" t="s">
        <v>3408</v>
      </c>
      <c r="D24" s="430">
        <f>SUMIF('APONTAMENTO CREDENCIAMENTO'!$D$5:$D$4084,$A24,'APONTAMENTO CREDENCIAMENTO'!$FE$5:$FE$4084)</f>
        <v>10266.176000000001</v>
      </c>
      <c r="E24" s="431">
        <f t="shared" si="1"/>
        <v>225.85587200000006</v>
      </c>
      <c r="F24" s="431">
        <f>$D24*'VALORES TABELA'!$B$45*'VALORES TABELA'!$B$46</f>
        <v>51.330880000000015</v>
      </c>
      <c r="G24" s="431">
        <f t="shared" si="2"/>
        <v>6159.7056000000002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656.77</v>
      </c>
      <c r="I24" s="431">
        <f>IF($C24=$C23,($D24+$D23)*'VALORES TABELA'!$B$50-$E23,$D24*'VALORES TABELA'!$B$50)</f>
        <v>6159.7056000000002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723.07867520000013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-734.79946429999995</v>
      </c>
    </row>
    <row r="25" spans="1:11" ht="20.25" customHeight="1" x14ac:dyDescent="0.2">
      <c r="A25" t="s">
        <v>3279</v>
      </c>
      <c r="B25" t="s">
        <v>3370</v>
      </c>
      <c r="C25" t="s">
        <v>3409</v>
      </c>
      <c r="D25" s="430">
        <f>SUMIF('APONTAMENTO CREDENCIAMENTO'!$D$5:$D$4084,$A25,'APONTAMENTO CREDENCIAMENTO'!$FE$5:$FE$4084)</f>
        <v>16584.170000000002</v>
      </c>
      <c r="E25" s="431">
        <f t="shared" si="1"/>
        <v>364.85174000000006</v>
      </c>
      <c r="F25" s="431">
        <f>$D25*'VALORES TABELA'!$B$45*'VALORES TABELA'!$B$46</f>
        <v>82.92085000000003</v>
      </c>
      <c r="G25" s="431">
        <f t="shared" si="2"/>
        <v>9950.5020000000004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1827.65</v>
      </c>
      <c r="I25" s="431">
        <f>IF($C25=$C24,($D25+$D24)*'VALORES TABELA'!$B$50-$E24,$D25*'VALORES TABELA'!$B$50)</f>
        <v>9950.5020000000004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1727.3238215000001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1004.2451463</v>
      </c>
    </row>
    <row r="26" spans="1:11" ht="20.25" customHeight="1" x14ac:dyDescent="0.2">
      <c r="A26" t="s">
        <v>3283</v>
      </c>
      <c r="B26" t="s">
        <v>3371</v>
      </c>
      <c r="C26" t="s">
        <v>3410</v>
      </c>
      <c r="D26" s="430">
        <f>SUMIF('APONTAMENTO CREDENCIAMENTO'!$D$5:$D$4084,$A26,'APONTAMENTO CREDENCIAMENTO'!$FE$5:$FE$4084)</f>
        <v>15967.580000000002</v>
      </c>
      <c r="E26" s="431">
        <f t="shared" si="1"/>
        <v>351.28676000000007</v>
      </c>
      <c r="F26" s="431">
        <f>$D26*'VALORES TABELA'!$B$45*'VALORES TABELA'!$B$46</f>
        <v>79.837900000000019</v>
      </c>
      <c r="G26" s="431">
        <f t="shared" si="2"/>
        <v>9580.5480000000007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1725.92</v>
      </c>
      <c r="I26" s="431">
        <f>IF($C26=$C25,($D26+$D25)*'VALORES TABELA'!$B$50-$E25,$D26*'VALORES TABELA'!$B$50)</f>
        <v>9580.5480000000007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1629.3168410000003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-98.006980499999827</v>
      </c>
    </row>
    <row r="27" spans="1:11" ht="20.25" customHeight="1" x14ac:dyDescent="0.2">
      <c r="A27" t="s">
        <v>3287</v>
      </c>
      <c r="B27" t="s">
        <v>3372</v>
      </c>
      <c r="C27" t="s">
        <v>3411</v>
      </c>
      <c r="D27" s="430">
        <f>SUMIF('APONTAMENTO CREDENCIAMENTO'!$D$5:$D$4084,$A27,'APONTAMENTO CREDENCIAMENTO'!$FE$5:$FE$4084)</f>
        <v>16738.04</v>
      </c>
      <c r="E27" s="431">
        <f t="shared" si="1"/>
        <v>368.23688000000004</v>
      </c>
      <c r="F27" s="431">
        <f>$D27*'VALORES TABELA'!$B$45*'VALORES TABELA'!$B$46</f>
        <v>83.690200000000004</v>
      </c>
      <c r="G27" s="431">
        <f t="shared" si="2"/>
        <v>10042.824000000001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1853.04</v>
      </c>
      <c r="I27" s="431">
        <f>IF($C27=$C26,($D27+$D26)*'VALORES TABELA'!$B$50-$E26,$D27*'VALORES TABELA'!$B$50)</f>
        <v>10042.824000000001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1751.7814580000004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122.46461700000009</v>
      </c>
    </row>
    <row r="28" spans="1:11" ht="20.25" customHeight="1" x14ac:dyDescent="0.2">
      <c r="A28" t="s">
        <v>3291</v>
      </c>
      <c r="B28" t="s">
        <v>3373</v>
      </c>
      <c r="C28" t="s">
        <v>3412</v>
      </c>
      <c r="D28" s="430">
        <f>SUMIF('APONTAMENTO CREDENCIAMENTO'!$D$5:$D$4084,$A28,'APONTAMENTO CREDENCIAMENTO'!$FE$5:$FE$4084)</f>
        <v>21746.03</v>
      </c>
      <c r="E28" s="431">
        <f t="shared" si="1"/>
        <v>478.41266000000002</v>
      </c>
      <c r="F28" s="431">
        <f>$D28*'VALORES TABELA'!$B$45*'VALORES TABELA'!$B$46</f>
        <v>108.73015000000001</v>
      </c>
      <c r="G28" s="431">
        <f t="shared" si="2"/>
        <v>13047.617999999999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2679.36</v>
      </c>
      <c r="I28" s="431">
        <f>IF($C28=$C27,($D28+$D27)*'VALORES TABELA'!$B$50-$E27,$D28*'VALORES TABELA'!$B$50)</f>
        <v>13047.617999999999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2547.8014684999998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796.02001049999944</v>
      </c>
    </row>
    <row r="29" spans="1:11" ht="20.25" customHeight="1" x14ac:dyDescent="0.2">
      <c r="A29" t="s">
        <v>3295</v>
      </c>
      <c r="B29" t="s">
        <v>3374</v>
      </c>
      <c r="C29" t="s">
        <v>3413</v>
      </c>
      <c r="D29" s="430">
        <f>SUMIF('APONTAMENTO CREDENCIAMENTO'!$D$5:$D$4084,$A29,'APONTAMENTO CREDENCIAMENTO'!$FE$5:$FE$4084)</f>
        <v>13078.54</v>
      </c>
      <c r="E29" s="431">
        <f t="shared" si="1"/>
        <v>287.72788000000008</v>
      </c>
      <c r="F29" s="431">
        <f>$D29*'VALORES TABELA'!$B$45*'VALORES TABELA'!$B$46</f>
        <v>65.392700000000019</v>
      </c>
      <c r="G29" s="431">
        <f t="shared" si="2"/>
        <v>7847.1239999999998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1249.22</v>
      </c>
      <c r="I29" s="431">
        <f>IF($C29=$C28,($D29+$D28)*'VALORES TABELA'!$B$50-$E28,$D29*'VALORES TABELA'!$B$50)</f>
        <v>7847.1239999999998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1170.1039329999999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-1377.6975355</v>
      </c>
    </row>
    <row r="30" spans="1:11" ht="20.25" customHeight="1" x14ac:dyDescent="0.2">
      <c r="A30" t="s">
        <v>3299</v>
      </c>
      <c r="B30" t="s">
        <v>3375</v>
      </c>
      <c r="C30" t="s">
        <v>3414</v>
      </c>
      <c r="D30" s="430">
        <f>SUMIF('APONTAMENTO CREDENCIAMENTO'!$D$5:$D$4084,$A30,'APONTAMENTO CREDENCIAMENTO'!$FE$5:$FE$4084)</f>
        <v>23286.95</v>
      </c>
      <c r="E30" s="431">
        <f t="shared" si="1"/>
        <v>512.31290000000001</v>
      </c>
      <c r="F30" s="431">
        <f>$D30*'VALORES TABELA'!$B$45*'VALORES TABELA'!$B$46</f>
        <v>116.43475000000001</v>
      </c>
      <c r="G30" s="431">
        <f t="shared" si="2"/>
        <v>13972.17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2933.61</v>
      </c>
      <c r="I30" s="431">
        <f>IF($C30=$C29,($D30+$D29)*'VALORES TABELA'!$B$50-$E29,$D30*'VALORES TABELA'!$B$50)</f>
        <v>13972.17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2792.7307025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1622.6267695000001</v>
      </c>
    </row>
    <row r="31" spans="1:11" ht="20.25" customHeight="1" x14ac:dyDescent="0.2">
      <c r="A31" t="s">
        <v>3303</v>
      </c>
      <c r="B31" t="s">
        <v>3376</v>
      </c>
      <c r="C31" t="s">
        <v>3415</v>
      </c>
      <c r="D31" s="430">
        <f>SUMIF('APONTAMENTO CREDENCIAMENTO'!$D$5:$D$4084,$A31,'APONTAMENTO CREDENCIAMENTO'!$FE$5:$FE$4084)</f>
        <v>22465.237000000005</v>
      </c>
      <c r="E31" s="431">
        <f t="shared" si="1"/>
        <v>494.23521400000016</v>
      </c>
      <c r="F31" s="431">
        <f>$D31*'VALORES TABELA'!$B$45*'VALORES TABELA'!$B$46</f>
        <v>112.32618500000004</v>
      </c>
      <c r="G31" s="431">
        <f t="shared" si="2"/>
        <v>13479.142200000002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2798.03</v>
      </c>
      <c r="I31" s="431">
        <f>IF($C31=$C30,($D31+$D30)*'VALORES TABELA'!$B$50-$E30,$D31*'VALORES TABELA'!$B$50)</f>
        <v>13479.142200000002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2662.1194211500006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-130.61128134999944</v>
      </c>
    </row>
    <row r="32" spans="1:11" ht="20.25" customHeight="1" x14ac:dyDescent="0.2">
      <c r="A32" t="s">
        <v>3307</v>
      </c>
      <c r="B32" t="s">
        <v>3377</v>
      </c>
      <c r="C32" t="s">
        <v>3416</v>
      </c>
      <c r="D32" s="430">
        <f>SUMIF('APONTAMENTO CREDENCIAMENTO'!$D$5:$D$4084,$A32,'APONTAMENTO CREDENCIAMENTO'!$FE$5:$FE$4084)</f>
        <v>23403</v>
      </c>
      <c r="E32" s="431">
        <f t="shared" si="1"/>
        <v>514.8660000000001</v>
      </c>
      <c r="F32" s="431">
        <f>$D32*'VALORES TABELA'!$B$45*'VALORES TABELA'!$B$46</f>
        <v>117.01500000000001</v>
      </c>
      <c r="G32" s="431">
        <f t="shared" si="2"/>
        <v>14041.8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2952.76</v>
      </c>
      <c r="I32" s="431">
        <f>IF($C32=$C31,($D32+$D31)*'VALORES TABELA'!$B$50-$E31,$D32*'VALORES TABELA'!$B$50)</f>
        <v>14041.8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2811.1768500000003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149.05742884999972</v>
      </c>
    </row>
    <row r="33" spans="1:11" ht="20.25" customHeight="1" x14ac:dyDescent="0.2">
      <c r="A33" t="s">
        <v>3311</v>
      </c>
      <c r="B33" t="s">
        <v>3378</v>
      </c>
      <c r="C33" t="s">
        <v>3417</v>
      </c>
      <c r="D33" s="430">
        <f>SUMIF('APONTAMENTO CREDENCIAMENTO'!$D$5:$D$4084,$A33,'APONTAMENTO CREDENCIAMENTO'!$FE$5:$FE$4084)</f>
        <v>14876.391</v>
      </c>
      <c r="E33" s="431">
        <f t="shared" si="1"/>
        <v>327.28060200000004</v>
      </c>
      <c r="F33" s="431">
        <f>$D33*'VALORES TABELA'!$B$45*'VALORES TABELA'!$B$46</f>
        <v>74.381955000000005</v>
      </c>
      <c r="G33" s="431">
        <f t="shared" si="2"/>
        <v>8925.8346000000001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1545.87</v>
      </c>
      <c r="I33" s="431">
        <f>IF($C33=$C32,($D33+$D32)*'VALORES TABELA'!$B$50-$E32,$D33*'VALORES TABELA'!$B$50)</f>
        <v>8925.8346000000001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1455.87234945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-1355.3045005500003</v>
      </c>
    </row>
    <row r="34" spans="1:11" ht="20.25" customHeight="1" x14ac:dyDescent="0.2">
      <c r="A34" t="s">
        <v>3315</v>
      </c>
      <c r="B34" t="s">
        <v>3379</v>
      </c>
      <c r="C34" t="s">
        <v>3418</v>
      </c>
      <c r="D34" s="430">
        <f>SUMIF('APONTAMENTO CREDENCIAMENTO'!$D$5:$D$4084,$A34,'APONTAMENTO CREDENCIAMENTO'!$FE$5:$FE$4084)</f>
        <v>16622.73</v>
      </c>
      <c r="E34" s="431">
        <f t="shared" si="1"/>
        <v>365.70006000000001</v>
      </c>
      <c r="F34" s="431">
        <f>$D34*'VALORES TABELA'!$B$45*'VALORES TABELA'!$B$46</f>
        <v>83.113650000000007</v>
      </c>
      <c r="G34" s="431">
        <f t="shared" si="2"/>
        <v>9973.637999999999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1834.02</v>
      </c>
      <c r="I34" s="431">
        <f>IF($C34=$C33,($D34+$D33)*'VALORES TABELA'!$B$50-$E33,$D34*'VALORES TABELA'!$B$50)</f>
        <v>9973.637999999999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1733.4529335000002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277.5805840500002</v>
      </c>
    </row>
    <row r="35" spans="1:11" ht="20.25" customHeight="1" x14ac:dyDescent="0.2">
      <c r="A35" t="s">
        <v>3319</v>
      </c>
      <c r="B35" t="s">
        <v>3380</v>
      </c>
      <c r="C35" t="s">
        <v>3419</v>
      </c>
      <c r="D35" s="430">
        <f>SUMIF('APONTAMENTO CREDENCIAMENTO'!$D$5:$D$4084,$A35,'APONTAMENTO CREDENCIAMENTO'!$FE$5:$FE$4084)</f>
        <v>18779.870000000003</v>
      </c>
      <c r="E35" s="431">
        <f t="shared" si="1"/>
        <v>413.15714000000008</v>
      </c>
      <c r="F35" s="431">
        <f>$D35*'VALORES TABELA'!$B$45*'VALORES TABELA'!$B$46</f>
        <v>93.899350000000027</v>
      </c>
      <c r="G35" s="431">
        <f t="shared" si="2"/>
        <v>11267.922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2189.94</v>
      </c>
      <c r="I35" s="431">
        <f>IF($C35=$C34,($D35+$D34)*'VALORES TABELA'!$B$50-$E34,$D35*'VALORES TABELA'!$B$50)</f>
        <v>11267.922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2076.3303365000006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342.87740300000041</v>
      </c>
    </row>
    <row r="36" spans="1:11" ht="20.25" customHeight="1" x14ac:dyDescent="0.2">
      <c r="A36" t="s">
        <v>3323</v>
      </c>
      <c r="B36" t="s">
        <v>3381</v>
      </c>
      <c r="C36" t="s">
        <v>3420</v>
      </c>
      <c r="D36" s="430">
        <f>SUMIF('APONTAMENTO CREDENCIAMENTO'!$D$5:$D$4084,$A36,'APONTAMENTO CREDENCIAMENTO'!$FE$5:$FE$4084)</f>
        <v>14041.43</v>
      </c>
      <c r="E36" s="431">
        <f t="shared" si="1"/>
        <v>308.91146000000003</v>
      </c>
      <c r="F36" s="431">
        <f>$D36*'VALORES TABELA'!$B$45*'VALORES TABELA'!$B$46</f>
        <v>70.207149999999999</v>
      </c>
      <c r="G36" s="431">
        <f t="shared" si="2"/>
        <v>8424.8580000000002</v>
      </c>
      <c r="H36" s="431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1408.1</v>
      </c>
      <c r="I36" s="431">
        <f>IF($C36=$C35,($D36+$D35)*'VALORES TABELA'!$B$50-$E35,$D36*'VALORES TABELA'!$B$50)</f>
        <v>8424.8580000000002</v>
      </c>
      <c r="J36" s="431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1323.1552985000003</v>
      </c>
      <c r="K36" s="431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-753.17503800000031</v>
      </c>
    </row>
    <row r="37" spans="1:11" ht="20.25" customHeight="1" x14ac:dyDescent="0.2">
      <c r="A37" t="s">
        <v>3327</v>
      </c>
      <c r="B37" t="s">
        <v>3382</v>
      </c>
      <c r="C37" t="s">
        <v>3421</v>
      </c>
      <c r="D37" s="430">
        <f>SUMIF('APONTAMENTO CREDENCIAMENTO'!$D$5:$D$4084,$A37,'APONTAMENTO CREDENCIAMENTO'!$FE$5:$FE$4084)</f>
        <v>14041.43</v>
      </c>
      <c r="E37" s="431">
        <f t="shared" si="1"/>
        <v>308.91146000000003</v>
      </c>
      <c r="F37" s="431">
        <f>$D37*'VALORES TABELA'!$B$45*'VALORES TABELA'!$B$46</f>
        <v>70.207149999999999</v>
      </c>
      <c r="G37" s="431">
        <f t="shared" si="2"/>
        <v>8424.8580000000002</v>
      </c>
      <c r="H37" s="431">
        <f>_xlfn.LET(_xlpm.base,G37,_xlpm.bruto,E37+G37,_xlpm.ir_normal,IF(_xlpm.base&lt;='VALORES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1408.1</v>
      </c>
      <c r="I37" s="431">
        <f>IF($C37=$C36,($D37+$D36)*'VALORES TABELA'!$B$50-$E36,$D37*'VALORES TABELA'!$B$50)</f>
        <v>8424.8580000000002</v>
      </c>
      <c r="J37" s="431">
        <f>IF(($G37-E37)&lt;='VALORES TABELA'!$A$56,0,IF(($G37-$E37)&lt;='VALORES TABELA'!$A$57,($G37-$E37)*'VALORES TABELA'!$B$57-'VALORES TABELA'!$C$57,IF(($G37-$E37)&lt;='VALORES TABELA'!$A$58,($G37-$E37)*'VALORES TABELA'!$B$58-'VALORES TABELA'!$C$58,IF(($G37-$E37)&lt;='VALORES TABELA'!$A$59,($G37-$E37)*'VALORES TABELA'!$B$59-'VALORES TABELA'!$C$59,($G37-$E37)*'VALORES TABELA'!$B$60-'VALORES TABELA'!$C$60))))</f>
        <v>1323.1552985000003</v>
      </c>
      <c r="K37" s="431">
        <f>IF(($I37-$E37)&lt;='VALORES TABELA'!$A$56,0,IF(($I37-$E37)&lt;='VALORES TABELA'!$A$57,($I37-$E37)*'VALORES TABELA'!$B$57-'VALORES TABELA'!$C$57,IF(($I37-$E37)&lt;='VALORES TABELA'!$A$58,($I37-$E37)*'VALORES TABELA'!$B$58-'VALORES TABELA'!$C$58,IF(($I37-$E37)&lt;='VALORES TABELA'!$A$59,($I37-$E37)*'VALORES TABELA'!$B$59-'VALORES TABELA'!$C$59,($I37-$E37)*'VALORES TABELA'!$B$60-'VALORES TABELA'!$C$60))))-J36</f>
        <v>0</v>
      </c>
    </row>
    <row r="38" spans="1:11" ht="20.25" customHeight="1" x14ac:dyDescent="0.2">
      <c r="A38" t="s">
        <v>3331</v>
      </c>
      <c r="B38" t="s">
        <v>3383</v>
      </c>
      <c r="C38" t="s">
        <v>3422</v>
      </c>
      <c r="D38" s="430">
        <f>SUMIF('APONTAMENTO CREDENCIAMENTO'!$D$5:$D$4084,$A38,'APONTAMENTO CREDENCIAMENTO'!$FE$5:$FE$4084)</f>
        <v>14234.23</v>
      </c>
      <c r="E38" s="431">
        <f t="shared" si="1"/>
        <v>313.15305999999998</v>
      </c>
      <c r="F38" s="431">
        <f>$D38*'VALORES TABELA'!$B$45*'VALORES TABELA'!$B$46</f>
        <v>71.171149999999997</v>
      </c>
      <c r="G38" s="431">
        <f t="shared" si="2"/>
        <v>8540.5379999999986</v>
      </c>
      <c r="H38" s="431">
        <f>_xlfn.LET(_xlpm.base,G38,_xlpm.bruto,E38+G38,_xlpm.ir_normal,IF(_xlpm.base&lt;='VALORES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1439.91</v>
      </c>
      <c r="I38" s="431">
        <f>IF($C38=$C37,($D38+$D37)*'VALORES TABELA'!$B$50-$E37,$D38*'VALORES TABELA'!$B$50)</f>
        <v>8540.5379999999986</v>
      </c>
      <c r="J38" s="431">
        <f>IF(($G38-E38)&lt;='VALORES TABELA'!$A$56,0,IF(($G38-$E38)&lt;='VALORES TABELA'!$A$57,($G38-$E38)*'VALORES TABELA'!$B$57-'VALORES TABELA'!$C$57,IF(($G38-$E38)&lt;='VALORES TABELA'!$A$58,($G38-$E38)*'VALORES TABELA'!$B$58-'VALORES TABELA'!$C$58,IF(($G38-$E38)&lt;='VALORES TABELA'!$A$59,($G38-$E38)*'VALORES TABELA'!$B$59-'VALORES TABELA'!$C$59,($G38-$E38)*'VALORES TABELA'!$B$60-'VALORES TABELA'!$C$60))))</f>
        <v>1353.8008584999998</v>
      </c>
      <c r="K38" s="431">
        <f>IF(($I38-$E38)&lt;='VALORES TABELA'!$A$56,0,IF(($I38-$E38)&lt;='VALORES TABELA'!$A$57,($I38-$E38)*'VALORES TABELA'!$B$57-'VALORES TABELA'!$C$57,IF(($I38-$E38)&lt;='VALORES TABELA'!$A$58,($I38-$E38)*'VALORES TABELA'!$B$58-'VALORES TABELA'!$C$58,IF(($I38-$E38)&lt;='VALORES TABELA'!$A$59,($I38-$E38)*'VALORES TABELA'!$B$59-'VALORES TABELA'!$C$59,($I38-$E38)*'VALORES TABELA'!$B$60-'VALORES TABELA'!$C$60))))-J37</f>
        <v>30.645559999999477</v>
      </c>
    </row>
    <row r="39" spans="1:11" ht="20.25" customHeight="1" x14ac:dyDescent="0.2">
      <c r="A39" t="s">
        <v>3335</v>
      </c>
      <c r="B39" t="s">
        <v>3384</v>
      </c>
      <c r="C39" t="s">
        <v>3423</v>
      </c>
      <c r="D39" s="430">
        <f>SUMIF('APONTAMENTO CREDENCIAMENTO'!$D$5:$D$4084,$A39,'APONTAMENTO CREDENCIAMENTO'!$FE$5:$FE$4084)</f>
        <v>11344.82</v>
      </c>
      <c r="E39" s="431">
        <f t="shared" si="1"/>
        <v>249.58604</v>
      </c>
      <c r="F39" s="431">
        <f>$D39*'VALORES TABELA'!$B$45*'VALORES TABELA'!$B$46</f>
        <v>56.7241</v>
      </c>
      <c r="G39" s="431">
        <f t="shared" si="2"/>
        <v>6806.8919999999998</v>
      </c>
      <c r="H39" s="431">
        <f>_xlfn.LET(_xlpm.base,G39,_xlpm.bruto,E39+G39,_xlpm.ir_normal,IF(_xlpm.base&lt;='VALORES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924.08</v>
      </c>
      <c r="I39" s="431">
        <f>IF($C39=$C38,($D39+$D38)*'VALORES TABELA'!$B$50-$E38,$D39*'VALORES TABELA'!$B$50)</f>
        <v>6806.8919999999998</v>
      </c>
      <c r="J39" s="431">
        <f>IF(($G39-E39)&lt;='VALORES TABELA'!$A$56,0,IF(($G39-$E39)&lt;='VALORES TABELA'!$A$57,($G39-$E39)*'VALORES TABELA'!$B$57-'VALORES TABELA'!$C$57,IF(($G39-$E39)&lt;='VALORES TABELA'!$A$58,($G39-$E39)*'VALORES TABELA'!$B$58-'VALORES TABELA'!$C$58,IF(($G39-$E39)&lt;='VALORES TABELA'!$A$59,($G39-$E39)*'VALORES TABELA'!$B$59-'VALORES TABELA'!$C$59,($G39-$E39)*'VALORES TABELA'!$B$60-'VALORES TABELA'!$C$60))))</f>
        <v>894.52913899999999</v>
      </c>
      <c r="K39" s="431">
        <f>IF(($I39-$E39)&lt;='VALORES TABELA'!$A$56,0,IF(($I39-$E39)&lt;='VALORES TABELA'!$A$57,($I39-$E39)*'VALORES TABELA'!$B$57-'VALORES TABELA'!$C$57,IF(($I39-$E39)&lt;='VALORES TABELA'!$A$58,($I39-$E39)*'VALORES TABELA'!$B$58-'VALORES TABELA'!$C$58,IF(($I39-$E39)&lt;='VALORES TABELA'!$A$59,($I39-$E39)*'VALORES TABELA'!$B$59-'VALORES TABELA'!$C$59,($I39-$E39)*'VALORES TABELA'!$B$60-'VALORES TABELA'!$C$60))))-J38</f>
        <v>-459.27171949999979</v>
      </c>
    </row>
    <row r="40" spans="1:11" ht="20.25" customHeight="1" x14ac:dyDescent="0.2">
      <c r="A40" t="s">
        <v>3339</v>
      </c>
      <c r="B40" t="s">
        <v>3385</v>
      </c>
      <c r="C40" t="s">
        <v>3424</v>
      </c>
      <c r="D40" s="430">
        <f>SUMIF('APONTAMENTO CREDENCIAMENTO'!$D$5:$D$4084,$A40,'APONTAMENTO CREDENCIAMENTO'!$FE$5:$FE$4084)</f>
        <v>12115.28</v>
      </c>
      <c r="E40" s="431">
        <f t="shared" si="1"/>
        <v>266.53616</v>
      </c>
      <c r="F40" s="431">
        <f>$D40*'VALORES TABELA'!$B$45*'VALORES TABELA'!$B$46</f>
        <v>60.576400000000007</v>
      </c>
      <c r="G40" s="431">
        <f t="shared" si="2"/>
        <v>7269.1680000000006</v>
      </c>
      <c r="H40" s="431">
        <f>_xlfn.LET(_xlpm.base,G40,_xlpm.bruto,E40+G40,_xlpm.ir_normal,IF(_xlpm.base&lt;='VALORES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1090.29</v>
      </c>
      <c r="I40" s="431">
        <f>IF($C40=$C39,($D40+$D39)*'VALORES TABELA'!$B$50-$E39,$D40*'VALORES TABELA'!$B$50)</f>
        <v>7269.1680000000006</v>
      </c>
      <c r="J40" s="431">
        <f>IF(($G40-E40)&lt;='VALORES TABELA'!$A$56,0,IF(($G40-$E40)&lt;='VALORES TABELA'!$A$57,($G40-$E40)*'VALORES TABELA'!$B$57-'VALORES TABELA'!$C$57,IF(($G40-$E40)&lt;='VALORES TABELA'!$A$58,($G40-$E40)*'VALORES TABELA'!$B$58-'VALORES TABELA'!$C$58,IF(($G40-$E40)&lt;='VALORES TABELA'!$A$59,($G40-$E40)*'VALORES TABELA'!$B$59-'VALORES TABELA'!$C$59,($G40-$E40)*'VALORES TABELA'!$B$60-'VALORES TABELA'!$C$60))))</f>
        <v>1016.9937560000003</v>
      </c>
      <c r="K40" s="431">
        <f>IF(($I40-$E40)&lt;='VALORES TABELA'!$A$56,0,IF(($I40-$E40)&lt;='VALORES TABELA'!$A$57,($I40-$E40)*'VALORES TABELA'!$B$57-'VALORES TABELA'!$C$57,IF(($I40-$E40)&lt;='VALORES TABELA'!$A$58,($I40-$E40)*'VALORES TABELA'!$B$58-'VALORES TABELA'!$C$58,IF(($I40-$E40)&lt;='VALORES TABELA'!$A$59,($I40-$E40)*'VALORES TABELA'!$B$59-'VALORES TABELA'!$C$59,($I40-$E40)*'VALORES TABELA'!$B$60-'VALORES TABELA'!$C$60))))-J39</f>
        <v>122.46461700000032</v>
      </c>
    </row>
    <row r="41" spans="1:11" ht="20.25" customHeight="1" x14ac:dyDescent="0.2">
      <c r="A41" t="s">
        <v>3343</v>
      </c>
      <c r="B41" t="s">
        <v>3386</v>
      </c>
      <c r="C41" t="s">
        <v>3425</v>
      </c>
      <c r="D41" s="430">
        <f>SUMIF('APONTAMENTO CREDENCIAMENTO'!$D$5:$D$4084,$A41,'APONTAMENTO CREDENCIAMENTO'!$FE$5:$FE$4084)</f>
        <v>27909.710000000003</v>
      </c>
      <c r="E41" s="431">
        <f t="shared" si="1"/>
        <v>607.20000000000005</v>
      </c>
      <c r="F41" s="431">
        <f>$D41*'VALORES TABELA'!$B$45*'VALORES TABELA'!$B$46</f>
        <v>139.54855000000003</v>
      </c>
      <c r="G41" s="431">
        <f t="shared" si="2"/>
        <v>16745.826000000001</v>
      </c>
      <c r="H41" s="431">
        <f>_xlfn.LET(_xlpm.base,G41,_xlpm.bruto,E41+G41,_xlpm.ir_normal,IF(_xlpm.base&lt;='VALORES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3696.37</v>
      </c>
      <c r="I41" s="431">
        <f>IF($C41=$C40,($D41+$D40)*'VALORES TABELA'!$B$50-$E40,$D41*'VALORES TABELA'!$B$50)</f>
        <v>16745.826000000001</v>
      </c>
      <c r="J41" s="431">
        <f>IF(($G41-E41)&lt;='VALORES TABELA'!$A$56,0,IF(($G41-$E41)&lt;='VALORES TABELA'!$A$57,($G41-$E41)*'VALORES TABELA'!$B$57-'VALORES TABELA'!$C$57,IF(($G41-$E41)&lt;='VALORES TABELA'!$A$58,($G41-$E41)*'VALORES TABELA'!$B$58-'VALORES TABELA'!$C$58,IF(($G41-$E41)&lt;='VALORES TABELA'!$A$59,($G41-$E41)*'VALORES TABELA'!$B$59-'VALORES TABELA'!$C$59,($G41-$E41)*'VALORES TABELA'!$B$60-'VALORES TABELA'!$C$60))))</f>
        <v>3529.3921500000001</v>
      </c>
      <c r="K41" s="431">
        <f>IF(($I41-$E41)&lt;='VALORES TABELA'!$A$56,0,IF(($I41-$E41)&lt;='VALORES TABELA'!$A$57,($I41-$E41)*'VALORES TABELA'!$B$57-'VALORES TABELA'!$C$57,IF(($I41-$E41)&lt;='VALORES TABELA'!$A$58,($I41-$E41)*'VALORES TABELA'!$B$58-'VALORES TABELA'!$C$58,IF(($I41-$E41)&lt;='VALORES TABELA'!$A$59,($I41-$E41)*'VALORES TABELA'!$B$59-'VALORES TABELA'!$C$59,($I41-$E41)*'VALORES TABELA'!$B$60-'VALORES TABELA'!$C$60))))-J40</f>
        <v>2512.3983939999998</v>
      </c>
    </row>
    <row r="42" spans="1:11" ht="20.25" customHeight="1" x14ac:dyDescent="0.2">
      <c r="A42" t="s">
        <v>3347</v>
      </c>
      <c r="B42" t="s">
        <v>3387</v>
      </c>
      <c r="C42" t="s">
        <v>3426</v>
      </c>
      <c r="D42" s="430">
        <f>SUMIF('APONTAMENTO CREDENCIAMENTO'!$D$5:$D$4084,$A42,'APONTAMENTO CREDENCIAMENTO'!$FE$5:$FE$4084)</f>
        <v>16160.380000000001</v>
      </c>
      <c r="E42" s="431">
        <f t="shared" si="1"/>
        <v>355.52836000000008</v>
      </c>
      <c r="F42" s="431">
        <f>$D42*'VALORES TABELA'!$B$45*'VALORES TABELA'!$B$46</f>
        <v>80.801900000000018</v>
      </c>
      <c r="G42" s="431">
        <f t="shared" si="2"/>
        <v>9696.228000000001</v>
      </c>
      <c r="H42" s="431">
        <f>_xlfn.LET(_xlpm.base,G42,_xlpm.bruto,E42+G42,_xlpm.ir_normal,IF(_xlpm.base&lt;='VALORES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1757.73</v>
      </c>
      <c r="I42" s="431">
        <f>IF($C42=$C41,($D42+$D41)*'VALORES TABELA'!$B$50-$E41,$D42*'VALORES TABELA'!$B$50)</f>
        <v>9696.228000000001</v>
      </c>
      <c r="J42" s="431">
        <f>IF(($G42-E42)&lt;='VALORES TABELA'!$A$56,0,IF(($G42-$E42)&lt;='VALORES TABELA'!$A$57,($G42-$E42)*'VALORES TABELA'!$B$57-'VALORES TABELA'!$C$57,IF(($G42-$E42)&lt;='VALORES TABELA'!$A$58,($G42-$E42)*'VALORES TABELA'!$B$58-'VALORES TABELA'!$C$58,IF(($G42-$E42)&lt;='VALORES TABELA'!$A$59,($G42-$E42)*'VALORES TABELA'!$B$59-'VALORES TABELA'!$C$59,($G42-$E42)*'VALORES TABELA'!$B$60-'VALORES TABELA'!$C$60))))</f>
        <v>1659.9624010000002</v>
      </c>
      <c r="K42" s="431">
        <f>IF(($I42-$E42)&lt;='VALORES TABELA'!$A$56,0,IF(($I42-$E42)&lt;='VALORES TABELA'!$A$57,($I42-$E42)*'VALORES TABELA'!$B$57-'VALORES TABELA'!$C$57,IF(($I42-$E42)&lt;='VALORES TABELA'!$A$58,($I42-$E42)*'VALORES TABELA'!$B$58-'VALORES TABELA'!$C$58,IF(($I42-$E42)&lt;='VALORES TABELA'!$A$59,($I42-$E42)*'VALORES TABELA'!$B$59-'VALORES TABELA'!$C$59,($I42-$E42)*'VALORES TABELA'!$B$60-'VALORES TABELA'!$C$60))))-J41</f>
        <v>-1869.4297489999999</v>
      </c>
    </row>
    <row r="43" spans="1:11" ht="20.25" customHeight="1" x14ac:dyDescent="0.2">
      <c r="A43"/>
      <c r="B43"/>
      <c r="C43"/>
    </row>
    <row r="44" spans="1:11" ht="20.25" customHeight="1" x14ac:dyDescent="0.2">
      <c r="A44"/>
      <c r="B44"/>
      <c r="C44"/>
    </row>
    <row r="45" spans="1:11" ht="20.25" customHeight="1" x14ac:dyDescent="0.2">
      <c r="A45"/>
      <c r="B45"/>
      <c r="C45"/>
    </row>
    <row r="46" spans="1:11" ht="20.25" customHeight="1" x14ac:dyDescent="0.2">
      <c r="A46"/>
      <c r="B46"/>
      <c r="C46"/>
    </row>
    <row r="47" spans="1:11" ht="20.25" customHeight="1" x14ac:dyDescent="0.2">
      <c r="A47"/>
      <c r="B47"/>
      <c r="C47"/>
    </row>
    <row r="48" spans="1:11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4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2025/0012259</v>
      </c>
      <c r="B11" s="459"/>
      <c r="C11" s="460" t="str">
        <f>VLOOKUP(A11,ProcRel!A1:C5000,3,0)</f>
        <v>045.312-00</v>
      </c>
      <c r="D11" s="768" t="str">
        <f>VLOOKUP(A11,'APONTAMENTO CREDENCIAMENTO'!$D$6:$D$4084,1,FALSE)</f>
        <v>2025/0012259</v>
      </c>
      <c r="E11" s="768"/>
      <c r="F11" s="461">
        <f>SUMIF('APONTAMENTO CREDENCIAMENTO'!D$5:D$5187,A11,'APONTAMENTO CREDENCIAMENTO'!N$5:N$5187)</f>
        <v>0</v>
      </c>
      <c r="G11" s="462">
        <f>'EMPRESA C'!H16+'EMPRESA C'!I16+'EMPRESA C'!J16+'EMPRESA C'!K16+'EMPRESA C'!L16+'EMPRESA C'!M16</f>
        <v>26</v>
      </c>
      <c r="H11" s="463" t="str">
        <f>'BASE C'!E4</f>
        <v>ABRIL</v>
      </c>
      <c r="I11" s="464" t="str">
        <f>'BASE C'!D2</f>
        <v>GUAIANASES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CREDENCIAMENTO'!D1:J5187,6,FALSE)</f>
        <v>RENATO CROZARA DA SILVA</v>
      </c>
      <c r="B13" s="774"/>
      <c r="C13" s="774"/>
      <c r="D13" s="774"/>
      <c r="E13" s="775"/>
      <c r="F13" s="781" t="str">
        <f>VLOOKUP(A11,ProcRel1!E2:G5000,3,FALSE)</f>
        <v>444.008.978-00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CREDENCIAMENTO'!D1:O4082,12,FALSE)</f>
        <v>6020.2025/0012259-2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CREDENCIAMENTO'!$D$6:$EW$4084,150,FALSE)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CREDENCIAMENTO'!D$5:D$5187,A11,'APONTAMENTO CREDENCIAMENTO'!EX$5:EX$5187)</f>
        <v>11344.82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CREDENCIAMENTO'!D5:D5187,A11,'APONTAMENTO CREDENCIAMENTO'!FB5:FB5187)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CREDENCIAMENTO'!D5:D5187,A11,'APONTAMENTO CREDENCIAMENTO'!EZ5:EZ5187)</f>
        <v>0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CREDENCIAMENTO'!D5:D5187,A11,'APONTAMENTO CREDENCIAMENTO'!FA5:FA5187)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CREDENCIAMENTO'!D5:D5187,A11,'APONTAMENTO CREDENCIAMENTO'!FC5:FC5187)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CREDENCIAMENTO'!D5:IA5187,230,0)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CREDENCIAMENTO'!D5:IA5187,231,0)*-1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CREDENCIAMENTO'!D5:IA5187,232,0)*-1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CREDENCIAMENTO'!D5:D5187,A11,'APONTAMENTO CREDENCIAMENTO'!L5:L5187)</f>
        <v>0</v>
      </c>
      <c r="F29" s="506" t="s">
        <v>318</v>
      </c>
      <c r="G29" s="507">
        <f>SUMIF('APONTAMENTO CREDENCIAMENTO'!D5:D5187,A11,'APONTAMENTO CREDENCIAMENTO'!M5:M5187)</f>
        <v>0</v>
      </c>
      <c r="H29" s="504" t="s">
        <v>150</v>
      </c>
      <c r="I29" s="495">
        <f>SUMIF('APONTAMENTO CREDENCIAMENTO'!D5:D5187,A11,'APONTAMENTO CREDENCIAMENTO'!EY5:EY5187)</f>
        <v>0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CREDENCIAMENTO'!D5:D5187,A11,'APONTAMENTO CREDENCIAMENTO'!FD5:FD5187)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11344.82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VLOOKUP(A11,'ATESTE-LIQ-FIS'!A4:K3898,5,0)*-1</f>
        <v>-249.58604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VLOOKUP(A11,'ATESTE-LIQ-FIS'!A4:K3898,6,0)*-1</f>
        <v>-56.7241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-723.87000000000012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10314.639859999999</v>
      </c>
    </row>
    <row r="37" spans="1:12" s="12" customFormat="1" x14ac:dyDescent="0.2">
      <c r="A37" s="793" t="s">
        <v>106</v>
      </c>
      <c r="B37" s="794">
        <f>VLOOKUP(A11,'APONTAMENTO CREDENCIAMENTO'!D1:EL4082,138,FALSE)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CREDENCIAMENTO'!D1:EL4082,139,FALSE)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CREDENCIAMENTO'!D5:D5187,A11,'APONTAMENTO CREDENCIAMENTO'!EP5:EP5187)</f>
        <v>26</v>
      </c>
      <c r="B45" s="483"/>
      <c r="C45" s="484">
        <f>SUMIF('APONTAMENTO CREDENCIAMENTO'!D5:D5187,A11,'APONTAMENTO CREDENCIAMENTO'!ER5:ER5187)</f>
        <v>0</v>
      </c>
      <c r="D45" s="484"/>
      <c r="E45" s="484">
        <f>SUMIF('APONTAMENTO CREDENCIAMENTO'!D5:D5187,A11,'APONTAMENTO CREDENCIAMENTO'!ES5:ES5187)</f>
        <v>0</v>
      </c>
      <c r="F45" s="484"/>
      <c r="G45" s="484">
        <f>SUMIF('APONTAMENTO CREDENCIAMENTO'!D5:D5187,A11,'APONTAMENTO CREDENCIAMENTO'!EU5:EU5187)</f>
        <v>0</v>
      </c>
      <c r="H45" s="484"/>
      <c r="I45" s="485">
        <f>SUM(A45:H45)</f>
        <v>26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RENATO CROZARA DA SILVA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2025/0012259</v>
      </c>
      <c r="G9" s="30" t="s">
        <v>122</v>
      </c>
      <c r="H9" s="30" t="str">
        <f>'APONTAMENTO CREDENCIAMENTO'!A1</f>
        <v>Guaianases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RENATO CROZARA DA SILVA</v>
      </c>
      <c r="B14" s="207" t="str">
        <f>VLOOKUP(D14,'APONTAMENTO CREDENCIAMENTO'!$A$6:$F$4085,6,0)</f>
        <v>01/04/2026</v>
      </c>
      <c r="C14" s="207" t="str">
        <f>VLOOKUP(D14,'APONTAMENTO CREDENCIAMENTO'!$A$6:$G$4085,7,0)</f>
        <v>30/04/2026</v>
      </c>
      <c r="D14" s="208" t="str">
        <f>'BASE C'!C10</f>
        <v>045.312-00</v>
      </c>
      <c r="E14" s="809" t="str">
        <f>'BASE C'!H10</f>
        <v>FYB7439</v>
      </c>
      <c r="F14" s="810"/>
      <c r="G14" s="208">
        <f>SUMIF('APONTAMENTO CREDENCIAMENTO'!$A$6:$A$4085,'EMPRESA C'!D14,'APONTAMENTO CREDENCIAMENTO'!$N$6:$N$4085)</f>
        <v>0</v>
      </c>
      <c r="H14" s="208">
        <f>SUMIF('APONTAMENTO CREDENCIAMENTO'!$A$6:$A$4085,'EMPRESA C'!D14,'APONTAMENTO CREDENCIAMENTO'!$EP$6:$EP$4085)</f>
        <v>26</v>
      </c>
      <c r="I14" s="208">
        <f>SUMIF('APONTAMENTO CREDENCIAMENTO'!$A$6:$A$4085,'EMPRESA C'!D14,'APONTAMENTO CREDENCIAMENTO'!$EQ$6:$EQ$4085)</f>
        <v>0</v>
      </c>
      <c r="J14" s="208">
        <f>SUMIF('APONTAMENTO CREDENCIAMENTO'!$A$6:$A$4085,'EMPRESA C'!D14,'APONTAMENTO CREDENCIAMENTO'!$ER$6:$ER$4085)</f>
        <v>0</v>
      </c>
      <c r="K14" s="208">
        <f>SUMIF('APONTAMENTO CREDENCIAMENTO'!$A$6:$A$4085,'EMPRESA C'!D14,'APONTAMENTO CREDENCIAMENTO'!$ES$6:$ES$4085)</f>
        <v>0</v>
      </c>
      <c r="L14" s="208">
        <f>SUMIF('APONTAMENTO CREDENCIAMENTO'!$A$6:$A$4085,'EMPRESA C'!D14,'APONTAMENTO CREDENCIAMENTO'!$ET$6:$ET$4085)</f>
        <v>0</v>
      </c>
      <c r="M14" s="208">
        <f>SUMIF('APONTAMENTO CREDENCIAMENTO'!$A$6:$A$4085,'EMPRESA C'!D14,'APONTAMENTO CREDENCIAMENTO'!$EU$6:$EU$4085)</f>
        <v>0</v>
      </c>
      <c r="N14" s="209">
        <f>SUMIF('APONTAMENTO CREDENCIAMENTO'!$A$6:$A$4085,'EMPRESA C'!D14,'APONTAMENTO CREDENCIAMENTO'!$EW$6:$EW$4085)</f>
        <v>0</v>
      </c>
      <c r="O14" s="209">
        <f>SUMIF('APONTAMENTO CREDENCIAMENTO'!$A$6:$A$4085,'EMPRESA C'!D14,'APONTAMENTO CREDENCIAMENTO'!$EX$6:$EX$4085)</f>
        <v>11344.82</v>
      </c>
      <c r="P14" s="209">
        <f>SUMIF('APONTAMENTO CREDENCIAMENTO'!$A$5:$A$4085,'EMPRESA C'!D14,'APONTAMENTO CREDENCIAMENTO'!$EY$5:$EY$4085)</f>
        <v>0</v>
      </c>
      <c r="Q14" s="209">
        <f>SUMIF('APONTAMENTO CREDENCIAMENTO'!$A$5:$A$4085,'EMPRESA C'!D14,'APONTAMENTO CREDENCIAMENTO'!$EZ$5:$EZ$4085)</f>
        <v>0</v>
      </c>
      <c r="R14" s="209">
        <f>SUMIF('APONTAMENTO CREDENCIAMENTO'!$A$5:$A$4085,'EMPRESA C'!D14,'APONTAMENTO CREDENCIAMENTO'!$FA$5:$FA$4085)</f>
        <v>0</v>
      </c>
      <c r="S14" s="209">
        <f>SUMIF('APONTAMENTO CREDENCIAMENTO'!$A$5:$A$4085,'EMPRESA C'!D14,'APONTAMENTO CREDENCIAMENTO'!$FB$5:$FB$4085)</f>
        <v>0</v>
      </c>
      <c r="T14" s="209">
        <f>SUMIF('APONTAMENTO CREDENCIAMENTO'!$A$5:$A$4085,'EMPRESA C'!D14,'APONTAMENTO CREDENCIAMENTO'!$FC$5:$FC$4085)</f>
        <v>0</v>
      </c>
      <c r="U14" s="209">
        <f>SUMIF('APONTAMENTO CREDENCIAMENTO'!$A$5:$A$4085,'EMPRESA C'!D14,'APONTAMENTO CREDENCIAMENTO'!$HY$5:$HY$4085)</f>
        <v>0</v>
      </c>
      <c r="V14" s="209">
        <f>SUMIF('APONTAMENTO CREDENCIAMENTO'!$A$5:$A$4085,'EMPRESA C'!D14,'APONTAMENTO CREDENCIAMENTO'!$HZ$5:$HZ$4085)*-1</f>
        <v>0</v>
      </c>
      <c r="W14" s="209">
        <f>SUMIF('APONTAMENTO CREDENCIAMENTO'!$A$5:$A$4085,'EMPRESA C'!D14,'APONTAMENTO CREDENCIAMENTO'!$IA$5:$IA$4085)*-1</f>
        <v>0</v>
      </c>
      <c r="X14" s="209">
        <f>SUMIF('APONTAMENTO CREDENCIAMENTO'!$A$5:$A$4085,'EMPRESA C'!D14,'APONTAMENTO CREDENCIAMENTO'!$FD$5:$FD$4085)</f>
        <v>0</v>
      </c>
      <c r="Y14" s="209">
        <f>SUMIF('APONTAMENTO CREDENCIAMENTO'!$A$5:$A$4085,'EMPRESA C'!D14,'APONTAMENTO CREDENCIAMENTO'!$GK$5:$GK$4085)*-1</f>
        <v>0</v>
      </c>
      <c r="Z14" s="209">
        <f>(N14+O14+P14+Q14+R14+S14+T14+U14+V14+W14+X14+Y14)</f>
        <v>11344.82</v>
      </c>
      <c r="AA14" s="209">
        <f t="shared" ref="AA14" si="0">Z14</f>
        <v>11344.82</v>
      </c>
      <c r="AB14" s="209">
        <f>AA14*'BASE C'!B$7</f>
        <v>0</v>
      </c>
      <c r="AC14" s="209">
        <f t="shared" ref="AC14" si="1">AA14-AB14</f>
        <v>11344.82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26</v>
      </c>
      <c r="I16" s="100">
        <f>SUM(I14:I15)</f>
        <v>0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11344.82</v>
      </c>
      <c r="P16" s="326">
        <f>SUM(P14:P15)</f>
        <v>0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11344.82</v>
      </c>
      <c r="AA16" s="326">
        <f>SUM(AA14:AA15)</f>
        <v>11344.82</v>
      </c>
      <c r="AB16" s="326">
        <f>SUM(AB14:AB15)</f>
        <v>0</v>
      </c>
      <c r="AC16" s="326">
        <f>SUM(AC14:AC15)</f>
        <v>11344.82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2025/0012259</v>
      </c>
      <c r="B14" s="217" t="str">
        <f>'BASE C'!D4</f>
        <v>RENATO CROZARA DA SILVA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G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RENATO CROZARA DA SILVA</v>
      </c>
      <c r="B18" s="231" t="str">
        <f>'BASE C'!C10</f>
        <v>045.312-00</v>
      </c>
      <c r="C18" s="231" t="str">
        <f>'BASE C'!H10</f>
        <v>FYB7439</v>
      </c>
      <c r="D18" s="208">
        <f>SUMIF('APONTAMENTO CREDENCIAMENTO'!$A$6:$A$4085,'ATESTADO C'!B18,'APONTAMENTO CREDENCIAMENTO'!$N$6:$N$4085)</f>
        <v>0</v>
      </c>
      <c r="E18" s="208">
        <f>SUMIF('APONTAMENTO CREDENCIAMENTO'!$A$6:$A$4085,'ATESTADO C'!B18,'APONTAMENTO CREDENCIAMENTO'!$EP$6:$EP$4085)</f>
        <v>26</v>
      </c>
      <c r="F18" s="208">
        <f>SUMIF('APONTAMENTO CREDENCIAMENTO'!$A$6:$A$4085,'ATESTADO C'!B18,'APONTAMENTO CREDENCIAMENTO'!$EQ$6:$EQ$4085)</f>
        <v>0</v>
      </c>
      <c r="G18" s="208">
        <f>SUMIF('APONTAMENTO CREDENCIAMENTO'!$A$6:$A$4085,'ATESTADO C'!B18,'APONTAMENTO CREDENCIAMENTO'!$ER$6:$ER$4085)</f>
        <v>0</v>
      </c>
      <c r="H18" s="208">
        <f>SUMIF('APONTAMENTO CREDENCIAMENTO'!$A$6:$A$4085,'ATESTADO C'!B18,'APONTAMENTO CREDENCIAMENTO'!$ES$6:$ES$4085)</f>
        <v>0</v>
      </c>
      <c r="I18" s="208">
        <f>SUMIF('APONTAMENTO CREDENCIAMENTO'!$A$6:$A$4085,'ATESTADO C'!B18,'APONTAMENTO CREDENCIAMENTO'!$ET$6:$ET$4085)</f>
        <v>0</v>
      </c>
      <c r="J18" s="208">
        <f>SUMIF('APONTAMENTO CREDENCIAMENTO'!$A$6:$A$4085,'ATESTADO C'!B18,'APONTAMENTO CREDENCIAMENTO'!$EU$6:$EU$4085)</f>
        <v>0</v>
      </c>
      <c r="K18" s="232">
        <f t="shared" ref="K18" si="0">E18+F18+H18+I18+G18+J18</f>
        <v>26</v>
      </c>
      <c r="L18" s="827" t="str">
        <f>CONCATENATE(VLOOKUP(B18,'APONTAMENTO CREDENCIAMENTO'!$A$6:$EK$4085,141,0)," - ",VLOOKUP(B18,'APONTAMENTO CREDENCIAMENTO'!$A$6:$EL$4085,142,0))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39"/>
  <sheetViews>
    <sheetView topLeftCell="A243" workbookViewId="0">
      <selection activeCell="A2" sqref="A2:C19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3196</v>
      </c>
      <c r="B1" t="s">
        <v>1475</v>
      </c>
      <c r="C1" t="s">
        <v>3194</v>
      </c>
    </row>
    <row r="2" spans="1:3" x14ac:dyDescent="0.2">
      <c r="A2" t="s">
        <v>3268</v>
      </c>
      <c r="B2" t="s">
        <v>1506</v>
      </c>
      <c r="C2" t="s">
        <v>3266</v>
      </c>
    </row>
    <row r="3" spans="1:3" x14ac:dyDescent="0.2">
      <c r="A3" t="s">
        <v>3347</v>
      </c>
      <c r="B3" t="s">
        <v>1540</v>
      </c>
      <c r="C3" t="s">
        <v>3345</v>
      </c>
    </row>
    <row r="4" spans="1:3" x14ac:dyDescent="0.2">
      <c r="A4" t="s">
        <v>3319</v>
      </c>
      <c r="B4" t="s">
        <v>1525</v>
      </c>
      <c r="C4" t="s">
        <v>3317</v>
      </c>
    </row>
    <row r="5" spans="1:3" x14ac:dyDescent="0.2">
      <c r="A5" t="s">
        <v>3307</v>
      </c>
      <c r="B5" t="s">
        <v>1522</v>
      </c>
      <c r="C5" t="s">
        <v>3305</v>
      </c>
    </row>
    <row r="6" spans="1:3" x14ac:dyDescent="0.2">
      <c r="A6" t="s">
        <v>3327</v>
      </c>
      <c r="B6" t="s">
        <v>1528</v>
      </c>
      <c r="C6" t="s">
        <v>3325</v>
      </c>
    </row>
    <row r="7" spans="1:3" x14ac:dyDescent="0.2">
      <c r="A7" t="s">
        <v>3303</v>
      </c>
      <c r="B7" t="s">
        <v>1521</v>
      </c>
      <c r="C7" t="s">
        <v>3301</v>
      </c>
    </row>
    <row r="8" spans="1:3" x14ac:dyDescent="0.2">
      <c r="A8" t="s">
        <v>3200</v>
      </c>
      <c r="B8" t="s">
        <v>1478</v>
      </c>
      <c r="C8" t="s">
        <v>3198</v>
      </c>
    </row>
    <row r="9" spans="1:3" x14ac:dyDescent="0.2">
      <c r="A9" t="s">
        <v>3224</v>
      </c>
      <c r="B9" t="s">
        <v>1490</v>
      </c>
      <c r="C9" t="s">
        <v>3222</v>
      </c>
    </row>
    <row r="10" spans="1:3" x14ac:dyDescent="0.2">
      <c r="A10" t="s">
        <v>3236</v>
      </c>
      <c r="B10" t="s">
        <v>1496</v>
      </c>
      <c r="C10" t="s">
        <v>3234</v>
      </c>
    </row>
    <row r="11" spans="1:3" x14ac:dyDescent="0.2">
      <c r="A11" t="s">
        <v>3244</v>
      </c>
      <c r="B11" t="s">
        <v>1498</v>
      </c>
      <c r="C11" t="s">
        <v>3242</v>
      </c>
    </row>
    <row r="12" spans="1:3" x14ac:dyDescent="0.2">
      <c r="A12" t="s">
        <v>3295</v>
      </c>
      <c r="B12" t="s">
        <v>1516</v>
      </c>
      <c r="C12" t="s">
        <v>3293</v>
      </c>
    </row>
    <row r="13" spans="1:3" x14ac:dyDescent="0.2">
      <c r="A13" t="s">
        <v>3260</v>
      </c>
      <c r="B13" t="s">
        <v>1504</v>
      </c>
      <c r="C13" t="s">
        <v>3258</v>
      </c>
    </row>
    <row r="14" spans="1:3" x14ac:dyDescent="0.2">
      <c r="A14" t="s">
        <v>3311</v>
      </c>
      <c r="B14" t="s">
        <v>1523</v>
      </c>
      <c r="C14" t="s">
        <v>3309</v>
      </c>
    </row>
    <row r="15" spans="1:3" x14ac:dyDescent="0.2">
      <c r="A15" t="s">
        <v>3299</v>
      </c>
      <c r="B15" t="s">
        <v>1517</v>
      </c>
      <c r="C15" t="s">
        <v>3297</v>
      </c>
    </row>
    <row r="16" spans="1:3" x14ac:dyDescent="0.2">
      <c r="A16" t="s">
        <v>3240</v>
      </c>
      <c r="B16" t="s">
        <v>1497</v>
      </c>
      <c r="C16" t="s">
        <v>3238</v>
      </c>
    </row>
    <row r="17" spans="1:3" x14ac:dyDescent="0.2">
      <c r="A17" t="s">
        <v>3272</v>
      </c>
      <c r="B17" t="s">
        <v>1509</v>
      </c>
      <c r="C17" t="s">
        <v>3270</v>
      </c>
    </row>
    <row r="18" spans="1:3" x14ac:dyDescent="0.2">
      <c r="A18" t="s">
        <v>3291</v>
      </c>
      <c r="B18" t="s">
        <v>1515</v>
      </c>
      <c r="C18" t="s">
        <v>3289</v>
      </c>
    </row>
    <row r="19" spans="1:3" x14ac:dyDescent="0.2">
      <c r="A19" t="s">
        <v>3323</v>
      </c>
      <c r="B19" t="s">
        <v>1527</v>
      </c>
      <c r="C19" t="s">
        <v>3321</v>
      </c>
    </row>
    <row r="20" spans="1:3" x14ac:dyDescent="0.2">
      <c r="A20" t="s">
        <v>3216</v>
      </c>
      <c r="B20" t="s">
        <v>1488</v>
      </c>
      <c r="C20" t="s">
        <v>3214</v>
      </c>
    </row>
    <row r="21" spans="1:3" x14ac:dyDescent="0.2">
      <c r="A21" t="s">
        <v>3276</v>
      </c>
      <c r="B21" t="s">
        <v>1510</v>
      </c>
      <c r="C21" t="s">
        <v>3274</v>
      </c>
    </row>
    <row r="22" spans="1:3" x14ac:dyDescent="0.2">
      <c r="A22" t="s">
        <v>3315</v>
      </c>
      <c r="B22" t="s">
        <v>1524</v>
      </c>
      <c r="C22" t="s">
        <v>3313</v>
      </c>
    </row>
    <row r="23" spans="1:3" x14ac:dyDescent="0.2">
      <c r="A23" t="s">
        <v>3208</v>
      </c>
      <c r="B23" t="s">
        <v>1483</v>
      </c>
      <c r="C23" t="s">
        <v>3206</v>
      </c>
    </row>
    <row r="24" spans="1:3" x14ac:dyDescent="0.2">
      <c r="A24" t="s">
        <v>3212</v>
      </c>
      <c r="B24" t="s">
        <v>1485</v>
      </c>
      <c r="C24" t="s">
        <v>3210</v>
      </c>
    </row>
    <row r="25" spans="1:3" x14ac:dyDescent="0.2">
      <c r="A25" t="s">
        <v>3339</v>
      </c>
      <c r="B25" t="s">
        <v>1538</v>
      </c>
      <c r="C25" t="s">
        <v>3337</v>
      </c>
    </row>
    <row r="26" spans="1:3" x14ac:dyDescent="0.2">
      <c r="A26" t="s">
        <v>3287</v>
      </c>
      <c r="B26" t="s">
        <v>1514</v>
      </c>
      <c r="C26" t="s">
        <v>3285</v>
      </c>
    </row>
    <row r="27" spans="1:3" x14ac:dyDescent="0.2">
      <c r="A27" t="s">
        <v>3248</v>
      </c>
      <c r="B27" t="s">
        <v>1499</v>
      </c>
      <c r="C27" t="s">
        <v>3246</v>
      </c>
    </row>
    <row r="28" spans="1:3" x14ac:dyDescent="0.2">
      <c r="A28" t="s">
        <v>3283</v>
      </c>
      <c r="B28" t="s">
        <v>1513</v>
      </c>
      <c r="C28" t="s">
        <v>3281</v>
      </c>
    </row>
    <row r="29" spans="1:3" x14ac:dyDescent="0.2">
      <c r="A29" t="s">
        <v>3228</v>
      </c>
      <c r="B29" t="s">
        <v>1492</v>
      </c>
      <c r="C29" t="s">
        <v>3226</v>
      </c>
    </row>
    <row r="30" spans="1:3" x14ac:dyDescent="0.2">
      <c r="A30" t="s">
        <v>3343</v>
      </c>
      <c r="B30" t="s">
        <v>1539</v>
      </c>
      <c r="C30" t="s">
        <v>3341</v>
      </c>
    </row>
    <row r="31" spans="1:3" x14ac:dyDescent="0.2">
      <c r="A31" t="s">
        <v>3232</v>
      </c>
      <c r="B31" t="s">
        <v>1493</v>
      </c>
      <c r="C31" t="s">
        <v>3230</v>
      </c>
    </row>
    <row r="32" spans="1:3" x14ac:dyDescent="0.2">
      <c r="A32" t="s">
        <v>3220</v>
      </c>
      <c r="B32" t="s">
        <v>1489</v>
      </c>
      <c r="C32" t="s">
        <v>3218</v>
      </c>
    </row>
    <row r="33" spans="1:3" x14ac:dyDescent="0.2">
      <c r="A33" t="s">
        <v>3256</v>
      </c>
      <c r="B33" t="s">
        <v>1503</v>
      </c>
      <c r="C33" t="s">
        <v>3254</v>
      </c>
    </row>
    <row r="34" spans="1:3" x14ac:dyDescent="0.2">
      <c r="A34" t="s">
        <v>3204</v>
      </c>
      <c r="B34" t="s">
        <v>1482</v>
      </c>
      <c r="C34" t="s">
        <v>3202</v>
      </c>
    </row>
    <row r="35" spans="1:3" x14ac:dyDescent="0.2">
      <c r="A35" t="s">
        <v>3279</v>
      </c>
      <c r="B35" t="s">
        <v>1512</v>
      </c>
      <c r="C35" t="s">
        <v>3277</v>
      </c>
    </row>
    <row r="36" spans="1:3" x14ac:dyDescent="0.2">
      <c r="A36" t="s">
        <v>3252</v>
      </c>
      <c r="B36" t="s">
        <v>1500</v>
      </c>
      <c r="C36" t="s">
        <v>3250</v>
      </c>
    </row>
    <row r="37" spans="1:3" x14ac:dyDescent="0.2">
      <c r="A37" t="s">
        <v>3264</v>
      </c>
      <c r="B37" t="s">
        <v>1505</v>
      </c>
      <c r="C37" t="s">
        <v>3262</v>
      </c>
    </row>
    <row r="38" spans="1:3" x14ac:dyDescent="0.2">
      <c r="A38" t="s">
        <v>3331</v>
      </c>
      <c r="B38" t="s">
        <v>1530</v>
      </c>
      <c r="C38" t="s">
        <v>3329</v>
      </c>
    </row>
    <row r="39" spans="1:3" x14ac:dyDescent="0.2">
      <c r="A39" t="s">
        <v>3335</v>
      </c>
      <c r="B39" t="s">
        <v>1532</v>
      </c>
      <c r="C39" t="s">
        <v>3333</v>
      </c>
    </row>
  </sheetData>
  <sortState xmlns:xlrd2="http://schemas.microsoft.com/office/spreadsheetml/2017/richdata2" ref="A2:C195">
    <sortCondition ref="A1:A195"/>
    <sortCondition ref="B1:B195"/>
    <sortCondition ref="C1:C19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40"/>
  <sheetViews>
    <sheetView workbookViewId="0">
      <selection activeCell="G1" sqref="G1:G40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3196</v>
      </c>
      <c r="F2" t="s">
        <v>3349</v>
      </c>
      <c r="G2" t="s">
        <v>3388</v>
      </c>
    </row>
    <row r="3" spans="5:7" x14ac:dyDescent="0.2">
      <c r="E3" t="s">
        <v>3200</v>
      </c>
      <c r="F3" t="s">
        <v>3350</v>
      </c>
      <c r="G3" t="s">
        <v>3389</v>
      </c>
    </row>
    <row r="4" spans="5:7" x14ac:dyDescent="0.2">
      <c r="E4" t="s">
        <v>3204</v>
      </c>
      <c r="F4" t="s">
        <v>3351</v>
      </c>
      <c r="G4" t="s">
        <v>3390</v>
      </c>
    </row>
    <row r="5" spans="5:7" x14ac:dyDescent="0.2">
      <c r="E5" t="s">
        <v>3208</v>
      </c>
      <c r="F5" t="s">
        <v>3352</v>
      </c>
      <c r="G5" t="s">
        <v>3391</v>
      </c>
    </row>
    <row r="6" spans="5:7" x14ac:dyDescent="0.2">
      <c r="E6" t="s">
        <v>3212</v>
      </c>
      <c r="F6" t="s">
        <v>3353</v>
      </c>
      <c r="G6" t="s">
        <v>3392</v>
      </c>
    </row>
    <row r="7" spans="5:7" x14ac:dyDescent="0.2">
      <c r="E7" t="s">
        <v>3216</v>
      </c>
      <c r="F7" t="s">
        <v>3354</v>
      </c>
      <c r="G7" t="s">
        <v>3393</v>
      </c>
    </row>
    <row r="8" spans="5:7" x14ac:dyDescent="0.2">
      <c r="E8" t="s">
        <v>3220</v>
      </c>
      <c r="F8" t="s">
        <v>3355</v>
      </c>
      <c r="G8" t="s">
        <v>3394</v>
      </c>
    </row>
    <row r="9" spans="5:7" x14ac:dyDescent="0.2">
      <c r="E9" t="s">
        <v>3224</v>
      </c>
      <c r="F9" t="s">
        <v>3356</v>
      </c>
      <c r="G9" t="s">
        <v>3395</v>
      </c>
    </row>
    <row r="10" spans="5:7" x14ac:dyDescent="0.2">
      <c r="E10" t="s">
        <v>3228</v>
      </c>
      <c r="F10" t="s">
        <v>3357</v>
      </c>
      <c r="G10" t="s">
        <v>3396</v>
      </c>
    </row>
    <row r="11" spans="5:7" x14ac:dyDescent="0.2">
      <c r="E11" t="s">
        <v>3232</v>
      </c>
      <c r="F11" t="s">
        <v>3358</v>
      </c>
      <c r="G11" t="s">
        <v>3397</v>
      </c>
    </row>
    <row r="12" spans="5:7" x14ac:dyDescent="0.2">
      <c r="E12" t="s">
        <v>3236</v>
      </c>
      <c r="F12" t="s">
        <v>3359</v>
      </c>
      <c r="G12" t="s">
        <v>3398</v>
      </c>
    </row>
    <row r="13" spans="5:7" x14ac:dyDescent="0.2">
      <c r="E13" t="s">
        <v>3240</v>
      </c>
      <c r="F13" t="s">
        <v>3360</v>
      </c>
      <c r="G13" t="s">
        <v>3399</v>
      </c>
    </row>
    <row r="14" spans="5:7" x14ac:dyDescent="0.2">
      <c r="E14" t="s">
        <v>3244</v>
      </c>
      <c r="F14" t="s">
        <v>3361</v>
      </c>
      <c r="G14" t="s">
        <v>3400</v>
      </c>
    </row>
    <row r="15" spans="5:7" x14ac:dyDescent="0.2">
      <c r="E15" t="s">
        <v>3248</v>
      </c>
      <c r="F15" t="s">
        <v>3362</v>
      </c>
      <c r="G15" t="s">
        <v>3401</v>
      </c>
    </row>
    <row r="16" spans="5:7" x14ac:dyDescent="0.2">
      <c r="E16" t="s">
        <v>3252</v>
      </c>
      <c r="F16" t="s">
        <v>3363</v>
      </c>
      <c r="G16" t="s">
        <v>3402</v>
      </c>
    </row>
    <row r="17" spans="5:7" x14ac:dyDescent="0.2">
      <c r="E17" t="s">
        <v>3256</v>
      </c>
      <c r="F17" t="s">
        <v>3364</v>
      </c>
      <c r="G17" t="s">
        <v>3403</v>
      </c>
    </row>
    <row r="18" spans="5:7" x14ac:dyDescent="0.2">
      <c r="E18" t="s">
        <v>3260</v>
      </c>
      <c r="F18" t="s">
        <v>3365</v>
      </c>
      <c r="G18" t="s">
        <v>3404</v>
      </c>
    </row>
    <row r="19" spans="5:7" x14ac:dyDescent="0.2">
      <c r="E19" t="s">
        <v>3264</v>
      </c>
      <c r="F19" t="s">
        <v>3366</v>
      </c>
      <c r="G19" t="s">
        <v>3405</v>
      </c>
    </row>
    <row r="20" spans="5:7" x14ac:dyDescent="0.2">
      <c r="E20" t="s">
        <v>3268</v>
      </c>
      <c r="F20" t="s">
        <v>3367</v>
      </c>
      <c r="G20" t="s">
        <v>3406</v>
      </c>
    </row>
    <row r="21" spans="5:7" x14ac:dyDescent="0.2">
      <c r="E21" t="s">
        <v>3272</v>
      </c>
      <c r="F21" t="s">
        <v>3368</v>
      </c>
      <c r="G21" t="s">
        <v>3407</v>
      </c>
    </row>
    <row r="22" spans="5:7" x14ac:dyDescent="0.2">
      <c r="E22" t="s">
        <v>3276</v>
      </c>
      <c r="F22" t="s">
        <v>3369</v>
      </c>
      <c r="G22" t="s">
        <v>3408</v>
      </c>
    </row>
    <row r="23" spans="5:7" x14ac:dyDescent="0.2">
      <c r="E23" t="s">
        <v>3279</v>
      </c>
      <c r="F23" t="s">
        <v>3370</v>
      </c>
      <c r="G23" t="s">
        <v>3409</v>
      </c>
    </row>
    <row r="24" spans="5:7" x14ac:dyDescent="0.2">
      <c r="E24" t="s">
        <v>3283</v>
      </c>
      <c r="F24" t="s">
        <v>3371</v>
      </c>
      <c r="G24" t="s">
        <v>3410</v>
      </c>
    </row>
    <row r="25" spans="5:7" x14ac:dyDescent="0.2">
      <c r="E25" t="s">
        <v>3287</v>
      </c>
      <c r="F25" t="s">
        <v>3372</v>
      </c>
      <c r="G25" t="s">
        <v>3411</v>
      </c>
    </row>
    <row r="26" spans="5:7" x14ac:dyDescent="0.2">
      <c r="E26" t="s">
        <v>3291</v>
      </c>
      <c r="F26" t="s">
        <v>3373</v>
      </c>
      <c r="G26" t="s">
        <v>3412</v>
      </c>
    </row>
    <row r="27" spans="5:7" x14ac:dyDescent="0.2">
      <c r="E27" t="s">
        <v>3295</v>
      </c>
      <c r="F27" t="s">
        <v>3374</v>
      </c>
      <c r="G27" t="s">
        <v>3413</v>
      </c>
    </row>
    <row r="28" spans="5:7" x14ac:dyDescent="0.2">
      <c r="E28" t="s">
        <v>3299</v>
      </c>
      <c r="F28" t="s">
        <v>3375</v>
      </c>
      <c r="G28" t="s">
        <v>3414</v>
      </c>
    </row>
    <row r="29" spans="5:7" x14ac:dyDescent="0.2">
      <c r="E29" t="s">
        <v>3303</v>
      </c>
      <c r="F29" t="s">
        <v>3376</v>
      </c>
      <c r="G29" t="s">
        <v>3415</v>
      </c>
    </row>
    <row r="30" spans="5:7" x14ac:dyDescent="0.2">
      <c r="E30" t="s">
        <v>3307</v>
      </c>
      <c r="F30" t="s">
        <v>3377</v>
      </c>
      <c r="G30" t="s">
        <v>3416</v>
      </c>
    </row>
    <row r="31" spans="5:7" x14ac:dyDescent="0.2">
      <c r="E31" t="s">
        <v>3311</v>
      </c>
      <c r="F31" t="s">
        <v>3378</v>
      </c>
      <c r="G31" t="s">
        <v>3417</v>
      </c>
    </row>
    <row r="32" spans="5:7" x14ac:dyDescent="0.2">
      <c r="E32" t="s">
        <v>3315</v>
      </c>
      <c r="F32" t="s">
        <v>3379</v>
      </c>
      <c r="G32" t="s">
        <v>3418</v>
      </c>
    </row>
    <row r="33" spans="5:7" x14ac:dyDescent="0.2">
      <c r="E33" t="s">
        <v>3319</v>
      </c>
      <c r="F33" t="s">
        <v>3380</v>
      </c>
      <c r="G33" t="s">
        <v>3419</v>
      </c>
    </row>
    <row r="34" spans="5:7" x14ac:dyDescent="0.2">
      <c r="E34" t="s">
        <v>3323</v>
      </c>
      <c r="F34" t="s">
        <v>3381</v>
      </c>
      <c r="G34" t="s">
        <v>3420</v>
      </c>
    </row>
    <row r="35" spans="5:7" x14ac:dyDescent="0.2">
      <c r="E35" t="s">
        <v>3327</v>
      </c>
      <c r="F35" t="s">
        <v>3382</v>
      </c>
      <c r="G35" t="s">
        <v>3421</v>
      </c>
    </row>
    <row r="36" spans="5:7" x14ac:dyDescent="0.2">
      <c r="E36" t="s">
        <v>3331</v>
      </c>
      <c r="F36" t="s">
        <v>3383</v>
      </c>
      <c r="G36" t="s">
        <v>3422</v>
      </c>
    </row>
    <row r="37" spans="5:7" x14ac:dyDescent="0.2">
      <c r="E37" t="s">
        <v>3335</v>
      </c>
      <c r="F37" t="s">
        <v>3384</v>
      </c>
      <c r="G37" t="s">
        <v>3423</v>
      </c>
    </row>
    <row r="38" spans="5:7" x14ac:dyDescent="0.2">
      <c r="E38" t="s">
        <v>3339</v>
      </c>
      <c r="F38" t="s">
        <v>3385</v>
      </c>
      <c r="G38" t="s">
        <v>3424</v>
      </c>
    </row>
    <row r="39" spans="5:7" x14ac:dyDescent="0.2">
      <c r="E39" t="s">
        <v>3343</v>
      </c>
      <c r="F39" t="s">
        <v>3386</v>
      </c>
      <c r="G39" t="s">
        <v>3425</v>
      </c>
    </row>
    <row r="40" spans="5:7" x14ac:dyDescent="0.2">
      <c r="E40" t="s">
        <v>3347</v>
      </c>
      <c r="F40" t="s">
        <v>3387</v>
      </c>
      <c r="G40" t="s">
        <v>3426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61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40" sqref="B40:AD40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3196</v>
      </c>
      <c r="B2" s="130"/>
      <c r="C2" s="131">
        <f t="shared" ref="C2" si="0">W2</f>
        <v>0</v>
      </c>
      <c r="D2" s="132" t="str">
        <f>VLOOKUP(A2,'APONTAMENTO CREDENCIAMENTO'!$D$6:$P$3058,12,0)</f>
        <v>6020.2022/0031800-9</v>
      </c>
      <c r="E2" s="133"/>
      <c r="F2" s="134">
        <f>SUMIF('APONTAMENTO CREDENCIAMENTO'!$D$6:$D$3058,'ATESTE-LIQ'!A2,'APONTAMENTO CREDENCIAMENTO'!$FE$6:$FE$3058)</f>
        <v>21746.03</v>
      </c>
      <c r="G2" s="328" t="str">
        <f>VLOOKUP(A2,'APONTAMENTO CREDENCIAMENTO'!$D$6:$G$3058,3,0)</f>
        <v>01/04/2026</v>
      </c>
      <c r="H2" s="328" t="str">
        <f>VLOOKUP(A2,'APONTAMENTO CREDENCIAMENTO'!$D$6:$G$3058,4,0)</f>
        <v>30/04/2026</v>
      </c>
      <c r="I2" s="135" t="str">
        <f t="shared" ref="I2" si="1">CONCATENATE("PE - Pagto. Doc(s): ",E2," - Contrato nº ",A2)</f>
        <v>PE - Pagto. Doc(s):  - Contrato nº 2022/0031800</v>
      </c>
      <c r="J2" s="136">
        <f t="shared" ref="J2" si="2">F2</f>
        <v>21746.03</v>
      </c>
      <c r="K2" s="136">
        <v>0</v>
      </c>
      <c r="L2" s="137" t="str">
        <f>VLOOKUP(A2,'APONTAMENTO CREDENCIAMENTO'!$D$6:$P$3058,5,0)</f>
        <v>AJENIAS PEREIRA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6020.2022/0031800-9</v>
      </c>
      <c r="U2" s="144">
        <f t="shared" ref="U2" si="4">F2</f>
        <v>21746.03</v>
      </c>
      <c r="V2" s="145">
        <f t="shared" ref="V2" si="5">U2</f>
        <v>21746.03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2022/0031800 - DRE - G</v>
      </c>
      <c r="AB2" s="238" t="str">
        <f t="shared" ref="AB2" si="6">L2</f>
        <v>AJENIAS PEREIRA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3268</v>
      </c>
      <c r="B3" s="130"/>
      <c r="C3" s="131">
        <f t="shared" ref="C3:C40" si="7">W3</f>
        <v>0</v>
      </c>
      <c r="D3" s="132" t="str">
        <f>VLOOKUP(A3,'APONTAMENTO CREDENCIAMENTO'!$D$6:$P$3058,12,0)</f>
        <v>6020.2022/0024483-8</v>
      </c>
      <c r="E3" s="133"/>
      <c r="F3" s="134">
        <f>SUMIF('APONTAMENTO CREDENCIAMENTO'!$D$6:$D$3058,'ATESTE-LIQ'!A3,'APONTAMENTO CREDENCIAMENTO'!$FE$6:$FE$3058)</f>
        <v>15274.24</v>
      </c>
      <c r="G3" s="328" t="str">
        <f>VLOOKUP(A3,'APONTAMENTO CREDENCIAMENTO'!$D$6:$G$3058,3,0)</f>
        <v>01/04/2026</v>
      </c>
      <c r="H3" s="328" t="str">
        <f>VLOOKUP(A3,'APONTAMENTO CREDENCIAMENTO'!$D$6:$G$3058,4,0)</f>
        <v>30/04/2026</v>
      </c>
      <c r="I3" s="135" t="str">
        <f t="shared" ref="I3:I40" si="8">CONCATENATE("PE - Pagto. Doc(s): ",E3," - Contrato nº ",A3)</f>
        <v>PE - Pagto. Doc(s):  - Contrato nº 2022/0024483</v>
      </c>
      <c r="J3" s="136">
        <f t="shared" ref="J3:J40" si="9">F3</f>
        <v>15274.24</v>
      </c>
      <c r="K3" s="136">
        <v>0</v>
      </c>
      <c r="L3" s="137" t="str">
        <f>VLOOKUP(A3,'APONTAMENTO CREDENCIAMENTO'!$D$6:$P$3058,5,0)</f>
        <v>GISELE BRITO DE MATOS MALAQUIAS</v>
      </c>
      <c r="M3" s="138"/>
      <c r="N3" s="139"/>
      <c r="O3" s="140"/>
      <c r="P3" s="141"/>
      <c r="Q3" s="141"/>
      <c r="R3" s="141"/>
      <c r="S3" s="142"/>
      <c r="T3" s="143" t="str">
        <f t="shared" ref="T3:T40" si="10">D3</f>
        <v>6020.2022/0024483-8</v>
      </c>
      <c r="U3" s="144">
        <f t="shared" ref="U3:U40" si="11">F3</f>
        <v>15274.24</v>
      </c>
      <c r="V3" s="145">
        <f t="shared" ref="V3:V40" si="12">U3</f>
        <v>15274.24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2022/0024483 - DRE - G</v>
      </c>
      <c r="AB3" s="238" t="str">
        <f t="shared" ref="AB3:AB40" si="13">L3</f>
        <v>GISELE BRITO DE MATOS MALAQUIAS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3347</v>
      </c>
      <c r="B4" s="130"/>
      <c r="C4" s="131">
        <f t="shared" si="7"/>
        <v>0</v>
      </c>
      <c r="D4" s="132" t="str">
        <f>VLOOKUP(A4,'APONTAMENTO CREDENCIAMENTO'!$D$6:$P$3058,12,0)</f>
        <v>6020.2022/0024641-5</v>
      </c>
      <c r="E4" s="133"/>
      <c r="F4" s="134">
        <f>SUMIF('APONTAMENTO CREDENCIAMENTO'!$D$6:$D$3058,'ATESTE-LIQ'!A4,'APONTAMENTO CREDENCIAMENTO'!$FE$6:$FE$3058)</f>
        <v>16160.380000000001</v>
      </c>
      <c r="G4" s="328" t="str">
        <f>VLOOKUP(A4,'APONTAMENTO CREDENCIAMENTO'!$D$6:$G$3058,3,0)</f>
        <v>01/04/2026</v>
      </c>
      <c r="H4" s="328" t="str">
        <f>VLOOKUP(A4,'APONTAMENTO CREDENCIAMENTO'!$D$6:$G$3058,4,0)</f>
        <v>30/04/2026</v>
      </c>
      <c r="I4" s="135" t="str">
        <f t="shared" si="8"/>
        <v>PE - Pagto. Doc(s):  - Contrato nº 2022/0024641</v>
      </c>
      <c r="J4" s="136">
        <f t="shared" si="9"/>
        <v>16160.380000000001</v>
      </c>
      <c r="K4" s="136">
        <v>0</v>
      </c>
      <c r="L4" s="137" t="str">
        <f>VLOOKUP(A4,'APONTAMENTO CREDENCIAMENTO'!$D$6:$P$3058,5,0)</f>
        <v>WELLINGTON HENRIQUE RIBEIRO BRITO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6020.2022/0024641-5</v>
      </c>
      <c r="U4" s="144">
        <f t="shared" si="11"/>
        <v>16160.380000000001</v>
      </c>
      <c r="V4" s="145">
        <f t="shared" si="12"/>
        <v>16160.380000000001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2022/0024641 - DRE - G</v>
      </c>
      <c r="AB4" s="238" t="str">
        <f t="shared" si="13"/>
        <v>WELLINGTON HENRIQUE RIBEIRO BRITO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3319</v>
      </c>
      <c r="B5" s="130"/>
      <c r="C5" s="131">
        <f t="shared" si="7"/>
        <v>0</v>
      </c>
      <c r="D5" s="132" t="str">
        <f>VLOOKUP(A5,'APONTAMENTO CREDENCIAMENTO'!$D$6:$P$3058,12,0)</f>
        <v>6020.2022/0026142-2</v>
      </c>
      <c r="E5" s="133"/>
      <c r="F5" s="134">
        <f>SUMIF('APONTAMENTO CREDENCIAMENTO'!$D$6:$D$3058,'ATESTE-LIQ'!A5,'APONTAMENTO CREDENCIAMENTO'!$FE$6:$FE$3058)</f>
        <v>18779.870000000003</v>
      </c>
      <c r="G5" s="328" t="str">
        <f>VLOOKUP(A5,'APONTAMENTO CREDENCIAMENTO'!$D$6:$G$3058,3,0)</f>
        <v>01/04/2026</v>
      </c>
      <c r="H5" s="328" t="str">
        <f>VLOOKUP(A5,'APONTAMENTO CREDENCIAMENTO'!$D$6:$G$3058,4,0)</f>
        <v>30/04/2026</v>
      </c>
      <c r="I5" s="135" t="str">
        <f t="shared" si="8"/>
        <v>PE - Pagto. Doc(s):  - Contrato nº 2022/0026142</v>
      </c>
      <c r="J5" s="136">
        <f t="shared" si="9"/>
        <v>18779.870000000003</v>
      </c>
      <c r="K5" s="136">
        <v>0</v>
      </c>
      <c r="L5" s="137" t="str">
        <f>VLOOKUP(A5,'APONTAMENTO CREDENCIAMENTO'!$D$6:$P$3058,5,0)</f>
        <v>MARIA JOSE COSTA CRUZ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6020.2022/0026142-2</v>
      </c>
      <c r="U5" s="144">
        <f t="shared" si="11"/>
        <v>18779.870000000003</v>
      </c>
      <c r="V5" s="145">
        <f t="shared" si="12"/>
        <v>18779.870000000003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2022/0026142 - DRE - G</v>
      </c>
      <c r="AB5" s="238" t="str">
        <f t="shared" si="13"/>
        <v>MARIA JOSE COSTA CRUZ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3307</v>
      </c>
      <c r="B6" s="130"/>
      <c r="C6" s="131">
        <f t="shared" si="7"/>
        <v>0</v>
      </c>
      <c r="D6" s="132" t="str">
        <f>VLOOKUP(A6,'APONTAMENTO CREDENCIAMENTO'!$D$6:$P$3058,12,0)</f>
        <v>6020.2022/0026857-5</v>
      </c>
      <c r="E6" s="133"/>
      <c r="F6" s="134">
        <f>SUMIF('APONTAMENTO CREDENCIAMENTO'!$D$6:$D$3058,'ATESTE-LIQ'!A6,'APONTAMENTO CREDENCIAMENTO'!$FE$6:$FE$3058)</f>
        <v>23403</v>
      </c>
      <c r="G6" s="328" t="str">
        <f>VLOOKUP(A6,'APONTAMENTO CREDENCIAMENTO'!$D$6:$G$3058,3,0)</f>
        <v>01/04/2026</v>
      </c>
      <c r="H6" s="328" t="str">
        <f>VLOOKUP(A6,'APONTAMENTO CREDENCIAMENTO'!$D$6:$G$3058,4,0)</f>
        <v>30/04/2026</v>
      </c>
      <c r="I6" s="135" t="str">
        <f t="shared" si="8"/>
        <v>PE - Pagto. Doc(s):  - Contrato nº 2022/0026857</v>
      </c>
      <c r="J6" s="136">
        <f t="shared" si="9"/>
        <v>23403</v>
      </c>
      <c r="K6" s="136">
        <v>0</v>
      </c>
      <c r="L6" s="137" t="str">
        <f>VLOOKUP(A6,'APONTAMENTO CREDENCIAMENTO'!$D$6:$P$3058,5,0)</f>
        <v>MARCOS DA SILVA CORDEIRO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6020.2022/0026857-5</v>
      </c>
      <c r="U6" s="144">
        <f t="shared" si="11"/>
        <v>23403</v>
      </c>
      <c r="V6" s="145">
        <f t="shared" si="12"/>
        <v>23403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2022/0026857 - DRE - G</v>
      </c>
      <c r="AB6" s="238" t="str">
        <f t="shared" si="13"/>
        <v>MARCOS DA SILVA CORDEIRO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3327</v>
      </c>
      <c r="B7" s="130"/>
      <c r="C7" s="131">
        <f t="shared" si="7"/>
        <v>0</v>
      </c>
      <c r="D7" s="132" t="str">
        <f>VLOOKUP(A7,'APONTAMENTO CREDENCIAMENTO'!$D$6:$P$3058,12,0)</f>
        <v>6020.2022/0026954-7</v>
      </c>
      <c r="E7" s="133"/>
      <c r="F7" s="134">
        <f>SUMIF('APONTAMENTO CREDENCIAMENTO'!$D$6:$D$3058,'ATESTE-LIQ'!A7,'APONTAMENTO CREDENCIAMENTO'!$FE$6:$FE$3058)</f>
        <v>14041.43</v>
      </c>
      <c r="G7" s="328" t="str">
        <f>VLOOKUP(A7,'APONTAMENTO CREDENCIAMENTO'!$D$6:$G$3058,3,0)</f>
        <v>01/04/2026</v>
      </c>
      <c r="H7" s="328" t="str">
        <f>VLOOKUP(A7,'APONTAMENTO CREDENCIAMENTO'!$D$6:$G$3058,4,0)</f>
        <v>30/04/2026</v>
      </c>
      <c r="I7" s="135" t="str">
        <f t="shared" si="8"/>
        <v>PE - Pagto. Doc(s):  - Contrato nº 2022/0026954</v>
      </c>
      <c r="J7" s="136">
        <f t="shared" si="9"/>
        <v>14041.43</v>
      </c>
      <c r="K7" s="136">
        <v>0</v>
      </c>
      <c r="L7" s="137" t="str">
        <f>VLOOKUP(A7,'APONTAMENTO CREDENCIAMENTO'!$D$6:$P$3058,5,0)</f>
        <v>ORLANDO MENDES DO NASCIMENTO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6020.2022/0026954-7</v>
      </c>
      <c r="U7" s="144">
        <f t="shared" si="11"/>
        <v>14041.43</v>
      </c>
      <c r="V7" s="145">
        <f t="shared" si="12"/>
        <v>14041.43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2022/0026954 - DRE - G</v>
      </c>
      <c r="AB7" s="238" t="str">
        <f t="shared" si="13"/>
        <v>ORLANDO MENDES DO NASCIMENTO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3303</v>
      </c>
      <c r="B8" s="130"/>
      <c r="C8" s="131">
        <f t="shared" si="7"/>
        <v>0</v>
      </c>
      <c r="D8" s="132" t="str">
        <f>VLOOKUP(A8,'APONTAMENTO CREDENCIAMENTO'!$D$6:$P$3058,12,0)</f>
        <v>6020.2022/0027509-1</v>
      </c>
      <c r="E8" s="133"/>
      <c r="F8" s="134">
        <f>SUMIF('APONTAMENTO CREDENCIAMENTO'!$D$6:$D$3058,'ATESTE-LIQ'!A8,'APONTAMENTO CREDENCIAMENTO'!$FE$6:$FE$3058)</f>
        <v>22465.237000000005</v>
      </c>
      <c r="G8" s="328" t="str">
        <f>VLOOKUP(A8,'APONTAMENTO CREDENCIAMENTO'!$D$6:$G$3058,3,0)</f>
        <v>01/04/2026</v>
      </c>
      <c r="H8" s="328" t="str">
        <f>VLOOKUP(A8,'APONTAMENTO CREDENCIAMENTO'!$D$6:$G$3058,4,0)</f>
        <v>30/04/2026</v>
      </c>
      <c r="I8" s="135" t="str">
        <f t="shared" si="8"/>
        <v>PE - Pagto. Doc(s):  - Contrato nº 2022/0027509</v>
      </c>
      <c r="J8" s="136">
        <f t="shared" si="9"/>
        <v>22465.237000000005</v>
      </c>
      <c r="K8" s="136">
        <v>0</v>
      </c>
      <c r="L8" s="137" t="str">
        <f>VLOOKUP(A8,'APONTAMENTO CREDENCIAMENTO'!$D$6:$P$3058,5,0)</f>
        <v>MARCOS ANTONIO SANTOS DA SILVA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6020.2022/0027509-1</v>
      </c>
      <c r="U8" s="144">
        <f t="shared" si="11"/>
        <v>22465.237000000005</v>
      </c>
      <c r="V8" s="145">
        <f t="shared" si="12"/>
        <v>22465.237000000005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2022/0027509 - DRE - G</v>
      </c>
      <c r="AB8" s="238" t="str">
        <f t="shared" si="13"/>
        <v>MARCOS ANTONIO SANTOS DA SILVA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3200</v>
      </c>
      <c r="B9" s="130"/>
      <c r="C9" s="131">
        <f t="shared" si="7"/>
        <v>0</v>
      </c>
      <c r="D9" s="132" t="str">
        <f>VLOOKUP(A9,'APONTAMENTO CREDENCIAMENTO'!$D$6:$P$3058,12,0)</f>
        <v>6020.2022/0029218-2</v>
      </c>
      <c r="E9" s="133"/>
      <c r="F9" s="134">
        <f>SUMIF('APONTAMENTO CREDENCIAMENTO'!$D$6:$D$3058,'ATESTE-LIQ'!A9,'APONTAMENTO CREDENCIAMENTO'!$FE$6:$FE$3058)</f>
        <v>10959.59</v>
      </c>
      <c r="G9" s="328" t="str">
        <f>VLOOKUP(A9,'APONTAMENTO CREDENCIAMENTO'!$D$6:$G$3058,3,0)</f>
        <v>01/04/2026</v>
      </c>
      <c r="H9" s="328" t="str">
        <f>VLOOKUP(A9,'APONTAMENTO CREDENCIAMENTO'!$D$6:$G$3058,4,0)</f>
        <v>30/04/2026</v>
      </c>
      <c r="I9" s="135" t="str">
        <f t="shared" si="8"/>
        <v>PE - Pagto. Doc(s):  - Contrato nº 2022/0029218</v>
      </c>
      <c r="J9" s="136">
        <f t="shared" si="9"/>
        <v>10959.59</v>
      </c>
      <c r="K9" s="136">
        <v>0</v>
      </c>
      <c r="L9" s="137" t="str">
        <f>VLOOKUP(A9,'APONTAMENTO CREDENCIAMENTO'!$D$6:$P$3058,5,0)</f>
        <v>ALTAIR ELIAS CARNEIRO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6020.2022/0029218-2</v>
      </c>
      <c r="U9" s="144">
        <f t="shared" si="11"/>
        <v>10959.59</v>
      </c>
      <c r="V9" s="145">
        <f t="shared" si="12"/>
        <v>10959.59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2022/0029218 - DRE - G</v>
      </c>
      <c r="AB9" s="238" t="str">
        <f t="shared" si="13"/>
        <v>ALTAIR ELIAS CARNEIRO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3224</v>
      </c>
      <c r="B10" s="130"/>
      <c r="C10" s="131">
        <f t="shared" si="7"/>
        <v>0</v>
      </c>
      <c r="D10" s="132" t="str">
        <f>VLOOKUP(A10,'APONTAMENTO CREDENCIAMENTO'!$D$6:$P$3058,12,0)</f>
        <v>6020.2022/0029260-3</v>
      </c>
      <c r="E10" s="133"/>
      <c r="F10" s="134">
        <f>SUMIF('APONTAMENTO CREDENCIAMENTO'!$D$6:$D$3058,'ATESTE-LIQ'!A10,'APONTAMENTO CREDENCIAMENTO'!$FE$6:$FE$3058)</f>
        <v>19819.88</v>
      </c>
      <c r="G10" s="328" t="str">
        <f>VLOOKUP(A10,'APONTAMENTO CREDENCIAMENTO'!$D$6:$G$3058,3,0)</f>
        <v>01/04/2026</v>
      </c>
      <c r="H10" s="328" t="str">
        <f>VLOOKUP(A10,'APONTAMENTO CREDENCIAMENTO'!$D$6:$G$3058,4,0)</f>
        <v>30/04/2026</v>
      </c>
      <c r="I10" s="135" t="str">
        <f t="shared" si="8"/>
        <v>PE - Pagto. Doc(s):  - Contrato nº 2022/0029260</v>
      </c>
      <c r="J10" s="136">
        <f t="shared" si="9"/>
        <v>19819.88</v>
      </c>
      <c r="K10" s="136">
        <v>0</v>
      </c>
      <c r="L10" s="137" t="str">
        <f>VLOOKUP(A10,'APONTAMENTO CREDENCIAMENTO'!$D$6:$P$3058,5,0)</f>
        <v>CLAUDEMIR CORREIA E SILVA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6020.2022/0029260-3</v>
      </c>
      <c r="U10" s="144">
        <f t="shared" si="11"/>
        <v>19819.88</v>
      </c>
      <c r="V10" s="145">
        <f t="shared" si="12"/>
        <v>19819.88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2022/0029260 - DRE - G</v>
      </c>
      <c r="AB10" s="238" t="str">
        <f t="shared" si="13"/>
        <v>CLAUDEMIR CORREIA E SILVA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3236</v>
      </c>
      <c r="B11" s="130"/>
      <c r="C11" s="131">
        <f t="shared" si="7"/>
        <v>0</v>
      </c>
      <c r="D11" s="132" t="str">
        <f>VLOOKUP(A11,'APONTAMENTO CREDENCIAMENTO'!$D$6:$P$3058,12,0)</f>
        <v>6020.2022/0029282-4</v>
      </c>
      <c r="E11" s="133"/>
      <c r="F11" s="134">
        <f>SUMIF('APONTAMENTO CREDENCIAMENTO'!$D$6:$D$3058,'ATESTE-LIQ'!A11,'APONTAMENTO CREDENCIAMENTO'!$FE$6:$FE$3058)</f>
        <v>20770.521000000001</v>
      </c>
      <c r="G11" s="328" t="str">
        <f>VLOOKUP(A11,'APONTAMENTO CREDENCIAMENTO'!$D$6:$G$3058,3,0)</f>
        <v>01/04/2026</v>
      </c>
      <c r="H11" s="328" t="str">
        <f>VLOOKUP(A11,'APONTAMENTO CREDENCIAMENTO'!$D$6:$G$3058,4,0)</f>
        <v>30/04/2026</v>
      </c>
      <c r="I11" s="135" t="str">
        <f t="shared" si="8"/>
        <v>PE - Pagto. Doc(s):  - Contrato nº 2022/0029282</v>
      </c>
      <c r="J11" s="136">
        <f t="shared" si="9"/>
        <v>20770.521000000001</v>
      </c>
      <c r="K11" s="136">
        <v>0</v>
      </c>
      <c r="L11" s="137" t="str">
        <f>VLOOKUP(A11,'APONTAMENTO CREDENCIAMENTO'!$D$6:$P$3058,5,0)</f>
        <v>EDUARDO MARSURA DOS SANTOS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6020.2022/0029282-4</v>
      </c>
      <c r="U11" s="144">
        <f t="shared" si="11"/>
        <v>20770.521000000001</v>
      </c>
      <c r="V11" s="145">
        <f t="shared" si="12"/>
        <v>20770.521000000001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2022/0029282 - DRE - G</v>
      </c>
      <c r="AB11" s="238" t="str">
        <f t="shared" si="13"/>
        <v>EDUARDO MARSURA DOS SANTOS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3244</v>
      </c>
      <c r="B12" s="130"/>
      <c r="C12" s="131">
        <f t="shared" si="7"/>
        <v>0</v>
      </c>
      <c r="D12" s="132" t="str">
        <f>VLOOKUP(A12,'APONTAMENTO CREDENCIAMENTO'!$D$6:$P$3058,12,0)</f>
        <v>6020.2022/0029586-6</v>
      </c>
      <c r="E12" s="133"/>
      <c r="F12" s="134">
        <f>SUMIF('APONTAMENTO CREDENCIAMENTO'!$D$6:$D$3058,'ATESTE-LIQ'!A12,'APONTAMENTO CREDENCIAMENTO'!$FE$6:$FE$3058)</f>
        <v>14426.66</v>
      </c>
      <c r="G12" s="328" t="str">
        <f>VLOOKUP(A12,'APONTAMENTO CREDENCIAMENTO'!$D$6:$G$3058,3,0)</f>
        <v>01/04/2026</v>
      </c>
      <c r="H12" s="328" t="str">
        <f>VLOOKUP(A12,'APONTAMENTO CREDENCIAMENTO'!$D$6:$G$3058,4,0)</f>
        <v>30/04/2026</v>
      </c>
      <c r="I12" s="135" t="str">
        <f t="shared" si="8"/>
        <v>PE - Pagto. Doc(s):  - Contrato nº 2022/0029586</v>
      </c>
      <c r="J12" s="136">
        <f t="shared" si="9"/>
        <v>14426.66</v>
      </c>
      <c r="K12" s="136">
        <v>0</v>
      </c>
      <c r="L12" s="137" t="str">
        <f>VLOOKUP(A12,'APONTAMENTO CREDENCIAMENTO'!$D$6:$P$3058,5,0)</f>
        <v>ELIANA PEREIRA SILVA DE FARIA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6020.2022/0029586-6</v>
      </c>
      <c r="U12" s="144">
        <f t="shared" si="11"/>
        <v>14426.66</v>
      </c>
      <c r="V12" s="145">
        <f t="shared" si="12"/>
        <v>14426.66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2022/0029586 - DRE - G</v>
      </c>
      <c r="AB12" s="238" t="str">
        <f t="shared" si="13"/>
        <v>ELIANA PEREIRA SILVA DE FARIA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3295</v>
      </c>
      <c r="B13" s="130"/>
      <c r="C13" s="131">
        <f t="shared" si="7"/>
        <v>0</v>
      </c>
      <c r="D13" s="132" t="str">
        <f>VLOOKUP(A13,'APONTAMENTO CREDENCIAMENTO'!$D$6:$P$3058,12,0)</f>
        <v>6020.2022/0029876-8</v>
      </c>
      <c r="E13" s="133"/>
      <c r="F13" s="134">
        <f>SUMIF('APONTAMENTO CREDENCIAMENTO'!$D$6:$D$3058,'ATESTE-LIQ'!A13,'APONTAMENTO CREDENCIAMENTO'!$FE$6:$FE$3058)</f>
        <v>13078.54</v>
      </c>
      <c r="G13" s="328" t="str">
        <f>VLOOKUP(A13,'APONTAMENTO CREDENCIAMENTO'!$D$6:$G$3058,3,0)</f>
        <v>01/04/2026</v>
      </c>
      <c r="H13" s="328" t="str">
        <f>VLOOKUP(A13,'APONTAMENTO CREDENCIAMENTO'!$D$6:$G$3058,4,0)</f>
        <v>30/04/2026</v>
      </c>
      <c r="I13" s="135" t="str">
        <f t="shared" si="8"/>
        <v>PE - Pagto. Doc(s):  - Contrato nº 2022/0029876</v>
      </c>
      <c r="J13" s="136">
        <f t="shared" si="9"/>
        <v>13078.54</v>
      </c>
      <c r="K13" s="136">
        <v>0</v>
      </c>
      <c r="L13" s="137" t="str">
        <f>VLOOKUP(A13,'APONTAMENTO CREDENCIAMENTO'!$D$6:$P$3058,5,0)</f>
        <v>LOURINALDO PONTES DE OLIVEIRA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6020.2022/0029876-8</v>
      </c>
      <c r="U13" s="144">
        <f t="shared" si="11"/>
        <v>13078.54</v>
      </c>
      <c r="V13" s="145">
        <f t="shared" si="12"/>
        <v>13078.54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2022/0029876 - DRE - G</v>
      </c>
      <c r="AB13" s="238" t="str">
        <f t="shared" si="13"/>
        <v>LOURINALDO PONTES DE OLIVEIRA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3260</v>
      </c>
      <c r="B14" s="130"/>
      <c r="C14" s="131">
        <f t="shared" si="7"/>
        <v>0</v>
      </c>
      <c r="D14" s="132" t="str">
        <f>VLOOKUP(A14,'APONTAMENTO CREDENCIAMENTO'!$D$6:$P$3058,12,0)</f>
        <v>6020.2022/0031049-0</v>
      </c>
      <c r="E14" s="133"/>
      <c r="F14" s="134">
        <f>SUMIF('APONTAMENTO CREDENCIAMENTO'!$D$6:$D$3058,'ATESTE-LIQ'!A14,'APONTAMENTO CREDENCIAMENTO'!$FE$6:$FE$3058)</f>
        <v>19237.690333333328</v>
      </c>
      <c r="G14" s="328" t="str">
        <f>VLOOKUP(A14,'APONTAMENTO CREDENCIAMENTO'!$D$6:$G$3058,3,0)</f>
        <v>01/04/2026</v>
      </c>
      <c r="H14" s="328" t="str">
        <f>VLOOKUP(A14,'APONTAMENTO CREDENCIAMENTO'!$D$6:$G$3058,4,0)</f>
        <v>30/04/2026</v>
      </c>
      <c r="I14" s="135" t="str">
        <f t="shared" si="8"/>
        <v>PE - Pagto. Doc(s):  - Contrato nº 2022/0031049</v>
      </c>
      <c r="J14" s="136">
        <f t="shared" si="9"/>
        <v>19237.690333333328</v>
      </c>
      <c r="K14" s="136">
        <v>0</v>
      </c>
      <c r="L14" s="137" t="str">
        <f>VLOOKUP(A14,'APONTAMENTO CREDENCIAMENTO'!$D$6:$P$3058,5,0)</f>
        <v>GETRAN SANTOS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6020.2022/0031049-0</v>
      </c>
      <c r="U14" s="144">
        <f t="shared" si="11"/>
        <v>19237.690333333328</v>
      </c>
      <c r="V14" s="145">
        <f t="shared" si="12"/>
        <v>19237.690333333328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2022/0031049 - DRE - G</v>
      </c>
      <c r="AB14" s="238" t="str">
        <f t="shared" si="13"/>
        <v>GETRAN SANTOS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3311</v>
      </c>
      <c r="B15" s="130"/>
      <c r="C15" s="131">
        <f t="shared" si="7"/>
        <v>0</v>
      </c>
      <c r="D15" s="132" t="str">
        <f>VLOOKUP(A15,'APONTAMENTO CREDENCIAMENTO'!$D$6:$P$3058,12,0)</f>
        <v>6020.2022/0031365-1</v>
      </c>
      <c r="E15" s="133"/>
      <c r="F15" s="134">
        <f>SUMIF('APONTAMENTO CREDENCIAMENTO'!$D$6:$D$3058,'ATESTE-LIQ'!A15,'APONTAMENTO CREDENCIAMENTO'!$FE$6:$FE$3058)</f>
        <v>14876.391</v>
      </c>
      <c r="G15" s="328" t="str">
        <f>VLOOKUP(A15,'APONTAMENTO CREDENCIAMENTO'!$D$6:$G$3058,3,0)</f>
        <v>01/04/2026</v>
      </c>
      <c r="H15" s="328" t="str">
        <f>VLOOKUP(A15,'APONTAMENTO CREDENCIAMENTO'!$D$6:$G$3058,4,0)</f>
        <v>30/04/2026</v>
      </c>
      <c r="I15" s="135" t="str">
        <f t="shared" si="8"/>
        <v>PE - Pagto. Doc(s):  - Contrato nº 2022/0031365</v>
      </c>
      <c r="J15" s="136">
        <f t="shared" si="9"/>
        <v>14876.391</v>
      </c>
      <c r="K15" s="136">
        <v>0</v>
      </c>
      <c r="L15" s="137" t="str">
        <f>VLOOKUP(A15,'APONTAMENTO CREDENCIAMENTO'!$D$6:$P$3058,5,0)</f>
        <v>MARCOS DUARTE BRITO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6020.2022/0031365-1</v>
      </c>
      <c r="U15" s="144">
        <f t="shared" si="11"/>
        <v>14876.391</v>
      </c>
      <c r="V15" s="145">
        <f t="shared" si="12"/>
        <v>14876.391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2022/0031365 - DRE - G</v>
      </c>
      <c r="AB15" s="238" t="str">
        <f t="shared" si="13"/>
        <v>MARCOS DUARTE BRITO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3299</v>
      </c>
      <c r="B16" s="130"/>
      <c r="C16" s="131">
        <f t="shared" si="7"/>
        <v>0</v>
      </c>
      <c r="D16" s="132" t="str">
        <f>VLOOKUP(A16,'APONTAMENTO CREDENCIAMENTO'!$D$6:$P$3058,12,0)</f>
        <v>6020.2022/0031745-2</v>
      </c>
      <c r="E16" s="133"/>
      <c r="F16" s="134">
        <f>SUMIF('APONTAMENTO CREDENCIAMENTO'!$D$6:$D$3058,'ATESTE-LIQ'!A16,'APONTAMENTO CREDENCIAMENTO'!$FE$6:$FE$3058)</f>
        <v>23286.95</v>
      </c>
      <c r="G16" s="328" t="str">
        <f>VLOOKUP(A16,'APONTAMENTO CREDENCIAMENTO'!$D$6:$G$3058,3,0)</f>
        <v>01/04/2026</v>
      </c>
      <c r="H16" s="328" t="str">
        <f>VLOOKUP(A16,'APONTAMENTO CREDENCIAMENTO'!$D$6:$G$3058,4,0)</f>
        <v>30/04/2026</v>
      </c>
      <c r="I16" s="135" t="str">
        <f t="shared" si="8"/>
        <v>PE - Pagto. Doc(s):  - Contrato nº 2022/0031745</v>
      </c>
      <c r="J16" s="136">
        <f t="shared" si="9"/>
        <v>23286.95</v>
      </c>
      <c r="K16" s="136">
        <v>0</v>
      </c>
      <c r="L16" s="137" t="str">
        <f>VLOOKUP(A16,'APONTAMENTO CREDENCIAMENTO'!$D$6:$P$3058,5,0)</f>
        <v>MARCELO BISPO DA SILVA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6020.2022/0031745-2</v>
      </c>
      <c r="U16" s="144">
        <f t="shared" si="11"/>
        <v>23286.95</v>
      </c>
      <c r="V16" s="145">
        <f t="shared" si="12"/>
        <v>23286.95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2022/0031745 - DRE - G</v>
      </c>
      <c r="AB16" s="238" t="str">
        <f t="shared" si="13"/>
        <v>MARCELO BISPO DA SILVA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3240</v>
      </c>
      <c r="B17" s="130"/>
      <c r="C17" s="131">
        <f t="shared" si="7"/>
        <v>0</v>
      </c>
      <c r="D17" s="132" t="str">
        <f>VLOOKUP(A17,'APONTAMENTO CREDENCIAMENTO'!$D$6:$P$3058,12,0)</f>
        <v>6020.2022/0032072-0</v>
      </c>
      <c r="E17" s="133"/>
      <c r="F17" s="134">
        <f>SUMIF('APONTAMENTO CREDENCIAMENTO'!$D$6:$D$3058,'ATESTE-LIQ'!A17,'APONTAMENTO CREDENCIAMENTO'!$FE$6:$FE$3058)</f>
        <v>17123.27</v>
      </c>
      <c r="G17" s="328" t="str">
        <f>VLOOKUP(A17,'APONTAMENTO CREDENCIAMENTO'!$D$6:$G$3058,3,0)</f>
        <v>01/04/2026</v>
      </c>
      <c r="H17" s="328" t="str">
        <f>VLOOKUP(A17,'APONTAMENTO CREDENCIAMENTO'!$D$6:$G$3058,4,0)</f>
        <v>30/04/2026</v>
      </c>
      <c r="I17" s="135" t="str">
        <f t="shared" si="8"/>
        <v>PE - Pagto. Doc(s):  - Contrato nº 2022/0032072</v>
      </c>
      <c r="J17" s="136">
        <f t="shared" si="9"/>
        <v>17123.27</v>
      </c>
      <c r="K17" s="136">
        <v>0</v>
      </c>
      <c r="L17" s="137" t="str">
        <f>VLOOKUP(A17,'APONTAMENTO CREDENCIAMENTO'!$D$6:$P$3058,5,0)</f>
        <v>EDUARDO ROMUALDO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6020.2022/0032072-0</v>
      </c>
      <c r="U17" s="144">
        <f t="shared" si="11"/>
        <v>17123.27</v>
      </c>
      <c r="V17" s="145">
        <f t="shared" si="12"/>
        <v>17123.27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2022/0032072 - DRE - G</v>
      </c>
      <c r="AB17" s="238" t="str">
        <f t="shared" si="13"/>
        <v>EDUARDO ROMUALDO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3272</v>
      </c>
      <c r="B18" s="130"/>
      <c r="C18" s="131">
        <f t="shared" si="7"/>
        <v>0</v>
      </c>
      <c r="D18" s="132" t="str">
        <f>VLOOKUP(A18,'APONTAMENTO CREDENCIAMENTO'!$D$6:$P$3058,12,0)</f>
        <v>6020.2022/0032080-1</v>
      </c>
      <c r="E18" s="133"/>
      <c r="F18" s="134">
        <f>SUMIF('APONTAMENTO CREDENCIAMENTO'!$D$6:$D$3058,'ATESTE-LIQ'!A18,'APONTAMENTO CREDENCIAMENTO'!$FE$6:$FE$3058)</f>
        <v>14889.010000000002</v>
      </c>
      <c r="G18" s="328" t="str">
        <f>VLOOKUP(A18,'APONTAMENTO CREDENCIAMENTO'!$D$6:$G$3058,3,0)</f>
        <v>01/04/2026</v>
      </c>
      <c r="H18" s="328" t="str">
        <f>VLOOKUP(A18,'APONTAMENTO CREDENCIAMENTO'!$D$6:$G$3058,4,0)</f>
        <v>30/04/2026</v>
      </c>
      <c r="I18" s="135" t="str">
        <f t="shared" si="8"/>
        <v>PE - Pagto. Doc(s):  - Contrato nº 2022/0032080</v>
      </c>
      <c r="J18" s="136">
        <f t="shared" si="9"/>
        <v>14889.010000000002</v>
      </c>
      <c r="K18" s="136">
        <v>0</v>
      </c>
      <c r="L18" s="137" t="str">
        <f>VLOOKUP(A18,'APONTAMENTO CREDENCIAMENTO'!$D$6:$P$3058,5,0)</f>
        <v>JOANA D ARC SIQUEIRA GOMES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6020.2022/0032080-1</v>
      </c>
      <c r="U18" s="144">
        <f t="shared" si="11"/>
        <v>14889.010000000002</v>
      </c>
      <c r="V18" s="145">
        <f t="shared" si="12"/>
        <v>14889.010000000002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2022/0032080 - DRE - G</v>
      </c>
      <c r="AB18" s="238" t="str">
        <f t="shared" si="13"/>
        <v>JOANA D ARC SIQUEIRA GOMES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3291</v>
      </c>
      <c r="B19" s="130"/>
      <c r="C19" s="131">
        <f t="shared" si="7"/>
        <v>0</v>
      </c>
      <c r="D19" s="132" t="str">
        <f>VLOOKUP(A19,'APONTAMENTO CREDENCIAMENTO'!$D$6:$P$3058,12,0)</f>
        <v>6020.2022/0032151-4</v>
      </c>
      <c r="E19" s="133"/>
      <c r="F19" s="134">
        <f>SUMIF('APONTAMENTO CREDENCIAMENTO'!$D$6:$D$3058,'ATESTE-LIQ'!A19,'APONTAMENTO CREDENCIAMENTO'!$FE$6:$FE$3058)</f>
        <v>21746.03</v>
      </c>
      <c r="G19" s="328" t="str">
        <f>VLOOKUP(A19,'APONTAMENTO CREDENCIAMENTO'!$D$6:$G$3058,3,0)</f>
        <v>01/04/2026</v>
      </c>
      <c r="H19" s="328" t="str">
        <f>VLOOKUP(A19,'APONTAMENTO CREDENCIAMENTO'!$D$6:$G$3058,4,0)</f>
        <v>30/04/2026</v>
      </c>
      <c r="I19" s="135" t="str">
        <f t="shared" si="8"/>
        <v>PE - Pagto. Doc(s):  - Contrato nº 2022/0032151</v>
      </c>
      <c r="J19" s="136">
        <f t="shared" si="9"/>
        <v>21746.03</v>
      </c>
      <c r="K19" s="136">
        <v>0</v>
      </c>
      <c r="L19" s="137" t="str">
        <f>VLOOKUP(A19,'APONTAMENTO CREDENCIAMENTO'!$D$6:$P$3058,5,0)</f>
        <v>JOSE VALBERTO LOPES PIRES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6020.2022/0032151-4</v>
      </c>
      <c r="U19" s="144">
        <f t="shared" si="11"/>
        <v>21746.03</v>
      </c>
      <c r="V19" s="145">
        <f t="shared" si="12"/>
        <v>21746.03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2022/0032151 - DRE - G</v>
      </c>
      <c r="AB19" s="238" t="str">
        <f t="shared" si="13"/>
        <v>JOSE VALBERTO LOPES PIRES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3323</v>
      </c>
      <c r="B20" s="130"/>
      <c r="C20" s="131">
        <f t="shared" si="7"/>
        <v>0</v>
      </c>
      <c r="D20" s="132" t="str">
        <f>VLOOKUP(A20,'APONTAMENTO CREDENCIAMENTO'!$D$6:$P$3058,12,0)</f>
        <v>6020.2022/0032278-2</v>
      </c>
      <c r="E20" s="133"/>
      <c r="F20" s="134">
        <f>SUMIF('APONTAMENTO CREDENCIAMENTO'!$D$6:$D$3058,'ATESTE-LIQ'!A20,'APONTAMENTO CREDENCIAMENTO'!$FE$6:$FE$3058)</f>
        <v>14041.43</v>
      </c>
      <c r="G20" s="328" t="str">
        <f>VLOOKUP(A20,'APONTAMENTO CREDENCIAMENTO'!$D$6:$G$3058,3,0)</f>
        <v>01/04/2026</v>
      </c>
      <c r="H20" s="328" t="str">
        <f>VLOOKUP(A20,'APONTAMENTO CREDENCIAMENTO'!$D$6:$G$3058,4,0)</f>
        <v>30/04/2026</v>
      </c>
      <c r="I20" s="135" t="str">
        <f t="shared" si="8"/>
        <v>PE - Pagto. Doc(s):  - Contrato nº 2022/0032278</v>
      </c>
      <c r="J20" s="136">
        <f t="shared" si="9"/>
        <v>14041.43</v>
      </c>
      <c r="K20" s="136">
        <v>0</v>
      </c>
      <c r="L20" s="137" t="str">
        <f>VLOOKUP(A20,'APONTAMENTO CREDENCIAMENTO'!$D$6:$P$3058,5,0)</f>
        <v>NORMA DOS SANTOS DA SILVA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6020.2022/0032278-2</v>
      </c>
      <c r="U20" s="144">
        <f t="shared" si="11"/>
        <v>14041.43</v>
      </c>
      <c r="V20" s="145">
        <f t="shared" si="12"/>
        <v>14041.43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2022/0032278 - DRE - G</v>
      </c>
      <c r="AB20" s="238" t="str">
        <f t="shared" si="13"/>
        <v>NORMA DOS SANTOS DA SILVA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3216</v>
      </c>
      <c r="B21" s="130"/>
      <c r="C21" s="131">
        <f t="shared" si="7"/>
        <v>0</v>
      </c>
      <c r="D21" s="132" t="str">
        <f>VLOOKUP(A21,'APONTAMENTO CREDENCIAMENTO'!$D$6:$P$3058,12,0)</f>
        <v>6020.2022/0032326-6</v>
      </c>
      <c r="E21" s="133"/>
      <c r="F21" s="134">
        <f>SUMIF('APONTAMENTO CREDENCIAMENTO'!$D$6:$D$3058,'ATESTE-LIQ'!A21,'APONTAMENTO CREDENCIAMENTO'!$FE$6:$FE$3058)</f>
        <v>17816.251500000002</v>
      </c>
      <c r="G21" s="328" t="str">
        <f>VLOOKUP(A21,'APONTAMENTO CREDENCIAMENTO'!$D$6:$G$3058,3,0)</f>
        <v>01/04/2026</v>
      </c>
      <c r="H21" s="328" t="str">
        <f>VLOOKUP(A21,'APONTAMENTO CREDENCIAMENTO'!$D$6:$G$3058,4,0)</f>
        <v>30/04/2026</v>
      </c>
      <c r="I21" s="135" t="str">
        <f t="shared" si="8"/>
        <v>PE - Pagto. Doc(s):  - Contrato nº 2022/0032326</v>
      </c>
      <c r="J21" s="136">
        <f t="shared" si="9"/>
        <v>17816.251500000002</v>
      </c>
      <c r="K21" s="136">
        <v>0</v>
      </c>
      <c r="L21" s="137" t="str">
        <f>VLOOKUP(A21,'APONTAMENTO CREDENCIAMENTO'!$D$6:$P$3058,5,0)</f>
        <v>CARLOS GONCALVES DOS SANTOS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6020.2022/0032326-6</v>
      </c>
      <c r="U21" s="144">
        <f t="shared" si="11"/>
        <v>17816.251500000002</v>
      </c>
      <c r="V21" s="145">
        <f t="shared" si="12"/>
        <v>17816.251500000002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2022/0032326 - DRE - G</v>
      </c>
      <c r="AB21" s="238" t="str">
        <f t="shared" si="13"/>
        <v>CARLOS GONCALVES DOS SANTOS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3276</v>
      </c>
      <c r="B22" s="130"/>
      <c r="C22" s="131">
        <f t="shared" si="7"/>
        <v>0</v>
      </c>
      <c r="D22" s="132" t="str">
        <f>VLOOKUP(A22,'APONTAMENTO CREDENCIAMENTO'!$D$6:$P$3058,12,0)</f>
        <v>6020.2022/0032974-4</v>
      </c>
      <c r="E22" s="133"/>
      <c r="F22" s="134">
        <f>SUMIF('APONTAMENTO CREDENCIAMENTO'!$D$6:$D$3058,'ATESTE-LIQ'!A22,'APONTAMENTO CREDENCIAMENTO'!$FE$6:$FE$3058)</f>
        <v>10266.176000000001</v>
      </c>
      <c r="G22" s="328" t="str">
        <f>VLOOKUP(A22,'APONTAMENTO CREDENCIAMENTO'!$D$6:$G$3058,3,0)</f>
        <v>01/04/2026</v>
      </c>
      <c r="H22" s="328">
        <f>VLOOKUP(A22,'APONTAMENTO CREDENCIAMENTO'!$D$6:$G$3058,4,0)</f>
        <v>46141</v>
      </c>
      <c r="I22" s="135" t="str">
        <f t="shared" si="8"/>
        <v>PE - Pagto. Doc(s):  - Contrato nº 2022/0032974</v>
      </c>
      <c r="J22" s="136">
        <f t="shared" si="9"/>
        <v>10266.176000000001</v>
      </c>
      <c r="K22" s="136">
        <v>0</v>
      </c>
      <c r="L22" s="137" t="str">
        <f>VLOOKUP(A22,'APONTAMENTO CREDENCIAMENTO'!$D$6:$P$3058,5,0)</f>
        <v>JOAO ISIDORO NETO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6020.2022/0032974-4</v>
      </c>
      <c r="U22" s="144">
        <f t="shared" si="11"/>
        <v>10266.176000000001</v>
      </c>
      <c r="V22" s="145">
        <f t="shared" si="12"/>
        <v>10266.176000000001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2022/0032974 - DRE - G</v>
      </c>
      <c r="AB22" s="238" t="str">
        <f t="shared" si="13"/>
        <v>JOAO ISIDORO NETO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3315</v>
      </c>
      <c r="B23" s="130"/>
      <c r="C23" s="131">
        <f t="shared" si="7"/>
        <v>0</v>
      </c>
      <c r="D23" s="132" t="str">
        <f>VLOOKUP(A23,'APONTAMENTO CREDENCIAMENTO'!$D$6:$P$3058,12,0)</f>
        <v>6020.2022/0033035-1</v>
      </c>
      <c r="E23" s="133"/>
      <c r="F23" s="134">
        <f>SUMIF('APONTAMENTO CREDENCIAMENTO'!$D$6:$D$3058,'ATESTE-LIQ'!A23,'APONTAMENTO CREDENCIAMENTO'!$FE$6:$FE$3058)</f>
        <v>16622.73</v>
      </c>
      <c r="G23" s="328" t="str">
        <f>VLOOKUP(A23,'APONTAMENTO CREDENCIAMENTO'!$D$6:$G$3058,3,0)</f>
        <v>01/04/2026</v>
      </c>
      <c r="H23" s="328" t="str">
        <f>VLOOKUP(A23,'APONTAMENTO CREDENCIAMENTO'!$D$6:$G$3058,4,0)</f>
        <v>30/04/2026</v>
      </c>
      <c r="I23" s="135" t="str">
        <f t="shared" si="8"/>
        <v>PE - Pagto. Doc(s):  - Contrato nº 2022/0033035</v>
      </c>
      <c r="J23" s="136">
        <f t="shared" si="9"/>
        <v>16622.73</v>
      </c>
      <c r="K23" s="136">
        <v>0</v>
      </c>
      <c r="L23" s="137" t="str">
        <f>VLOOKUP(A23,'APONTAMENTO CREDENCIAMENTO'!$D$6:$P$3058,5,0)</f>
        <v>MARCOS PAULO SANTOS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6020.2022/0033035-1</v>
      </c>
      <c r="U23" s="144">
        <f t="shared" si="11"/>
        <v>16622.73</v>
      </c>
      <c r="V23" s="145">
        <f t="shared" si="12"/>
        <v>16622.73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2022/0033035 - DRE - G</v>
      </c>
      <c r="AB23" s="238" t="str">
        <f t="shared" si="13"/>
        <v>MARCOS PAULO SANTOS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3208</v>
      </c>
      <c r="B24" s="130"/>
      <c r="C24" s="131">
        <f t="shared" si="7"/>
        <v>0</v>
      </c>
      <c r="D24" s="132" t="str">
        <f>VLOOKUP(A24,'APONTAMENTO CREDENCIAMENTO'!$D$6:$P$3058,12,0)</f>
        <v>6020.2022/0033315-6</v>
      </c>
      <c r="E24" s="133"/>
      <c r="F24" s="134">
        <f>SUMIF('APONTAMENTO CREDENCIAMENTO'!$D$6:$D$3058,'ATESTE-LIQ'!A24,'APONTAMENTO CREDENCIAMENTO'!$FE$6:$FE$3058)</f>
        <v>18818.430000000004</v>
      </c>
      <c r="G24" s="328" t="str">
        <f>VLOOKUP(A24,'APONTAMENTO CREDENCIAMENTO'!$D$6:$G$3058,3,0)</f>
        <v>01/04/2026</v>
      </c>
      <c r="H24" s="328" t="str">
        <f>VLOOKUP(A24,'APONTAMENTO CREDENCIAMENTO'!$D$6:$G$3058,4,0)</f>
        <v>30/04/2026</v>
      </c>
      <c r="I24" s="135" t="str">
        <f t="shared" si="8"/>
        <v>PE - Pagto. Doc(s):  - Contrato nº 2022/0033315</v>
      </c>
      <c r="J24" s="136">
        <f t="shared" si="9"/>
        <v>18818.430000000004</v>
      </c>
      <c r="K24" s="136">
        <v>0</v>
      </c>
      <c r="L24" s="137" t="str">
        <f>VLOOKUP(A24,'APONTAMENTO CREDENCIAMENTO'!$D$6:$P$3058,5,0)</f>
        <v>BRUNO EDUARDO BARBOSA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6020.2022/0033315-6</v>
      </c>
      <c r="U24" s="144">
        <f t="shared" si="11"/>
        <v>18818.430000000004</v>
      </c>
      <c r="V24" s="145">
        <f t="shared" si="12"/>
        <v>18818.430000000004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2022/0033315 - DRE - G</v>
      </c>
      <c r="AB24" s="238" t="str">
        <f t="shared" si="13"/>
        <v>BRUNO EDUARDO BARBOSA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3212</v>
      </c>
      <c r="B25" s="130"/>
      <c r="C25" s="131">
        <f t="shared" si="7"/>
        <v>0</v>
      </c>
      <c r="D25" s="132" t="str">
        <f>VLOOKUP(A25,'APONTAMENTO CREDENCIAMENTO'!$D$6:$P$3058,12,0)</f>
        <v>6020.2022/0034309-7</v>
      </c>
      <c r="E25" s="133"/>
      <c r="F25" s="134">
        <f>SUMIF('APONTAMENTO CREDENCIAMENTO'!$D$6:$D$3058,'ATESTE-LIQ'!A25,'APONTAMENTO CREDENCIAMENTO'!$FE$6:$FE$3058)</f>
        <v>20619.884000000002</v>
      </c>
      <c r="G25" s="328" t="str">
        <f>VLOOKUP(A25,'APONTAMENTO CREDENCIAMENTO'!$D$6:$G$3058,3,0)</f>
        <v>01/04/2026</v>
      </c>
      <c r="H25" s="328" t="str">
        <f>VLOOKUP(A25,'APONTAMENTO CREDENCIAMENTO'!$D$6:$G$3058,4,0)</f>
        <v>30/04/2026</v>
      </c>
      <c r="I25" s="135" t="str">
        <f t="shared" si="8"/>
        <v>PE - Pagto. Doc(s):  - Contrato nº 2022/0034309</v>
      </c>
      <c r="J25" s="136">
        <f t="shared" si="9"/>
        <v>20619.884000000002</v>
      </c>
      <c r="K25" s="136">
        <v>0</v>
      </c>
      <c r="L25" s="137" t="str">
        <f>VLOOKUP(A25,'APONTAMENTO CREDENCIAMENTO'!$D$6:$P$3058,5,0)</f>
        <v>CARLOS ALBERTO DE ARAUJO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6020.2022/0034309-7</v>
      </c>
      <c r="U25" s="144">
        <f t="shared" si="11"/>
        <v>20619.884000000002</v>
      </c>
      <c r="V25" s="145">
        <f t="shared" si="12"/>
        <v>20619.884000000002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2022/0034309 - DRE - G</v>
      </c>
      <c r="AB25" s="238" t="str">
        <f t="shared" si="13"/>
        <v>CARLOS ALBERTO DE ARAUJO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3339</v>
      </c>
      <c r="B26" s="130"/>
      <c r="C26" s="131">
        <f t="shared" si="7"/>
        <v>0</v>
      </c>
      <c r="D26" s="132" t="str">
        <f>VLOOKUP(A26,'APONTAMENTO CREDENCIAMENTO'!$D$6:$P$3058,12,0)</f>
        <v>6020.2022/0034377-1</v>
      </c>
      <c r="E26" s="133"/>
      <c r="F26" s="134">
        <f>SUMIF('APONTAMENTO CREDENCIAMENTO'!$D$6:$D$3058,'ATESTE-LIQ'!A26,'APONTAMENTO CREDENCIAMENTO'!$FE$6:$FE$3058)</f>
        <v>12115.28</v>
      </c>
      <c r="G26" s="328" t="str">
        <f>VLOOKUP(A26,'APONTAMENTO CREDENCIAMENTO'!$D$6:$G$3058,3,0)</f>
        <v>01/04/2026</v>
      </c>
      <c r="H26" s="328" t="str">
        <f>VLOOKUP(A26,'APONTAMENTO CREDENCIAMENTO'!$D$6:$G$3058,4,0)</f>
        <v>30/04/2026</v>
      </c>
      <c r="I26" s="135" t="str">
        <f t="shared" si="8"/>
        <v>PE - Pagto. Doc(s):  - Contrato nº 2022/0034377</v>
      </c>
      <c r="J26" s="136">
        <f t="shared" si="9"/>
        <v>12115.28</v>
      </c>
      <c r="K26" s="136">
        <v>0</v>
      </c>
      <c r="L26" s="137" t="str">
        <f>VLOOKUP(A26,'APONTAMENTO CREDENCIAMENTO'!$D$6:$P$3058,5,0)</f>
        <v>VANDERLI DE OLIVEIRA COELHO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6020.2022/0034377-1</v>
      </c>
      <c r="U26" s="144">
        <f t="shared" si="11"/>
        <v>12115.28</v>
      </c>
      <c r="V26" s="145">
        <f t="shared" si="12"/>
        <v>12115.28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2022/0034377 - DRE - G</v>
      </c>
      <c r="AB26" s="238" t="str">
        <f t="shared" si="13"/>
        <v>VANDERLI DE OLIVEIRA COELHO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3287</v>
      </c>
      <c r="B27" s="130"/>
      <c r="C27" s="131">
        <f t="shared" si="7"/>
        <v>0</v>
      </c>
      <c r="D27" s="132" t="str">
        <f>VLOOKUP(A27,'APONTAMENTO CREDENCIAMENTO'!$D$6:$P$3058,12,0)</f>
        <v>6020.2022/0036852-9</v>
      </c>
      <c r="E27" s="133"/>
      <c r="F27" s="134">
        <f>SUMIF('APONTAMENTO CREDENCIAMENTO'!$D$6:$D$3058,'ATESTE-LIQ'!A27,'APONTAMENTO CREDENCIAMENTO'!$FE$6:$FE$3058)</f>
        <v>16738.04</v>
      </c>
      <c r="G27" s="328" t="str">
        <f>VLOOKUP(A27,'APONTAMENTO CREDENCIAMENTO'!$D$6:$G$3058,3,0)</f>
        <v>01/04/2026</v>
      </c>
      <c r="H27" s="328" t="str">
        <f>VLOOKUP(A27,'APONTAMENTO CREDENCIAMENTO'!$D$6:$G$3058,4,0)</f>
        <v>30/04/2026</v>
      </c>
      <c r="I27" s="135" t="str">
        <f t="shared" si="8"/>
        <v>PE - Pagto. Doc(s):  - Contrato nº 2022/0036852</v>
      </c>
      <c r="J27" s="136">
        <f t="shared" si="9"/>
        <v>16738.04</v>
      </c>
      <c r="K27" s="136">
        <v>0</v>
      </c>
      <c r="L27" s="137" t="str">
        <f>VLOOKUP(A27,'APONTAMENTO CREDENCIAMENTO'!$D$6:$P$3058,5,0)</f>
        <v>JOSE LEANDRO DE MELO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6020.2022/0036852-9</v>
      </c>
      <c r="U27" s="144">
        <f t="shared" si="11"/>
        <v>16738.04</v>
      </c>
      <c r="V27" s="145">
        <f t="shared" si="12"/>
        <v>16738.04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2022/0036852 - DRE - G</v>
      </c>
      <c r="AB27" s="238" t="str">
        <f t="shared" si="13"/>
        <v>JOSE LEANDRO DE MELO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3248</v>
      </c>
      <c r="B28" s="130"/>
      <c r="C28" s="131">
        <f t="shared" si="7"/>
        <v>0</v>
      </c>
      <c r="D28" s="132" t="str">
        <f>VLOOKUP(A28,'APONTAMENTO CREDENCIAMENTO'!$D$6:$P$3058,12,0)</f>
        <v>6020.2022/0036886-3</v>
      </c>
      <c r="E28" s="133"/>
      <c r="F28" s="134">
        <f>SUMIF('APONTAMENTO CREDENCIAMENTO'!$D$6:$D$3058,'ATESTE-LIQ'!A28,'APONTAMENTO CREDENCIAMENTO'!$FE$6:$FE$3058)</f>
        <v>15317.929999999998</v>
      </c>
      <c r="G28" s="328" t="str">
        <f>VLOOKUP(A28,'APONTAMENTO CREDENCIAMENTO'!$D$6:$G$3058,3,0)</f>
        <v>01/04/2026</v>
      </c>
      <c r="H28" s="328" t="str">
        <f>VLOOKUP(A28,'APONTAMENTO CREDENCIAMENTO'!$D$6:$G$3058,4,0)</f>
        <v>30/04/2026</v>
      </c>
      <c r="I28" s="135" t="str">
        <f t="shared" si="8"/>
        <v>PE - Pagto. Doc(s):  - Contrato nº 2022/0036886</v>
      </c>
      <c r="J28" s="136">
        <f t="shared" si="9"/>
        <v>15317.929999999998</v>
      </c>
      <c r="K28" s="136">
        <v>0</v>
      </c>
      <c r="L28" s="137" t="str">
        <f>VLOOKUP(A28,'APONTAMENTO CREDENCIAMENTO'!$D$6:$P$3058,5,0)</f>
        <v>ELISABETE NASCIMENTO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6020.2022/0036886-3</v>
      </c>
      <c r="U28" s="144">
        <f t="shared" si="11"/>
        <v>15317.929999999998</v>
      </c>
      <c r="V28" s="145">
        <f t="shared" si="12"/>
        <v>15317.929999999998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2022/0036886 - DRE - G</v>
      </c>
      <c r="AB28" s="238" t="str">
        <f t="shared" si="13"/>
        <v>ELISABETE NASCIMENTO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3283</v>
      </c>
      <c r="B29" s="130"/>
      <c r="C29" s="131">
        <f t="shared" si="7"/>
        <v>0</v>
      </c>
      <c r="D29" s="132" t="str">
        <f>VLOOKUP(A29,'APONTAMENTO CREDENCIAMENTO'!$D$6:$P$3058,12,0)</f>
        <v>6020.2023/0012487-7</v>
      </c>
      <c r="E29" s="133"/>
      <c r="F29" s="134">
        <f>SUMIF('APONTAMENTO CREDENCIAMENTO'!$D$6:$D$3058,'ATESTE-LIQ'!A29,'APONTAMENTO CREDENCIAMENTO'!$FE$6:$FE$3058)</f>
        <v>15967.580000000002</v>
      </c>
      <c r="G29" s="328" t="str">
        <f>VLOOKUP(A29,'APONTAMENTO CREDENCIAMENTO'!$D$6:$G$3058,3,0)</f>
        <v>01/04/2026</v>
      </c>
      <c r="H29" s="328" t="str">
        <f>VLOOKUP(A29,'APONTAMENTO CREDENCIAMENTO'!$D$6:$G$3058,4,0)</f>
        <v>30/04/2026</v>
      </c>
      <c r="I29" s="135" t="str">
        <f t="shared" si="8"/>
        <v>PE - Pagto. Doc(s):  - Contrato nº 2023/0012487</v>
      </c>
      <c r="J29" s="136">
        <f t="shared" si="9"/>
        <v>15967.580000000002</v>
      </c>
      <c r="K29" s="136">
        <v>0</v>
      </c>
      <c r="L29" s="137" t="str">
        <f>VLOOKUP(A29,'APONTAMENTO CREDENCIAMENTO'!$D$6:$P$3058,5,0)</f>
        <v>JOSE ANDRADE CUNHA JUNIOR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6020.2023/0012487-7</v>
      </c>
      <c r="U29" s="144">
        <f t="shared" si="11"/>
        <v>15967.580000000002</v>
      </c>
      <c r="V29" s="145">
        <f t="shared" si="12"/>
        <v>15967.580000000002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2023/0012487 - DRE - G</v>
      </c>
      <c r="AB29" s="238" t="str">
        <f t="shared" si="13"/>
        <v>JOSE ANDRADE CUNHA JUNIOR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3228</v>
      </c>
      <c r="B30" s="130"/>
      <c r="C30" s="131">
        <f t="shared" si="7"/>
        <v>0</v>
      </c>
      <c r="D30" s="132" t="str">
        <f>VLOOKUP(A30,'APONTAMENTO CREDENCIAMENTO'!$D$6:$P$3058,12,0)</f>
        <v>6020.2023/0015338-9</v>
      </c>
      <c r="E30" s="133"/>
      <c r="F30" s="134">
        <f>SUMIF('APONTAMENTO CREDENCIAMENTO'!$D$6:$D$3058,'ATESTE-LIQ'!A30,'APONTAMENTO CREDENCIAMENTO'!$FE$6:$FE$3058)</f>
        <v>18702.713</v>
      </c>
      <c r="G30" s="328" t="str">
        <f>VLOOKUP(A30,'APONTAMENTO CREDENCIAMENTO'!$D$6:$G$3058,3,0)</f>
        <v>01/04/2026</v>
      </c>
      <c r="H30" s="328" t="str">
        <f>VLOOKUP(A30,'APONTAMENTO CREDENCIAMENTO'!$D$6:$G$3058,4,0)</f>
        <v>30/04/2026</v>
      </c>
      <c r="I30" s="135" t="str">
        <f t="shared" si="8"/>
        <v>PE - Pagto. Doc(s):  - Contrato nº 2023/0015338</v>
      </c>
      <c r="J30" s="136">
        <f t="shared" si="9"/>
        <v>18702.713</v>
      </c>
      <c r="K30" s="136">
        <v>0</v>
      </c>
      <c r="L30" s="137" t="str">
        <f>VLOOKUP(A30,'APONTAMENTO CREDENCIAMENTO'!$D$6:$P$3058,5,0)</f>
        <v>DAVID CAMINI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6020.2023/0015338-9</v>
      </c>
      <c r="U30" s="144">
        <f t="shared" si="11"/>
        <v>18702.713</v>
      </c>
      <c r="V30" s="145">
        <f t="shared" si="12"/>
        <v>18702.713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2023/0015338 - DRE - G</v>
      </c>
      <c r="AB30" s="238" t="str">
        <f t="shared" si="13"/>
        <v>DAVID CAMINI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3343</v>
      </c>
      <c r="B31" s="130"/>
      <c r="C31" s="131">
        <f t="shared" si="7"/>
        <v>0</v>
      </c>
      <c r="D31" s="132" t="str">
        <f>VLOOKUP(A31,'APONTAMENTO CREDENCIAMENTO'!$D$6:$P$3058,12,0)</f>
        <v>6020.2023/0017786-5</v>
      </c>
      <c r="E31" s="133"/>
      <c r="F31" s="134">
        <f>SUMIF('APONTAMENTO CREDENCIAMENTO'!$D$6:$D$3058,'ATESTE-LIQ'!A31,'APONTAMENTO CREDENCIAMENTO'!$FE$6:$FE$3058)</f>
        <v>27909.710000000003</v>
      </c>
      <c r="G31" s="328" t="str">
        <f>VLOOKUP(A31,'APONTAMENTO CREDENCIAMENTO'!$D$6:$G$3058,3,0)</f>
        <v>01/04/2026</v>
      </c>
      <c r="H31" s="328" t="str">
        <f>VLOOKUP(A31,'APONTAMENTO CREDENCIAMENTO'!$D$6:$G$3058,4,0)</f>
        <v>30/04/2026</v>
      </c>
      <c r="I31" s="135" t="str">
        <f t="shared" si="8"/>
        <v>PE - Pagto. Doc(s):  - Contrato nº 2023/0017786</v>
      </c>
      <c r="J31" s="136">
        <f t="shared" si="9"/>
        <v>27909.710000000003</v>
      </c>
      <c r="K31" s="136">
        <v>0</v>
      </c>
      <c r="L31" s="137" t="str">
        <f>VLOOKUP(A31,'APONTAMENTO CREDENCIAMENTO'!$D$6:$P$3058,5,0)</f>
        <v>WANDERLEY MARTINIANO DA MATA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6020.2023/0017786-5</v>
      </c>
      <c r="U31" s="144">
        <f t="shared" si="11"/>
        <v>27909.710000000003</v>
      </c>
      <c r="V31" s="145">
        <f t="shared" si="12"/>
        <v>27909.710000000003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2023/0017786 - DRE - G</v>
      </c>
      <c r="AB31" s="238" t="str">
        <f t="shared" si="13"/>
        <v>WANDERLEY MARTINIANO DA MATA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3232</v>
      </c>
      <c r="B32" s="130"/>
      <c r="C32" s="131">
        <f t="shared" si="7"/>
        <v>0</v>
      </c>
      <c r="D32" s="132" t="str">
        <f>VLOOKUP(A32,'APONTAMENTO CREDENCIAMENTO'!$D$6:$P$3058,12,0)</f>
        <v>6020.2023/0024108-3</v>
      </c>
      <c r="E32" s="133"/>
      <c r="F32" s="134">
        <f>SUMIF('APONTAMENTO CREDENCIAMENTO'!$D$6:$D$3058,'ATESTE-LIQ'!A32,'APONTAMENTO CREDENCIAMENTO'!$FE$6:$FE$3058)</f>
        <v>18664.190000000002</v>
      </c>
      <c r="G32" s="328" t="str">
        <f>VLOOKUP(A32,'APONTAMENTO CREDENCIAMENTO'!$D$6:$G$3058,3,0)</f>
        <v>01/04/2026</v>
      </c>
      <c r="H32" s="328" t="str">
        <f>VLOOKUP(A32,'APONTAMENTO CREDENCIAMENTO'!$D$6:$G$3058,4,0)</f>
        <v>30/04/2026</v>
      </c>
      <c r="I32" s="135" t="str">
        <f t="shared" si="8"/>
        <v>PE - Pagto. Doc(s):  - Contrato nº 2023/0024108</v>
      </c>
      <c r="J32" s="136">
        <f t="shared" si="9"/>
        <v>18664.190000000002</v>
      </c>
      <c r="K32" s="136">
        <v>0</v>
      </c>
      <c r="L32" s="137" t="str">
        <f>VLOOKUP(A32,'APONTAMENTO CREDENCIAMENTO'!$D$6:$P$3058,5,0)</f>
        <v>EDILENE SALES FEITOZA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6020.2023/0024108-3</v>
      </c>
      <c r="U32" s="144">
        <f t="shared" si="11"/>
        <v>18664.190000000002</v>
      </c>
      <c r="V32" s="145">
        <f t="shared" si="12"/>
        <v>18664.190000000002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2023/0024108 - DRE - G</v>
      </c>
      <c r="AB32" s="238" t="str">
        <f t="shared" si="13"/>
        <v>EDILENE SALES FEITOZA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3220</v>
      </c>
      <c r="B33" s="130"/>
      <c r="C33" s="131">
        <f t="shared" si="7"/>
        <v>0</v>
      </c>
      <c r="D33" s="132" t="str">
        <f>VLOOKUP(A33,'APONTAMENTO CREDENCIAMENTO'!$D$6:$P$3058,12,0)</f>
        <v>6020.2023/0024580-1</v>
      </c>
      <c r="E33" s="133"/>
      <c r="F33" s="134">
        <f>SUMIF('APONTAMENTO CREDENCIAMENTO'!$D$6:$D$3058,'ATESTE-LIQ'!A33,'APONTAMENTO CREDENCIAMENTO'!$FE$6:$FE$3058)</f>
        <v>20494.288333333334</v>
      </c>
      <c r="G33" s="328" t="str">
        <f>VLOOKUP(A33,'APONTAMENTO CREDENCIAMENTO'!$D$6:$G$3058,3,0)</f>
        <v>01/04/2026</v>
      </c>
      <c r="H33" s="328" t="str">
        <f>VLOOKUP(A33,'APONTAMENTO CREDENCIAMENTO'!$D$6:$G$3058,4,0)</f>
        <v>30/04/2026</v>
      </c>
      <c r="I33" s="135" t="str">
        <f t="shared" si="8"/>
        <v>PE - Pagto. Doc(s):  - Contrato nº 2023/0024580</v>
      </c>
      <c r="J33" s="136">
        <f t="shared" si="9"/>
        <v>20494.288333333334</v>
      </c>
      <c r="K33" s="136">
        <v>0</v>
      </c>
      <c r="L33" s="137" t="str">
        <f>VLOOKUP(A33,'APONTAMENTO CREDENCIAMENTO'!$D$6:$P$3058,5,0)</f>
        <v>CARLOS VITORINO FIGUEIREDO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6020.2023/0024580-1</v>
      </c>
      <c r="U33" s="144">
        <f t="shared" si="11"/>
        <v>20494.288333333334</v>
      </c>
      <c r="V33" s="145">
        <f t="shared" si="12"/>
        <v>20494.288333333334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2023/0024580 - DRE - G</v>
      </c>
      <c r="AB33" s="238" t="str">
        <f t="shared" si="13"/>
        <v>CARLOS VITORINO FIGUEIREDO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3256</v>
      </c>
      <c r="B34" s="130"/>
      <c r="C34" s="131">
        <f t="shared" si="7"/>
        <v>0</v>
      </c>
      <c r="D34" s="132" t="str">
        <f>VLOOKUP(A34,'APONTAMENTO CREDENCIAMENTO'!$D$6:$P$3058,12,0)</f>
        <v>6020.2023/0025327-8</v>
      </c>
      <c r="E34" s="133"/>
      <c r="F34" s="134">
        <f>SUMIF('APONTAMENTO CREDENCIAMENTO'!$D$6:$D$3058,'ATESTE-LIQ'!A34,'APONTAMENTO CREDENCIAMENTO'!$FE$6:$FE$3058)</f>
        <v>19049.420000000002</v>
      </c>
      <c r="G34" s="328" t="str">
        <f>VLOOKUP(A34,'APONTAMENTO CREDENCIAMENTO'!$D$6:$G$3058,3,0)</f>
        <v>01/04/2026</v>
      </c>
      <c r="H34" s="328" t="str">
        <f>VLOOKUP(A34,'APONTAMENTO CREDENCIAMENTO'!$D$6:$G$3058,4,0)</f>
        <v>30/04/2026</v>
      </c>
      <c r="I34" s="135" t="str">
        <f t="shared" si="8"/>
        <v>PE - Pagto. Doc(s):  - Contrato nº 2023/0025327</v>
      </c>
      <c r="J34" s="136">
        <f t="shared" si="9"/>
        <v>19049.420000000002</v>
      </c>
      <c r="K34" s="136">
        <v>0</v>
      </c>
      <c r="L34" s="137" t="str">
        <f>VLOOKUP(A34,'APONTAMENTO CREDENCIAMENTO'!$D$6:$P$3058,5,0)</f>
        <v>GERALDO CONCEICAO DA SILVA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6020.2023/0025327-8</v>
      </c>
      <c r="U34" s="144">
        <f t="shared" si="11"/>
        <v>19049.420000000002</v>
      </c>
      <c r="V34" s="145">
        <f t="shared" si="12"/>
        <v>19049.420000000002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2023/0025327 - DRE - G</v>
      </c>
      <c r="AB34" s="238" t="str">
        <f t="shared" si="13"/>
        <v>GERALDO CONCEICAO DA SILVA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3204</v>
      </c>
      <c r="B35" s="130"/>
      <c r="C35" s="131">
        <f t="shared" si="7"/>
        <v>0</v>
      </c>
      <c r="D35" s="132" t="str">
        <f>VLOOKUP(A35,'APONTAMENTO CREDENCIAMENTO'!$D$6:$P$3058,12,0)</f>
        <v>6020.2023/0026116-5</v>
      </c>
      <c r="E35" s="133"/>
      <c r="F35" s="134">
        <f>SUMIF('APONTAMENTO CREDENCIAMENTO'!$D$6:$D$3058,'ATESTE-LIQ'!A35,'APONTAMENTO CREDENCIAMENTO'!$FE$6:$FE$3058)</f>
        <v>22118.641</v>
      </c>
      <c r="G35" s="328" t="str">
        <f>VLOOKUP(A35,'APONTAMENTO CREDENCIAMENTO'!$D$6:$G$3058,3,0)</f>
        <v>01/04/2026</v>
      </c>
      <c r="H35" s="328" t="str">
        <f>VLOOKUP(A35,'APONTAMENTO CREDENCIAMENTO'!$D$6:$G$3058,4,0)</f>
        <v>30/04/2026</v>
      </c>
      <c r="I35" s="135" t="str">
        <f t="shared" si="8"/>
        <v>PE - Pagto. Doc(s):  - Contrato nº 2023/0026116</v>
      </c>
      <c r="J35" s="136">
        <f t="shared" si="9"/>
        <v>22118.641</v>
      </c>
      <c r="K35" s="136">
        <v>0</v>
      </c>
      <c r="L35" s="137" t="str">
        <f>VLOOKUP(A35,'APONTAMENTO CREDENCIAMENTO'!$D$6:$P$3058,5,0)</f>
        <v>ANTONIO ROBERTO GOMES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6020.2023/0026116-5</v>
      </c>
      <c r="U35" s="144">
        <f t="shared" si="11"/>
        <v>22118.641</v>
      </c>
      <c r="V35" s="145">
        <f t="shared" si="12"/>
        <v>22118.641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2023/0026116 - DRE - G</v>
      </c>
      <c r="AB35" s="238" t="str">
        <f t="shared" si="13"/>
        <v>ANTONIO ROBERTO GOMES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3279</v>
      </c>
      <c r="B36" s="130"/>
      <c r="C36" s="131">
        <f t="shared" si="7"/>
        <v>0</v>
      </c>
      <c r="D36" s="132" t="str">
        <f>VLOOKUP(A36,'APONTAMENTO CREDENCIAMENTO'!$D$6:$P$3058,12,0)</f>
        <v>6020.2023/0026505-5</v>
      </c>
      <c r="E36" s="133"/>
      <c r="F36" s="134">
        <f>SUMIF('APONTAMENTO CREDENCIAMENTO'!$D$6:$D$3058,'ATESTE-LIQ'!A36,'APONTAMENTO CREDENCIAMENTO'!$FE$6:$FE$3058)</f>
        <v>16584.170000000002</v>
      </c>
      <c r="G36" s="328" t="str">
        <f>VLOOKUP(A36,'APONTAMENTO CREDENCIAMENTO'!$D$6:$G$3058,3,0)</f>
        <v>01/04/2026</v>
      </c>
      <c r="H36" s="328" t="str">
        <f>VLOOKUP(A36,'APONTAMENTO CREDENCIAMENTO'!$D$6:$G$3058,4,0)</f>
        <v>30/04/2026</v>
      </c>
      <c r="I36" s="135" t="str">
        <f t="shared" si="8"/>
        <v>PE - Pagto. Doc(s):  - Contrato nº 2023/0026505</v>
      </c>
      <c r="J36" s="136">
        <f t="shared" si="9"/>
        <v>16584.170000000002</v>
      </c>
      <c r="K36" s="136">
        <v>0</v>
      </c>
      <c r="L36" s="137" t="str">
        <f>VLOOKUP(A36,'APONTAMENTO CREDENCIAMENTO'!$D$6:$P$3058,5,0)</f>
        <v>JONAS CARDOSO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6020.2023/0026505-5</v>
      </c>
      <c r="U36" s="144">
        <f t="shared" si="11"/>
        <v>16584.170000000002</v>
      </c>
      <c r="V36" s="145">
        <f t="shared" si="12"/>
        <v>16584.170000000002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2023/0026505 - DRE - G</v>
      </c>
      <c r="AB36" s="238" t="str">
        <f t="shared" si="13"/>
        <v>JONAS CARDOSO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3252</v>
      </c>
      <c r="B37" s="130"/>
      <c r="C37" s="131">
        <f t="shared" si="7"/>
        <v>0</v>
      </c>
      <c r="D37" s="132" t="str">
        <f>VLOOKUP(A37,'APONTAMENTO CREDENCIAMENTO'!$D$6:$P$3058,12,0)</f>
        <v>6020.2023/0026583-7</v>
      </c>
      <c r="E37" s="133"/>
      <c r="F37" s="134">
        <f>SUMIF('APONTAMENTO CREDENCIAMENTO'!$D$6:$D$3058,'ATESTE-LIQ'!A37,'APONTAMENTO CREDENCIAMENTO'!$FE$6:$FE$3058)</f>
        <v>25881.128000000004</v>
      </c>
      <c r="G37" s="328" t="str">
        <f>VLOOKUP(A37,'APONTAMENTO CREDENCIAMENTO'!$D$6:$G$3058,3,0)</f>
        <v>01/04/2026</v>
      </c>
      <c r="H37" s="328" t="str">
        <f>VLOOKUP(A37,'APONTAMENTO CREDENCIAMENTO'!$D$6:$G$3058,4,0)</f>
        <v>30/04/2026</v>
      </c>
      <c r="I37" s="135" t="str">
        <f t="shared" si="8"/>
        <v>PE - Pagto. Doc(s):  - Contrato nº 2023/0026583</v>
      </c>
      <c r="J37" s="136">
        <f t="shared" si="9"/>
        <v>25881.128000000004</v>
      </c>
      <c r="K37" s="136">
        <v>0</v>
      </c>
      <c r="L37" s="137" t="str">
        <f>VLOOKUP(A37,'APONTAMENTO CREDENCIAMENTO'!$D$6:$P$3058,5,0)</f>
        <v>ERIK BRASIL DE VASCONCELOS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6020.2023/0026583-7</v>
      </c>
      <c r="U37" s="144">
        <f t="shared" si="11"/>
        <v>25881.128000000004</v>
      </c>
      <c r="V37" s="145">
        <f t="shared" si="12"/>
        <v>25881.128000000004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2023/0026583 - DRE - G</v>
      </c>
      <c r="AB37" s="238" t="str">
        <f t="shared" si="13"/>
        <v>ERIK BRASIL DE VASCONCELOS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3264</v>
      </c>
      <c r="B38" s="130"/>
      <c r="C38" s="131">
        <f t="shared" si="7"/>
        <v>0</v>
      </c>
      <c r="D38" s="132" t="str">
        <f>VLOOKUP(A38,'APONTAMENTO CREDENCIAMENTO'!$D$6:$P$3058,12,0)</f>
        <v>6020.2023/0026599-3</v>
      </c>
      <c r="E38" s="133"/>
      <c r="F38" s="134">
        <f>SUMIF('APONTAMENTO CREDENCIAMENTO'!$D$6:$D$3058,'ATESTE-LIQ'!A38,'APONTAMENTO CREDENCIAMENTO'!$FE$6:$FE$3058)</f>
        <v>18664.190000000002</v>
      </c>
      <c r="G38" s="328" t="str">
        <f>VLOOKUP(A38,'APONTAMENTO CREDENCIAMENTO'!$D$6:$G$3058,3,0)</f>
        <v>01/04/2026</v>
      </c>
      <c r="H38" s="328" t="str">
        <f>VLOOKUP(A38,'APONTAMENTO CREDENCIAMENTO'!$D$6:$G$3058,4,0)</f>
        <v>30/04/2026</v>
      </c>
      <c r="I38" s="135" t="str">
        <f t="shared" si="8"/>
        <v>PE - Pagto. Doc(s):  - Contrato nº 2023/0026599</v>
      </c>
      <c r="J38" s="136">
        <f t="shared" si="9"/>
        <v>18664.190000000002</v>
      </c>
      <c r="K38" s="136">
        <v>0</v>
      </c>
      <c r="L38" s="137" t="str">
        <f>VLOOKUP(A38,'APONTAMENTO CREDENCIAMENTO'!$D$6:$P$3058,5,0)</f>
        <v>GILMAR RIBEIRO LEAL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6020.2023/0026599-3</v>
      </c>
      <c r="U38" s="144">
        <f t="shared" si="11"/>
        <v>18664.190000000002</v>
      </c>
      <c r="V38" s="145">
        <f t="shared" si="12"/>
        <v>18664.190000000002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2023/0026599 - DRE - G</v>
      </c>
      <c r="AB38" s="238" t="str">
        <f t="shared" si="13"/>
        <v>GILMAR RIBEIRO LEAL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3331</v>
      </c>
      <c r="B39" s="130"/>
      <c r="C39" s="131">
        <f t="shared" si="7"/>
        <v>0</v>
      </c>
      <c r="D39" s="132" t="str">
        <f>VLOOKUP(A39,'APONTAMENTO CREDENCIAMENTO'!$D$6:$P$3058,12,0)</f>
        <v>6020.2023/0030044-6</v>
      </c>
      <c r="E39" s="133"/>
      <c r="F39" s="134">
        <f>SUMIF('APONTAMENTO CREDENCIAMENTO'!$D$6:$D$3058,'ATESTE-LIQ'!A39,'APONTAMENTO CREDENCIAMENTO'!$FE$6:$FE$3058)</f>
        <v>14234.23</v>
      </c>
      <c r="G39" s="328" t="str">
        <f>VLOOKUP(A39,'APONTAMENTO CREDENCIAMENTO'!$D$6:$G$3058,3,0)</f>
        <v>01/04/2026</v>
      </c>
      <c r="H39" s="328" t="str">
        <f>VLOOKUP(A39,'APONTAMENTO CREDENCIAMENTO'!$D$6:$G$3058,4,0)</f>
        <v>30/04/2026</v>
      </c>
      <c r="I39" s="135" t="str">
        <f t="shared" si="8"/>
        <v>PE - Pagto. Doc(s):  - Contrato nº 2023/0030044</v>
      </c>
      <c r="J39" s="136">
        <f t="shared" si="9"/>
        <v>14234.23</v>
      </c>
      <c r="K39" s="136">
        <v>0</v>
      </c>
      <c r="L39" s="137" t="str">
        <f>VLOOKUP(A39,'APONTAMENTO CREDENCIAMENTO'!$D$6:$P$3058,5,0)</f>
        <v>PAULO SERGIO DO NASCIMENTO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6020.2023/0030044-6</v>
      </c>
      <c r="U39" s="144">
        <f t="shared" si="11"/>
        <v>14234.23</v>
      </c>
      <c r="V39" s="145">
        <f t="shared" si="12"/>
        <v>14234.23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2023/0030044 - DRE - G</v>
      </c>
      <c r="AB39" s="238" t="str">
        <f t="shared" si="13"/>
        <v>PAULO SERGIO DO NASCIMENTO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3335</v>
      </c>
      <c r="B40" s="130"/>
      <c r="C40" s="131">
        <f t="shared" si="7"/>
        <v>0</v>
      </c>
      <c r="D40" s="132" t="str">
        <f>VLOOKUP(A40,'APONTAMENTO CREDENCIAMENTO'!$D$6:$P$3058,12,0)</f>
        <v>6020.2025/0012259-2</v>
      </c>
      <c r="E40" s="133"/>
      <c r="F40" s="134">
        <f>SUMIF('APONTAMENTO CREDENCIAMENTO'!$D$6:$D$3058,'ATESTE-LIQ'!A40,'APONTAMENTO CREDENCIAMENTO'!$FE$6:$FE$3058)</f>
        <v>11344.82</v>
      </c>
      <c r="G40" s="328" t="str">
        <f>VLOOKUP(A40,'APONTAMENTO CREDENCIAMENTO'!$D$6:$G$3058,3,0)</f>
        <v>01/04/2026</v>
      </c>
      <c r="H40" s="328" t="str">
        <f>VLOOKUP(A40,'APONTAMENTO CREDENCIAMENTO'!$D$6:$G$3058,4,0)</f>
        <v>30/04/2026</v>
      </c>
      <c r="I40" s="135" t="str">
        <f t="shared" si="8"/>
        <v>PE - Pagto. Doc(s):  - Contrato nº 2025/0012259</v>
      </c>
      <c r="J40" s="136">
        <f t="shared" si="9"/>
        <v>11344.82</v>
      </c>
      <c r="K40" s="136">
        <v>0</v>
      </c>
      <c r="L40" s="137" t="str">
        <f>VLOOKUP(A40,'APONTAMENTO CREDENCIAMENTO'!$D$6:$P$3058,5,0)</f>
        <v>RENATO CROZARA DA SILVA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6020.2025/0012259-2</v>
      </c>
      <c r="U40" s="144">
        <f t="shared" si="11"/>
        <v>11344.82</v>
      </c>
      <c r="V40" s="145">
        <f t="shared" si="12"/>
        <v>11344.82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2025/0012259 - DRE - G</v>
      </c>
      <c r="AB40" s="238" t="str">
        <f t="shared" si="13"/>
        <v>RENATO CROZARA DA SILVA</v>
      </c>
      <c r="AC40" s="239"/>
      <c r="AD40" s="240"/>
      <c r="AE40" s="242"/>
      <c r="AF40" s="102"/>
    </row>
    <row r="42" spans="1:32" ht="20.25" customHeight="1" x14ac:dyDescent="0.2">
      <c r="A42" s="237"/>
      <c r="F42" s="60">
        <f>SUM(F2:F41)</f>
        <v>694055.95116666669</v>
      </c>
      <c r="J42" s="60">
        <f>SUM(J2:J41)</f>
        <v>694055.95116666669</v>
      </c>
    </row>
    <row r="43" spans="1:32" ht="20.25" customHeight="1" x14ac:dyDescent="0.2">
      <c r="A43" s="237"/>
    </row>
    <row r="44" spans="1:32" ht="20.25" customHeight="1" x14ac:dyDescent="0.2">
      <c r="A44" s="237"/>
    </row>
    <row r="45" spans="1:32" ht="20.25" customHeight="1" x14ac:dyDescent="0.2">
      <c r="A45" s="237"/>
    </row>
    <row r="46" spans="1:32" ht="20.25" customHeight="1" x14ac:dyDescent="0.2">
      <c r="A46" s="237"/>
    </row>
    <row r="47" spans="1:32" ht="20.25" customHeight="1" x14ac:dyDescent="0.2">
      <c r="A47" s="237"/>
    </row>
    <row r="48" spans="1:32" ht="20.25" customHeight="1" x14ac:dyDescent="0.2">
      <c r="A48" s="237"/>
    </row>
    <row r="49" spans="1:1" ht="20.25" customHeight="1" x14ac:dyDescent="0.2">
      <c r="A49" s="237"/>
    </row>
    <row r="50" spans="1:1" ht="20.25" customHeight="1" x14ac:dyDescent="0.2">
      <c r="A50" s="237"/>
    </row>
    <row r="51" spans="1:1" ht="20.25" customHeight="1" x14ac:dyDescent="0.2">
      <c r="A51" s="237"/>
    </row>
    <row r="52" spans="1:1" ht="20.25" customHeight="1" x14ac:dyDescent="0.2">
      <c r="A52" s="237"/>
    </row>
    <row r="53" spans="1:1" ht="20.25" customHeight="1" x14ac:dyDescent="0.2">
      <c r="A53" s="237"/>
    </row>
    <row r="54" spans="1:1" ht="20.25" customHeight="1" x14ac:dyDescent="0.2">
      <c r="A54" s="237"/>
    </row>
    <row r="55" spans="1:1" ht="20.25" customHeight="1" x14ac:dyDescent="0.2">
      <c r="A55" s="237"/>
    </row>
    <row r="56" spans="1:1" ht="20.25" customHeight="1" x14ac:dyDescent="0.2">
      <c r="A56" s="237"/>
    </row>
    <row r="57" spans="1:1" ht="20.25" customHeight="1" x14ac:dyDescent="0.2">
      <c r="A57" s="237"/>
    </row>
    <row r="58" spans="1:1" ht="20.25" customHeight="1" x14ac:dyDescent="0.2">
      <c r="A58" s="237"/>
    </row>
    <row r="59" spans="1:1" ht="20.25" customHeight="1" x14ac:dyDescent="0.2">
      <c r="A59" s="237"/>
    </row>
    <row r="60" spans="1:1" ht="20.25" customHeight="1" x14ac:dyDescent="0.2">
      <c r="A60" s="237"/>
    </row>
    <row r="61" spans="1:1" ht="20.25" customHeight="1" x14ac:dyDescent="0.2">
      <c r="A61" s="237"/>
    </row>
  </sheetData>
  <sheetProtection formatCells="0" formatColumns="0" formatRows="0" selectLockedCells="1"/>
  <sortState xmlns:xlrd2="http://schemas.microsoft.com/office/spreadsheetml/2017/richdata2" ref="B41:B73">
    <sortCondition ref="B41:B73"/>
  </sortState>
  <conditionalFormatting sqref="C1 E1:AE1">
    <cfRule type="duplicateValues" dxfId="16" priority="48"/>
  </conditionalFormatting>
  <conditionalFormatting sqref="D2:D40">
    <cfRule type="expression" dxfId="15" priority="143" stopIfTrue="1">
      <formula>AND(COUNTIF($D:$D,D2)&gt;1,NOT(ISBLANK(D2)))</formula>
    </cfRule>
  </conditionalFormatting>
  <conditionalFormatting sqref="S2:S40">
    <cfRule type="expression" dxfId="14" priority="2499" stopIfTrue="1">
      <formula>AND(COUNTIF($S$2:$S$2,S2)&gt;1,NOT(ISBLANK(S2)))</formula>
    </cfRule>
  </conditionalFormatting>
  <conditionalFormatting sqref="S42:S1048576 S2:S40">
    <cfRule type="duplicateValues" dxfId="13" priority="2503"/>
  </conditionalFormatting>
  <conditionalFormatting sqref="A1:A40">
    <cfRule type="duplicateValues" dxfId="12" priority="164366"/>
  </conditionalFormatting>
  <conditionalFormatting sqref="B2:B40">
    <cfRule type="duplicateValues" dxfId="11" priority="164367"/>
    <cfRule type="duplicateValues" dxfId="10" priority="164368"/>
    <cfRule type="duplicateValues" dxfId="9" priority="164369"/>
    <cfRule type="duplicateValues" dxfId="8" priority="164370"/>
    <cfRule type="duplicateValues" dxfId="7" priority="164371"/>
  </conditionalFormatting>
  <conditionalFormatting sqref="C2:C40">
    <cfRule type="duplicateValues" dxfId="6" priority="164372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3100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3101</v>
      </c>
      <c r="D5" s="860"/>
      <c r="E5" s="860"/>
      <c r="F5" s="860"/>
      <c r="G5" s="542"/>
    </row>
    <row r="6" spans="2:8" x14ac:dyDescent="0.25">
      <c r="B6" s="541"/>
      <c r="C6" s="861" t="s">
        <v>3102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3103</v>
      </c>
      <c r="D8" s="862"/>
      <c r="E8" s="544"/>
      <c r="G8" s="542"/>
      <c r="H8" s="536" t="str">
        <f>'BASE C'!B3</f>
        <v>2025/0012259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3104</v>
      </c>
      <c r="D10" s="864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6806.8919999999998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6806.8919999999998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3108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3109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3111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249.58604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3118</v>
      </c>
      <c r="D31" s="869"/>
      <c r="E31" s="870" t="s">
        <v>3119</v>
      </c>
      <c r="F31" s="870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822.21</v>
      </c>
      <c r="E32" s="572" t="s">
        <v>3120</v>
      </c>
      <c r="F32" s="573">
        <f>'IR Desc. Simplificado-Maio.2025'!F30</f>
        <v>723.87000000000012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822.21</v>
      </c>
      <c r="E33" s="572" t="s">
        <v>3121</v>
      </c>
      <c r="F33" s="573">
        <f>F32-D18</f>
        <v>723.87000000000012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3122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723.87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723.87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3124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3125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3126</v>
      </c>
      <c r="D44" s="856"/>
      <c r="E44" s="857" t="s">
        <v>3127</v>
      </c>
      <c r="F44" s="85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57" t="s">
        <v>3130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3131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3132</v>
      </c>
      <c r="F47" s="858"/>
      <c r="G47" s="597"/>
      <c r="H47" s="544"/>
    </row>
    <row r="48" spans="2:8" x14ac:dyDescent="0.25">
      <c r="B48" s="541"/>
      <c r="C48" s="849" t="s">
        <v>3133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3134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3144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3145</v>
      </c>
      <c r="C2" s="887"/>
      <c r="D2" s="887"/>
      <c r="E2" s="887"/>
      <c r="F2" s="887"/>
    </row>
    <row r="3" spans="2:9" x14ac:dyDescent="0.25">
      <c r="B3" s="888">
        <f>'Cálculo IRRF -Jan.2026'!D13</f>
        <v>6806.8919999999998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3146</v>
      </c>
      <c r="C10" s="881"/>
      <c r="D10" s="881"/>
      <c r="E10" s="881"/>
      <c r="F10" s="618">
        <f>'Cálculo IRRF -Jan.2026'!D23</f>
        <v>249.58604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3147</v>
      </c>
      <c r="C13" s="887"/>
      <c r="D13" s="887"/>
      <c r="E13" s="887"/>
      <c r="F13" s="887"/>
      <c r="I13" s="620"/>
    </row>
    <row r="14" spans="2:9" x14ac:dyDescent="0.25">
      <c r="B14" s="875" t="s">
        <v>3148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3149</v>
      </c>
      <c r="C15" s="875"/>
      <c r="D15" s="875"/>
      <c r="E15" s="878">
        <v>189.59</v>
      </c>
      <c r="F15" s="878"/>
      <c r="H15" s="621" t="s">
        <v>3150</v>
      </c>
      <c r="I15" s="616">
        <f>F10+I17+I18+(E14*E15)</f>
        <v>249.58604</v>
      </c>
    </row>
    <row r="16" spans="2:9" x14ac:dyDescent="0.25">
      <c r="B16" s="875" t="s">
        <v>3151</v>
      </c>
      <c r="C16" s="875"/>
      <c r="D16" s="875"/>
      <c r="E16" s="879">
        <f>B3-I17-I18-F10-(E14*E15)</f>
        <v>6557.3059599999997</v>
      </c>
      <c r="F16" s="880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894.52</v>
      </c>
      <c r="I23" s="578"/>
    </row>
    <row r="24" spans="2:9" ht="16.5" thickTop="1" thickBot="1" x14ac:dyDescent="0.3">
      <c r="B24" s="881" t="s">
        <v>3159</v>
      </c>
      <c r="C24" s="881"/>
      <c r="D24" s="881"/>
      <c r="E24" s="882"/>
      <c r="F24" s="628">
        <f>SUM(F19:F23)</f>
        <v>894.52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3160</v>
      </c>
      <c r="C26" s="883"/>
      <c r="D26" s="883"/>
      <c r="E26" s="883"/>
      <c r="F26" s="629">
        <f>IF(B3&lt;=C50,0,F24)</f>
        <v>894.52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3161</v>
      </c>
      <c r="C28" s="885"/>
      <c r="D28" s="885"/>
      <c r="E28" s="885"/>
      <c r="F28" s="631">
        <f>IF(AND($B$3&gt;C50,$B$3&lt;=C51),F24-E39,IF($B$3&lt;=C50,F26,F24))</f>
        <v>822.21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3162</v>
      </c>
      <c r="C30" s="886"/>
      <c r="D30" s="886"/>
      <c r="E30" s="886"/>
      <c r="F30" s="632">
        <f>MIN(F24,F26,F28)</f>
        <v>822.21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3163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6806.8919999999998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6806.8919999999998</v>
      </c>
      <c r="D39" s="622">
        <v>0.13314500000000001</v>
      </c>
      <c r="E39" s="640">
        <f>TRUNC(B39-(C39*D39),2)</f>
        <v>72.31</v>
      </c>
    </row>
    <row r="42" spans="2:6" ht="30" x14ac:dyDescent="0.25">
      <c r="B42" s="641" t="s">
        <v>3170</v>
      </c>
      <c r="C42" s="642">
        <f>F24</f>
        <v>894.52</v>
      </c>
    </row>
    <row r="43" spans="2:6" x14ac:dyDescent="0.25">
      <c r="B43" s="641" t="s">
        <v>3171</v>
      </c>
      <c r="C43" s="643">
        <f>E39</f>
        <v>72.31</v>
      </c>
    </row>
    <row r="44" spans="2:6" ht="51.6" customHeight="1" x14ac:dyDescent="0.25">
      <c r="B44" s="644" t="s">
        <v>3172</v>
      </c>
      <c r="C44" s="645">
        <f>C42-C43</f>
        <v>822.21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3145</v>
      </c>
      <c r="C2" s="887"/>
      <c r="D2" s="887"/>
      <c r="E2" s="887"/>
      <c r="F2" s="887"/>
    </row>
    <row r="3" spans="2:10" x14ac:dyDescent="0.25">
      <c r="B3" s="888">
        <f>'Cálculo IRRF -Jan.2026'!D13</f>
        <v>6806.8919999999998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3146</v>
      </c>
      <c r="C10" s="881"/>
      <c r="D10" s="881"/>
      <c r="E10" s="881"/>
      <c r="F10" s="618">
        <f>'Cálculo IRRF -Jan.2026'!D23</f>
        <v>249.58604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3174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3175</v>
      </c>
      <c r="C14" s="875"/>
      <c r="D14" s="875"/>
      <c r="E14" s="890">
        <f>B3</f>
        <v>6806.8919999999998</v>
      </c>
      <c r="F14" s="891"/>
      <c r="I14" s="620"/>
    </row>
    <row r="15" spans="2:10" x14ac:dyDescent="0.25">
      <c r="B15" s="875" t="s">
        <v>3176</v>
      </c>
      <c r="C15" s="875"/>
      <c r="D15" s="875"/>
      <c r="E15" s="892">
        <v>607.20000000000005</v>
      </c>
      <c r="F15" s="892"/>
    </row>
    <row r="16" spans="2:10" x14ac:dyDescent="0.25">
      <c r="B16" s="875" t="s">
        <v>3151</v>
      </c>
      <c r="C16" s="875"/>
      <c r="D16" s="875"/>
      <c r="E16" s="893">
        <f>'Cálculo IRRF -Jan.2026'!D13-'Cálculo IRRF -Jan.2026'!D29</f>
        <v>6199.692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796.18000000000006</v>
      </c>
    </row>
    <row r="24" spans="2:6" x14ac:dyDescent="0.25">
      <c r="B24" s="881" t="s">
        <v>3159</v>
      </c>
      <c r="C24" s="881"/>
      <c r="D24" s="881"/>
      <c r="E24" s="881"/>
      <c r="F24" s="652">
        <f>SUM(F19:F23)</f>
        <v>796.18000000000006</v>
      </c>
    </row>
    <row r="25" spans="2:6" ht="15.75" thickBot="1" x14ac:dyDescent="0.3"/>
    <row r="26" spans="2:6" ht="16.5" thickTop="1" thickBot="1" x14ac:dyDescent="0.3">
      <c r="B26" s="883" t="s">
        <v>3160</v>
      </c>
      <c r="C26" s="883"/>
      <c r="D26" s="883"/>
      <c r="E26" s="883"/>
      <c r="F26" s="629">
        <f>IF($B$3&lt;=$C$50,0,$F$24)</f>
        <v>796.18000000000006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3161</v>
      </c>
      <c r="C28" s="885"/>
      <c r="D28" s="885"/>
      <c r="E28" s="885"/>
      <c r="F28" s="653">
        <f>IF(AND($B$3&gt;C50,$B$3&lt;=C51),F24-E39,IF($B$3&lt;=C50,F26,F24))</f>
        <v>723.87000000000012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3162</v>
      </c>
      <c r="C30" s="886"/>
      <c r="D30" s="886"/>
      <c r="E30" s="886"/>
      <c r="F30" s="632">
        <f>MIN(F24,F26,F28)</f>
        <v>723.87000000000012</v>
      </c>
    </row>
    <row r="32" spans="2:6" ht="29.1" customHeight="1" x14ac:dyDescent="0.25">
      <c r="B32" s="874" t="s">
        <v>3163</v>
      </c>
      <c r="C32" s="874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6806.8919999999998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6806.8919999999998</v>
      </c>
      <c r="D39" s="622">
        <v>0.13314500000000001</v>
      </c>
      <c r="E39" s="655">
        <f>TRUNC($B$39-($C$39*$D$39),2)</f>
        <v>72.31</v>
      </c>
    </row>
    <row r="42" spans="2:6" ht="30" x14ac:dyDescent="0.25">
      <c r="B42" s="641" t="s">
        <v>3170</v>
      </c>
      <c r="C42" s="642">
        <f>$F$24</f>
        <v>796.18000000000006</v>
      </c>
    </row>
    <row r="43" spans="2:6" ht="30" x14ac:dyDescent="0.25">
      <c r="B43" s="641" t="s">
        <v>3171</v>
      </c>
      <c r="C43" s="643">
        <f>$E$39</f>
        <v>72.31</v>
      </c>
    </row>
    <row r="44" spans="2:6" ht="60" x14ac:dyDescent="0.25">
      <c r="B44" s="644" t="s">
        <v>3172</v>
      </c>
      <c r="C44" s="645">
        <f>$C$42-$C$43</f>
        <v>723.87000000000012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2026-05-12T17:48:48Z</cp:lastPrinted>
  <dcterms:created xsi:type="dcterms:W3CDTF">2019-02-08T16:49:11Z</dcterms:created>
  <dcterms:modified xsi:type="dcterms:W3CDTF">2026-05-12T17:49:01Z</dcterms:modified>
</cp:coreProperties>
</file>