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89383\Aplicativos\teg_cursor\pgtos\"/>
    </mc:Choice>
  </mc:AlternateContent>
  <xr:revisionPtr revIDLastSave="0" documentId="8_{3C8A41C7-5DC8-453E-91F6-381D0407DF44}" xr6:coauthVersionLast="47" xr6:coauthVersionMax="47" xr10:uidLastSave="{00000000-0000-0000-0000-000000000000}"/>
  <bookViews>
    <workbookView xWindow="28680" yWindow="-120" windowWidth="29040" windowHeight="15720" xr2:uid="{E6BB71D8-DC9A-4E40-8ED2-D170D1728E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3" i="1"/>
  <c r="B2" i="1"/>
  <c r="E7" i="1"/>
  <c r="E5" i="1"/>
  <c r="E4" i="1"/>
  <c r="E3" i="1"/>
  <c r="E2" i="1"/>
  <c r="H7" i="1" l="1"/>
  <c r="F2" i="1"/>
  <c r="H2" i="1" s="1"/>
  <c r="B5" i="1"/>
  <c r="B4" i="1" l="1"/>
  <c r="B8" i="1" s="1"/>
  <c r="F8" i="1" s="1"/>
  <c r="H8" i="1" s="1"/>
  <c r="B6" i="1"/>
  <c r="F6" i="1" s="1"/>
  <c r="H6" i="1" s="1"/>
  <c r="F5" i="1"/>
  <c r="H5" i="1"/>
  <c r="F4" i="1"/>
  <c r="H4" i="1" s="1"/>
  <c r="F3" i="1"/>
  <c r="H3" i="1"/>
  <c r="F7" i="1"/>
  <c r="H9" i="1"/>
</calcChain>
</file>

<file path=xl/sharedStrings.xml><?xml version="1.0" encoding="utf-8"?>
<sst xmlns="http://schemas.openxmlformats.org/spreadsheetml/2006/main" count="24" uniqueCount="17">
  <si>
    <t>1 a 6</t>
  </si>
  <si>
    <t>8 e 9</t>
  </si>
  <si>
    <t>10 a 14</t>
  </si>
  <si>
    <t>15 a 30</t>
  </si>
  <si>
    <t>qtde dias</t>
  </si>
  <si>
    <t>fixo</t>
  </si>
  <si>
    <t>percapita</t>
  </si>
  <si>
    <t>Calculo por dia</t>
  </si>
  <si>
    <t>Número crianças</t>
  </si>
  <si>
    <t>Valor a Pagar</t>
  </si>
  <si>
    <t>Movto</t>
  </si>
  <si>
    <t>Valor Diário</t>
  </si>
  <si>
    <t>Datas</t>
  </si>
  <si>
    <t>7</t>
  </si>
  <si>
    <t>Qtde  alunos/ dia</t>
  </si>
  <si>
    <t>Percapita</t>
  </si>
  <si>
    <t>Fixo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</si>
</sst>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8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4" fontId="0" fillId="0" borderId="0" xfId="0" applyNumberFormat="1"/>
    <xf numFmtId="3" fontId="0" fillId="0" borderId="0" xfId="0" applyNumberFormat="1"/>
    <xf numFmtId="4" fontId="3" fillId="2" borderId="2" xfId="3" applyNumberFormat="1" applyFont="1" applyFill="1" applyBorder="1" applyAlignment="1" applyProtection="1">
      <alignment horizontal="center" vertical="center"/>
      <protection locked="0"/>
    </xf>
    <xf numFmtId="3" fontId="3" fillId="2" borderId="3" xfId="3" applyNumberFormat="1" applyFont="1" applyFill="1" applyBorder="1" applyAlignment="1" applyProtection="1">
      <alignment horizontal="center" vertical="center"/>
      <protection locked="0"/>
    </xf>
    <xf numFmtId="44" fontId="3" fillId="2" borderId="3" xfId="2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0" borderId="5" xfId="0" applyBorder="1"/>
    <xf numFmtId="3" fontId="3" fillId="2" borderId="3" xfId="3" applyNumberFormat="1" applyFont="1" applyFill="1" applyBorder="1" applyAlignment="1">
      <alignment horizontal="center" vertical="center"/>
    </xf>
    <xf numFmtId="4" fontId="3" fillId="3" borderId="6" xfId="3" applyNumberFormat="1" applyFont="1" applyFill="1" applyBorder="1" applyAlignment="1" applyProtection="1">
      <alignment horizontal="center" vertical="center"/>
      <protection locked="0"/>
    </xf>
    <xf numFmtId="3" fontId="3" fillId="3" borderId="7" xfId="3" applyNumberFormat="1" applyFont="1" applyFill="1" applyBorder="1" applyAlignment="1" applyProtection="1">
      <alignment horizontal="center" vertical="center"/>
      <protection locked="0"/>
    </xf>
    <xf numFmtId="44" fontId="3" fillId="3" borderId="7" xfId="2" applyFont="1" applyFill="1" applyBorder="1" applyAlignment="1" applyProtection="1">
      <alignment horizontal="center" vertical="center"/>
      <protection locked="0"/>
    </xf>
    <xf numFmtId="4" fontId="3" fillId="3" borderId="8" xfId="3" applyNumberFormat="1" applyFont="1" applyFill="1" applyBorder="1" applyAlignment="1">
      <alignment horizontal="center" vertical="center"/>
    </xf>
    <xf numFmtId="4" fontId="3" fillId="3" borderId="10" xfId="3" applyNumberFormat="1" applyFont="1" applyFill="1" applyBorder="1" applyAlignment="1">
      <alignment horizontal="center" vertical="center"/>
    </xf>
    <xf numFmtId="3" fontId="3" fillId="3" borderId="11" xfId="3" applyNumberFormat="1" applyFont="1" applyFill="1" applyBorder="1" applyAlignment="1">
      <alignment horizontal="center" vertical="center"/>
    </xf>
    <xf numFmtId="44" fontId="3" fillId="3" borderId="11" xfId="2" applyFont="1" applyFill="1" applyBorder="1" applyAlignment="1" applyProtection="1">
      <alignment horizontal="center" vertical="center"/>
      <protection locked="0"/>
    </xf>
    <xf numFmtId="4" fontId="3" fillId="3" borderId="12" xfId="3" applyNumberFormat="1" applyFont="1" applyFill="1" applyBorder="1" applyAlignment="1">
      <alignment horizontal="center" vertical="center"/>
    </xf>
    <xf numFmtId="4" fontId="3" fillId="4" borderId="6" xfId="3" applyNumberFormat="1" applyFont="1" applyFill="1" applyBorder="1" applyAlignment="1">
      <alignment horizontal="center" vertical="center"/>
    </xf>
    <xf numFmtId="3" fontId="3" fillId="4" borderId="7" xfId="3" applyNumberFormat="1" applyFont="1" applyFill="1" applyBorder="1" applyAlignment="1">
      <alignment horizontal="center" vertical="center"/>
    </xf>
    <xf numFmtId="44" fontId="3" fillId="4" borderId="7" xfId="2" applyFont="1" applyFill="1" applyBorder="1" applyAlignment="1" applyProtection="1">
      <alignment horizontal="center" vertical="center"/>
      <protection locked="0"/>
    </xf>
    <xf numFmtId="4" fontId="3" fillId="4" borderId="8" xfId="3" applyNumberFormat="1" applyFont="1" applyFill="1" applyBorder="1" applyAlignment="1">
      <alignment horizontal="center" vertical="center"/>
    </xf>
    <xf numFmtId="4" fontId="3" fillId="4" borderId="10" xfId="3" applyNumberFormat="1" applyFont="1" applyFill="1" applyBorder="1" applyAlignment="1">
      <alignment horizontal="center" vertical="center"/>
    </xf>
    <xf numFmtId="3" fontId="3" fillId="4" borderId="11" xfId="3" applyNumberFormat="1" applyFont="1" applyFill="1" applyBorder="1" applyAlignment="1">
      <alignment horizontal="center" vertical="center"/>
    </xf>
    <xf numFmtId="44" fontId="3" fillId="4" borderId="11" xfId="2" applyFont="1" applyFill="1" applyBorder="1" applyAlignment="1" applyProtection="1">
      <alignment horizontal="center" vertical="center"/>
      <protection locked="0"/>
    </xf>
    <xf numFmtId="4" fontId="3" fillId="4" borderId="12" xfId="3" applyNumberFormat="1" applyFont="1" applyFill="1" applyBorder="1" applyAlignment="1">
      <alignment horizontal="center" vertical="center"/>
    </xf>
    <xf numFmtId="4" fontId="3" fillId="5" borderId="2" xfId="3" applyNumberFormat="1" applyFont="1" applyFill="1" applyBorder="1" applyAlignment="1" applyProtection="1">
      <alignment horizontal="center" vertical="center"/>
      <protection locked="0"/>
    </xf>
    <xf numFmtId="3" fontId="3" fillId="5" borderId="3" xfId="3" applyNumberFormat="1" applyFont="1" applyFill="1" applyBorder="1" applyAlignment="1" applyProtection="1">
      <alignment horizontal="center" vertical="center"/>
      <protection locked="0"/>
    </xf>
    <xf numFmtId="44" fontId="3" fillId="5" borderId="3" xfId="2" applyFont="1" applyFill="1" applyBorder="1" applyAlignment="1" applyProtection="1">
      <alignment horizontal="center" vertical="center"/>
      <protection locked="0"/>
    </xf>
    <xf numFmtId="4" fontId="3" fillId="5" borderId="4" xfId="3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68" fontId="3" fillId="2" borderId="3" xfId="1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 applyAlignment="1">
      <alignment horizontal="center" vertical="center" wrapText="1"/>
    </xf>
    <xf numFmtId="4" fontId="3" fillId="2" borderId="4" xfId="3" applyNumberFormat="1" applyFont="1" applyFill="1" applyBorder="1" applyAlignment="1">
      <alignment horizontal="center" vertical="center"/>
    </xf>
    <xf numFmtId="4" fontId="3" fillId="2" borderId="5" xfId="3" applyNumberFormat="1" applyFont="1" applyFill="1" applyBorder="1" applyAlignment="1">
      <alignment horizontal="center" vertical="center"/>
    </xf>
    <xf numFmtId="3" fontId="3" fillId="3" borderId="7" xfId="3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4" fontId="3" fillId="7" borderId="2" xfId="3" applyNumberFormat="1" applyFont="1" applyFill="1" applyBorder="1" applyAlignment="1">
      <alignment horizontal="center" vertical="center"/>
    </xf>
    <xf numFmtId="3" fontId="3" fillId="7" borderId="3" xfId="3" applyNumberFormat="1" applyFont="1" applyFill="1" applyBorder="1" applyAlignment="1">
      <alignment horizontal="center" vertical="center"/>
    </xf>
    <xf numFmtId="44" fontId="3" fillId="7" borderId="3" xfId="2" applyFont="1" applyFill="1" applyBorder="1" applyAlignment="1" applyProtection="1">
      <alignment horizontal="center" vertical="center"/>
      <protection locked="0"/>
    </xf>
    <xf numFmtId="168" fontId="3" fillId="7" borderId="3" xfId="1" applyNumberFormat="1" applyFont="1" applyFill="1" applyBorder="1" applyAlignment="1" applyProtection="1">
      <alignment horizontal="center" vertical="center"/>
      <protection locked="0"/>
    </xf>
    <xf numFmtId="4" fontId="3" fillId="7" borderId="4" xfId="3" applyNumberFormat="1" applyFont="1" applyFill="1" applyBorder="1" applyAlignment="1">
      <alignment horizontal="center" vertical="center"/>
    </xf>
    <xf numFmtId="4" fontId="3" fillId="7" borderId="5" xfId="3" applyNumberFormat="1" applyFont="1" applyFill="1" applyBorder="1" applyAlignment="1">
      <alignment horizontal="center" vertical="center"/>
    </xf>
    <xf numFmtId="4" fontId="3" fillId="5" borderId="2" xfId="3" applyNumberFormat="1" applyFont="1" applyFill="1" applyBorder="1" applyAlignment="1" applyProtection="1">
      <alignment horizontal="left" vertical="center"/>
      <protection locked="0"/>
    </xf>
    <xf numFmtId="0" fontId="0" fillId="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3" fontId="3" fillId="3" borderId="11" xfId="3" applyNumberFormat="1" applyFont="1" applyFill="1" applyBorder="1" applyAlignment="1">
      <alignment horizontal="left" vertical="center"/>
    </xf>
    <xf numFmtId="4" fontId="3" fillId="4" borderId="10" xfId="3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4" fontId="0" fillId="0" borderId="3" xfId="0" applyNumberFormat="1" applyBorder="1"/>
    <xf numFmtId="44" fontId="0" fillId="0" borderId="0" xfId="2" applyFont="1"/>
  </cellXfs>
  <cellStyles count="4">
    <cellStyle name="Moeda" xfId="2" builtinId="4"/>
    <cellStyle name="Normal" xfId="0" builtinId="0"/>
    <cellStyle name="Normal 7" xfId="3" xr:uid="{50F11923-BA03-473E-A523-C2EA317DDEB5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0D17-C553-4490-B248-5AB3004FA9A0}">
  <dimension ref="A1:I17"/>
  <sheetViews>
    <sheetView tabSelected="1" workbookViewId="0">
      <selection activeCell="H19" sqref="H19"/>
    </sheetView>
  </sheetViews>
  <sheetFormatPr defaultRowHeight="15" x14ac:dyDescent="0.25"/>
  <cols>
    <col min="1" max="1" width="13.85546875" customWidth="1"/>
    <col min="2" max="2" width="12.140625" bestFit="1" customWidth="1"/>
    <col min="3" max="3" width="11.85546875" customWidth="1"/>
    <col min="5" max="5" width="10.140625" customWidth="1"/>
    <col min="6" max="6" width="14" customWidth="1"/>
    <col min="7" max="7" width="9.140625" customWidth="1"/>
    <col min="8" max="8" width="19.140625" customWidth="1"/>
  </cols>
  <sheetData>
    <row r="1" spans="1:9" ht="28.5" customHeight="1" x14ac:dyDescent="0.25">
      <c r="A1" s="38" t="s">
        <v>7</v>
      </c>
      <c r="B1" s="29" t="s">
        <v>11</v>
      </c>
      <c r="C1" s="30" t="s">
        <v>14</v>
      </c>
      <c r="D1" s="30" t="s">
        <v>10</v>
      </c>
      <c r="E1" s="30" t="s">
        <v>8</v>
      </c>
      <c r="F1" s="30"/>
      <c r="G1" s="30" t="s">
        <v>4</v>
      </c>
      <c r="H1" s="30" t="s">
        <v>9</v>
      </c>
      <c r="I1" s="31" t="s">
        <v>12</v>
      </c>
    </row>
    <row r="2" spans="1:9" x14ac:dyDescent="0.25">
      <c r="A2" s="53" t="s">
        <v>6</v>
      </c>
      <c r="B2" s="25">
        <f>B10/30</f>
        <v>12.841000000000001</v>
      </c>
      <c r="C2" s="26">
        <v>15</v>
      </c>
      <c r="D2" s="26">
        <v>15</v>
      </c>
      <c r="E2" s="26">
        <f>D2</f>
        <v>15</v>
      </c>
      <c r="F2" s="27">
        <f>B2*C2</f>
        <v>192.61500000000001</v>
      </c>
      <c r="G2" s="42">
        <v>6</v>
      </c>
      <c r="H2" s="28">
        <f>F2*G2</f>
        <v>1155.69</v>
      </c>
      <c r="I2" s="32" t="s">
        <v>0</v>
      </c>
    </row>
    <row r="3" spans="1:9" x14ac:dyDescent="0.25">
      <c r="A3" s="54" t="s">
        <v>5</v>
      </c>
      <c r="B3" s="47">
        <f>B11/30</f>
        <v>249.75066666666669</v>
      </c>
      <c r="C3" s="48"/>
      <c r="D3" s="48">
        <v>1</v>
      </c>
      <c r="E3" s="48">
        <f>E2+D3</f>
        <v>16</v>
      </c>
      <c r="F3" s="49">
        <f>B3*C3</f>
        <v>0</v>
      </c>
      <c r="G3" s="50">
        <v>1</v>
      </c>
      <c r="H3" s="51">
        <f>G3*B3</f>
        <v>249.75066666666669</v>
      </c>
      <c r="I3" s="52" t="s">
        <v>13</v>
      </c>
    </row>
    <row r="4" spans="1:9" x14ac:dyDescent="0.25">
      <c r="A4" s="55" t="s">
        <v>6</v>
      </c>
      <c r="B4" s="3">
        <f>B2</f>
        <v>12.841000000000001</v>
      </c>
      <c r="C4" s="4">
        <v>15</v>
      </c>
      <c r="D4" s="4">
        <v>-1</v>
      </c>
      <c r="E4" s="8">
        <f>E3+D4</f>
        <v>15</v>
      </c>
      <c r="F4" s="5">
        <f>B4*C4</f>
        <v>192.61500000000001</v>
      </c>
      <c r="G4" s="37">
        <v>2</v>
      </c>
      <c r="H4" s="39">
        <f t="shared" ref="H4:H6" si="0">F4*G4</f>
        <v>385.23</v>
      </c>
      <c r="I4" s="40" t="s">
        <v>1</v>
      </c>
    </row>
    <row r="5" spans="1:9" x14ac:dyDescent="0.25">
      <c r="A5" s="56" t="s">
        <v>5</v>
      </c>
      <c r="B5" s="9">
        <f>B3</f>
        <v>249.75066666666669</v>
      </c>
      <c r="C5" s="10"/>
      <c r="D5" s="10">
        <v>2</v>
      </c>
      <c r="E5" s="41">
        <f>E4+D5</f>
        <v>17</v>
      </c>
      <c r="F5" s="11">
        <f>B5*C5</f>
        <v>0</v>
      </c>
      <c r="G5" s="43">
        <v>5</v>
      </c>
      <c r="H5" s="12">
        <f>B5*G5</f>
        <v>1248.7533333333336</v>
      </c>
      <c r="I5" s="33" t="s">
        <v>2</v>
      </c>
    </row>
    <row r="6" spans="1:9" x14ac:dyDescent="0.25">
      <c r="A6" s="56" t="s">
        <v>6</v>
      </c>
      <c r="B6" s="13">
        <f>B2</f>
        <v>12.841000000000001</v>
      </c>
      <c r="C6" s="14">
        <v>1</v>
      </c>
      <c r="D6" s="14"/>
      <c r="E6" s="14"/>
      <c r="F6" s="15">
        <f>B6*C6</f>
        <v>12.841000000000001</v>
      </c>
      <c r="G6" s="44">
        <v>5</v>
      </c>
      <c r="H6" s="16">
        <f t="shared" si="0"/>
        <v>64.205000000000013</v>
      </c>
      <c r="I6" s="34" t="s">
        <v>2</v>
      </c>
    </row>
    <row r="7" spans="1:9" x14ac:dyDescent="0.25">
      <c r="A7" s="57" t="s">
        <v>5</v>
      </c>
      <c r="B7" s="17">
        <f>B11/30</f>
        <v>249.75066666666669</v>
      </c>
      <c r="C7" s="18"/>
      <c r="D7" s="18">
        <v>2</v>
      </c>
      <c r="E7" s="18">
        <f>E5+D7</f>
        <v>19</v>
      </c>
      <c r="F7" s="19">
        <f t="shared" ref="F7:F8" si="1">B7*C7</f>
        <v>0</v>
      </c>
      <c r="G7" s="45">
        <v>16</v>
      </c>
      <c r="H7" s="20">
        <f>G7*B7</f>
        <v>3996.010666666667</v>
      </c>
      <c r="I7" s="35" t="s">
        <v>3</v>
      </c>
    </row>
    <row r="8" spans="1:9" x14ac:dyDescent="0.25">
      <c r="A8" s="57" t="s">
        <v>6</v>
      </c>
      <c r="B8" s="21">
        <f>B4</f>
        <v>12.841000000000001</v>
      </c>
      <c r="C8" s="22">
        <v>3</v>
      </c>
      <c r="D8" s="22"/>
      <c r="E8" s="22"/>
      <c r="F8" s="23">
        <f t="shared" si="1"/>
        <v>38.523000000000003</v>
      </c>
      <c r="G8" s="46">
        <v>16</v>
      </c>
      <c r="H8" s="24">
        <f t="shared" ref="H8" si="2">F8*G8</f>
        <v>616.36800000000005</v>
      </c>
      <c r="I8" s="36" t="s">
        <v>3</v>
      </c>
    </row>
    <row r="9" spans="1:9" x14ac:dyDescent="0.25">
      <c r="A9" s="58"/>
      <c r="B9" s="6"/>
      <c r="C9" s="6"/>
      <c r="D9" s="6"/>
      <c r="E9" s="6"/>
      <c r="F9" s="6"/>
      <c r="G9" s="6"/>
      <c r="H9" s="59">
        <f ca="1">SUM(H2:H9)</f>
        <v>7716.0076666666682</v>
      </c>
      <c r="I9" s="7"/>
    </row>
    <row r="10" spans="1:9" x14ac:dyDescent="0.25">
      <c r="A10" t="s">
        <v>15</v>
      </c>
      <c r="B10" s="60">
        <v>385.23</v>
      </c>
      <c r="C10" s="2"/>
      <c r="D10" s="2"/>
      <c r="E10" s="2"/>
    </row>
    <row r="11" spans="1:9" x14ac:dyDescent="0.25">
      <c r="A11" t="s">
        <v>16</v>
      </c>
      <c r="B11" s="60">
        <v>7492.52</v>
      </c>
    </row>
    <row r="17" spans="8:8" x14ac:dyDescent="0.25">
      <c r="H1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martins</dc:creator>
  <cp:lastModifiedBy>vladimir martins</cp:lastModifiedBy>
  <dcterms:created xsi:type="dcterms:W3CDTF">2026-06-10T11:18:14Z</dcterms:created>
  <dcterms:modified xsi:type="dcterms:W3CDTF">2026-06-10T11:56:38Z</dcterms:modified>
</cp:coreProperties>
</file>